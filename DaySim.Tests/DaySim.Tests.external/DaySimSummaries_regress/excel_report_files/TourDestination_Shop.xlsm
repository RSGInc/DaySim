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1563B04E-AB91-75FE-B8BC-B18F01832D57}" lastEdited="7" lowestEdited="4" rupBuild="16925"/>
  <workbookPr codeName="ThisWorkbook" defaultThemeVersion="124226"/>
  <mc:AlternateContent>
    <mc:Choice Requires="x15">
      <x15ac:absPath xmlns:x15ac="http://schemas.microsoft.com/office/spreadsheetml/2010/11/ac" url="\\Wrjmdlppw01\e\rd\psrc_days_test-git\regression_results_2016-07-01\11h25m23s_configuration_regress.properties_PASSED\reports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1" l="1" r="U13"/>
  <c i="1" r="S15"/>
  <c i="1" r="H15"/>
  <c i="1" r="J13"/>
  <c i="1" l="1" r="S28"/>
  <c i="1" r="U26"/>
  <c i="1" r="S21"/>
  <c i="1" r="S22"/>
  <c i="1" r="S23"/>
  <c i="1" r="S24"/>
  <c i="1" r="S25"/>
  <c i="1" r="S26"/>
  <c i="1" r="S20"/>
  <c i="1" r="N26"/>
  <c i="1" r="O26"/>
  <c i="1" r="P26"/>
  <c i="1" r="Q26"/>
  <c i="1" r="R26"/>
  <c i="1" r="M26"/>
  <c i="1" r="I26"/>
  <c i="1" r="C26"/>
  <c i="1" r="D26"/>
  <c i="1" r="E26"/>
  <c i="1" r="F26"/>
  <c i="1" r="G26"/>
  <c i="1" r="H26"/>
  <c i="1" r="B26"/>
  <c i="1" r="W39"/>
  <c i="1" r="L39"/>
  <c i="1" r="A39"/>
  <c i="1" r="A26"/>
  <c i="1" r="L26"/>
  <c i="1" r="L13"/>
  <c i="1" r="AD32"/>
  <c i="1" r="S32"/>
  <c i="1" r="H32"/>
  <c i="1" r="H19"/>
  <c i="1" r="S19"/>
  <c i="1" r="S6"/>
  <c i="1" r="H6"/>
  <c i="1" l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G25"/>
  <c i="1" r="I24"/>
  <c i="1" r="I25"/>
  <c i="1" r="H25"/>
  <c i="1" r="G23"/>
  <c i="1" r="H23"/>
  <c i="1" r="G24"/>
  <c i="1" r="H24"/>
  <c i="1" r="I23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J23" s="1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1" l="1" r="J25"/>
  <c i="1" r="H20"/>
  <c i="1" r="H21"/>
  <c i="1" r="H22"/>
  <c i="1" r="H28" s="1"/>
  <c i="1" r="F21"/>
  <c i="1" r="J24"/>
  <c i="1" r="E21"/>
  <c i="1" r="D21"/>
  <c i="1" r="U20"/>
  <c i="1" r="I20"/>
  <c i="1" r="U22"/>
  <c i="1" r="G22"/>
  <c i="1" r="I22"/>
  <c i="1" r="U21"/>
  <c i="1" r="G21"/>
  <c i="1" r="I21"/>
  <c i="1" r="B21"/>
  <c i="1" r="C21"/>
  <c i="1" r="J15"/>
  <c i="1" r="E20"/>
  <c i="1" r="U15"/>
  <c i="1" r="U28" s="1"/>
  <c i="1" r="F22"/>
  <c i="1" r="D20"/>
  <c i="1" r="F20"/>
  <c i="1" r="F28" s="1"/>
  <c i="1" r="C22"/>
  <c i="1" r="C20"/>
  <c i="1" r="G20"/>
  <c i="1" r="E22"/>
  <c i="1" r="B20"/>
  <c i="1" r="B22"/>
  <c i="1" r="D22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3" r="G17"/>
  <c i="3" r="G21"/>
  <c i="3" r="G25"/>
  <c i="3" r="G29"/>
  <c i="3" r="G33"/>
  <c i="3" r="G37"/>
  <c i="3" r="G41"/>
  <c i="3" r="G45"/>
  <c i="3" r="G49"/>
  <c i="3" r="G53"/>
  <c i="3" r="G57"/>
  <c i="3" r="G61"/>
  <c i="3" r="G65"/>
  <c i="3" r="G69"/>
  <c i="3" r="G73"/>
  <c i="3" r="G77"/>
  <c i="3" r="G81"/>
  <c i="3" r="G85"/>
  <c i="3" r="G89"/>
  <c i="3" r="G93"/>
  <c i="3" r="G97"/>
  <c i="3" r="G101"/>
  <c i="3" r="G11"/>
  <c i="3" r="G15"/>
  <c i="3" r="G19"/>
  <c i="3" r="G23"/>
  <c i="3" r="G27"/>
  <c i="3" r="G31"/>
  <c i="3" r="G35"/>
  <c i="3" r="G39"/>
  <c i="3" r="G43"/>
  <c i="3" r="G47"/>
  <c i="3" r="G51"/>
  <c i="3" r="G55"/>
  <c i="3" r="G59"/>
  <c i="3" r="G63"/>
  <c i="3" r="G67"/>
  <c i="3" r="G71"/>
  <c i="3" r="G75"/>
  <c i="3" r="G79"/>
  <c i="3" r="G83"/>
  <c i="3" r="G87"/>
  <c i="3" r="G91"/>
  <c i="3" r="G95"/>
  <c i="3" r="G99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3" r="C94"/>
  <c i="3" r="C92"/>
  <c i="3" r="C88"/>
  <c i="3" r="C84"/>
  <c i="3" r="C78"/>
  <c i="3" r="C74"/>
  <c i="3" r="C66"/>
  <c i="3" r="C34"/>
  <c i="3" r="C11"/>
  <c i="3" r="C100"/>
  <c i="3" r="C96"/>
  <c i="3" r="C90"/>
  <c i="3" r="C86"/>
  <c i="3" r="C82"/>
  <c i="3" r="C80"/>
  <c i="3" r="C76"/>
  <c i="3" r="C72"/>
  <c i="3" r="C70"/>
  <c i="3" r="C68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1" l="1" r="G28"/>
  <c i="1" r="R39"/>
  <c i="1" r="M39"/>
  <c i="1" r="S33"/>
  <c i="1" r="S34"/>
  <c i="1" r="N39"/>
  <c i="1" r="P39"/>
  <c i="1" r="S39"/>
  <c i="1" r="S38"/>
  <c i="1" r="Q39"/>
  <c i="1" r="S36"/>
  <c i="1" r="O39"/>
  <c i="1" r="S37"/>
  <c i="1" r="S35"/>
  <c i="1" r="U39"/>
  <c i="1" r="S41"/>
  <c i="1" r="J27"/>
  <c i="1" r="U35"/>
  <c i="1" r="Q41"/>
  <c i="1" r="R41"/>
  <c i="1" r="I28"/>
  <c i="1" r="J21"/>
  <c i="1" r="Q38"/>
  <c i="1" r="N41"/>
  <c i="1" r="Q34"/>
  <c i="1" r="O34"/>
  <c i="1" r="M34"/>
  <c i="1" r="P33"/>
  <c i="1" r="O33"/>
  <c i="1" r="Q33"/>
  <c i="1" r="U34"/>
  <c i="1" r="J22"/>
  <c i="1" r="D28"/>
  <c i="1" r="M37"/>
  <c i="1" r="U41"/>
  <c i="1" r="T41"/>
  <c i="1" r="U37"/>
  <c i="1" r="P37"/>
  <c i="1" r="N37"/>
  <c i="1" r="R37"/>
  <c i="1" r="R35"/>
  <c i="1" r="N35"/>
  <c i="1" r="M35"/>
  <c i="1" r="O37"/>
  <c i="1" r="O35"/>
  <c i="1" r="Q37"/>
  <c i="1" r="U38"/>
  <c i="1" r="Q35"/>
  <c i="1" r="O38"/>
  <c i="1" r="P35"/>
  <c i="1" r="N38"/>
  <c i="1" r="M38"/>
  <c i="1" r="R34"/>
  <c i="1" r="E28"/>
  <c i="1" r="N33"/>
  <c i="1" r="B28"/>
  <c i="1" r="J20"/>
  <c i="1" r="O36"/>
  <c i="1" r="P34"/>
  <c i="1" r="R38"/>
  <c i="1" r="C28"/>
  <c i="1" r="U33"/>
  <c i="1" r="N34"/>
  <c i="1" r="U36"/>
  <c i="1" r="M33"/>
  <c i="1" r="N36"/>
  <c i="1" r="M36"/>
  <c i="1" r="P41"/>
  <c i="1" r="O41"/>
  <c i="1" r="Q36"/>
  <c i="1" r="P38"/>
  <c i="1" r="R33"/>
  <c i="1" r="M41"/>
  <c i="1" r="R36"/>
  <c i="1" r="P36"/>
  <c i="1" l="1" r="J28"/>
  <c i="1" l="1" r="J40"/>
  <c i="1" r="G38"/>
  <c i="1" r="G39"/>
  <c i="1" r="AC39" s="1"/>
  <c i="1" r="J39"/>
  <c i="1" r="AF39" s="1"/>
  <c i="1" r="H36"/>
  <c i="1" r="AD36" s="1"/>
  <c i="1" r="H33"/>
  <c i="1" r="AD33" s="1"/>
  <c i="1" r="C39"/>
  <c i="1" r="Y39" s="1"/>
  <c i="1" r="H39"/>
  <c i="1" r="AD39" s="1"/>
  <c i="1" r="I39"/>
  <c i="1" r="B39"/>
  <c i="1" r="X39" s="1"/>
  <c i="1" r="H35"/>
  <c i="1" r="AD35" s="1"/>
  <c i="1" r="H40"/>
  <c i="1" r="G37"/>
  <c i="1" r="D39"/>
  <c i="1" r="Z39" s="1"/>
  <c i="1" r="H34"/>
  <c i="1" r="AD34" s="1"/>
  <c i="1" r="H38"/>
  <c i="1" r="AD38" s="1"/>
  <c i="1" r="G35"/>
  <c i="1" r="AC35" s="1"/>
  <c i="1" r="E39"/>
  <c i="1" r="AA39" s="1"/>
  <c i="1" r="H37"/>
  <c i="1" r="AD37" s="1"/>
  <c i="1" r="G34"/>
  <c i="1" r="AC34" s="1"/>
  <c i="1" r="F39"/>
  <c i="1" r="AB39" s="1"/>
  <c i="1" r="G36"/>
  <c i="1" r="AC36" s="1"/>
  <c i="1" r="H41"/>
  <c i="1" r="AD41" s="1"/>
  <c i="1" r="J35"/>
  <c i="1" r="AF35" s="1"/>
  <c i="1" r="I37"/>
  <c i="1" r="AC37"/>
  <c i="1" r="I38"/>
  <c i="1" r="I36"/>
  <c i="1" r="D40"/>
  <c i="1" r="C40"/>
  <c i="1" r="E40"/>
  <c i="1" r="G40"/>
  <c i="1" r="B40"/>
  <c i="1" r="I34"/>
  <c i="1" r="G41"/>
  <c i="1" r="AC41" s="1"/>
  <c i="1" r="I40"/>
  <c i="1" r="I35"/>
  <c i="1" r="F40"/>
  <c i="1" r="I33"/>
  <c i="1" r="F41"/>
  <c i="1" r="AB41" s="1"/>
  <c i="1" r="B41"/>
  <c i="1" r="X41" s="1"/>
  <c i="1" r="C41"/>
  <c i="1" r="Y41" s="1"/>
  <c i="1" r="D37"/>
  <c i="1" r="Z37" s="1"/>
  <c i="1" r="C38"/>
  <c i="1" r="Y38" s="1"/>
  <c i="1" r="C36"/>
  <c i="1" r="Y36" s="1"/>
  <c i="1" r="F37"/>
  <c i="1" r="AB37" s="1"/>
  <c i="1" r="E37"/>
  <c i="1" r="AA37" s="1"/>
  <c i="1" r="D36"/>
  <c i="1" r="Z36" s="1"/>
  <c i="1" r="C37"/>
  <c i="1" r="Y37" s="1"/>
  <c i="1" r="J41"/>
  <c i="1" r="AF41" s="1"/>
  <c i="1" r="F36"/>
  <c i="1" r="AB36" s="1"/>
  <c i="1" r="C34"/>
  <c i="1" r="Y34" s="1"/>
  <c i="1" r="D38"/>
  <c i="1" r="Z38" s="1"/>
  <c i="1" r="F38"/>
  <c i="1" r="AB38" s="1"/>
  <c i="1" r="B38"/>
  <c i="1" r="X38" s="1"/>
  <c i="1" r="J38"/>
  <c i="1" r="AF38" s="1"/>
  <c i="1" r="E38"/>
  <c i="1" r="AA38" s="1"/>
  <c i="1" r="J36"/>
  <c i="1" r="AF36" s="1"/>
  <c i="1" r="E34"/>
  <c i="1" r="AA34" s="1"/>
  <c i="1" r="D34"/>
  <c i="1" r="Z34" s="1"/>
  <c i="1" r="AC38"/>
  <c i="1" r="I41"/>
  <c i="1" r="B37"/>
  <c i="1" r="X37" s="1"/>
  <c i="1" r="B36"/>
  <c i="1" r="X36" s="1"/>
  <c i="1" r="J37"/>
  <c i="1" r="AF37" s="1"/>
  <c i="1" r="E36"/>
  <c i="1" r="AA36" s="1"/>
  <c i="1" r="F34"/>
  <c i="1" r="AB34" s="1"/>
  <c i="1" r="B34"/>
  <c i="1" r="X34" s="1"/>
  <c i="1" r="J34"/>
  <c i="1" r="AF34" s="1"/>
  <c i="1" r="B35"/>
  <c i="1" r="X35" s="1"/>
  <c i="1" r="B33"/>
  <c i="1" r="X33" s="1"/>
  <c i="1" r="G33"/>
  <c i="1" r="AC33" s="1"/>
  <c i="1" r="D35"/>
  <c i="1" r="Z35" s="1"/>
  <c i="1" r="C35"/>
  <c i="1" r="Y35" s="1"/>
  <c i="1" r="E35"/>
  <c i="1" r="AA35" s="1"/>
  <c i="1" r="F33"/>
  <c i="1" r="AB33" s="1"/>
  <c i="1" r="F35"/>
  <c i="1" r="AB35" s="1"/>
  <c i="1" r="E33"/>
  <c i="1" r="AA33" s="1"/>
  <c i="1" r="D33"/>
  <c i="1" r="Z33" s="1"/>
  <c i="1" r="C33"/>
  <c i="1" r="Y33" s="1"/>
  <c i="1" r="J33"/>
  <c i="1" r="AF33" s="1"/>
  <c i="1" r="E41"/>
  <c i="1" r="AA41" s="1"/>
  <c i="1" r="D41"/>
  <c i="1" r="Z41" s="1"/>
</calcChain>
</file>

<file path=xl/sharedStrings.xml><?xml version="1.0" encoding="utf-8"?>
<sst xmlns="http://schemas.openxmlformats.org/spreadsheetml/2006/main" count="103" uniqueCount="57">
  <si>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</si>
  <si>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</si>
  <si>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</si>
  <si>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</si>
  <si>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</si>
  <si>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</si>
  <si>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</si>
  <si>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</si>
  <si>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</si>
  <si>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</si>
  <si>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</si>
  <si>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</si>
  <si>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</si>
  <si>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</si>
  <si>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</si>
  <si>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</si>
  <si>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</si>
  <si>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</si>
  <si>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</si>
  <si>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</si>
  <si>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</si>
  <si>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</si>
  <si>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</si>
  <si>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</si>
  <si>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</si>
  <si>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</si>
  <si>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</si>
  <si>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</si>
  <si>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</si>
  <si>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</si>
  <si>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</si>
  <si>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</si>
  <si>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</si>
  <si>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</si>
  <si>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</si>
  <si>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</si>
  <si>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</si>
  <si>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</si>
  <si>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</si>
  <si>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</si>
  <si>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</si>
  <si>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</si>
  <si>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</si>
  <si>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(2009), 4-county Jacksonville Region only</t>
  </si>
  <si>
    <t>Survey</t>
  </si>
  <si>
    <t>Observed Sources: Survey (2009) &amp; CTPP (2000 and/or ACS?), 4-county Jacksonville Region only</t>
  </si>
  <si>
    <t>Observed Sources: Survey &amp; CTPP, 6-county Tampa Region only</t>
  </si>
  <si>
    <t>Table X. New Trip Lengths</t>
  </si>
  <si>
    <t>Table X. New Trip Durations</t>
  </si>
  <si>
    <t>Table X. New ShoppingTour Flows by County: New</t>
  </si>
  <si>
    <t>Table X. New Shopping Tour Flows by County: New</t>
  </si>
  <si>
    <t>Table X. Reference Trip Lengths: Reference</t>
  </si>
  <si>
    <t>Table X. Reference Trip Durations: Reference</t>
  </si>
  <si>
    <t>Table X. Reference Shopping Tour Flows by County: Reference</t>
  </si>
  <si>
    <t>Table X. Adjusted Reference Shopping Tour Flows by County: Reference</t>
  </si>
  <si>
    <t>Table X. Adjusted Shopping Business Tour Flows by County: Reference</t>
  </si>
  <si>
    <t>Table X. Shopping Tour Flows by County: (New-Reference)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</si>
</sst>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mm/dd/yyyy\ hh:mm:ss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</cellStyleXfs>
  <cellXfs count="385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5.8394160583941604E-2</c:v>
                </c:pt>
                <c:pt idx="1">
                  <c:v>0.18978102189781021</c:v>
                </c:pt>
                <c:pt idx="2">
                  <c:v>0.18248175182481752</c:v>
                </c:pt>
                <c:pt idx="3">
                  <c:v>0.145985401459854</c:v>
                </c:pt>
                <c:pt idx="4">
                  <c:v>0.11678832116788321</c:v>
                </c:pt>
                <c:pt idx="5">
                  <c:v>8.7591240875912413E-2</c:v>
                </c:pt>
                <c:pt idx="6">
                  <c:v>1.4598540145985401E-2</c:v>
                </c:pt>
                <c:pt idx="7">
                  <c:v>6.569343065693431E-2</c:v>
                </c:pt>
                <c:pt idx="8">
                  <c:v>5.1094890510948905E-2</c:v>
                </c:pt>
                <c:pt idx="9">
                  <c:v>1.4598540145985401E-2</c:v>
                </c:pt>
                <c:pt idx="10">
                  <c:v>1.4598540145985401E-2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2.9197080291970802E-2</c:v>
                </c:pt>
                <c:pt idx="15">
                  <c:v>0</c:v>
                </c:pt>
                <c:pt idx="16">
                  <c:v>7.2992700729927005E-3</c:v>
                </c:pt>
                <c:pt idx="17">
                  <c:v>0</c:v>
                </c:pt>
                <c:pt idx="18">
                  <c:v>7.2992700729927005E-3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7.2992700729927005E-3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7.2992700729927005E-3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F3-46FA-9805-7ABB40F5AAF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5.8394160583941604E-2</c:v>
                </c:pt>
                <c:pt idx="1">
                  <c:v>0.18978102189781021</c:v>
                </c:pt>
                <c:pt idx="2">
                  <c:v>0.18248175182481752</c:v>
                </c:pt>
                <c:pt idx="3">
                  <c:v>0.145985401459854</c:v>
                </c:pt>
                <c:pt idx="4">
                  <c:v>0.11678832116788321</c:v>
                </c:pt>
                <c:pt idx="5">
                  <c:v>8.7591240875912413E-2</c:v>
                </c:pt>
                <c:pt idx="6">
                  <c:v>1.4598540145985401E-2</c:v>
                </c:pt>
                <c:pt idx="7">
                  <c:v>6.569343065693431E-2</c:v>
                </c:pt>
                <c:pt idx="8">
                  <c:v>5.1094890510948905E-2</c:v>
                </c:pt>
                <c:pt idx="9">
                  <c:v>1.4598540145985401E-2</c:v>
                </c:pt>
                <c:pt idx="10">
                  <c:v>1.4598540145985401E-2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2.9197080291970802E-2</c:v>
                </c:pt>
                <c:pt idx="15">
                  <c:v>0</c:v>
                </c:pt>
                <c:pt idx="16">
                  <c:v>7.2992700729927005E-3</c:v>
                </c:pt>
                <c:pt idx="17">
                  <c:v>0</c:v>
                </c:pt>
                <c:pt idx="18">
                  <c:v>7.2992700729927005E-3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7.2992700729927005E-3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7.2992700729927005E-3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F3-46FA-9805-7ABB40F5A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707072"/>
        <c:axId val="153831680"/>
      </c:lineChart>
      <c:catAx>
        <c:axId val="19270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7.2992700729927005E-3</c:v>
                </c:pt>
                <c:pt idx="2">
                  <c:v>2.1897810218978103E-2</c:v>
                </c:pt>
                <c:pt idx="3">
                  <c:v>0</c:v>
                </c:pt>
                <c:pt idx="4">
                  <c:v>1.4598540145985401E-2</c:v>
                </c:pt>
                <c:pt idx="5">
                  <c:v>1.4598540145985401E-2</c:v>
                </c:pt>
                <c:pt idx="6">
                  <c:v>5.8394160583941604E-2</c:v>
                </c:pt>
                <c:pt idx="7">
                  <c:v>5.1094890510948905E-2</c:v>
                </c:pt>
                <c:pt idx="8">
                  <c:v>5.1094890510948905E-2</c:v>
                </c:pt>
                <c:pt idx="9">
                  <c:v>0.10218978102189781</c:v>
                </c:pt>
                <c:pt idx="10">
                  <c:v>0.11678832116788321</c:v>
                </c:pt>
                <c:pt idx="11">
                  <c:v>6.569343065693431E-2</c:v>
                </c:pt>
                <c:pt idx="12">
                  <c:v>9.4890510948905105E-2</c:v>
                </c:pt>
                <c:pt idx="13">
                  <c:v>7.2992700729927001E-2</c:v>
                </c:pt>
                <c:pt idx="14">
                  <c:v>2.9197080291970802E-2</c:v>
                </c:pt>
                <c:pt idx="15">
                  <c:v>5.1094890510948905E-2</c:v>
                </c:pt>
                <c:pt idx="16">
                  <c:v>7.2992700729927005E-3</c:v>
                </c:pt>
                <c:pt idx="17">
                  <c:v>2.1897810218978103E-2</c:v>
                </c:pt>
                <c:pt idx="18">
                  <c:v>5.1094890510948905E-2</c:v>
                </c:pt>
                <c:pt idx="19">
                  <c:v>3.6496350364963501E-2</c:v>
                </c:pt>
                <c:pt idx="20">
                  <c:v>2.1897810218978103E-2</c:v>
                </c:pt>
                <c:pt idx="21">
                  <c:v>1.4598540145985401E-2</c:v>
                </c:pt>
                <c:pt idx="22">
                  <c:v>1.4598540145985401E-2</c:v>
                </c:pt>
                <c:pt idx="23">
                  <c:v>7.2992700729927005E-3</c:v>
                </c:pt>
                <c:pt idx="24">
                  <c:v>1.4598540145985401E-2</c:v>
                </c:pt>
                <c:pt idx="25">
                  <c:v>0</c:v>
                </c:pt>
                <c:pt idx="26">
                  <c:v>7.2992700729927005E-3</c:v>
                </c:pt>
                <c:pt idx="27">
                  <c:v>7.2992700729927005E-3</c:v>
                </c:pt>
                <c:pt idx="28">
                  <c:v>7.2992700729927005E-3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7.2992700729927005E-3</c:v>
                </c:pt>
                <c:pt idx="33">
                  <c:v>7.2992700729927005E-3</c:v>
                </c:pt>
                <c:pt idx="34">
                  <c:v>0</c:v>
                </c:pt>
                <c:pt idx="35">
                  <c:v>0</c:v>
                </c:pt>
                <c:pt idx="36">
                  <c:v>7.2992700729927005E-3</c:v>
                </c:pt>
                <c:pt idx="37">
                  <c:v>0</c:v>
                </c:pt>
                <c:pt idx="38">
                  <c:v>0</c:v>
                </c:pt>
                <c:pt idx="39">
                  <c:v>7.2992700729927005E-3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7.2992700729927005E-3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7B-4A70-BC17-7E90A239C0E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0</c:v>
                </c:pt>
                <c:pt idx="1">
                  <c:v>7.2992700729927005E-3</c:v>
                </c:pt>
                <c:pt idx="2">
                  <c:v>2.1897810218978103E-2</c:v>
                </c:pt>
                <c:pt idx="3">
                  <c:v>0</c:v>
                </c:pt>
                <c:pt idx="4">
                  <c:v>1.4598540145985401E-2</c:v>
                </c:pt>
                <c:pt idx="5">
                  <c:v>1.4598540145985401E-2</c:v>
                </c:pt>
                <c:pt idx="6">
                  <c:v>5.8394160583941604E-2</c:v>
                </c:pt>
                <c:pt idx="7">
                  <c:v>5.1094890510948905E-2</c:v>
                </c:pt>
                <c:pt idx="8">
                  <c:v>5.1094890510948905E-2</c:v>
                </c:pt>
                <c:pt idx="9">
                  <c:v>0.10218978102189781</c:v>
                </c:pt>
                <c:pt idx="10">
                  <c:v>0.11678832116788321</c:v>
                </c:pt>
                <c:pt idx="11">
                  <c:v>6.569343065693431E-2</c:v>
                </c:pt>
                <c:pt idx="12">
                  <c:v>9.4890510948905105E-2</c:v>
                </c:pt>
                <c:pt idx="13">
                  <c:v>7.2992700729927001E-2</c:v>
                </c:pt>
                <c:pt idx="14">
                  <c:v>2.9197080291970802E-2</c:v>
                </c:pt>
                <c:pt idx="15">
                  <c:v>5.1094890510948905E-2</c:v>
                </c:pt>
                <c:pt idx="16">
                  <c:v>7.2992700729927005E-3</c:v>
                </c:pt>
                <c:pt idx="17">
                  <c:v>2.1897810218978103E-2</c:v>
                </c:pt>
                <c:pt idx="18">
                  <c:v>5.1094890510948905E-2</c:v>
                </c:pt>
                <c:pt idx="19">
                  <c:v>3.6496350364963501E-2</c:v>
                </c:pt>
                <c:pt idx="20">
                  <c:v>2.1897810218978103E-2</c:v>
                </c:pt>
                <c:pt idx="21">
                  <c:v>1.4598540145985401E-2</c:v>
                </c:pt>
                <c:pt idx="22">
                  <c:v>1.4598540145985401E-2</c:v>
                </c:pt>
                <c:pt idx="23">
                  <c:v>7.2992700729927005E-3</c:v>
                </c:pt>
                <c:pt idx="24">
                  <c:v>1.4598540145985401E-2</c:v>
                </c:pt>
                <c:pt idx="25">
                  <c:v>0</c:v>
                </c:pt>
                <c:pt idx="26">
                  <c:v>7.2992700729927005E-3</c:v>
                </c:pt>
                <c:pt idx="27">
                  <c:v>7.2992700729927005E-3</c:v>
                </c:pt>
                <c:pt idx="28">
                  <c:v>7.2992700729927005E-3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7.2992700729927005E-3</c:v>
                </c:pt>
                <c:pt idx="33">
                  <c:v>7.2992700729927005E-3</c:v>
                </c:pt>
                <c:pt idx="34">
                  <c:v>0</c:v>
                </c:pt>
                <c:pt idx="35">
                  <c:v>0</c:v>
                </c:pt>
                <c:pt idx="36">
                  <c:v>7.2992700729927005E-3</c:v>
                </c:pt>
                <c:pt idx="37">
                  <c:v>0</c:v>
                </c:pt>
                <c:pt idx="38">
                  <c:v>0</c:v>
                </c:pt>
                <c:pt idx="39">
                  <c:v>7.2992700729927005E-3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7.2992700729927005E-3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7B-4A70-BC17-7E90A239C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039872"/>
        <c:axId val="153833408"/>
      </c:lineChart>
      <c:catAx>
        <c:axId val="193039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3039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tabSelected="1" workbookViewId="0">
      <selection activeCell="A9" sqref="A9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45</v>
      </c>
    </row>
    <row r="3" spans="1:12" x14ac:dyDescent="0.45">
      <c r="A3" t="s">
        <v>6</v>
      </c>
    </row>
    <row r="4" spans="1:12" x14ac:dyDescent="0.45">
      <c r="A4" t="s">
        <v>5</v>
      </c>
    </row>
    <row r="5" spans="1:12" x14ac:dyDescent="0.45">
      <c r="A5" t="s">
        <v>7</v>
      </c>
    </row>
    <row r="6" spans="1:12" x14ac:dyDescent="0.45">
      <c r="A6" t="s">
        <v>8</v>
      </c>
    </row>
    <row r="7" spans="1:12" x14ac:dyDescent="0.45">
      <c r="A7" t="s">
        <v>13</v>
      </c>
    </row>
    <row ht="14.65" r="9" spans="1:12" thickBot="1" x14ac:dyDescent="0.5">
      <c r="A9" s="4" t="s">
        <v>51</v>
      </c>
      <c r="B9" s="1"/>
      <c r="E9" s="4" t="s">
        <v>47</v>
      </c>
      <c r="F9" s="1"/>
      <c r="G9" s="6"/>
      <c r="J9" s="10" t="s">
        <v>19</v>
      </c>
    </row>
    <row r="10" spans="1:12" x14ac:dyDescent="0.45">
      <c r="A10" s="2" t="s">
        <v>3</v>
      </c>
      <c r="B10" s="5" t="s">
        <v>44</v>
      </c>
      <c r="C10" s="5" t="s">
        <v>44</v>
      </c>
      <c r="E10" s="2" t="s">
        <v>3</v>
      </c>
      <c r="F10" s="5" t="s">
        <v>18</v>
      </c>
      <c r="G10" s="5" t="s">
        <v>18</v>
      </c>
      <c r="J10" s="2"/>
      <c r="K10" s="5" t="s">
        <v>44</v>
      </c>
      <c r="L10" s="5" t="s">
        <v>18</v>
      </c>
    </row>
    <row r="11" spans="1:12" x14ac:dyDescent="0.45">
      <c r="A11">
        <v>0</v>
      </c>
      <c r="B11" s="8" t="n">
        <v>10000.0</v>
      </c>
      <c r="C11" s="11">
        <f>B11/B$102</f>
        <v>5.8394160583941604E-2</v>
      </c>
      <c r="E11" s="19">
        <v>0</v>
      </c>
      <c r="F11" s="109" t="n">
        <v>10000.0</v>
      </c>
      <c r="G11" s="11">
        <f>F11/F$102</f>
        <v>5.8394160583941604E-2</v>
      </c>
      <c r="K11" s="8" t="n">
        <v>3.4101976115319865</v>
      </c>
      <c r="L11" s="8" t="n">
        <v>3.4101976115319865</v>
      </c>
    </row>
    <row r="12" spans="1:12" x14ac:dyDescent="0.45">
      <c r="A12">
        <v>1</v>
      </c>
      <c r="B12" s="8" t="n">
        <v>30000.0</v>
      </c>
      <c r="C12" s="11">
        <f>B12/B$102</f>
        <v>0.18978102189781021</v>
      </c>
      <c r="E12" s="20">
        <v>1</v>
      </c>
      <c r="F12" s="110" t="n">
        <v>30000.0</v>
      </c>
      <c r="G12" s="11">
        <f>F12/F$102</f>
        <v>0.18978102189781021</v>
      </c>
      <c r="K12" s="8"/>
      <c r="L12" s="379"/>
    </row>
    <row r="13" spans="1:12" x14ac:dyDescent="0.45">
      <c r="A13">
        <v>2</v>
      </c>
      <c r="B13" s="8" t="n">
        <v>10000.0</v>
      </c>
      <c r="C13" s="11">
        <f ref="C13:C76" si="0" t="shared">B13/B$102</f>
        <v>0.18248175182481752</v>
      </c>
      <c r="E13" s="21">
        <v>2</v>
      </c>
      <c r="F13" s="111" t="n">
        <v>10000.0</v>
      </c>
      <c r="G13" s="11">
        <f ref="G13:G76" si="1" t="shared">F13/F$102</f>
        <v>0.18248175182481752</v>
      </c>
    </row>
    <row r="14" spans="1:12" x14ac:dyDescent="0.45">
      <c r="A14">
        <v>3</v>
      </c>
      <c r="B14" s="8" t="n">
        <v>30000.0</v>
      </c>
      <c r="C14" s="11">
        <f si="0" t="shared"/>
        <v>0.145985401459854</v>
      </c>
      <c r="E14" s="22">
        <v>3</v>
      </c>
      <c r="F14" s="112" t="n">
        <v>30000.0</v>
      </c>
      <c r="G14" s="11">
        <f si="1" t="shared"/>
        <v>0.145985401459854</v>
      </c>
    </row>
    <row r="15" spans="1:12" x14ac:dyDescent="0.45">
      <c r="A15">
        <v>4</v>
      </c>
      <c r="B15" s="8" t="n">
        <v>10000.0</v>
      </c>
      <c r="C15" s="11">
        <f si="0" t="shared"/>
        <v>0.11678832116788321</v>
      </c>
      <c r="E15" s="23">
        <v>4</v>
      </c>
      <c r="F15" s="113" t="n">
        <v>10000.0</v>
      </c>
      <c r="G15" s="11">
        <f si="1" t="shared"/>
        <v>0.11678832116788321</v>
      </c>
    </row>
    <row r="16" spans="1:12" x14ac:dyDescent="0.45">
      <c r="A16">
        <v>5</v>
      </c>
      <c r="B16" s="8" t="n">
        <v>20000.0</v>
      </c>
      <c r="C16" s="11">
        <f si="0" t="shared"/>
        <v>8.7591240875912413E-2</v>
      </c>
      <c r="E16" s="24">
        <v>5</v>
      </c>
      <c r="F16" s="114" t="n">
        <v>20000.0</v>
      </c>
      <c r="G16" s="11">
        <f si="1" t="shared"/>
        <v>8.7591240875912413E-2</v>
      </c>
    </row>
    <row r="17" spans="1:7" x14ac:dyDescent="0.45">
      <c r="A17">
        <v>6</v>
      </c>
      <c r="B17" s="8" t="n">
        <v>10000.0</v>
      </c>
      <c r="C17" s="11">
        <f si="0" t="shared"/>
        <v>1.4598540145985401E-2</v>
      </c>
      <c r="E17" s="25">
        <v>6</v>
      </c>
      <c r="F17" s="115" t="n">
        <v>10000.0</v>
      </c>
      <c r="G17" s="11">
        <f si="1" t="shared"/>
        <v>1.4598540145985401E-2</v>
      </c>
    </row>
    <row r="18" spans="1:7" x14ac:dyDescent="0.45">
      <c r="A18">
        <v>7</v>
      </c>
      <c r="B18" s="8" t="n">
        <v>0.0</v>
      </c>
      <c r="C18" s="11">
        <f si="0" t="shared"/>
        <v>6.569343065693431E-2</v>
      </c>
      <c r="E18" s="26">
        <v>7</v>
      </c>
      <c r="F18" s="116" t="n">
        <v>0.0</v>
      </c>
      <c r="G18" s="11">
        <f si="1" t="shared"/>
        <v>6.569343065693431E-2</v>
      </c>
    </row>
    <row r="19" spans="1:7" x14ac:dyDescent="0.45">
      <c r="A19">
        <v>8</v>
      </c>
      <c r="B19" s="8" t="n">
        <v>0.0</v>
      </c>
      <c r="C19" s="11">
        <f si="0" t="shared"/>
        <v>5.1094890510948905E-2</v>
      </c>
      <c r="E19" s="27">
        <v>8</v>
      </c>
      <c r="F19" s="117" t="n">
        <v>0.0</v>
      </c>
      <c r="G19" s="11">
        <f si="1" t="shared"/>
        <v>5.1094890510948905E-2</v>
      </c>
    </row>
    <row r="20" spans="1:7" x14ac:dyDescent="0.45">
      <c r="A20">
        <v>9</v>
      </c>
      <c r="B20" s="8" t="n">
        <v>0.0</v>
      </c>
      <c r="C20" s="11">
        <f si="0" t="shared"/>
        <v>1.4598540145985401E-2</v>
      </c>
      <c r="E20" s="28">
        <v>9</v>
      </c>
      <c r="F20" s="118" t="n">
        <v>0.0</v>
      </c>
      <c r="G20" s="11">
        <f si="1" t="shared"/>
        <v>1.4598540145985401E-2</v>
      </c>
    </row>
    <row r="21" spans="1:7" x14ac:dyDescent="0.45">
      <c r="A21">
        <v>10</v>
      </c>
      <c r="B21" s="8" t="n">
        <v>0.0</v>
      </c>
      <c r="C21" s="11">
        <f si="0" t="shared"/>
        <v>1.4598540145985401E-2</v>
      </c>
      <c r="E21" s="29">
        <v>10</v>
      </c>
      <c r="F21" s="119" t="n">
        <v>0.0</v>
      </c>
      <c r="G21" s="11">
        <f si="1" t="shared"/>
        <v>1.4598540145985401E-2</v>
      </c>
    </row>
    <row r="22" spans="1:7" x14ac:dyDescent="0.45">
      <c r="A22">
        <v>11</v>
      </c>
      <c r="B22" s="8" t="n">
        <v>0.0</v>
      </c>
      <c r="C22" s="11">
        <f si="0" t="shared"/>
        <v>0</v>
      </c>
      <c r="E22" s="30">
        <v>11</v>
      </c>
      <c r="F22" s="120" t="n">
        <v>0.0</v>
      </c>
      <c r="G22" s="11">
        <f si="1" t="shared"/>
        <v>0</v>
      </c>
    </row>
    <row r="23" spans="1:7" x14ac:dyDescent="0.45">
      <c r="A23">
        <v>12</v>
      </c>
      <c r="B23" s="8" t="n">
        <v>0.0</v>
      </c>
      <c r="C23" s="11">
        <f si="0" t="shared"/>
        <v>0</v>
      </c>
      <c r="E23" s="31">
        <v>12</v>
      </c>
      <c r="F23" s="121" t="n">
        <v>0.0</v>
      </c>
      <c r="G23" s="11">
        <f si="1" t="shared"/>
        <v>0</v>
      </c>
    </row>
    <row r="24" spans="1:7" x14ac:dyDescent="0.45">
      <c r="A24">
        <v>13</v>
      </c>
      <c r="B24" s="8" t="n">
        <v>0.0</v>
      </c>
      <c r="C24" s="11">
        <f si="0" t="shared"/>
        <v>0</v>
      </c>
      <c r="E24" s="32">
        <v>13</v>
      </c>
      <c r="F24" s="122" t="n">
        <v>0.0</v>
      </c>
      <c r="G24" s="11">
        <f si="1" t="shared"/>
        <v>0</v>
      </c>
    </row>
    <row r="25" spans="1:7" x14ac:dyDescent="0.45">
      <c r="A25">
        <v>14</v>
      </c>
      <c r="B25" s="8" t="n">
        <v>0.0</v>
      </c>
      <c r="C25" s="11">
        <f si="0" t="shared"/>
        <v>2.9197080291970802E-2</v>
      </c>
      <c r="E25" s="33">
        <v>14</v>
      </c>
      <c r="F25" s="123" t="n">
        <v>0.0</v>
      </c>
      <c r="G25" s="11">
        <f si="1" t="shared"/>
        <v>2.9197080291970802E-2</v>
      </c>
    </row>
    <row r="26" spans="1:7" x14ac:dyDescent="0.45">
      <c r="A26">
        <v>15</v>
      </c>
      <c r="B26" s="8" t="n">
        <v>0.0</v>
      </c>
      <c r="C26" s="11">
        <f si="0" t="shared"/>
        <v>0</v>
      </c>
      <c r="E26" s="34">
        <v>15</v>
      </c>
      <c r="F26" s="124" t="n">
        <v>0.0</v>
      </c>
      <c r="G26" s="11">
        <f si="1" t="shared"/>
        <v>0</v>
      </c>
    </row>
    <row r="27" spans="1:7" x14ac:dyDescent="0.45">
      <c r="A27">
        <v>16</v>
      </c>
      <c r="B27" s="8" t="n">
        <v>0.0</v>
      </c>
      <c r="C27" s="11">
        <f si="0" t="shared"/>
        <v>7.2992700729927005E-3</v>
      </c>
      <c r="E27" s="35">
        <v>16</v>
      </c>
      <c r="F27" s="125" t="n">
        <v>0.0</v>
      </c>
      <c r="G27" s="11">
        <f si="1" t="shared"/>
        <v>7.2992700729927005E-3</v>
      </c>
    </row>
    <row r="28" spans="1:7" x14ac:dyDescent="0.45">
      <c r="A28">
        <v>17</v>
      </c>
      <c r="B28" s="8" t="n">
        <v>0.0</v>
      </c>
      <c r="C28" s="11">
        <f si="0" t="shared"/>
        <v>0</v>
      </c>
      <c r="E28" s="36">
        <v>17</v>
      </c>
      <c r="F28" s="126" t="n">
        <v>0.0</v>
      </c>
      <c r="G28" s="11">
        <f si="1" t="shared"/>
        <v>0</v>
      </c>
    </row>
    <row r="29" spans="1:7" x14ac:dyDescent="0.45">
      <c r="A29">
        <v>18</v>
      </c>
      <c r="B29" s="8" t="n">
        <v>0.0</v>
      </c>
      <c r="C29" s="11">
        <f si="0" t="shared"/>
        <v>7.2992700729927005E-3</v>
      </c>
      <c r="E29" s="37">
        <v>18</v>
      </c>
      <c r="F29" s="127" t="n">
        <v>0.0</v>
      </c>
      <c r="G29" s="11">
        <f si="1" t="shared"/>
        <v>7.2992700729927005E-3</v>
      </c>
    </row>
    <row r="30" spans="1:7" x14ac:dyDescent="0.45">
      <c r="A30">
        <v>19</v>
      </c>
      <c r="B30" s="8" t="n">
        <v>0.0</v>
      </c>
      <c r="C30" s="11">
        <f si="0" t="shared"/>
        <v>0</v>
      </c>
      <c r="E30" s="38">
        <v>19</v>
      </c>
      <c r="F30" s="128" t="n">
        <v>0.0</v>
      </c>
      <c r="G30" s="11">
        <f si="1" t="shared"/>
        <v>0</v>
      </c>
    </row>
    <row r="31" spans="1:7" x14ac:dyDescent="0.45">
      <c r="A31">
        <v>20</v>
      </c>
      <c r="B31" s="8" t="n">
        <v>0.0</v>
      </c>
      <c r="C31" s="11">
        <f si="0" t="shared"/>
        <v>0</v>
      </c>
      <c r="E31" s="39">
        <v>20</v>
      </c>
      <c r="F31" s="129" t="n">
        <v>0.0</v>
      </c>
      <c r="G31" s="11">
        <f si="1" t="shared"/>
        <v>0</v>
      </c>
    </row>
    <row r="32" spans="1:7" x14ac:dyDescent="0.45">
      <c r="A32">
        <v>21</v>
      </c>
      <c r="B32" s="8" t="n">
        <v>0.0</v>
      </c>
      <c r="C32" s="11">
        <f si="0" t="shared"/>
        <v>0</v>
      </c>
      <c r="E32" s="40">
        <v>21</v>
      </c>
      <c r="F32" s="130" t="n">
        <v>0.0</v>
      </c>
      <c r="G32" s="11">
        <f si="1" t="shared"/>
        <v>0</v>
      </c>
    </row>
    <row r="33" spans="1:7" x14ac:dyDescent="0.45">
      <c r="A33">
        <v>22</v>
      </c>
      <c r="B33" s="8" t="n">
        <v>0.0</v>
      </c>
      <c r="C33" s="11">
        <f si="0" t="shared"/>
        <v>0</v>
      </c>
      <c r="E33" s="41">
        <v>22</v>
      </c>
      <c r="F33" s="131" t="n">
        <v>0.0</v>
      </c>
      <c r="G33" s="11">
        <f si="1" t="shared"/>
        <v>0</v>
      </c>
    </row>
    <row r="34" spans="1:7" x14ac:dyDescent="0.45">
      <c r="A34">
        <v>23</v>
      </c>
      <c r="B34" s="8" t="n">
        <v>0.0</v>
      </c>
      <c r="C34" s="11">
        <f si="0" t="shared"/>
        <v>7.2992700729927005E-3</v>
      </c>
      <c r="E34" s="42">
        <v>23</v>
      </c>
      <c r="F34" s="132" t="n">
        <v>0.0</v>
      </c>
      <c r="G34" s="11">
        <f si="1" t="shared"/>
        <v>7.2992700729927005E-3</v>
      </c>
    </row>
    <row r="35" spans="1:7" x14ac:dyDescent="0.45">
      <c r="A35">
        <v>24</v>
      </c>
      <c r="B35" s="8" t="n">
        <v>0.0</v>
      </c>
      <c r="C35" s="11">
        <f si="0" t="shared"/>
        <v>0</v>
      </c>
      <c r="E35" s="43">
        <v>24</v>
      </c>
      <c r="F35" s="133" t="n">
        <v>0.0</v>
      </c>
      <c r="G35" s="11">
        <f si="1" t="shared"/>
        <v>0</v>
      </c>
    </row>
    <row r="36" spans="1:7" x14ac:dyDescent="0.45">
      <c r="A36">
        <v>25</v>
      </c>
      <c r="B36" s="8" t="n">
        <v>0.0</v>
      </c>
      <c r="C36" s="11">
        <f si="0" t="shared"/>
        <v>0</v>
      </c>
      <c r="E36" s="44">
        <v>25</v>
      </c>
      <c r="F36" s="134" t="n">
        <v>0.0</v>
      </c>
      <c r="G36" s="11">
        <f si="1" t="shared"/>
        <v>0</v>
      </c>
    </row>
    <row r="37" spans="1:7" x14ac:dyDescent="0.45">
      <c r="A37">
        <v>26</v>
      </c>
      <c r="B37" s="8" t="n">
        <v>0.0</v>
      </c>
      <c r="C37" s="11">
        <f si="0" t="shared"/>
        <v>0</v>
      </c>
      <c r="E37" s="45">
        <v>26</v>
      </c>
      <c r="F37" s="135" t="n">
        <v>0.0</v>
      </c>
      <c r="G37" s="11">
        <f si="1" t="shared"/>
        <v>0</v>
      </c>
    </row>
    <row r="38" spans="1:7" x14ac:dyDescent="0.45">
      <c r="A38">
        <v>27</v>
      </c>
      <c r="B38" s="8" t="n">
        <v>0.0</v>
      </c>
      <c r="C38" s="11">
        <f si="0" t="shared"/>
        <v>0</v>
      </c>
      <c r="E38" s="46">
        <v>27</v>
      </c>
      <c r="F38" s="136" t="n">
        <v>0.0</v>
      </c>
      <c r="G38" s="11">
        <f si="1" t="shared"/>
        <v>0</v>
      </c>
    </row>
    <row r="39" spans="1:7" x14ac:dyDescent="0.45">
      <c r="A39">
        <v>28</v>
      </c>
      <c r="B39" s="8" t="n">
        <v>0.0</v>
      </c>
      <c r="C39" s="11">
        <f si="0" t="shared"/>
        <v>0</v>
      </c>
      <c r="E39" s="47">
        <v>28</v>
      </c>
      <c r="F39" s="137" t="n">
        <v>0.0</v>
      </c>
      <c r="G39" s="11">
        <f si="1" t="shared"/>
        <v>0</v>
      </c>
    </row>
    <row r="40" spans="1:7" x14ac:dyDescent="0.45">
      <c r="A40">
        <v>29</v>
      </c>
      <c r="B40" s="8" t="n">
        <v>0.0</v>
      </c>
      <c r="C40" s="11">
        <f si="0" t="shared"/>
        <v>7.2992700729927005E-3</v>
      </c>
      <c r="E40" s="48">
        <v>29</v>
      </c>
      <c r="F40" s="138" t="n">
        <v>0.0</v>
      </c>
      <c r="G40" s="11">
        <f si="1" t="shared"/>
        <v>7.2992700729927005E-3</v>
      </c>
    </row>
    <row r="41" spans="1:7" x14ac:dyDescent="0.45">
      <c r="A41">
        <v>30</v>
      </c>
      <c r="B41" s="8" t="n">
        <v>0.0</v>
      </c>
      <c r="C41" s="11">
        <f si="0" t="shared"/>
        <v>0</v>
      </c>
      <c r="E41" s="49">
        <v>30</v>
      </c>
      <c r="F41" s="139" t="n">
        <v>0.0</v>
      </c>
      <c r="G41" s="11">
        <f si="1" t="shared"/>
        <v>0</v>
      </c>
    </row>
    <row r="42" spans="1:7" x14ac:dyDescent="0.45">
      <c r="A42">
        <v>31</v>
      </c>
      <c r="B42" s="8" t="n">
        <v>0.0</v>
      </c>
      <c r="C42" s="11">
        <f si="0" t="shared"/>
        <v>0</v>
      </c>
      <c r="E42" s="50">
        <v>31</v>
      </c>
      <c r="F42" s="140" t="n">
        <v>0.0</v>
      </c>
      <c r="G42" s="11">
        <f si="1" t="shared"/>
        <v>0</v>
      </c>
    </row>
    <row r="43" spans="1:7" x14ac:dyDescent="0.45">
      <c r="A43">
        <v>32</v>
      </c>
      <c r="B43" s="8" t="n">
        <v>0.0</v>
      </c>
      <c r="C43" s="11">
        <f si="0" t="shared"/>
        <v>0</v>
      </c>
      <c r="E43" s="51">
        <v>32</v>
      </c>
      <c r="F43" s="141" t="n">
        <v>0.0</v>
      </c>
      <c r="G43" s="11">
        <f si="1" t="shared"/>
        <v>0</v>
      </c>
    </row>
    <row r="44" spans="1:7" x14ac:dyDescent="0.45">
      <c r="A44">
        <v>33</v>
      </c>
      <c r="B44" s="8" t="n">
        <v>0.0</v>
      </c>
      <c r="C44" s="11">
        <f si="0" t="shared"/>
        <v>0</v>
      </c>
      <c r="E44" s="52">
        <v>33</v>
      </c>
      <c r="F44" s="142" t="n">
        <v>0.0</v>
      </c>
      <c r="G44" s="11">
        <f si="1" t="shared"/>
        <v>0</v>
      </c>
    </row>
    <row r="45" spans="1:7" x14ac:dyDescent="0.45">
      <c r="A45">
        <v>34</v>
      </c>
      <c r="B45" s="8" t="n">
        <v>0.0</v>
      </c>
      <c r="C45" s="11">
        <f si="0" t="shared"/>
        <v>0</v>
      </c>
      <c r="E45" s="53">
        <v>34</v>
      </c>
      <c r="F45" s="143" t="n">
        <v>0.0</v>
      </c>
      <c r="G45" s="11">
        <f si="1" t="shared"/>
        <v>0</v>
      </c>
    </row>
    <row r="46" spans="1:7" x14ac:dyDescent="0.45">
      <c r="A46">
        <v>35</v>
      </c>
      <c r="B46" s="8" t="n">
        <v>0.0</v>
      </c>
      <c r="C46" s="11">
        <f si="0" t="shared"/>
        <v>0</v>
      </c>
      <c r="E46" s="54">
        <v>35</v>
      </c>
      <c r="F46" s="144" t="n">
        <v>0.0</v>
      </c>
      <c r="G46" s="11">
        <f si="1" t="shared"/>
        <v>0</v>
      </c>
    </row>
    <row r="47" spans="1:7" x14ac:dyDescent="0.45">
      <c r="A47">
        <v>36</v>
      </c>
      <c r="B47" s="8" t="n">
        <v>0.0</v>
      </c>
      <c r="C47" s="11">
        <f si="0" t="shared"/>
        <v>0</v>
      </c>
      <c r="E47" s="55">
        <v>36</v>
      </c>
      <c r="F47" s="145" t="n">
        <v>0.0</v>
      </c>
      <c r="G47" s="11">
        <f si="1" t="shared"/>
        <v>0</v>
      </c>
    </row>
    <row r="48" spans="1:7" x14ac:dyDescent="0.45">
      <c r="A48">
        <v>37</v>
      </c>
      <c r="B48" s="8" t="n">
        <v>0.0</v>
      </c>
      <c r="C48" s="11">
        <f si="0" t="shared"/>
        <v>0</v>
      </c>
      <c r="E48" s="56">
        <v>37</v>
      </c>
      <c r="F48" s="146" t="n">
        <v>0.0</v>
      </c>
      <c r="G48" s="11">
        <f si="1" t="shared"/>
        <v>0</v>
      </c>
    </row>
    <row r="49" spans="1:7" x14ac:dyDescent="0.45">
      <c r="A49">
        <v>38</v>
      </c>
      <c r="B49" s="8" t="n">
        <v>0.0</v>
      </c>
      <c r="C49" s="11">
        <f si="0" t="shared"/>
        <v>0</v>
      </c>
      <c r="E49" s="57">
        <v>38</v>
      </c>
      <c r="F49" s="147" t="n">
        <v>0.0</v>
      </c>
      <c r="G49" s="11">
        <f si="1" t="shared"/>
        <v>0</v>
      </c>
    </row>
    <row r="50" spans="1:7" x14ac:dyDescent="0.45">
      <c r="A50">
        <v>39</v>
      </c>
      <c r="B50" s="8" t="n">
        <v>0.0</v>
      </c>
      <c r="C50" s="11">
        <f si="0" t="shared"/>
        <v>0</v>
      </c>
      <c r="E50" s="58">
        <v>39</v>
      </c>
      <c r="F50" s="148" t="n">
        <v>0.0</v>
      </c>
      <c r="G50" s="11">
        <f si="1" t="shared"/>
        <v>0</v>
      </c>
    </row>
    <row r="51" spans="1:7" x14ac:dyDescent="0.45">
      <c r="A51">
        <v>40</v>
      </c>
      <c r="B51" s="8" t="n">
        <v>0.0</v>
      </c>
      <c r="C51" s="11">
        <f si="0" t="shared"/>
        <v>0</v>
      </c>
      <c r="E51" s="59">
        <v>40</v>
      </c>
      <c r="F51" s="149" t="n">
        <v>0.0</v>
      </c>
      <c r="G51" s="11">
        <f si="1" t="shared"/>
        <v>0</v>
      </c>
    </row>
    <row r="52" spans="1:7" x14ac:dyDescent="0.45">
      <c r="A52">
        <v>41</v>
      </c>
      <c r="B52" s="8" t="n">
        <v>0.0</v>
      </c>
      <c r="C52" s="11">
        <f si="0" t="shared"/>
        <v>0</v>
      </c>
      <c r="E52" s="60">
        <v>41</v>
      </c>
      <c r="F52" s="150" t="n">
        <v>0.0</v>
      </c>
      <c r="G52" s="11">
        <f si="1" t="shared"/>
        <v>0</v>
      </c>
    </row>
    <row r="53" spans="1:7" x14ac:dyDescent="0.45">
      <c r="A53">
        <v>42</v>
      </c>
      <c r="B53" s="8" t="n">
        <v>0.0</v>
      </c>
      <c r="C53" s="11">
        <f si="0" t="shared"/>
        <v>0</v>
      </c>
      <c r="E53" s="61">
        <v>42</v>
      </c>
      <c r="F53" s="151" t="n">
        <v>0.0</v>
      </c>
      <c r="G53" s="11">
        <f si="1" t="shared"/>
        <v>0</v>
      </c>
    </row>
    <row r="54" spans="1:7" x14ac:dyDescent="0.45">
      <c r="A54">
        <v>43</v>
      </c>
      <c r="B54" s="8" t="n">
        <v>0.0</v>
      </c>
      <c r="C54" s="11">
        <f si="0" t="shared"/>
        <v>0</v>
      </c>
      <c r="E54" s="62">
        <v>43</v>
      </c>
      <c r="F54" s="152" t="n">
        <v>0.0</v>
      </c>
      <c r="G54" s="11">
        <f si="1" t="shared"/>
        <v>0</v>
      </c>
    </row>
    <row r="55" spans="1:7" x14ac:dyDescent="0.45">
      <c r="A55">
        <v>44</v>
      </c>
      <c r="B55" s="8" t="n">
        <v>0.0</v>
      </c>
      <c r="C55" s="11">
        <f si="0" t="shared"/>
        <v>0</v>
      </c>
      <c r="E55" s="63">
        <v>44</v>
      </c>
      <c r="F55" s="153" t="n">
        <v>0.0</v>
      </c>
      <c r="G55" s="11">
        <f si="1" t="shared"/>
        <v>0</v>
      </c>
    </row>
    <row r="56" spans="1:7" x14ac:dyDescent="0.45">
      <c r="A56">
        <v>45</v>
      </c>
      <c r="B56" s="8" t="n">
        <v>0.0</v>
      </c>
      <c r="C56" s="11">
        <f si="0" t="shared"/>
        <v>0</v>
      </c>
      <c r="E56" s="64">
        <v>45</v>
      </c>
      <c r="F56" s="154" t="n">
        <v>0.0</v>
      </c>
      <c r="G56" s="11">
        <f si="1" t="shared"/>
        <v>0</v>
      </c>
    </row>
    <row r="57" spans="1:7" x14ac:dyDescent="0.45">
      <c r="A57">
        <v>46</v>
      </c>
      <c r="B57" s="8" t="n">
        <v>0.0</v>
      </c>
      <c r="C57" s="11">
        <f si="0" t="shared"/>
        <v>0</v>
      </c>
      <c r="E57" s="65">
        <v>46</v>
      </c>
      <c r="F57" s="155" t="n">
        <v>0.0</v>
      </c>
      <c r="G57" s="11">
        <f si="1" t="shared"/>
        <v>0</v>
      </c>
    </row>
    <row r="58" spans="1:7" x14ac:dyDescent="0.45">
      <c r="A58">
        <v>47</v>
      </c>
      <c r="B58" s="8" t="n">
        <v>0.0</v>
      </c>
      <c r="C58" s="11">
        <f si="0" t="shared"/>
        <v>0</v>
      </c>
      <c r="E58" s="66">
        <v>47</v>
      </c>
      <c r="F58" s="156" t="n">
        <v>0.0</v>
      </c>
      <c r="G58" s="11">
        <f si="1" t="shared"/>
        <v>0</v>
      </c>
    </row>
    <row r="59" spans="1:7" x14ac:dyDescent="0.45">
      <c r="A59">
        <v>48</v>
      </c>
      <c r="B59" s="8" t="n">
        <v>0.0</v>
      </c>
      <c r="C59" s="11">
        <f si="0" t="shared"/>
        <v>0</v>
      </c>
      <c r="E59" s="67">
        <v>48</v>
      </c>
      <c r="F59" s="157" t="n">
        <v>0.0</v>
      </c>
      <c r="G59" s="11">
        <f si="1" t="shared"/>
        <v>0</v>
      </c>
    </row>
    <row r="60" spans="1:7" x14ac:dyDescent="0.45">
      <c r="A60">
        <v>49</v>
      </c>
      <c r="B60" s="8" t="n">
        <v>0.0</v>
      </c>
      <c r="C60" s="11">
        <f si="0" t="shared"/>
        <v>0</v>
      </c>
      <c r="E60" s="68">
        <v>49</v>
      </c>
      <c r="F60" s="158" t="n">
        <v>0.0</v>
      </c>
      <c r="G60" s="11">
        <f si="1" t="shared"/>
        <v>0</v>
      </c>
    </row>
    <row r="61" spans="1:7" x14ac:dyDescent="0.45">
      <c r="A61">
        <v>50</v>
      </c>
      <c r="B61" s="8" t="n">
        <v>0.0</v>
      </c>
      <c r="C61" s="11">
        <f si="0" t="shared"/>
        <v>0</v>
      </c>
      <c r="E61" s="69">
        <v>50</v>
      </c>
      <c r="F61" s="159" t="n">
        <v>0.0</v>
      </c>
      <c r="G61" s="11">
        <f si="1" t="shared"/>
        <v>0</v>
      </c>
    </row>
    <row r="62" spans="1:7" x14ac:dyDescent="0.45">
      <c r="A62">
        <v>51</v>
      </c>
      <c r="B62" s="8" t="n">
        <v>0.0</v>
      </c>
      <c r="C62" s="11">
        <f si="0" t="shared"/>
        <v>0</v>
      </c>
      <c r="E62" s="70">
        <v>51</v>
      </c>
      <c r="F62" s="160" t="n">
        <v>0.0</v>
      </c>
      <c r="G62" s="11">
        <f si="1" t="shared"/>
        <v>0</v>
      </c>
    </row>
    <row r="63" spans="1:7" x14ac:dyDescent="0.45">
      <c r="A63">
        <v>52</v>
      </c>
      <c r="B63" s="8" t="n">
        <v>0.0</v>
      </c>
      <c r="C63" s="11">
        <f si="0" t="shared"/>
        <v>0</v>
      </c>
      <c r="E63" s="71">
        <v>52</v>
      </c>
      <c r="F63" s="161" t="n">
        <v>0.0</v>
      </c>
      <c r="G63" s="11">
        <f si="1" t="shared"/>
        <v>0</v>
      </c>
    </row>
    <row r="64" spans="1:7" x14ac:dyDescent="0.45">
      <c r="A64">
        <v>53</v>
      </c>
      <c r="B64" s="8" t="n">
        <v>0.0</v>
      </c>
      <c r="C64" s="11">
        <f si="0" t="shared"/>
        <v>0</v>
      </c>
      <c r="E64" s="72">
        <v>53</v>
      </c>
      <c r="F64" s="162" t="n">
        <v>0.0</v>
      </c>
      <c r="G64" s="11">
        <f si="1" t="shared"/>
        <v>0</v>
      </c>
    </row>
    <row r="65" spans="1:7" x14ac:dyDescent="0.45">
      <c r="A65">
        <v>54</v>
      </c>
      <c r="B65" s="8" t="n">
        <v>0.0</v>
      </c>
      <c r="C65" s="11">
        <f si="0" t="shared"/>
        <v>0</v>
      </c>
      <c r="E65" s="73">
        <v>54</v>
      </c>
      <c r="F65" s="163" t="n">
        <v>0.0</v>
      </c>
      <c r="G65" s="11">
        <f si="1" t="shared"/>
        <v>0</v>
      </c>
    </row>
    <row r="66" spans="1:7" x14ac:dyDescent="0.45">
      <c r="A66">
        <v>55</v>
      </c>
      <c r="B66" s="8" t="n">
        <v>0.0</v>
      </c>
      <c r="C66" s="11">
        <f si="0" t="shared"/>
        <v>0</v>
      </c>
      <c r="E66" s="74">
        <v>55</v>
      </c>
      <c r="F66" s="164" t="n">
        <v>0.0</v>
      </c>
      <c r="G66" s="11">
        <f si="1" t="shared"/>
        <v>0</v>
      </c>
    </row>
    <row r="67" spans="1:7" x14ac:dyDescent="0.45">
      <c r="A67">
        <v>56</v>
      </c>
      <c r="B67" s="8" t="n">
        <v>0.0</v>
      </c>
      <c r="C67" s="11">
        <f si="0" t="shared"/>
        <v>0</v>
      </c>
      <c r="E67" s="75">
        <v>56</v>
      </c>
      <c r="F67" s="165" t="n">
        <v>0.0</v>
      </c>
      <c r="G67" s="11">
        <f si="1" t="shared"/>
        <v>0</v>
      </c>
    </row>
    <row r="68" spans="1:7" x14ac:dyDescent="0.45">
      <c r="A68">
        <v>57</v>
      </c>
      <c r="B68" s="8" t="n">
        <v>0.0</v>
      </c>
      <c r="C68" s="11">
        <f si="0" t="shared"/>
        <v>0</v>
      </c>
      <c r="E68" s="76">
        <v>57</v>
      </c>
      <c r="F68" s="166" t="n">
        <v>0.0</v>
      </c>
      <c r="G68" s="11">
        <f si="1" t="shared"/>
        <v>0</v>
      </c>
    </row>
    <row r="69" spans="1:7" x14ac:dyDescent="0.45">
      <c r="A69">
        <v>58</v>
      </c>
      <c r="B69" s="8" t="n">
        <v>0.0</v>
      </c>
      <c r="C69" s="11">
        <f si="0" t="shared"/>
        <v>0</v>
      </c>
      <c r="E69" s="77">
        <v>58</v>
      </c>
      <c r="F69" s="167" t="n">
        <v>0.0</v>
      </c>
      <c r="G69" s="11">
        <f si="1" t="shared"/>
        <v>0</v>
      </c>
    </row>
    <row r="70" spans="1:7" x14ac:dyDescent="0.45">
      <c r="A70">
        <v>59</v>
      </c>
      <c r="B70" s="8" t="n">
        <v>0.0</v>
      </c>
      <c r="C70" s="11">
        <f si="0" t="shared"/>
        <v>0</v>
      </c>
      <c r="E70" s="78">
        <v>59</v>
      </c>
      <c r="F70" s="168" t="n">
        <v>0.0</v>
      </c>
      <c r="G70" s="11">
        <f si="1" t="shared"/>
        <v>0</v>
      </c>
    </row>
    <row r="71" spans="1:7" x14ac:dyDescent="0.45">
      <c r="A71">
        <v>60</v>
      </c>
      <c r="B71" s="8" t="n">
        <v>0.0</v>
      </c>
      <c r="C71" s="11">
        <f si="0" t="shared"/>
        <v>0</v>
      </c>
      <c r="E71" s="79">
        <v>60</v>
      </c>
      <c r="F71" s="169" t="n">
        <v>0.0</v>
      </c>
      <c r="G71" s="11">
        <f si="1" t="shared"/>
        <v>0</v>
      </c>
    </row>
    <row r="72" spans="1:7" x14ac:dyDescent="0.45">
      <c r="A72">
        <v>61</v>
      </c>
      <c r="B72" s="8" t="n">
        <v>0.0</v>
      </c>
      <c r="C72" s="11">
        <f si="0" t="shared"/>
        <v>0</v>
      </c>
      <c r="E72" s="80">
        <v>61</v>
      </c>
      <c r="F72" s="170" t="n">
        <v>0.0</v>
      </c>
      <c r="G72" s="11">
        <f si="1" t="shared"/>
        <v>0</v>
      </c>
    </row>
    <row r="73" spans="1:7" x14ac:dyDescent="0.45">
      <c r="A73">
        <v>62</v>
      </c>
      <c r="B73" s="8" t="n">
        <v>0.0</v>
      </c>
      <c r="C73" s="11">
        <f si="0" t="shared"/>
        <v>0</v>
      </c>
      <c r="E73" s="81">
        <v>62</v>
      </c>
      <c r="F73" s="171" t="n">
        <v>0.0</v>
      </c>
      <c r="G73" s="11">
        <f si="1" t="shared"/>
        <v>0</v>
      </c>
    </row>
    <row r="74" spans="1:7" x14ac:dyDescent="0.45">
      <c r="A74">
        <v>63</v>
      </c>
      <c r="B74" s="8" t="n">
        <v>0.0</v>
      </c>
      <c r="C74" s="11">
        <f si="0" t="shared"/>
        <v>0</v>
      </c>
      <c r="E74" s="82">
        <v>63</v>
      </c>
      <c r="F74" s="172" t="n">
        <v>0.0</v>
      </c>
      <c r="G74" s="11">
        <f si="1" t="shared"/>
        <v>0</v>
      </c>
    </row>
    <row r="75" spans="1:7" x14ac:dyDescent="0.45">
      <c r="A75">
        <v>64</v>
      </c>
      <c r="B75" s="8" t="n">
        <v>0.0</v>
      </c>
      <c r="C75" s="11">
        <f si="0" t="shared"/>
        <v>0</v>
      </c>
      <c r="E75" s="83">
        <v>64</v>
      </c>
      <c r="F75" s="173" t="n">
        <v>0.0</v>
      </c>
      <c r="G75" s="11">
        <f si="1" t="shared"/>
        <v>0</v>
      </c>
    </row>
    <row r="76" spans="1:7" x14ac:dyDescent="0.45">
      <c r="A76">
        <v>65</v>
      </c>
      <c r="B76" s="8" t="n">
        <v>0.0</v>
      </c>
      <c r="C76" s="11">
        <f si="0" t="shared"/>
        <v>0</v>
      </c>
      <c r="E76" s="84">
        <v>65</v>
      </c>
      <c r="F76" s="174" t="n">
        <v>0.0</v>
      </c>
      <c r="G76" s="11">
        <f si="1" t="shared"/>
        <v>0</v>
      </c>
    </row>
    <row r="77" spans="1:7" x14ac:dyDescent="0.45">
      <c r="A77">
        <v>66</v>
      </c>
      <c r="B77" s="8" t="n">
        <v>0.0</v>
      </c>
      <c r="C77" s="11">
        <f ref="C77:C102" si="2" t="shared">B77/B$102</f>
        <v>0</v>
      </c>
      <c r="E77" s="85">
        <v>66</v>
      </c>
      <c r="F77" s="175" t="n">
        <v>0.0</v>
      </c>
      <c r="G77" s="11">
        <f ref="G77:G102" si="3" t="shared">F77/F$102</f>
        <v>0</v>
      </c>
    </row>
    <row r="78" spans="1:7" x14ac:dyDescent="0.45">
      <c r="A78">
        <v>67</v>
      </c>
      <c r="B78" s="8" t="n">
        <v>0.0</v>
      </c>
      <c r="C78" s="11">
        <f si="2" t="shared"/>
        <v>0</v>
      </c>
      <c r="E78" s="86">
        <v>67</v>
      </c>
      <c r="F78" s="176" t="n">
        <v>0.0</v>
      </c>
      <c r="G78" s="11">
        <f si="3" t="shared"/>
        <v>0</v>
      </c>
    </row>
    <row r="79" spans="1:7" x14ac:dyDescent="0.45">
      <c r="A79">
        <v>68</v>
      </c>
      <c r="B79" s="8" t="n">
        <v>0.0</v>
      </c>
      <c r="C79" s="11">
        <f si="2" t="shared"/>
        <v>0</v>
      </c>
      <c r="E79" s="87">
        <v>68</v>
      </c>
      <c r="F79" s="177" t="n">
        <v>0.0</v>
      </c>
      <c r="G79" s="11">
        <f si="3" t="shared"/>
        <v>0</v>
      </c>
    </row>
    <row r="80" spans="1:7" x14ac:dyDescent="0.45">
      <c r="A80">
        <v>69</v>
      </c>
      <c r="B80" s="8" t="n">
        <v>0.0</v>
      </c>
      <c r="C80" s="11">
        <f si="2" t="shared"/>
        <v>0</v>
      </c>
      <c r="E80" s="88">
        <v>69</v>
      </c>
      <c r="F80" s="178" t="n">
        <v>0.0</v>
      </c>
      <c r="G80" s="11">
        <f si="3" t="shared"/>
        <v>0</v>
      </c>
    </row>
    <row r="81" spans="1:7" x14ac:dyDescent="0.45">
      <c r="A81">
        <v>70</v>
      </c>
      <c r="B81" s="8" t="n">
        <v>0.0</v>
      </c>
      <c r="C81" s="11">
        <f si="2" t="shared"/>
        <v>0</v>
      </c>
      <c r="E81" s="89">
        <v>70</v>
      </c>
      <c r="F81" s="179" t="n">
        <v>0.0</v>
      </c>
      <c r="G81" s="11">
        <f si="3" t="shared"/>
        <v>0</v>
      </c>
    </row>
    <row r="82" spans="1:7" x14ac:dyDescent="0.45">
      <c r="A82">
        <v>71</v>
      </c>
      <c r="B82" s="8" t="n">
        <v>0.0</v>
      </c>
      <c r="C82" s="11">
        <f si="2" t="shared"/>
        <v>0</v>
      </c>
      <c r="E82" s="90">
        <v>71</v>
      </c>
      <c r="F82" s="180" t="n">
        <v>0.0</v>
      </c>
      <c r="G82" s="11">
        <f si="3" t="shared"/>
        <v>0</v>
      </c>
    </row>
    <row r="83" spans="1:7" x14ac:dyDescent="0.45">
      <c r="A83">
        <v>72</v>
      </c>
      <c r="B83" s="8" t="n">
        <v>0.0</v>
      </c>
      <c r="C83" s="11">
        <f si="2" t="shared"/>
        <v>0</v>
      </c>
      <c r="E83" s="91">
        <v>72</v>
      </c>
      <c r="F83" s="181" t="n">
        <v>0.0</v>
      </c>
      <c r="G83" s="11">
        <f si="3" t="shared"/>
        <v>0</v>
      </c>
    </row>
    <row r="84" spans="1:7" x14ac:dyDescent="0.45">
      <c r="A84">
        <v>73</v>
      </c>
      <c r="B84" s="8" t="n">
        <v>0.0</v>
      </c>
      <c r="C84" s="11">
        <f si="2" t="shared"/>
        <v>0</v>
      </c>
      <c r="E84" s="92">
        <v>73</v>
      </c>
      <c r="F84" s="182" t="n">
        <v>0.0</v>
      </c>
      <c r="G84" s="11">
        <f si="3" t="shared"/>
        <v>0</v>
      </c>
    </row>
    <row r="85" spans="1:7" x14ac:dyDescent="0.45">
      <c r="A85">
        <v>74</v>
      </c>
      <c r="B85" s="8" t="n">
        <v>0.0</v>
      </c>
      <c r="C85" s="11">
        <f si="2" t="shared"/>
        <v>0</v>
      </c>
      <c r="E85" s="93">
        <v>74</v>
      </c>
      <c r="F85" s="183" t="n">
        <v>0.0</v>
      </c>
      <c r="G85" s="11">
        <f si="3" t="shared"/>
        <v>0</v>
      </c>
    </row>
    <row r="86" spans="1:7" x14ac:dyDescent="0.45">
      <c r="A86">
        <v>75</v>
      </c>
      <c r="B86" s="8" t="n">
        <v>0.0</v>
      </c>
      <c r="C86" s="11">
        <f si="2" t="shared"/>
        <v>0</v>
      </c>
      <c r="E86" s="94">
        <v>75</v>
      </c>
      <c r="F86" s="184" t="n">
        <v>0.0</v>
      </c>
      <c r="G86" s="11">
        <f si="3" t="shared"/>
        <v>0</v>
      </c>
    </row>
    <row r="87" spans="1:7" x14ac:dyDescent="0.45">
      <c r="A87">
        <v>76</v>
      </c>
      <c r="B87" s="8" t="n">
        <v>0.0</v>
      </c>
      <c r="C87" s="11">
        <f si="2" t="shared"/>
        <v>0</v>
      </c>
      <c r="E87" s="95">
        <v>76</v>
      </c>
      <c r="F87" s="185" t="n">
        <v>0.0</v>
      </c>
      <c r="G87" s="11">
        <f si="3" t="shared"/>
        <v>0</v>
      </c>
    </row>
    <row r="88" spans="1:7" x14ac:dyDescent="0.45">
      <c r="A88">
        <v>77</v>
      </c>
      <c r="B88" s="8" t="n">
        <v>0.0</v>
      </c>
      <c r="C88" s="11">
        <f si="2" t="shared"/>
        <v>0</v>
      </c>
      <c r="E88" s="96">
        <v>77</v>
      </c>
      <c r="F88" s="186" t="n">
        <v>0.0</v>
      </c>
      <c r="G88" s="11">
        <f si="3" t="shared"/>
        <v>0</v>
      </c>
    </row>
    <row r="89" spans="1:7" x14ac:dyDescent="0.45">
      <c r="A89">
        <v>78</v>
      </c>
      <c r="B89" s="8" t="n">
        <v>0.0</v>
      </c>
      <c r="C89" s="11">
        <f si="2" t="shared"/>
        <v>0</v>
      </c>
      <c r="E89" s="97">
        <v>78</v>
      </c>
      <c r="F89" s="187" t="n">
        <v>0.0</v>
      </c>
      <c r="G89" s="11">
        <f si="3" t="shared"/>
        <v>0</v>
      </c>
    </row>
    <row r="90" spans="1:7" x14ac:dyDescent="0.45">
      <c r="A90">
        <v>79</v>
      </c>
      <c r="B90" s="8" t="n">
        <v>0.0</v>
      </c>
      <c r="C90" s="11">
        <f si="2" t="shared"/>
        <v>0</v>
      </c>
      <c r="E90" s="98">
        <v>79</v>
      </c>
      <c r="F90" s="188" t="n">
        <v>0.0</v>
      </c>
      <c r="G90" s="11">
        <f si="3" t="shared"/>
        <v>0</v>
      </c>
    </row>
    <row r="91" spans="1:7" x14ac:dyDescent="0.45">
      <c r="A91">
        <v>80</v>
      </c>
      <c r="B91" s="8" t="n">
        <v>0.0</v>
      </c>
      <c r="C91" s="11">
        <f si="2" t="shared"/>
        <v>0</v>
      </c>
      <c r="E91" s="99">
        <v>80</v>
      </c>
      <c r="F91" s="189" t="n">
        <v>0.0</v>
      </c>
      <c r="G91" s="11">
        <f si="3" t="shared"/>
        <v>0</v>
      </c>
    </row>
    <row r="92" spans="1:7" x14ac:dyDescent="0.45">
      <c r="A92">
        <v>81</v>
      </c>
      <c r="B92" s="8" t="n">
        <v>0.0</v>
      </c>
      <c r="C92" s="11">
        <f si="2" t="shared"/>
        <v>0</v>
      </c>
      <c r="E92" s="100">
        <v>81</v>
      </c>
      <c r="F92" s="190" t="n">
        <v>0.0</v>
      </c>
      <c r="G92" s="11">
        <f si="3" t="shared"/>
        <v>0</v>
      </c>
    </row>
    <row r="93" spans="1:7" x14ac:dyDescent="0.45">
      <c r="A93">
        <v>82</v>
      </c>
      <c r="B93" s="8" t="n">
        <v>0.0</v>
      </c>
      <c r="C93" s="11">
        <f si="2" t="shared"/>
        <v>0</v>
      </c>
      <c r="E93" s="101">
        <v>82</v>
      </c>
      <c r="F93" s="191" t="n">
        <v>0.0</v>
      </c>
      <c r="G93" s="11">
        <f si="3" t="shared"/>
        <v>0</v>
      </c>
    </row>
    <row r="94" spans="1:7" x14ac:dyDescent="0.45">
      <c r="A94">
        <v>83</v>
      </c>
      <c r="B94" s="8" t="n">
        <v>0.0</v>
      </c>
      <c r="C94" s="11">
        <f si="2" t="shared"/>
        <v>0</v>
      </c>
      <c r="E94" s="102">
        <v>83</v>
      </c>
      <c r="F94" s="192" t="n">
        <v>0.0</v>
      </c>
      <c r="G94" s="11">
        <f si="3" t="shared"/>
        <v>0</v>
      </c>
    </row>
    <row r="95" spans="1:7" x14ac:dyDescent="0.45">
      <c r="A95">
        <v>84</v>
      </c>
      <c r="B95" s="8" t="n">
        <v>0.0</v>
      </c>
      <c r="C95" s="11">
        <f si="2" t="shared"/>
        <v>0</v>
      </c>
      <c r="E95" s="103">
        <v>84</v>
      </c>
      <c r="F95" s="193" t="n">
        <v>0.0</v>
      </c>
      <c r="G95" s="11">
        <f si="3" t="shared"/>
        <v>0</v>
      </c>
    </row>
    <row r="96" spans="1:7" x14ac:dyDescent="0.45">
      <c r="A96">
        <v>85</v>
      </c>
      <c r="B96" s="8" t="n">
        <v>0.0</v>
      </c>
      <c r="C96" s="11">
        <f si="2" t="shared"/>
        <v>0</v>
      </c>
      <c r="E96" s="104">
        <v>85</v>
      </c>
      <c r="F96" s="194" t="n">
        <v>0.0</v>
      </c>
      <c r="G96" s="11">
        <f si="3" t="shared"/>
        <v>0</v>
      </c>
    </row>
    <row r="97" spans="1:7" x14ac:dyDescent="0.45">
      <c r="A97">
        <v>86</v>
      </c>
      <c r="B97" s="8" t="n">
        <v>0.0</v>
      </c>
      <c r="C97" s="11">
        <f si="2" t="shared"/>
        <v>0</v>
      </c>
      <c r="E97" s="105">
        <v>86</v>
      </c>
      <c r="F97" s="195" t="n">
        <v>0.0</v>
      </c>
      <c r="G97" s="11">
        <f si="3" t="shared"/>
        <v>0</v>
      </c>
    </row>
    <row r="98" spans="1:7" x14ac:dyDescent="0.45">
      <c r="A98">
        <v>87</v>
      </c>
      <c r="B98" s="8" t="n">
        <v>0.0</v>
      </c>
      <c r="C98" s="11">
        <f si="2" t="shared"/>
        <v>0</v>
      </c>
      <c r="E98" s="106">
        <v>87</v>
      </c>
      <c r="F98" s="196" t="n">
        <v>0.0</v>
      </c>
      <c r="G98" s="11">
        <f si="3" t="shared"/>
        <v>0</v>
      </c>
    </row>
    <row r="99" spans="1:7" x14ac:dyDescent="0.45">
      <c r="A99">
        <v>88</v>
      </c>
      <c r="B99" s="8" t="n">
        <v>0.0</v>
      </c>
      <c r="C99" s="11">
        <f si="2" t="shared"/>
        <v>0</v>
      </c>
      <c r="E99" s="107">
        <v>88</v>
      </c>
      <c r="F99" s="197" t="n">
        <v>0.0</v>
      </c>
      <c r="G99" s="11">
        <f si="3" t="shared"/>
        <v>0</v>
      </c>
    </row>
    <row r="100" spans="1:7" x14ac:dyDescent="0.45">
      <c r="A100">
        <v>89</v>
      </c>
      <c r="B100" s="8" t="n">
        <v>0.0</v>
      </c>
      <c r="C100" s="11">
        <f si="2" t="shared"/>
        <v>0</v>
      </c>
      <c r="E100" s="108">
        <v>89</v>
      </c>
      <c r="F100" s="198" t="n">
        <v>0.0</v>
      </c>
      <c r="G100" s="11">
        <f si="3" t="shared"/>
        <v>0</v>
      </c>
    </row>
    <row ht="14.65" r="101" spans="1:7" thickBot="1" x14ac:dyDescent="0.5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0.0</v>
      </c>
      <c r="G101" s="11">
        <f si="3" t="shared"/>
        <v>0</v>
      </c>
    </row>
    <row r="102" spans="1:7" x14ac:dyDescent="0.45">
      <c r="B102" s="8">
        <f>SUM(B11:B101)</f>
        <v>137000</v>
      </c>
      <c r="C102" s="11">
        <f si="2" t="shared"/>
        <v>1</v>
      </c>
      <c r="F102" s="8">
        <f>SUM(F11:F101)</f>
        <v>137000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/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43</v>
      </c>
    </row>
    <row r="3" spans="1:12" x14ac:dyDescent="0.45">
      <c r="A3" t="s">
        <v>10</v>
      </c>
    </row>
    <row r="4" spans="1:12" x14ac:dyDescent="0.45">
      <c r="A4" t="s">
        <v>9</v>
      </c>
    </row>
    <row r="5" spans="1:12" x14ac:dyDescent="0.45">
      <c r="A5" t="s">
        <v>11</v>
      </c>
    </row>
    <row r="6" spans="1:12" x14ac:dyDescent="0.45">
      <c r="A6" t="s">
        <v>12</v>
      </c>
    </row>
    <row r="7" spans="1:12" x14ac:dyDescent="0.45">
      <c r="A7" t="s">
        <v>13</v>
      </c>
    </row>
    <row ht="14.65" r="9" spans="1:12" thickBot="1" x14ac:dyDescent="0.5">
      <c r="A9" s="4" t="s">
        <v>52</v>
      </c>
      <c r="B9" s="1"/>
      <c r="E9" s="4" t="s">
        <v>48</v>
      </c>
      <c r="F9" s="1"/>
      <c r="J9" s="10" t="s">
        <v>20</v>
      </c>
    </row>
    <row r="10" spans="1:12" x14ac:dyDescent="0.45">
      <c r="A10" s="2" t="s">
        <v>17</v>
      </c>
      <c r="B10" s="5" t="s">
        <v>4</v>
      </c>
      <c r="C10" s="5" t="s">
        <v>44</v>
      </c>
      <c r="E10" s="2" t="s">
        <v>17</v>
      </c>
      <c r="F10" s="5" t="s">
        <v>4</v>
      </c>
      <c r="G10" s="5" t="s">
        <v>18</v>
      </c>
      <c r="J10" s="2"/>
      <c r="K10" s="5" t="s">
        <v>44</v>
      </c>
      <c r="L10" s="5" t="s">
        <v>18</v>
      </c>
    </row>
    <row r="11" spans="1:12" x14ac:dyDescent="0.45">
      <c r="A11">
        <v>0</v>
      </c>
      <c r="B11" s="8" t="n">
        <v>0.0</v>
      </c>
      <c r="C11" s="11">
        <f>B11/B$102</f>
        <v>0</v>
      </c>
      <c r="E11" s="199">
        <v>0</v>
      </c>
      <c r="F11" s="289" t="n">
        <v>0.0</v>
      </c>
      <c r="G11" s="11">
        <f>F11/F$102</f>
        <v>0</v>
      </c>
      <c r="K11" s="8" t="n">
        <v>11.699428480045936</v>
      </c>
      <c r="L11" s="8" t="n">
        <v>11.699428480045936</v>
      </c>
    </row>
    <row r="12" spans="1:12" x14ac:dyDescent="0.45">
      <c r="A12">
        <v>1</v>
      </c>
      <c r="B12" s="8" t="n">
        <v>0.0</v>
      </c>
      <c r="C12" s="11">
        <f>B12/B$102</f>
        <v>7.2992700729927005E-3</v>
      </c>
      <c r="E12" s="200">
        <v>1</v>
      </c>
      <c r="F12" s="290" t="n">
        <v>0.0</v>
      </c>
      <c r="G12" s="11">
        <f>F12/F$102</f>
        <v>7.2992700729927005E-3</v>
      </c>
      <c r="K12" s="8"/>
      <c r="L12" s="380"/>
    </row>
    <row r="13" spans="1:12" x14ac:dyDescent="0.45">
      <c r="A13">
        <v>2</v>
      </c>
      <c r="B13" s="8" t="n">
        <v>0.0</v>
      </c>
      <c r="C13" s="11">
        <f ref="C13:C76" si="0" t="shared">B13/B$102</f>
        <v>2.1897810218978103E-2</v>
      </c>
      <c r="E13" s="201">
        <v>2</v>
      </c>
      <c r="F13" s="291" t="n">
        <v>0.0</v>
      </c>
      <c r="G13" s="11">
        <f ref="G13:G76" si="1" t="shared">F13/F$102</f>
        <v>2.1897810218978103E-2</v>
      </c>
    </row>
    <row r="14" spans="1:12" x14ac:dyDescent="0.45">
      <c r="A14">
        <v>3</v>
      </c>
      <c r="B14" s="8" t="n">
        <v>0.0</v>
      </c>
      <c r="C14" s="11">
        <f si="0" t="shared"/>
        <v>0</v>
      </c>
      <c r="E14" s="202">
        <v>3</v>
      </c>
      <c r="F14" s="292" t="n">
        <v>0.0</v>
      </c>
      <c r="G14" s="11">
        <f si="1" t="shared"/>
        <v>0</v>
      </c>
    </row>
    <row r="15" spans="1:12" x14ac:dyDescent="0.45">
      <c r="A15">
        <v>4</v>
      </c>
      <c r="B15" s="8" t="n">
        <v>10000.0</v>
      </c>
      <c r="C15" s="11">
        <f si="0" t="shared"/>
        <v>1.4598540145985401E-2</v>
      </c>
      <c r="E15" s="203">
        <v>4</v>
      </c>
      <c r="F15" s="293" t="n">
        <v>10000.0</v>
      </c>
      <c r="G15" s="11">
        <f si="1" t="shared"/>
        <v>1.4598540145985401E-2</v>
      </c>
    </row>
    <row r="16" spans="1:12" x14ac:dyDescent="0.45">
      <c r="A16">
        <v>5</v>
      </c>
      <c r="B16" s="8" t="n">
        <v>0.0</v>
      </c>
      <c r="C16" s="11">
        <f si="0" t="shared"/>
        <v>1.4598540145985401E-2</v>
      </c>
      <c r="E16" s="204">
        <v>5</v>
      </c>
      <c r="F16" s="294" t="n">
        <v>0.0</v>
      </c>
      <c r="G16" s="11">
        <f si="1" t="shared"/>
        <v>1.4598540145985401E-2</v>
      </c>
    </row>
    <row r="17" spans="1:7" x14ac:dyDescent="0.45">
      <c r="A17">
        <v>6</v>
      </c>
      <c r="B17" s="8" t="n">
        <v>0.0</v>
      </c>
      <c r="C17" s="11">
        <f si="0" t="shared"/>
        <v>5.8394160583941604E-2</v>
      </c>
      <c r="E17" s="205">
        <v>6</v>
      </c>
      <c r="F17" s="295" t="n">
        <v>0.0</v>
      </c>
      <c r="G17" s="11">
        <f si="1" t="shared"/>
        <v>5.8394160583941604E-2</v>
      </c>
    </row>
    <row r="18" spans="1:7" x14ac:dyDescent="0.45">
      <c r="A18">
        <v>7</v>
      </c>
      <c r="B18" s="8" t="n">
        <v>0.0</v>
      </c>
      <c r="C18" s="11">
        <f si="0" t="shared"/>
        <v>5.1094890510948905E-2</v>
      </c>
      <c r="E18" s="206">
        <v>7</v>
      </c>
      <c r="F18" s="296" t="n">
        <v>0.0</v>
      </c>
      <c r="G18" s="11">
        <f si="1" t="shared"/>
        <v>5.1094890510948905E-2</v>
      </c>
    </row>
    <row r="19" spans="1:7" x14ac:dyDescent="0.45">
      <c r="A19">
        <v>8</v>
      </c>
      <c r="B19" s="8" t="n">
        <v>10000.0</v>
      </c>
      <c r="C19" s="11">
        <f si="0" t="shared"/>
        <v>5.1094890510948905E-2</v>
      </c>
      <c r="E19" s="207">
        <v>8</v>
      </c>
      <c r="F19" s="297" t="n">
        <v>10000.0</v>
      </c>
      <c r="G19" s="11">
        <f si="1" t="shared"/>
        <v>5.1094890510948905E-2</v>
      </c>
    </row>
    <row r="20" spans="1:7" x14ac:dyDescent="0.45">
      <c r="A20">
        <v>9</v>
      </c>
      <c r="B20" s="8" t="n">
        <v>20000.0</v>
      </c>
      <c r="C20" s="11">
        <f si="0" t="shared"/>
        <v>0.10218978102189781</v>
      </c>
      <c r="E20" s="208">
        <v>9</v>
      </c>
      <c r="F20" s="298" t="n">
        <v>20000.0</v>
      </c>
      <c r="G20" s="11">
        <f si="1" t="shared"/>
        <v>0.10218978102189781</v>
      </c>
    </row>
    <row r="21" spans="1:7" x14ac:dyDescent="0.45">
      <c r="A21">
        <v>10</v>
      </c>
      <c r="B21" s="8" t="n">
        <v>20000.0</v>
      </c>
      <c r="C21" s="11">
        <f si="0" t="shared"/>
        <v>0.11678832116788321</v>
      </c>
      <c r="E21" s="209">
        <v>10</v>
      </c>
      <c r="F21" s="299" t="n">
        <v>20000.0</v>
      </c>
      <c r="G21" s="11">
        <f si="1" t="shared"/>
        <v>0.11678832116788321</v>
      </c>
    </row>
    <row r="22" spans="1:7" x14ac:dyDescent="0.45">
      <c r="A22">
        <v>11</v>
      </c>
      <c r="B22" s="8" t="n">
        <v>10000.0</v>
      </c>
      <c r="C22" s="11">
        <f si="0" t="shared"/>
        <v>6.569343065693431E-2</v>
      </c>
      <c r="E22" s="210">
        <v>11</v>
      </c>
      <c r="F22" s="300" t="n">
        <v>10000.0</v>
      </c>
      <c r="G22" s="11">
        <f si="1" t="shared"/>
        <v>6.569343065693431E-2</v>
      </c>
    </row>
    <row r="23" spans="1:7" x14ac:dyDescent="0.45">
      <c r="A23">
        <v>12</v>
      </c>
      <c r="B23" s="8" t="n">
        <v>10000.0</v>
      </c>
      <c r="C23" s="11">
        <f si="0" t="shared"/>
        <v>9.4890510948905105E-2</v>
      </c>
      <c r="E23" s="211">
        <v>12</v>
      </c>
      <c r="F23" s="301" t="n">
        <v>10000.0</v>
      </c>
      <c r="G23" s="11">
        <f si="1" t="shared"/>
        <v>9.4890510948905105E-2</v>
      </c>
    </row>
    <row r="24" spans="1:7" x14ac:dyDescent="0.45">
      <c r="A24">
        <v>13</v>
      </c>
      <c r="B24" s="8" t="n">
        <v>10000.0</v>
      </c>
      <c r="C24" s="11">
        <f si="0" t="shared"/>
        <v>7.2992700729927001E-2</v>
      </c>
      <c r="E24" s="212">
        <v>13</v>
      </c>
      <c r="F24" s="302" t="n">
        <v>10000.0</v>
      </c>
      <c r="G24" s="11">
        <f si="1" t="shared"/>
        <v>7.2992700729927001E-2</v>
      </c>
    </row>
    <row r="25" spans="1:7" x14ac:dyDescent="0.45">
      <c r="A25">
        <v>14</v>
      </c>
      <c r="B25" s="8" t="n">
        <v>0.0</v>
      </c>
      <c r="C25" s="11">
        <f si="0" t="shared"/>
        <v>2.9197080291970802E-2</v>
      </c>
      <c r="E25" s="213">
        <v>14</v>
      </c>
      <c r="F25" s="303" t="n">
        <v>0.0</v>
      </c>
      <c r="G25" s="11">
        <f si="1" t="shared"/>
        <v>2.9197080291970802E-2</v>
      </c>
    </row>
    <row r="26" spans="1:7" x14ac:dyDescent="0.45">
      <c r="A26">
        <v>15</v>
      </c>
      <c r="B26" s="8" t="n">
        <v>20000.0</v>
      </c>
      <c r="C26" s="11">
        <f si="0" t="shared"/>
        <v>5.1094890510948905E-2</v>
      </c>
      <c r="E26" s="214">
        <v>15</v>
      </c>
      <c r="F26" s="304" t="n">
        <v>20000.0</v>
      </c>
      <c r="G26" s="11">
        <f si="1" t="shared"/>
        <v>5.1094890510948905E-2</v>
      </c>
    </row>
    <row r="27" spans="1:7" x14ac:dyDescent="0.45">
      <c r="A27">
        <v>16</v>
      </c>
      <c r="B27" s="8" t="n">
        <v>0.0</v>
      </c>
      <c r="C27" s="11">
        <f si="0" t="shared"/>
        <v>7.2992700729927005E-3</v>
      </c>
      <c r="E27" s="215">
        <v>16</v>
      </c>
      <c r="F27" s="305" t="n">
        <v>0.0</v>
      </c>
      <c r="G27" s="11">
        <f si="1" t="shared"/>
        <v>7.2992700729927005E-3</v>
      </c>
    </row>
    <row r="28" spans="1:7" x14ac:dyDescent="0.45">
      <c r="A28">
        <v>17</v>
      </c>
      <c r="B28" s="8" t="n">
        <v>10000.0</v>
      </c>
      <c r="C28" s="11">
        <f si="0" t="shared"/>
        <v>2.1897810218978103E-2</v>
      </c>
      <c r="E28" s="216">
        <v>17</v>
      </c>
      <c r="F28" s="306" t="n">
        <v>10000.0</v>
      </c>
      <c r="G28" s="11">
        <f si="1" t="shared"/>
        <v>2.1897810218978103E-2</v>
      </c>
    </row>
    <row r="29" spans="1:7" x14ac:dyDescent="0.45">
      <c r="A29">
        <v>18</v>
      </c>
      <c r="B29" s="8" t="n">
        <v>0.0</v>
      </c>
      <c r="C29" s="11">
        <f si="0" t="shared"/>
        <v>5.1094890510948905E-2</v>
      </c>
      <c r="E29" s="217">
        <v>18</v>
      </c>
      <c r="F29" s="307" t="n">
        <v>0.0</v>
      </c>
      <c r="G29" s="11">
        <f si="1" t="shared"/>
        <v>5.1094890510948905E-2</v>
      </c>
    </row>
    <row r="30" spans="1:7" x14ac:dyDescent="0.45">
      <c r="A30">
        <v>19</v>
      </c>
      <c r="B30" s="8" t="n">
        <v>0.0</v>
      </c>
      <c r="C30" s="11">
        <f si="0" t="shared"/>
        <v>3.6496350364963501E-2</v>
      </c>
      <c r="E30" s="218">
        <v>19</v>
      </c>
      <c r="F30" s="308" t="n">
        <v>0.0</v>
      </c>
      <c r="G30" s="11">
        <f si="1" t="shared"/>
        <v>3.6496350364963501E-2</v>
      </c>
    </row>
    <row r="31" spans="1:7" x14ac:dyDescent="0.45">
      <c r="A31">
        <v>20</v>
      </c>
      <c r="B31" s="8" t="n">
        <v>0.0</v>
      </c>
      <c r="C31" s="11">
        <f si="0" t="shared"/>
        <v>2.1897810218978103E-2</v>
      </c>
      <c r="E31" s="219">
        <v>20</v>
      </c>
      <c r="F31" s="309" t="n">
        <v>0.0</v>
      </c>
      <c r="G31" s="11">
        <f si="1" t="shared"/>
        <v>2.1897810218978103E-2</v>
      </c>
    </row>
    <row r="32" spans="1:7" x14ac:dyDescent="0.45">
      <c r="A32">
        <v>21</v>
      </c>
      <c r="B32" s="8" t="n">
        <v>0.0</v>
      </c>
      <c r="C32" s="11">
        <f si="0" t="shared"/>
        <v>1.4598540145985401E-2</v>
      </c>
      <c r="E32" s="220">
        <v>21</v>
      </c>
      <c r="F32" s="310" t="n">
        <v>0.0</v>
      </c>
      <c r="G32" s="11">
        <f si="1" t="shared"/>
        <v>1.4598540145985401E-2</v>
      </c>
    </row>
    <row r="33" spans="1:7" x14ac:dyDescent="0.45">
      <c r="A33">
        <v>22</v>
      </c>
      <c r="B33" s="8" t="n">
        <v>0.0</v>
      </c>
      <c r="C33" s="11">
        <f si="0" t="shared"/>
        <v>1.4598540145985401E-2</v>
      </c>
      <c r="E33" s="221">
        <v>22</v>
      </c>
      <c r="F33" s="311" t="n">
        <v>0.0</v>
      </c>
      <c r="G33" s="11">
        <f si="1" t="shared"/>
        <v>1.4598540145985401E-2</v>
      </c>
    </row>
    <row r="34" spans="1:7" x14ac:dyDescent="0.45">
      <c r="A34">
        <v>23</v>
      </c>
      <c r="B34" s="8" t="n">
        <v>0.0</v>
      </c>
      <c r="C34" s="11">
        <f si="0" t="shared"/>
        <v>7.2992700729927005E-3</v>
      </c>
      <c r="E34" s="222">
        <v>23</v>
      </c>
      <c r="F34" s="312" t="n">
        <v>0.0</v>
      </c>
      <c r="G34" s="11">
        <f si="1" t="shared"/>
        <v>7.2992700729927005E-3</v>
      </c>
    </row>
    <row r="35" spans="1:7" x14ac:dyDescent="0.45">
      <c r="A35">
        <v>24</v>
      </c>
      <c r="B35" s="8" t="n">
        <v>0.0</v>
      </c>
      <c r="C35" s="11">
        <f si="0" t="shared"/>
        <v>1.4598540145985401E-2</v>
      </c>
      <c r="E35" s="223">
        <v>24</v>
      </c>
      <c r="F35" s="313" t="n">
        <v>0.0</v>
      </c>
      <c r="G35" s="11">
        <f si="1" t="shared"/>
        <v>1.4598540145985401E-2</v>
      </c>
    </row>
    <row r="36" spans="1:7" x14ac:dyDescent="0.45">
      <c r="A36">
        <v>25</v>
      </c>
      <c r="B36" s="8" t="n">
        <v>0.0</v>
      </c>
      <c r="C36" s="11">
        <f si="0" t="shared"/>
        <v>0</v>
      </c>
      <c r="E36" s="224">
        <v>25</v>
      </c>
      <c r="F36" s="314" t="n">
        <v>0.0</v>
      </c>
      <c r="G36" s="11">
        <f si="1" t="shared"/>
        <v>0</v>
      </c>
    </row>
    <row r="37" spans="1:7" x14ac:dyDescent="0.45">
      <c r="A37">
        <v>26</v>
      </c>
      <c r="B37" s="8" t="n">
        <v>0.0</v>
      </c>
      <c r="C37" s="11">
        <f si="0" t="shared"/>
        <v>7.2992700729927005E-3</v>
      </c>
      <c r="E37" s="225">
        <v>26</v>
      </c>
      <c r="F37" s="315" t="n">
        <v>0.0</v>
      </c>
      <c r="G37" s="11">
        <f si="1" t="shared"/>
        <v>7.2992700729927005E-3</v>
      </c>
    </row>
    <row r="38" spans="1:7" x14ac:dyDescent="0.45">
      <c r="A38">
        <v>27</v>
      </c>
      <c r="B38" s="8" t="n">
        <v>0.0</v>
      </c>
      <c r="C38" s="11">
        <f si="0" t="shared"/>
        <v>7.2992700729927005E-3</v>
      </c>
      <c r="E38" s="226">
        <v>27</v>
      </c>
      <c r="F38" s="316" t="n">
        <v>0.0</v>
      </c>
      <c r="G38" s="11">
        <f si="1" t="shared"/>
        <v>7.2992700729927005E-3</v>
      </c>
    </row>
    <row r="39" spans="1:7" x14ac:dyDescent="0.45">
      <c r="A39">
        <v>28</v>
      </c>
      <c r="B39" s="8" t="n">
        <v>0.0</v>
      </c>
      <c r="C39" s="11">
        <f si="0" t="shared"/>
        <v>7.2992700729927005E-3</v>
      </c>
      <c r="E39" s="227">
        <v>28</v>
      </c>
      <c r="F39" s="317" t="n">
        <v>0.0</v>
      </c>
      <c r="G39" s="11">
        <f si="1" t="shared"/>
        <v>7.2992700729927005E-3</v>
      </c>
    </row>
    <row r="40" spans="1:7" x14ac:dyDescent="0.45">
      <c r="A40">
        <v>29</v>
      </c>
      <c r="B40" s="8" t="n">
        <v>0.0</v>
      </c>
      <c r="C40" s="11">
        <f si="0" t="shared"/>
        <v>0</v>
      </c>
      <c r="E40" s="228">
        <v>29</v>
      </c>
      <c r="F40" s="318" t="n">
        <v>0.0</v>
      </c>
      <c r="G40" s="11">
        <f si="1" t="shared"/>
        <v>0</v>
      </c>
    </row>
    <row r="41" spans="1:7" x14ac:dyDescent="0.45">
      <c r="A41">
        <v>30</v>
      </c>
      <c r="B41" s="8" t="n">
        <v>0.0</v>
      </c>
      <c r="C41" s="11">
        <f si="0" t="shared"/>
        <v>0</v>
      </c>
      <c r="E41" s="229">
        <v>30</v>
      </c>
      <c r="F41" s="319" t="n">
        <v>0.0</v>
      </c>
      <c r="G41" s="11">
        <f si="1" t="shared"/>
        <v>0</v>
      </c>
    </row>
    <row r="42" spans="1:7" x14ac:dyDescent="0.45">
      <c r="A42">
        <v>31</v>
      </c>
      <c r="B42" s="8" t="n">
        <v>0.0</v>
      </c>
      <c r="C42" s="11">
        <f si="0" t="shared"/>
        <v>0</v>
      </c>
      <c r="E42" s="230">
        <v>31</v>
      </c>
      <c r="F42" s="320" t="n">
        <v>0.0</v>
      </c>
      <c r="G42" s="11">
        <f si="1" t="shared"/>
        <v>0</v>
      </c>
    </row>
    <row r="43" spans="1:7" x14ac:dyDescent="0.45">
      <c r="A43">
        <v>32</v>
      </c>
      <c r="B43" s="8" t="n">
        <v>0.0</v>
      </c>
      <c r="C43" s="11">
        <f si="0" t="shared"/>
        <v>7.2992700729927005E-3</v>
      </c>
      <c r="E43" s="231">
        <v>32</v>
      </c>
      <c r="F43" s="321" t="n">
        <v>0.0</v>
      </c>
      <c r="G43" s="11">
        <f si="1" t="shared"/>
        <v>7.2992700729927005E-3</v>
      </c>
    </row>
    <row r="44" spans="1:7" x14ac:dyDescent="0.45">
      <c r="A44">
        <v>33</v>
      </c>
      <c r="B44" s="8" t="n">
        <v>0.0</v>
      </c>
      <c r="C44" s="11">
        <f si="0" t="shared"/>
        <v>7.2992700729927005E-3</v>
      </c>
      <c r="E44" s="232">
        <v>33</v>
      </c>
      <c r="F44" s="322" t="n">
        <v>0.0</v>
      </c>
      <c r="G44" s="11">
        <f si="1" t="shared"/>
        <v>7.2992700729927005E-3</v>
      </c>
    </row>
    <row r="45" spans="1:7" x14ac:dyDescent="0.45">
      <c r="A45">
        <v>34</v>
      </c>
      <c r="B45" s="8" t="n">
        <v>0.0</v>
      </c>
      <c r="C45" s="11">
        <f si="0" t="shared"/>
        <v>0</v>
      </c>
      <c r="E45" s="233">
        <v>34</v>
      </c>
      <c r="F45" s="323" t="n">
        <v>0.0</v>
      </c>
      <c r="G45" s="11">
        <f si="1" t="shared"/>
        <v>0</v>
      </c>
    </row>
    <row r="46" spans="1:7" x14ac:dyDescent="0.45">
      <c r="A46">
        <v>35</v>
      </c>
      <c r="B46" s="8" t="n">
        <v>0.0</v>
      </c>
      <c r="C46" s="11">
        <f si="0" t="shared"/>
        <v>0</v>
      </c>
      <c r="E46" s="234">
        <v>35</v>
      </c>
      <c r="F46" s="324" t="n">
        <v>0.0</v>
      </c>
      <c r="G46" s="11">
        <f si="1" t="shared"/>
        <v>0</v>
      </c>
    </row>
    <row r="47" spans="1:7" x14ac:dyDescent="0.45">
      <c r="A47">
        <v>36</v>
      </c>
      <c r="B47" s="8" t="n">
        <v>0.0</v>
      </c>
      <c r="C47" s="11">
        <f si="0" t="shared"/>
        <v>7.2992700729927005E-3</v>
      </c>
      <c r="E47" s="235">
        <v>36</v>
      </c>
      <c r="F47" s="325" t="n">
        <v>0.0</v>
      </c>
      <c r="G47" s="11">
        <f si="1" t="shared"/>
        <v>7.2992700729927005E-3</v>
      </c>
    </row>
    <row r="48" spans="1:7" x14ac:dyDescent="0.45">
      <c r="A48">
        <v>37</v>
      </c>
      <c r="B48" s="8" t="n">
        <v>0.0</v>
      </c>
      <c r="C48" s="11">
        <f si="0" t="shared"/>
        <v>0</v>
      </c>
      <c r="E48" s="236">
        <v>37</v>
      </c>
      <c r="F48" s="326" t="n">
        <v>0.0</v>
      </c>
      <c r="G48" s="11">
        <f si="1" t="shared"/>
        <v>0</v>
      </c>
    </row>
    <row r="49" spans="1:7" x14ac:dyDescent="0.45">
      <c r="A49">
        <v>38</v>
      </c>
      <c r="B49" s="8" t="n">
        <v>0.0</v>
      </c>
      <c r="C49" s="11">
        <f si="0" t="shared"/>
        <v>0</v>
      </c>
      <c r="E49" s="237">
        <v>38</v>
      </c>
      <c r="F49" s="327" t="n">
        <v>0.0</v>
      </c>
      <c r="G49" s="11">
        <f si="1" t="shared"/>
        <v>0</v>
      </c>
    </row>
    <row r="50" spans="1:7" x14ac:dyDescent="0.45">
      <c r="A50">
        <v>39</v>
      </c>
      <c r="B50" s="8" t="n">
        <v>0.0</v>
      </c>
      <c r="C50" s="11">
        <f si="0" t="shared"/>
        <v>7.2992700729927005E-3</v>
      </c>
      <c r="E50" s="238">
        <v>39</v>
      </c>
      <c r="F50" s="328" t="n">
        <v>0.0</v>
      </c>
      <c r="G50" s="11">
        <f si="1" t="shared"/>
        <v>7.2992700729927005E-3</v>
      </c>
    </row>
    <row r="51" spans="1:7" x14ac:dyDescent="0.45">
      <c r="A51">
        <v>40</v>
      </c>
      <c r="B51" s="8" t="n">
        <v>0.0</v>
      </c>
      <c r="C51" s="11">
        <f si="0" t="shared"/>
        <v>0</v>
      </c>
      <c r="E51" s="239">
        <v>40</v>
      </c>
      <c r="F51" s="329" t="n">
        <v>0.0</v>
      </c>
      <c r="G51" s="11">
        <f si="1" t="shared"/>
        <v>0</v>
      </c>
    </row>
    <row r="52" spans="1:7" x14ac:dyDescent="0.45">
      <c r="A52">
        <v>41</v>
      </c>
      <c r="B52" s="8" t="n">
        <v>0.0</v>
      </c>
      <c r="C52" s="11">
        <f si="0" t="shared"/>
        <v>0</v>
      </c>
      <c r="E52" s="240">
        <v>41</v>
      </c>
      <c r="F52" s="330" t="n">
        <v>0.0</v>
      </c>
      <c r="G52" s="11">
        <f si="1" t="shared"/>
        <v>0</v>
      </c>
    </row>
    <row r="53" spans="1:7" x14ac:dyDescent="0.45">
      <c r="A53">
        <v>42</v>
      </c>
      <c r="B53" s="8" t="n">
        <v>0.0</v>
      </c>
      <c r="C53" s="11">
        <f si="0" t="shared"/>
        <v>0</v>
      </c>
      <c r="E53" s="241">
        <v>42</v>
      </c>
      <c r="F53" s="331" t="n">
        <v>0.0</v>
      </c>
      <c r="G53" s="11">
        <f si="1" t="shared"/>
        <v>0</v>
      </c>
    </row>
    <row r="54" spans="1:7" x14ac:dyDescent="0.45">
      <c r="A54">
        <v>43</v>
      </c>
      <c r="B54" s="8" t="n">
        <v>0.0</v>
      </c>
      <c r="C54" s="11">
        <f si="0" t="shared"/>
        <v>0</v>
      </c>
      <c r="E54" s="242">
        <v>43</v>
      </c>
      <c r="F54" s="332" t="n">
        <v>0.0</v>
      </c>
      <c r="G54" s="11">
        <f si="1" t="shared"/>
        <v>0</v>
      </c>
    </row>
    <row r="55" spans="1:7" x14ac:dyDescent="0.45">
      <c r="A55">
        <v>44</v>
      </c>
      <c r="B55" s="8" t="n">
        <v>0.0</v>
      </c>
      <c r="C55" s="11">
        <f si="0" t="shared"/>
        <v>0</v>
      </c>
      <c r="E55" s="243">
        <v>44</v>
      </c>
      <c r="F55" s="333" t="n">
        <v>0.0</v>
      </c>
      <c r="G55" s="11">
        <f si="1" t="shared"/>
        <v>0</v>
      </c>
    </row>
    <row r="56" spans="1:7" x14ac:dyDescent="0.45">
      <c r="A56">
        <v>45</v>
      </c>
      <c r="B56" s="8" t="n">
        <v>0.0</v>
      </c>
      <c r="C56" s="11">
        <f si="0" t="shared"/>
        <v>0</v>
      </c>
      <c r="E56" s="244">
        <v>45</v>
      </c>
      <c r="F56" s="334" t="n">
        <v>0.0</v>
      </c>
      <c r="G56" s="11">
        <f si="1" t="shared"/>
        <v>0</v>
      </c>
    </row>
    <row r="57" spans="1:7" x14ac:dyDescent="0.45">
      <c r="A57">
        <v>46</v>
      </c>
      <c r="B57" s="8" t="n">
        <v>0.0</v>
      </c>
      <c r="C57" s="11">
        <f si="0" t="shared"/>
        <v>0</v>
      </c>
      <c r="E57" s="245">
        <v>46</v>
      </c>
      <c r="F57" s="335" t="n">
        <v>0.0</v>
      </c>
      <c r="G57" s="11">
        <f si="1" t="shared"/>
        <v>0</v>
      </c>
    </row>
    <row r="58" spans="1:7" x14ac:dyDescent="0.45">
      <c r="A58">
        <v>47</v>
      </c>
      <c r="B58" s="8" t="n">
        <v>0.0</v>
      </c>
      <c r="C58" s="11">
        <f si="0" t="shared"/>
        <v>0</v>
      </c>
      <c r="E58" s="246">
        <v>47</v>
      </c>
      <c r="F58" s="336" t="n">
        <v>0.0</v>
      </c>
      <c r="G58" s="11">
        <f si="1" t="shared"/>
        <v>0</v>
      </c>
    </row>
    <row r="59" spans="1:7" x14ac:dyDescent="0.45">
      <c r="A59">
        <v>48</v>
      </c>
      <c r="B59" s="8" t="n">
        <v>0.0</v>
      </c>
      <c r="C59" s="11">
        <f si="0" t="shared"/>
        <v>7.2992700729927005E-3</v>
      </c>
      <c r="E59" s="247">
        <v>48</v>
      </c>
      <c r="F59" s="337" t="n">
        <v>0.0</v>
      </c>
      <c r="G59" s="11">
        <f si="1" t="shared"/>
        <v>7.2992700729927005E-3</v>
      </c>
    </row>
    <row r="60" spans="1:7" x14ac:dyDescent="0.45">
      <c r="A60">
        <v>49</v>
      </c>
      <c r="B60" s="8" t="n">
        <v>0.0</v>
      </c>
      <c r="C60" s="11">
        <f si="0" t="shared"/>
        <v>0</v>
      </c>
      <c r="E60" s="248">
        <v>49</v>
      </c>
      <c r="F60" s="338" t="n">
        <v>0.0</v>
      </c>
      <c r="G60" s="11">
        <f si="1" t="shared"/>
        <v>0</v>
      </c>
    </row>
    <row r="61" spans="1:7" x14ac:dyDescent="0.45">
      <c r="A61">
        <v>50</v>
      </c>
      <c r="B61" s="8" t="n">
        <v>0.0</v>
      </c>
      <c r="C61" s="11">
        <f si="0" t="shared"/>
        <v>0</v>
      </c>
      <c r="E61" s="249">
        <v>50</v>
      </c>
      <c r="F61" s="339" t="n">
        <v>0.0</v>
      </c>
      <c r="G61" s="11">
        <f si="1" t="shared"/>
        <v>0</v>
      </c>
    </row>
    <row r="62" spans="1:7" x14ac:dyDescent="0.45">
      <c r="A62">
        <v>51</v>
      </c>
      <c r="B62" s="8" t="n">
        <v>0.0</v>
      </c>
      <c r="C62" s="11">
        <f si="0" t="shared"/>
        <v>0</v>
      </c>
      <c r="E62" s="250">
        <v>51</v>
      </c>
      <c r="F62" s="340" t="n">
        <v>0.0</v>
      </c>
      <c r="G62" s="11">
        <f si="1" t="shared"/>
        <v>0</v>
      </c>
    </row>
    <row r="63" spans="1:7" x14ac:dyDescent="0.45">
      <c r="A63">
        <v>52</v>
      </c>
      <c r="B63" s="8" t="n">
        <v>0.0</v>
      </c>
      <c r="C63" s="11">
        <f si="0" t="shared"/>
        <v>0</v>
      </c>
      <c r="E63" s="251">
        <v>52</v>
      </c>
      <c r="F63" s="341" t="n">
        <v>0.0</v>
      </c>
      <c r="G63" s="11">
        <f si="1" t="shared"/>
        <v>0</v>
      </c>
    </row>
    <row r="64" spans="1:7" x14ac:dyDescent="0.45">
      <c r="A64">
        <v>53</v>
      </c>
      <c r="B64" s="8" t="n">
        <v>0.0</v>
      </c>
      <c r="C64" s="11">
        <f si="0" t="shared"/>
        <v>0</v>
      </c>
      <c r="E64" s="252">
        <v>53</v>
      </c>
      <c r="F64" s="342" t="n">
        <v>0.0</v>
      </c>
      <c r="G64" s="11">
        <f si="1" t="shared"/>
        <v>0</v>
      </c>
    </row>
    <row r="65" spans="1:7" x14ac:dyDescent="0.45">
      <c r="A65">
        <v>54</v>
      </c>
      <c r="B65" s="8" t="n">
        <v>0.0</v>
      </c>
      <c r="C65" s="11">
        <f si="0" t="shared"/>
        <v>0</v>
      </c>
      <c r="E65" s="253">
        <v>54</v>
      </c>
      <c r="F65" s="343" t="n">
        <v>0.0</v>
      </c>
      <c r="G65" s="11">
        <f si="1" t="shared"/>
        <v>0</v>
      </c>
    </row>
    <row r="66" spans="1:7" x14ac:dyDescent="0.45">
      <c r="A66">
        <v>55</v>
      </c>
      <c r="B66" s="8" t="n">
        <v>0.0</v>
      </c>
      <c r="C66" s="11">
        <f si="0" t="shared"/>
        <v>0</v>
      </c>
      <c r="E66" s="254">
        <v>55</v>
      </c>
      <c r="F66" s="344" t="n">
        <v>0.0</v>
      </c>
      <c r="G66" s="11">
        <f si="1" t="shared"/>
        <v>0</v>
      </c>
    </row>
    <row r="67" spans="1:7" x14ac:dyDescent="0.45">
      <c r="A67">
        <v>56</v>
      </c>
      <c r="B67" s="8" t="n">
        <v>0.0</v>
      </c>
      <c r="C67" s="11">
        <f si="0" t="shared"/>
        <v>0</v>
      </c>
      <c r="E67" s="255">
        <v>56</v>
      </c>
      <c r="F67" s="345" t="n">
        <v>0.0</v>
      </c>
      <c r="G67" s="11">
        <f si="1" t="shared"/>
        <v>0</v>
      </c>
    </row>
    <row r="68" spans="1:7" x14ac:dyDescent="0.45">
      <c r="A68">
        <v>57</v>
      </c>
      <c r="B68" s="8" t="n">
        <v>0.0</v>
      </c>
      <c r="C68" s="11">
        <f si="0" t="shared"/>
        <v>0</v>
      </c>
      <c r="E68" s="256">
        <v>57</v>
      </c>
      <c r="F68" s="346" t="n">
        <v>0.0</v>
      </c>
      <c r="G68" s="11">
        <f si="1" t="shared"/>
        <v>0</v>
      </c>
    </row>
    <row r="69" spans="1:7" x14ac:dyDescent="0.45">
      <c r="A69">
        <v>58</v>
      </c>
      <c r="B69" s="8" t="n">
        <v>0.0</v>
      </c>
      <c r="C69" s="11">
        <f si="0" t="shared"/>
        <v>0</v>
      </c>
      <c r="E69" s="257">
        <v>58</v>
      </c>
      <c r="F69" s="347" t="n">
        <v>0.0</v>
      </c>
      <c r="G69" s="11">
        <f si="1" t="shared"/>
        <v>0</v>
      </c>
    </row>
    <row r="70" spans="1:7" x14ac:dyDescent="0.45">
      <c r="A70">
        <v>59</v>
      </c>
      <c r="B70" s="8" t="n">
        <v>0.0</v>
      </c>
      <c r="C70" s="11">
        <f si="0" t="shared"/>
        <v>0</v>
      </c>
      <c r="E70" s="258">
        <v>59</v>
      </c>
      <c r="F70" s="348" t="n">
        <v>0.0</v>
      </c>
      <c r="G70" s="11">
        <f si="1" t="shared"/>
        <v>0</v>
      </c>
    </row>
    <row r="71" spans="1:7" x14ac:dyDescent="0.45">
      <c r="A71">
        <v>60</v>
      </c>
      <c r="B71" s="8" t="n">
        <v>0.0</v>
      </c>
      <c r="C71" s="11">
        <f si="0" t="shared"/>
        <v>0</v>
      </c>
      <c r="E71" s="259">
        <v>60</v>
      </c>
      <c r="F71" s="349" t="n">
        <v>0.0</v>
      </c>
      <c r="G71" s="11">
        <f si="1" t="shared"/>
        <v>0</v>
      </c>
    </row>
    <row r="72" spans="1:7" x14ac:dyDescent="0.45">
      <c r="A72">
        <v>61</v>
      </c>
      <c r="B72" s="8" t="n">
        <v>0.0</v>
      </c>
      <c r="C72" s="11">
        <f si="0" t="shared"/>
        <v>0</v>
      </c>
      <c r="E72" s="260">
        <v>61</v>
      </c>
      <c r="F72" s="350" t="n">
        <v>0.0</v>
      </c>
      <c r="G72" s="11">
        <f si="1" t="shared"/>
        <v>0</v>
      </c>
    </row>
    <row r="73" spans="1:7" x14ac:dyDescent="0.45">
      <c r="A73">
        <v>62</v>
      </c>
      <c r="B73" s="8" t="n">
        <v>0.0</v>
      </c>
      <c r="C73" s="11">
        <f si="0" t="shared"/>
        <v>0</v>
      </c>
      <c r="E73" s="261">
        <v>62</v>
      </c>
      <c r="F73" s="351" t="n">
        <v>0.0</v>
      </c>
      <c r="G73" s="11">
        <f si="1" t="shared"/>
        <v>0</v>
      </c>
    </row>
    <row r="74" spans="1:7" x14ac:dyDescent="0.45">
      <c r="A74">
        <v>63</v>
      </c>
      <c r="B74" s="8" t="n">
        <v>0.0</v>
      </c>
      <c r="C74" s="11">
        <f si="0" t="shared"/>
        <v>0</v>
      </c>
      <c r="E74" s="262">
        <v>63</v>
      </c>
      <c r="F74" s="352" t="n">
        <v>0.0</v>
      </c>
      <c r="G74" s="11">
        <f si="1" t="shared"/>
        <v>0</v>
      </c>
    </row>
    <row r="75" spans="1:7" x14ac:dyDescent="0.45">
      <c r="A75">
        <v>64</v>
      </c>
      <c r="B75" s="8" t="n">
        <v>0.0</v>
      </c>
      <c r="C75" s="11">
        <f si="0" t="shared"/>
        <v>0</v>
      </c>
      <c r="E75" s="263">
        <v>64</v>
      </c>
      <c r="F75" s="353" t="n">
        <v>0.0</v>
      </c>
      <c r="G75" s="11">
        <f si="1" t="shared"/>
        <v>0</v>
      </c>
    </row>
    <row r="76" spans="1:7" x14ac:dyDescent="0.45">
      <c r="A76">
        <v>65</v>
      </c>
      <c r="B76" s="8" t="n">
        <v>0.0</v>
      </c>
      <c r="C76" s="11">
        <f si="0" t="shared"/>
        <v>0</v>
      </c>
      <c r="E76" s="264">
        <v>65</v>
      </c>
      <c r="F76" s="354" t="n">
        <v>0.0</v>
      </c>
      <c r="G76" s="11">
        <f si="1" t="shared"/>
        <v>0</v>
      </c>
    </row>
    <row r="77" spans="1:7" x14ac:dyDescent="0.45">
      <c r="A77">
        <v>66</v>
      </c>
      <c r="B77" s="8" t="n">
        <v>0.0</v>
      </c>
      <c r="C77" s="11">
        <f ref="C77:C102" si="2" t="shared">B77/B$102</f>
        <v>0</v>
      </c>
      <c r="E77" s="265">
        <v>66</v>
      </c>
      <c r="F77" s="355" t="n">
        <v>0.0</v>
      </c>
      <c r="G77" s="11">
        <f ref="G77:G102" si="3" t="shared">F77/F$102</f>
        <v>0</v>
      </c>
    </row>
    <row r="78" spans="1:7" x14ac:dyDescent="0.45">
      <c r="A78">
        <v>67</v>
      </c>
      <c r="B78" s="8" t="n">
        <v>0.0</v>
      </c>
      <c r="C78" s="11">
        <f si="2" t="shared"/>
        <v>0</v>
      </c>
      <c r="E78" s="266">
        <v>67</v>
      </c>
      <c r="F78" s="356" t="n">
        <v>0.0</v>
      </c>
      <c r="G78" s="11">
        <f si="3" t="shared"/>
        <v>0</v>
      </c>
    </row>
    <row r="79" spans="1:7" x14ac:dyDescent="0.45">
      <c r="A79">
        <v>68</v>
      </c>
      <c r="B79" s="8" t="n">
        <v>0.0</v>
      </c>
      <c r="C79" s="11">
        <f si="2" t="shared"/>
        <v>0</v>
      </c>
      <c r="E79" s="267">
        <v>68</v>
      </c>
      <c r="F79" s="357" t="n">
        <v>0.0</v>
      </c>
      <c r="G79" s="11">
        <f si="3" t="shared"/>
        <v>0</v>
      </c>
    </row>
    <row r="80" spans="1:7" x14ac:dyDescent="0.45">
      <c r="A80">
        <v>69</v>
      </c>
      <c r="B80" s="8" t="n">
        <v>0.0</v>
      </c>
      <c r="C80" s="11">
        <f si="2" t="shared"/>
        <v>0</v>
      </c>
      <c r="E80" s="268">
        <v>69</v>
      </c>
      <c r="F80" s="358" t="n">
        <v>0.0</v>
      </c>
      <c r="G80" s="11">
        <f si="3" t="shared"/>
        <v>0</v>
      </c>
    </row>
    <row r="81" spans="1:7" x14ac:dyDescent="0.45">
      <c r="A81">
        <v>70</v>
      </c>
      <c r="B81" s="8" t="n">
        <v>0.0</v>
      </c>
      <c r="C81" s="11">
        <f si="2" t="shared"/>
        <v>0</v>
      </c>
      <c r="E81" s="269">
        <v>70</v>
      </c>
      <c r="F81" s="359" t="n">
        <v>0.0</v>
      </c>
      <c r="G81" s="11">
        <f si="3" t="shared"/>
        <v>0</v>
      </c>
    </row>
    <row r="82" spans="1:7" x14ac:dyDescent="0.45">
      <c r="A82">
        <v>71</v>
      </c>
      <c r="B82" s="8" t="n">
        <v>0.0</v>
      </c>
      <c r="C82" s="11">
        <f si="2" t="shared"/>
        <v>0</v>
      </c>
      <c r="E82" s="270">
        <v>71</v>
      </c>
      <c r="F82" s="360" t="n">
        <v>0.0</v>
      </c>
      <c r="G82" s="11">
        <f si="3" t="shared"/>
        <v>0</v>
      </c>
    </row>
    <row r="83" spans="1:7" x14ac:dyDescent="0.45">
      <c r="A83">
        <v>72</v>
      </c>
      <c r="B83" s="8" t="n">
        <v>0.0</v>
      </c>
      <c r="C83" s="11">
        <f si="2" t="shared"/>
        <v>0</v>
      </c>
      <c r="E83" s="271">
        <v>72</v>
      </c>
      <c r="F83" s="361" t="n">
        <v>0.0</v>
      </c>
      <c r="G83" s="11">
        <f si="3" t="shared"/>
        <v>0</v>
      </c>
    </row>
    <row r="84" spans="1:7" x14ac:dyDescent="0.45">
      <c r="A84">
        <v>73</v>
      </c>
      <c r="B84" s="8" t="n">
        <v>0.0</v>
      </c>
      <c r="C84" s="11">
        <f si="2" t="shared"/>
        <v>0</v>
      </c>
      <c r="E84" s="272">
        <v>73</v>
      </c>
      <c r="F84" s="362" t="n">
        <v>0.0</v>
      </c>
      <c r="G84" s="11">
        <f si="3" t="shared"/>
        <v>0</v>
      </c>
    </row>
    <row r="85" spans="1:7" x14ac:dyDescent="0.45">
      <c r="A85">
        <v>74</v>
      </c>
      <c r="B85" s="8" t="n">
        <v>0.0</v>
      </c>
      <c r="C85" s="11">
        <f si="2" t="shared"/>
        <v>0</v>
      </c>
      <c r="E85" s="273">
        <v>74</v>
      </c>
      <c r="F85" s="363" t="n">
        <v>0.0</v>
      </c>
      <c r="G85" s="11">
        <f si="3" t="shared"/>
        <v>0</v>
      </c>
    </row>
    <row r="86" spans="1:7" x14ac:dyDescent="0.45">
      <c r="A86">
        <v>75</v>
      </c>
      <c r="B86" s="8" t="n">
        <v>0.0</v>
      </c>
      <c r="C86" s="11">
        <f si="2" t="shared"/>
        <v>0</v>
      </c>
      <c r="E86" s="274">
        <v>75</v>
      </c>
      <c r="F86" s="364" t="n">
        <v>0.0</v>
      </c>
      <c r="G86" s="11">
        <f si="3" t="shared"/>
        <v>0</v>
      </c>
    </row>
    <row r="87" spans="1:7" x14ac:dyDescent="0.45">
      <c r="A87">
        <v>76</v>
      </c>
      <c r="B87" s="8" t="n">
        <v>0.0</v>
      </c>
      <c r="C87" s="11">
        <f si="2" t="shared"/>
        <v>0</v>
      </c>
      <c r="E87" s="275">
        <v>76</v>
      </c>
      <c r="F87" s="365" t="n">
        <v>0.0</v>
      </c>
      <c r="G87" s="11">
        <f si="3" t="shared"/>
        <v>0</v>
      </c>
    </row>
    <row r="88" spans="1:7" x14ac:dyDescent="0.45">
      <c r="A88">
        <v>77</v>
      </c>
      <c r="B88" s="8" t="n">
        <v>0.0</v>
      </c>
      <c r="C88" s="11">
        <f si="2" t="shared"/>
        <v>0</v>
      </c>
      <c r="E88" s="276">
        <v>77</v>
      </c>
      <c r="F88" s="366" t="n">
        <v>0.0</v>
      </c>
      <c r="G88" s="11">
        <f si="3" t="shared"/>
        <v>0</v>
      </c>
    </row>
    <row r="89" spans="1:7" x14ac:dyDescent="0.45">
      <c r="A89">
        <v>78</v>
      </c>
      <c r="B89" s="8" t="n">
        <v>0.0</v>
      </c>
      <c r="C89" s="11">
        <f si="2" t="shared"/>
        <v>0</v>
      </c>
      <c r="E89" s="277">
        <v>78</v>
      </c>
      <c r="F89" s="367" t="n">
        <v>0.0</v>
      </c>
      <c r="G89" s="11">
        <f si="3" t="shared"/>
        <v>0</v>
      </c>
    </row>
    <row r="90" spans="1:7" x14ac:dyDescent="0.45">
      <c r="A90">
        <v>79</v>
      </c>
      <c r="B90" s="8" t="n">
        <v>0.0</v>
      </c>
      <c r="C90" s="11">
        <f si="2" t="shared"/>
        <v>0</v>
      </c>
      <c r="E90" s="278">
        <v>79</v>
      </c>
      <c r="F90" s="368" t="n">
        <v>0.0</v>
      </c>
      <c r="G90" s="11">
        <f si="3" t="shared"/>
        <v>0</v>
      </c>
    </row>
    <row r="91" spans="1:7" x14ac:dyDescent="0.45">
      <c r="A91">
        <v>80</v>
      </c>
      <c r="B91" s="8" t="n">
        <v>0.0</v>
      </c>
      <c r="C91" s="11">
        <f si="2" t="shared"/>
        <v>0</v>
      </c>
      <c r="E91" s="279">
        <v>80</v>
      </c>
      <c r="F91" s="369" t="n">
        <v>0.0</v>
      </c>
      <c r="G91" s="11">
        <f si="3" t="shared"/>
        <v>0</v>
      </c>
    </row>
    <row r="92" spans="1:7" x14ac:dyDescent="0.45">
      <c r="A92">
        <v>81</v>
      </c>
      <c r="B92" s="8" t="n">
        <v>0.0</v>
      </c>
      <c r="C92" s="11">
        <f si="2" t="shared"/>
        <v>0</v>
      </c>
      <c r="E92" s="280">
        <v>81</v>
      </c>
      <c r="F92" s="370" t="n">
        <v>0.0</v>
      </c>
      <c r="G92" s="11">
        <f si="3" t="shared"/>
        <v>0</v>
      </c>
    </row>
    <row r="93" spans="1:7" x14ac:dyDescent="0.45">
      <c r="A93">
        <v>82</v>
      </c>
      <c r="B93" s="8" t="n">
        <v>0.0</v>
      </c>
      <c r="C93" s="11">
        <f si="2" t="shared"/>
        <v>0</v>
      </c>
      <c r="E93" s="281">
        <v>82</v>
      </c>
      <c r="F93" s="371" t="n">
        <v>0.0</v>
      </c>
      <c r="G93" s="11">
        <f si="3" t="shared"/>
        <v>0</v>
      </c>
    </row>
    <row r="94" spans="1:7" x14ac:dyDescent="0.45">
      <c r="A94">
        <v>83</v>
      </c>
      <c r="B94" s="8" t="n">
        <v>0.0</v>
      </c>
      <c r="C94" s="11">
        <f si="2" t="shared"/>
        <v>0</v>
      </c>
      <c r="E94" s="282">
        <v>83</v>
      </c>
      <c r="F94" s="372" t="n">
        <v>0.0</v>
      </c>
      <c r="G94" s="11">
        <f si="3" t="shared"/>
        <v>0</v>
      </c>
    </row>
    <row r="95" spans="1:7" x14ac:dyDescent="0.45">
      <c r="A95">
        <v>84</v>
      </c>
      <c r="B95" s="8" t="n">
        <v>0.0</v>
      </c>
      <c r="C95" s="11">
        <f si="2" t="shared"/>
        <v>0</v>
      </c>
      <c r="E95" s="283">
        <v>84</v>
      </c>
      <c r="F95" s="373" t="n">
        <v>0.0</v>
      </c>
      <c r="G95" s="11">
        <f si="3" t="shared"/>
        <v>0</v>
      </c>
    </row>
    <row r="96" spans="1:7" x14ac:dyDescent="0.45">
      <c r="A96">
        <v>85</v>
      </c>
      <c r="B96" s="8" t="n">
        <v>0.0</v>
      </c>
      <c r="C96" s="11">
        <f si="2" t="shared"/>
        <v>0</v>
      </c>
      <c r="E96" s="284">
        <v>85</v>
      </c>
      <c r="F96" s="374" t="n">
        <v>0.0</v>
      </c>
      <c r="G96" s="11">
        <f si="3" t="shared"/>
        <v>0</v>
      </c>
    </row>
    <row r="97" spans="1:7" x14ac:dyDescent="0.45">
      <c r="A97">
        <v>86</v>
      </c>
      <c r="B97" s="8" t="n">
        <v>0.0</v>
      </c>
      <c r="C97" s="11">
        <f si="2" t="shared"/>
        <v>0</v>
      </c>
      <c r="E97" s="285">
        <v>86</v>
      </c>
      <c r="F97" s="375" t="n">
        <v>0.0</v>
      </c>
      <c r="G97" s="11">
        <f si="3" t="shared"/>
        <v>0</v>
      </c>
    </row>
    <row r="98" spans="1:7" x14ac:dyDescent="0.45">
      <c r="A98">
        <v>87</v>
      </c>
      <c r="B98" s="8" t="n">
        <v>0.0</v>
      </c>
      <c r="C98" s="11">
        <f si="2" t="shared"/>
        <v>0</v>
      </c>
      <c r="E98" s="286">
        <v>87</v>
      </c>
      <c r="F98" s="376" t="n">
        <v>0.0</v>
      </c>
      <c r="G98" s="11">
        <f si="3" t="shared"/>
        <v>0</v>
      </c>
    </row>
    <row r="99" spans="1:7" x14ac:dyDescent="0.45">
      <c r="A99">
        <v>88</v>
      </c>
      <c r="B99" s="8" t="n">
        <v>0.0</v>
      </c>
      <c r="C99" s="11">
        <f si="2" t="shared"/>
        <v>0</v>
      </c>
      <c r="E99" s="287">
        <v>88</v>
      </c>
      <c r="F99" s="377" t="n">
        <v>0.0</v>
      </c>
      <c r="G99" s="11">
        <f si="3" t="shared"/>
        <v>0</v>
      </c>
    </row>
    <row r="100" spans="1:7" x14ac:dyDescent="0.45">
      <c r="A100">
        <v>89</v>
      </c>
      <c r="B100" s="8" t="n">
        <v>0.0</v>
      </c>
      <c r="C100" s="11">
        <f si="2" t="shared"/>
        <v>0</v>
      </c>
      <c r="E100" s="288">
        <v>89</v>
      </c>
      <c r="F100" s="378" t="n">
        <v>0.0</v>
      </c>
      <c r="G100" s="11">
        <f si="3" t="shared"/>
        <v>0</v>
      </c>
    </row>
    <row ht="14.65" r="101" spans="1:7" thickBot="1" x14ac:dyDescent="0.5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0.0</v>
      </c>
      <c r="G101" s="11">
        <f si="3" t="shared"/>
        <v>0</v>
      </c>
    </row>
    <row r="102" spans="1:7" x14ac:dyDescent="0.45">
      <c r="B102" s="8">
        <f>SUM(B11:B101)</f>
        <v>137000</v>
      </c>
      <c r="C102" s="11">
        <f si="2" t="shared"/>
        <v>1</v>
      </c>
      <c r="F102" s="8">
        <f>SUM(F11:F101)</f>
        <v>137000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H5" workbookViewId="0" zoomScaleNormal="100">
      <selection activeCell="L5" sqref="L5"/>
    </sheetView>
  </sheetViews>
  <sheetFormatPr defaultRowHeight="14.25" x14ac:dyDescent="0.45"/>
  <cols>
    <col min="4" max="4" bestFit="true" customWidth="true" width="12.265625" collapsed="true"/>
    <col min="15" max="15" bestFit="true" customWidth="true" width="12.265625" collapsed="true"/>
    <col min="26" max="26" bestFit="true" customWidth="true" width="12.265625" collapsed="true"/>
  </cols>
  <sheetData>
    <row r="1" spans="1:21" x14ac:dyDescent="0.45">
      <c r="A1" t="s">
        <v>2</v>
      </c>
    </row>
    <row r="2" spans="1:21" x14ac:dyDescent="0.45">
      <c r="A2" t="s">
        <v>46</v>
      </c>
    </row>
    <row r="3" spans="1:21" x14ac:dyDescent="0.45">
      <c r="A3" t="s">
        <v>16</v>
      </c>
    </row>
    <row ht="14.65" r="5" spans="1:21" thickBot="1" x14ac:dyDescent="0.5">
      <c r="A5" s="4" t="s">
        <v>53</v>
      </c>
      <c r="B5" s="1"/>
      <c r="C5" s="1"/>
      <c r="D5" s="1"/>
      <c r="E5" s="1"/>
      <c r="F5" s="1"/>
      <c r="G5" s="1"/>
      <c r="H5" s="1"/>
      <c r="I5" s="1"/>
      <c r="J5" s="1"/>
      <c r="L5" s="4" t="s">
        <v>49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14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15</v>
      </c>
      <c r="J6" s="3" t="s">
        <v>4</v>
      </c>
      <c r="L6" s="2" t="s">
        <v>14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15</v>
      </c>
      <c r="U6" s="3" t="s">
        <v>4</v>
      </c>
    </row>
    <row r="7" spans="1:21" x14ac:dyDescent="0.45">
      <c r="A7" s="384" t="s">
        <v>36</v>
      </c>
      <c r="B7" s="12" t="n">
        <v>120000.0</v>
      </c>
      <c r="C7" s="12" t="n">
        <v>0.0</v>
      </c>
      <c r="D7" s="12" t="n">
        <v>0.0</v>
      </c>
      <c r="E7" s="12" t="n">
        <v>0.0</v>
      </c>
      <c r="F7" s="12" t="n">
        <v>0.0</v>
      </c>
      <c r="G7" s="12" t="n">
        <v>0.0</v>
      </c>
      <c r="H7" s="12" t="n">
        <v>0.0</v>
      </c>
      <c r="I7" s="12"/>
      <c r="J7" s="12">
        <f>SUM(B7:I7)</f>
        <v>137000</v>
      </c>
      <c r="K7" s="12"/>
      <c r="L7" t="str">
        <f>$A$7</f>
        <v>Williamson</v>
      </c>
      <c r="M7" s="381" t="n">
        <v>120000.0</v>
      </c>
      <c r="N7" s="381" t="n">
        <v>0.0</v>
      </c>
      <c r="O7" s="381" t="n">
        <v>0.0</v>
      </c>
      <c r="P7" s="381" t="n">
        <v>0.0</v>
      </c>
      <c r="Q7" s="381" t="n">
        <v>0.0</v>
      </c>
      <c r="R7" s="381" t="n">
        <v>0.0</v>
      </c>
      <c r="S7" s="381" t="n">
        <v>0.0</v>
      </c>
      <c r="T7" s="381"/>
      <c r="U7" s="12">
        <f>SUM(M7:T7)</f>
        <v>137000</v>
      </c>
    </row>
    <row r="8" spans="1:21" x14ac:dyDescent="0.45">
      <c r="A8" t="s">
        <v>37</v>
      </c>
      <c r="B8" s="12" t="n">
        <v>0.0</v>
      </c>
      <c r="C8" s="12" t="n">
        <v>0.0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0</v>
      </c>
      <c r="K8" s="12"/>
      <c r="L8" t="str">
        <f>$A$8</f>
        <v>Rutherford</v>
      </c>
      <c r="M8" s="381" t="n">
        <v>0.0</v>
      </c>
      <c r="N8" s="381" t="n">
        <v>0.0</v>
      </c>
      <c r="O8" s="381" t="n">
        <v>0.0</v>
      </c>
      <c r="P8" s="381" t="n">
        <v>0.0</v>
      </c>
      <c r="Q8" s="381" t="n">
        <v>0.0</v>
      </c>
      <c r="R8" s="381" t="n">
        <v>0.0</v>
      </c>
      <c r="S8" s="381" t="n">
        <v>0.0</v>
      </c>
      <c r="T8" s="381"/>
      <c r="U8" s="12">
        <f ref="U8:U14" si="1" t="shared">SUM(M8:T8)</f>
        <v>0</v>
      </c>
    </row>
    <row r="9" spans="1:21" x14ac:dyDescent="0.45">
      <c r="A9" t="s">
        <v>38</v>
      </c>
      <c r="B9" s="12" t="n">
        <v>0.0</v>
      </c>
      <c r="C9" s="12" t="n">
        <v>0.0</v>
      </c>
      <c r="D9" s="12" t="n">
        <v>0.0</v>
      </c>
      <c r="E9" s="12" t="n">
        <v>0.0</v>
      </c>
      <c r="F9" s="12" t="n">
        <v>0.0</v>
      </c>
      <c r="G9" s="12" t="n">
        <v>0.0</v>
      </c>
      <c r="H9" s="12" t="n">
        <v>0.0</v>
      </c>
      <c r="I9" s="12"/>
      <c r="J9" s="12">
        <f si="0" t="shared"/>
        <v>0</v>
      </c>
      <c r="K9" s="13"/>
      <c r="L9" t="str">
        <f>$A$9</f>
        <v>Sumner</v>
      </c>
      <c r="M9" s="381" t="n">
        <v>0.0</v>
      </c>
      <c r="N9" s="381" t="n">
        <v>0.0</v>
      </c>
      <c r="O9" s="381" t="n">
        <v>0.0</v>
      </c>
      <c r="P9" s="381" t="n">
        <v>0.0</v>
      </c>
      <c r="Q9" s="381" t="n">
        <v>0.0</v>
      </c>
      <c r="R9" s="381" t="n">
        <v>0.0</v>
      </c>
      <c r="S9" s="381" t="n">
        <v>0.0</v>
      </c>
      <c r="T9" s="381"/>
      <c r="U9" s="12">
        <f si="1" t="shared"/>
        <v>0</v>
      </c>
    </row>
    <row r="10" spans="1:21" x14ac:dyDescent="0.45">
      <c r="A10" t="s">
        <v>39</v>
      </c>
      <c r="B10" s="12" t="n">
        <v>0.0</v>
      </c>
      <c r="C10" s="12" t="n">
        <v>0.0</v>
      </c>
      <c r="D10" s="12" t="n">
        <v>0.0</v>
      </c>
      <c r="E10" s="12" t="n">
        <v>0.0</v>
      </c>
      <c r="F10" s="12" t="n">
        <v>0.0</v>
      </c>
      <c r="G10" s="12" t="n">
        <v>0.0</v>
      </c>
      <c r="H10" s="12" t="n">
        <v>0.0</v>
      </c>
      <c r="I10" s="12"/>
      <c r="J10" s="12">
        <f si="0" t="shared"/>
        <v>0</v>
      </c>
      <c r="K10" s="13"/>
      <c r="L10" t="str">
        <f>$A$10</f>
        <v>Roberston</v>
      </c>
      <c r="M10" s="381" t="n">
        <v>0.0</v>
      </c>
      <c r="N10" s="381" t="n">
        <v>0.0</v>
      </c>
      <c r="O10" s="381" t="n">
        <v>0.0</v>
      </c>
      <c r="P10" s="381" t="n">
        <v>0.0</v>
      </c>
      <c r="Q10" s="381" t="n">
        <v>0.0</v>
      </c>
      <c r="R10" s="381" t="n">
        <v>0.0</v>
      </c>
      <c r="S10" s="381" t="n">
        <v>0.0</v>
      </c>
      <c r="T10" s="381"/>
      <c r="U10" s="12">
        <f si="1" t="shared"/>
        <v>0</v>
      </c>
    </row>
    <row r="11" spans="1:21" x14ac:dyDescent="0.45">
      <c r="A11" t="s">
        <v>40</v>
      </c>
      <c r="B11" s="12" t="n">
        <v>0.0</v>
      </c>
      <c r="C11" s="12" t="n">
        <v>0.0</v>
      </c>
      <c r="D11" s="12" t="n">
        <v>0.0</v>
      </c>
      <c r="E11" s="12" t="n">
        <v>0.0</v>
      </c>
      <c r="F11" s="12" t="n">
        <v>0.0</v>
      </c>
      <c r="G11" s="12" t="n">
        <v>0.0</v>
      </c>
      <c r="H11" s="12" t="n">
        <v>0.0</v>
      </c>
      <c r="I11" s="12"/>
      <c r="J11" s="12">
        <f si="0" t="shared"/>
        <v>0</v>
      </c>
      <c r="K11" s="13"/>
      <c r="L11" t="str">
        <f>$A$11</f>
        <v>Davidson</v>
      </c>
      <c r="M11" s="381" t="n">
        <v>0.0</v>
      </c>
      <c r="N11" s="381" t="n">
        <v>0.0</v>
      </c>
      <c r="O11" s="381" t="n">
        <v>0.0</v>
      </c>
      <c r="P11" s="381" t="n">
        <v>0.0</v>
      </c>
      <c r="Q11" s="381" t="n">
        <v>0.0</v>
      </c>
      <c r="R11" s="381" t="n">
        <v>0.0</v>
      </c>
      <c r="S11" s="381" t="n">
        <v>0.0</v>
      </c>
      <c r="T11" s="381"/>
      <c r="U11" s="12">
        <f si="1" t="shared"/>
        <v>0</v>
      </c>
    </row>
    <row r="12" spans="1:21" x14ac:dyDescent="0.45">
      <c r="A12" t="s">
        <v>41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12" t="n">
        <v>0.0</v>
      </c>
      <c r="I12" s="12"/>
      <c r="J12" s="12">
        <f si="0" t="shared"/>
        <v>0</v>
      </c>
      <c r="K12" s="13"/>
      <c r="L12" t="str">
        <f>$A$12</f>
        <v>Maury</v>
      </c>
      <c r="M12" s="381" t="n">
        <v>0.0</v>
      </c>
      <c r="N12" s="381" t="n">
        <v>0.0</v>
      </c>
      <c r="O12" s="381" t="n">
        <v>0.0</v>
      </c>
      <c r="P12" s="381" t="n">
        <v>0.0</v>
      </c>
      <c r="Q12" s="381" t="n">
        <v>0.0</v>
      </c>
      <c r="R12" s="381" t="n">
        <v>0.0</v>
      </c>
      <c r="S12" s="381" t="n">
        <v>0.0</v>
      </c>
      <c r="T12" s="381"/>
      <c r="U12" s="12">
        <f si="1" t="shared"/>
        <v>0</v>
      </c>
    </row>
    <row r="13" spans="1:21" x14ac:dyDescent="0.45">
      <c r="A13" t="s">
        <v>42</v>
      </c>
      <c r="B13" s="12" t="n">
        <v>0.0</v>
      </c>
      <c r="C13" s="12" t="n">
        <v>0.0</v>
      </c>
      <c r="D13" s="12" t="n">
        <v>0.0</v>
      </c>
      <c r="E13" s="12" t="n">
        <v>0.0</v>
      </c>
      <c r="F13" s="12" t="n">
        <v>0.0</v>
      </c>
      <c r="G13" s="12" t="n">
        <v>0.0</v>
      </c>
      <c r="H13" s="12" t="n">
        <v>0.0</v>
      </c>
      <c r="I13" s="12"/>
      <c r="J13" s="12">
        <f si="0" t="shared"/>
        <v>0</v>
      </c>
      <c r="K13" s="13"/>
      <c r="L13" t="str">
        <f>$A$13</f>
        <v>Wilson</v>
      </c>
      <c r="M13" s="381" t="n">
        <v>0.0</v>
      </c>
      <c r="N13" s="381" t="n">
        <v>0.0</v>
      </c>
      <c r="O13" s="381" t="n">
        <v>0.0</v>
      </c>
      <c r="P13" s="381" t="n">
        <v>0.0</v>
      </c>
      <c r="Q13" s="381" t="n">
        <v>0.0</v>
      </c>
      <c r="R13" s="381" t="n">
        <v>0.0</v>
      </c>
      <c r="S13" s="381" t="n">
        <v>0.0</v>
      </c>
      <c r="T13" s="381"/>
      <c r="U13" s="12">
        <f si="1" t="shared"/>
        <v>0</v>
      </c>
    </row>
    <row r="14" spans="1:21" x14ac:dyDescent="0.45">
      <c r="A14" s="7" t="s">
        <v>15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383" t="s">
        <v>15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4.65" r="15" spans="1:21" thickBot="1" x14ac:dyDescent="0.5">
      <c r="A15" s="1" t="s">
        <v>4</v>
      </c>
      <c r="B15" s="15">
        <f ref="B15:J15" si="2" t="shared">SUM(B7:B14)</f>
        <v>137000</v>
      </c>
      <c r="C15" s="15">
        <f si="2" t="shared"/>
        <v>0</v>
      </c>
      <c r="D15" s="15">
        <f si="2" t="shared"/>
        <v>0</v>
      </c>
      <c r="E15" s="15">
        <f si="2" t="shared"/>
        <v>0</v>
      </c>
      <c r="F15" s="15">
        <f si="2" t="shared"/>
        <v>0</v>
      </c>
      <c r="G15" s="15">
        <f si="2" t="shared"/>
        <v>0</v>
      </c>
      <c r="H15" s="15">
        <f si="2" t="shared"/>
        <v>0</v>
      </c>
      <c r="I15" s="15">
        <f si="2" t="shared"/>
        <v>0</v>
      </c>
      <c r="J15" s="15">
        <f si="2" t="shared"/>
        <v>137000</v>
      </c>
      <c r="K15" s="12"/>
      <c r="L15" s="15" t="s">
        <v>4</v>
      </c>
      <c r="M15" s="15">
        <f ref="M15:U15" si="3" t="shared">SUM(M7:M14)</f>
        <v>137000</v>
      </c>
      <c r="N15" s="15">
        <f si="3" t="shared"/>
        <v>0</v>
      </c>
      <c r="O15" s="15">
        <f si="3" t="shared"/>
        <v>0</v>
      </c>
      <c r="P15" s="15">
        <f si="3" t="shared"/>
        <v>0</v>
      </c>
      <c r="Q15" s="15">
        <f si="3" t="shared"/>
        <v>0</v>
      </c>
      <c r="R15" s="15">
        <f si="3" t="shared"/>
        <v>0</v>
      </c>
      <c r="S15" s="15">
        <f si="3" t="shared"/>
        <v>0</v>
      </c>
      <c r="T15" s="15">
        <f si="3" t="shared"/>
        <v>0</v>
      </c>
      <c r="U15" s="15">
        <f si="3" t="shared"/>
        <v>137000</v>
      </c>
    </row>
    <row ht="14.65" r="18" spans="1:32" thickBot="1" x14ac:dyDescent="0.5">
      <c r="A18" s="4" t="s">
        <v>54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50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14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15</v>
      </c>
      <c r="J19" s="3" t="s">
        <v>4</v>
      </c>
      <c r="L19" s="2" t="s">
        <v>14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15</v>
      </c>
      <c r="U19" s="3" t="s">
        <v>4</v>
      </c>
    </row>
    <row r="20" spans="1:32" x14ac:dyDescent="0.45">
      <c r="A20" t="str">
        <f>$A$7</f>
        <v>Williamson</v>
      </c>
      <c r="B20" s="12">
        <f ref="B20:I20" si="4" t="shared">($U7/$J7)*B7</f>
        <v>137000</v>
      </c>
      <c r="C20" s="12">
        <f si="4" t="shared"/>
        <v>0</v>
      </c>
      <c r="D20" s="12">
        <f si="4" t="shared"/>
        <v>0</v>
      </c>
      <c r="E20" s="12">
        <f si="4" t="shared"/>
        <v>0</v>
      </c>
      <c r="F20" s="12">
        <f si="4" t="shared"/>
        <v>0</v>
      </c>
      <c r="G20" s="12">
        <f si="4" t="shared"/>
        <v>0</v>
      </c>
      <c r="H20" s="12">
        <f si="4" t="shared"/>
        <v>0</v>
      </c>
      <c r="I20" s="12">
        <f si="4" t="shared"/>
        <v>0</v>
      </c>
      <c r="J20" s="12">
        <f>SUM(B20:I20)</f>
        <v>137000</v>
      </c>
      <c r="K20" s="12"/>
      <c r="L20" t="str">
        <f>$A$7</f>
        <v>Williamson</v>
      </c>
      <c r="M20" s="12">
        <f ref="M20:M26" si="5" t="shared">M7</f>
        <v>137000</v>
      </c>
      <c r="N20" s="12">
        <f ref="N20:U20" si="6" t="shared">N7</f>
        <v>0</v>
      </c>
      <c r="O20" s="12">
        <f si="6" t="shared"/>
        <v>0</v>
      </c>
      <c r="P20" s="12">
        <f si="6" t="shared"/>
        <v>0</v>
      </c>
      <c r="Q20" s="12">
        <f si="6" t="shared"/>
        <v>0</v>
      </c>
      <c r="R20" s="12">
        <f si="6" t="shared"/>
        <v>0</v>
      </c>
      <c r="S20" s="12">
        <f si="6" t="shared"/>
        <v>0</v>
      </c>
      <c r="T20" s="12"/>
      <c r="U20" s="12">
        <f si="6" t="shared"/>
        <v>137000</v>
      </c>
    </row>
    <row r="21" spans="1:32" x14ac:dyDescent="0.45">
      <c r="A21" t="str">
        <f>$A$8</f>
        <v>Rutherford</v>
      </c>
      <c r="B21" s="12" t="e">
        <f ref="B21:G25" si="7" t="shared">($U8/$J8)*B8</f>
        <v>#DIV/0!</v>
      </c>
      <c r="C21" s="12" t="e">
        <f si="7" t="shared"/>
        <v>#DIV/0!</v>
      </c>
      <c r="D21" s="12" t="e">
        <f si="7" t="shared"/>
        <v>#DIV/0!</v>
      </c>
      <c r="E21" s="12" t="e">
        <f si="7" t="shared"/>
        <v>#DIV/0!</v>
      </c>
      <c r="F21" s="12" t="e">
        <f si="7" t="shared"/>
        <v>#DIV/0!</v>
      </c>
      <c r="G21" s="12" t="e">
        <f si="7" t="shared"/>
        <v>#DIV/0!</v>
      </c>
      <c r="H21" s="12" t="e">
        <f ref="H21:I26" si="8" t="shared">($U8/$J8)*H8</f>
        <v>#DIV/0!</v>
      </c>
      <c r="I21" s="12" t="e">
        <f>($U8/$J8)*I8</f>
        <v>#DIV/0!</v>
      </c>
      <c r="J21" s="12" t="e">
        <f ref="J21:J27" si="9" t="shared">SUM(B21:I21)</f>
        <v>#DIV/0!</v>
      </c>
      <c r="K21" s="12"/>
      <c r="L21" t="str">
        <f>$A$8</f>
        <v>Rutherford</v>
      </c>
      <c r="M21" s="12">
        <f si="5" t="shared"/>
        <v>0</v>
      </c>
      <c r="N21" s="12">
        <f ref="N21:R25" si="10" t="shared">N8</f>
        <v>0</v>
      </c>
      <c r="O21" s="12">
        <f si="10" t="shared"/>
        <v>0</v>
      </c>
      <c r="P21" s="12">
        <f si="10" t="shared"/>
        <v>0</v>
      </c>
      <c r="Q21" s="12">
        <f si="10" t="shared"/>
        <v>0</v>
      </c>
      <c r="R21" s="12">
        <f si="10" t="shared"/>
        <v>0</v>
      </c>
      <c r="S21" s="12">
        <f ref="S21" si="11" t="shared">S8</f>
        <v>0</v>
      </c>
      <c r="T21" s="12"/>
      <c r="U21" s="12">
        <f ref="U21:U26" si="12" t="shared">U8</f>
        <v>0</v>
      </c>
    </row>
    <row r="22" spans="1:32" x14ac:dyDescent="0.45">
      <c r="A22" t="str">
        <f>$A$9</f>
        <v>Sumner</v>
      </c>
      <c r="B22" s="12" t="e">
        <f si="7" t="shared"/>
        <v>#DIV/0!</v>
      </c>
      <c r="C22" s="12" t="e">
        <f si="7" t="shared"/>
        <v>#DIV/0!</v>
      </c>
      <c r="D22" s="12" t="e">
        <f si="7" t="shared"/>
        <v>#DIV/0!</v>
      </c>
      <c r="E22" s="12" t="e">
        <f si="7" t="shared"/>
        <v>#DIV/0!</v>
      </c>
      <c r="F22" s="12" t="e">
        <f si="7" t="shared"/>
        <v>#DIV/0!</v>
      </c>
      <c r="G22" s="12" t="e">
        <f si="7" t="shared"/>
        <v>#DIV/0!</v>
      </c>
      <c r="H22" s="12" t="e">
        <f si="8" t="shared"/>
        <v>#DIV/0!</v>
      </c>
      <c r="I22" s="12" t="e">
        <f>($U9/$J9)*I9</f>
        <v>#DIV/0!</v>
      </c>
      <c r="J22" s="12" t="e">
        <f si="9" t="shared"/>
        <v>#DIV/0!</v>
      </c>
      <c r="K22" s="13"/>
      <c r="L22" t="str">
        <f>$A$9</f>
        <v>Sumner</v>
      </c>
      <c r="M22" s="12">
        <f si="5" t="shared"/>
        <v>0</v>
      </c>
      <c r="N22" s="12">
        <f si="10" t="shared"/>
        <v>0</v>
      </c>
      <c r="O22" s="12">
        <f si="10" t="shared"/>
        <v>0</v>
      </c>
      <c r="P22" s="12">
        <f si="10" t="shared"/>
        <v>0</v>
      </c>
      <c r="Q22" s="12">
        <f si="10" t="shared"/>
        <v>0</v>
      </c>
      <c r="R22" s="12">
        <f si="10" t="shared"/>
        <v>0</v>
      </c>
      <c r="S22" s="12">
        <f ref="S22" si="13" t="shared">S9</f>
        <v>0</v>
      </c>
      <c r="T22" s="12"/>
      <c r="U22" s="12">
        <f si="12" t="shared"/>
        <v>0</v>
      </c>
    </row>
    <row r="23" spans="1:32" x14ac:dyDescent="0.45">
      <c r="A23" t="str">
        <f>$A$10</f>
        <v>Roberston</v>
      </c>
      <c r="B23" s="12" t="e">
        <f si="7" t="shared"/>
        <v>#DIV/0!</v>
      </c>
      <c r="C23" s="12" t="e">
        <f si="7" t="shared"/>
        <v>#DIV/0!</v>
      </c>
      <c r="D23" s="12" t="e">
        <f si="7" t="shared"/>
        <v>#DIV/0!</v>
      </c>
      <c r="E23" s="12" t="e">
        <f si="7" t="shared"/>
        <v>#DIV/0!</v>
      </c>
      <c r="F23" s="12" t="e">
        <f si="7" t="shared"/>
        <v>#DIV/0!</v>
      </c>
      <c r="G23" s="12" t="e">
        <f si="7" t="shared"/>
        <v>#DIV/0!</v>
      </c>
      <c r="H23" s="12" t="e">
        <f si="8" t="shared"/>
        <v>#DIV/0!</v>
      </c>
      <c r="I23" s="12" t="e">
        <f>($U10/$J10)*I10</f>
        <v>#DIV/0!</v>
      </c>
      <c r="J23" s="12" t="e">
        <f>SUM(B23:I23)</f>
        <v>#DIV/0!</v>
      </c>
      <c r="K23" s="13"/>
      <c r="L23" t="str">
        <f>$A$10</f>
        <v>Roberston</v>
      </c>
      <c r="M23" s="12">
        <f si="5" t="shared"/>
        <v>0</v>
      </c>
      <c r="N23" s="12">
        <f si="10" t="shared"/>
        <v>0</v>
      </c>
      <c r="O23" s="12">
        <f si="10" t="shared"/>
        <v>0</v>
      </c>
      <c r="P23" s="12">
        <f si="10" t="shared"/>
        <v>0</v>
      </c>
      <c r="Q23" s="12">
        <f si="10" t="shared"/>
        <v>0</v>
      </c>
      <c r="R23" s="12">
        <f si="10" t="shared"/>
        <v>0</v>
      </c>
      <c r="S23" s="12">
        <f ref="S23" si="14" t="shared">S10</f>
        <v>0</v>
      </c>
      <c r="T23" s="12"/>
      <c r="U23" s="12">
        <f si="12" t="shared"/>
        <v>0</v>
      </c>
    </row>
    <row r="24" spans="1:32" x14ac:dyDescent="0.45">
      <c r="A24" t="str">
        <f>$A$11</f>
        <v>Davidson</v>
      </c>
      <c r="B24" s="12" t="e">
        <f si="7" t="shared"/>
        <v>#DIV/0!</v>
      </c>
      <c r="C24" s="12" t="e">
        <f si="7" t="shared"/>
        <v>#DIV/0!</v>
      </c>
      <c r="D24" s="12" t="e">
        <f si="7" t="shared"/>
        <v>#DIV/0!</v>
      </c>
      <c r="E24" s="12" t="e">
        <f si="7" t="shared"/>
        <v>#DIV/0!</v>
      </c>
      <c r="F24" s="12" t="e">
        <f si="7" t="shared"/>
        <v>#DIV/0!</v>
      </c>
      <c r="G24" s="12" t="e">
        <f si="7" t="shared"/>
        <v>#DIV/0!</v>
      </c>
      <c r="H24" s="12" t="e">
        <f si="8" t="shared"/>
        <v>#DIV/0!</v>
      </c>
      <c r="I24" s="12" t="e">
        <f>($U11/$J11)*I11</f>
        <v>#DIV/0!</v>
      </c>
      <c r="J24" s="12" t="e">
        <f si="9" t="shared"/>
        <v>#DIV/0!</v>
      </c>
      <c r="K24" s="13"/>
      <c r="L24" t="str">
        <f>$A$11</f>
        <v>Davidson</v>
      </c>
      <c r="M24" s="12">
        <f si="5" t="shared"/>
        <v>0</v>
      </c>
      <c r="N24" s="12">
        <f si="10" t="shared"/>
        <v>0</v>
      </c>
      <c r="O24" s="12">
        <f si="10" t="shared"/>
        <v>0</v>
      </c>
      <c r="P24" s="12">
        <f si="10" t="shared"/>
        <v>0</v>
      </c>
      <c r="Q24" s="12">
        <f si="10" t="shared"/>
        <v>0</v>
      </c>
      <c r="R24" s="12">
        <f si="10" t="shared"/>
        <v>0</v>
      </c>
      <c r="S24" s="12">
        <f ref="S24" si="15" t="shared">S11</f>
        <v>0</v>
      </c>
      <c r="T24" s="12"/>
      <c r="U24" s="12">
        <f si="12" t="shared"/>
        <v>0</v>
      </c>
    </row>
    <row r="25" spans="1:32" x14ac:dyDescent="0.45">
      <c r="A25" t="str">
        <f>$A$12</f>
        <v>Maury</v>
      </c>
      <c r="B25" s="12" t="e">
        <f si="7" t="shared"/>
        <v>#DIV/0!</v>
      </c>
      <c r="C25" s="12" t="e">
        <f si="7" t="shared"/>
        <v>#DIV/0!</v>
      </c>
      <c r="D25" s="12" t="e">
        <f si="7" t="shared"/>
        <v>#DIV/0!</v>
      </c>
      <c r="E25" s="12" t="e">
        <f si="7" t="shared"/>
        <v>#DIV/0!</v>
      </c>
      <c r="F25" s="12" t="e">
        <f si="7" t="shared"/>
        <v>#DIV/0!</v>
      </c>
      <c r="G25" s="12" t="e">
        <f si="7" t="shared"/>
        <v>#DIV/0!</v>
      </c>
      <c r="H25" s="12" t="e">
        <f si="8" t="shared"/>
        <v>#DIV/0!</v>
      </c>
      <c r="I25" s="12" t="e">
        <f>($U12/$J12)*I12</f>
        <v>#DIV/0!</v>
      </c>
      <c r="J25" s="12" t="e">
        <f si="9" t="shared"/>
        <v>#DIV/0!</v>
      </c>
      <c r="K25" s="13"/>
      <c r="L25" t="str">
        <f>$A$12</f>
        <v>Maury</v>
      </c>
      <c r="M25" s="12">
        <f si="5" t="shared"/>
        <v>0</v>
      </c>
      <c r="N25" s="12">
        <f si="10" t="shared"/>
        <v>0</v>
      </c>
      <c r="O25" s="12">
        <f si="10" t="shared"/>
        <v>0</v>
      </c>
      <c r="P25" s="12">
        <f si="10" t="shared"/>
        <v>0</v>
      </c>
      <c r="Q25" s="12">
        <f si="10" t="shared"/>
        <v>0</v>
      </c>
      <c r="R25" s="12">
        <f si="10" t="shared"/>
        <v>0</v>
      </c>
      <c r="S25" s="12">
        <f ref="S25" si="16" t="shared">S12</f>
        <v>0</v>
      </c>
      <c r="T25" s="12"/>
      <c r="U25" s="12">
        <f si="12" t="shared"/>
        <v>0</v>
      </c>
    </row>
    <row r="26" spans="1:32" x14ac:dyDescent="0.45">
      <c r="A26" t="str">
        <f>$A$13</f>
        <v>Wilson</v>
      </c>
      <c r="B26" s="12" t="e">
        <f>($U13/$J13)*B13</f>
        <v>#DIV/0!</v>
      </c>
      <c r="C26" s="12" t="e">
        <f ref="C26:G26" si="17" t="shared">($U13/$J13)*C13</f>
        <v>#DIV/0!</v>
      </c>
      <c r="D26" s="12" t="e">
        <f si="17" t="shared"/>
        <v>#DIV/0!</v>
      </c>
      <c r="E26" s="12" t="e">
        <f si="17" t="shared"/>
        <v>#DIV/0!</v>
      </c>
      <c r="F26" s="12" t="e">
        <f si="17" t="shared"/>
        <v>#DIV/0!</v>
      </c>
      <c r="G26" s="12" t="e">
        <f si="17" t="shared"/>
        <v>#DIV/0!</v>
      </c>
      <c r="H26" s="12" t="e">
        <f si="8" t="shared"/>
        <v>#DIV/0!</v>
      </c>
      <c r="I26" s="12" t="e">
        <f si="8" t="shared"/>
        <v>#DIV/0!</v>
      </c>
      <c r="J26" s="12" t="e">
        <f si="9" t="shared"/>
        <v>#DIV/0!</v>
      </c>
      <c r="K26" s="13"/>
      <c r="L26" t="str">
        <f>$A$13</f>
        <v>Wilson</v>
      </c>
      <c r="M26" s="12">
        <f si="5" t="shared"/>
        <v>0</v>
      </c>
      <c r="N26" s="12">
        <f ref="N26:S26" si="18" t="shared">N13</f>
        <v>0</v>
      </c>
      <c r="O26" s="12">
        <f si="18" t="shared"/>
        <v>0</v>
      </c>
      <c r="P26" s="12">
        <f si="18" t="shared"/>
        <v>0</v>
      </c>
      <c r="Q26" s="12">
        <f si="18" t="shared"/>
        <v>0</v>
      </c>
      <c r="R26" s="12">
        <f si="18" t="shared"/>
        <v>0</v>
      </c>
      <c r="S26" s="12">
        <f si="18" t="shared"/>
        <v>0</v>
      </c>
      <c r="T26" s="12"/>
      <c r="U26" s="12">
        <f si="12" t="shared"/>
        <v>0</v>
      </c>
    </row>
    <row r="27" spans="1:32" x14ac:dyDescent="0.45">
      <c r="A27" s="7" t="s">
        <v>15</v>
      </c>
      <c r="B27" s="14"/>
      <c r="C27" s="14"/>
      <c r="D27" s="14"/>
      <c r="E27" s="14"/>
      <c r="F27" s="14"/>
      <c r="G27" s="14"/>
      <c r="H27" s="14"/>
      <c r="I27" s="14"/>
      <c r="J27" s="14">
        <f si="9" t="shared"/>
        <v>0</v>
      </c>
      <c r="K27" s="12"/>
      <c r="L27" s="383" t="s">
        <v>15</v>
      </c>
      <c r="M27" s="14"/>
      <c r="N27" s="14"/>
      <c r="O27" s="14"/>
      <c r="P27" s="14"/>
      <c r="Q27" s="14"/>
      <c r="R27" s="14"/>
      <c r="S27" s="14"/>
      <c r="T27" s="14"/>
      <c r="U27" s="14"/>
    </row>
    <row ht="14.65" r="28" spans="1:32" thickBot="1" x14ac:dyDescent="0.5">
      <c r="A28" s="1" t="s">
        <v>4</v>
      </c>
      <c r="B28" s="15" t="e">
        <f ref="B28:J28" si="19" t="shared">SUM(B20:B27)</f>
        <v>#DIV/0!</v>
      </c>
      <c r="C28" s="15" t="e">
        <f si="19" t="shared"/>
        <v>#DIV/0!</v>
      </c>
      <c r="D28" s="15" t="e">
        <f si="19" t="shared"/>
        <v>#DIV/0!</v>
      </c>
      <c r="E28" s="15" t="e">
        <f si="19" t="shared"/>
        <v>#DIV/0!</v>
      </c>
      <c r="F28" s="15" t="e">
        <f si="19" t="shared"/>
        <v>#DIV/0!</v>
      </c>
      <c r="G28" s="15" t="e">
        <f si="19" t="shared"/>
        <v>#DIV/0!</v>
      </c>
      <c r="H28" s="15" t="e">
        <f si="19" t="shared"/>
        <v>#DIV/0!</v>
      </c>
      <c r="I28" s="15" t="e">
        <f si="19" t="shared"/>
        <v>#DIV/0!</v>
      </c>
      <c r="J28" s="15" t="e">
        <f si="19" t="shared"/>
        <v>#DIV/0!</v>
      </c>
      <c r="K28" s="12"/>
      <c r="L28" s="15" t="s">
        <v>4</v>
      </c>
      <c r="M28" s="15">
        <f ref="M28:U28" si="20" t="shared">M15</f>
        <v>137000</v>
      </c>
      <c r="N28" s="15">
        <f si="20" t="shared"/>
        <v>0</v>
      </c>
      <c r="O28" s="15">
        <f si="20" t="shared"/>
        <v>0</v>
      </c>
      <c r="P28" s="15">
        <f si="20" t="shared"/>
        <v>0</v>
      </c>
      <c r="Q28" s="15">
        <f si="20" t="shared"/>
        <v>0</v>
      </c>
      <c r="R28" s="15">
        <f si="20" t="shared"/>
        <v>0</v>
      </c>
      <c r="S28" s="15">
        <f si="20" t="shared"/>
        <v>0</v>
      </c>
      <c r="T28" s="15">
        <f si="20" t="shared"/>
        <v>0</v>
      </c>
      <c r="U28" s="15">
        <f si="20" t="shared"/>
        <v>137000</v>
      </c>
    </row>
    <row ht="14.65" r="31" spans="1:32" thickBot="1" x14ac:dyDescent="0.5">
      <c r="A31" s="4" t="s">
        <v>55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50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14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15</v>
      </c>
      <c r="J32" s="3" t="s">
        <v>4</v>
      </c>
      <c r="L32" s="2" t="s">
        <v>14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15</v>
      </c>
      <c r="U32" s="3" t="s">
        <v>4</v>
      </c>
      <c r="W32" s="2" t="s">
        <v>14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15</v>
      </c>
      <c r="AF32" s="3" t="s">
        <v>4</v>
      </c>
    </row>
    <row r="33" spans="1:32" x14ac:dyDescent="0.45">
      <c r="A33" t="str">
        <f>$A$7</f>
        <v>Williamson</v>
      </c>
      <c r="B33" s="16" t="e">
        <f ref="B33:J39" si="21" t="shared">B20/$J$28</f>
        <v>#DIV/0!</v>
      </c>
      <c r="C33" s="16" t="e">
        <f si="21" t="shared"/>
        <v>#DIV/0!</v>
      </c>
      <c r="D33" s="16" t="e">
        <f si="21" t="shared"/>
        <v>#DIV/0!</v>
      </c>
      <c r="E33" s="16" t="e">
        <f si="21" t="shared"/>
        <v>#DIV/0!</v>
      </c>
      <c r="F33" s="16" t="e">
        <f si="21" t="shared"/>
        <v>#DIV/0!</v>
      </c>
      <c r="G33" s="16" t="e">
        <f si="21" t="shared"/>
        <v>#DIV/0!</v>
      </c>
      <c r="H33" s="16" t="e">
        <f si="21" t="shared"/>
        <v>#DIV/0!</v>
      </c>
      <c r="I33" s="16" t="e">
        <f ref="I33:J38" si="22" t="shared">I20/$J$28</f>
        <v>#DIV/0!</v>
      </c>
      <c r="J33" s="16" t="e">
        <f si="22" t="shared"/>
        <v>#DIV/0!</v>
      </c>
      <c r="K33" s="12"/>
      <c r="L33" t="str">
        <f>$A$7</f>
        <v>Williamson</v>
      </c>
      <c r="M33" s="16">
        <f ref="M33:S33" si="23" t="shared">M20/$U$28</f>
        <v>1</v>
      </c>
      <c r="N33" s="16">
        <f si="23" t="shared"/>
        <v>0</v>
      </c>
      <c r="O33" s="16">
        <f si="23" t="shared"/>
        <v>0</v>
      </c>
      <c r="P33" s="16">
        <f si="23" t="shared"/>
        <v>0</v>
      </c>
      <c r="Q33" s="16">
        <f si="23" t="shared"/>
        <v>0</v>
      </c>
      <c r="R33" s="16">
        <f si="23" t="shared"/>
        <v>0</v>
      </c>
      <c r="S33" s="16">
        <f si="23" t="shared"/>
        <v>0</v>
      </c>
      <c r="T33" s="16"/>
      <c r="U33" s="16">
        <f ref="U33:U39" si="24" t="shared">U20/$U$28</f>
        <v>1</v>
      </c>
      <c r="W33" t="str">
        <f>$A$7</f>
        <v>Williamson</v>
      </c>
      <c r="X33" s="16" t="e">
        <f ref="X33:AD33" si="25" t="shared">M33-B33</f>
        <v>#DIV/0!</v>
      </c>
      <c r="Y33" s="16" t="e">
        <f si="25" t="shared"/>
        <v>#DIV/0!</v>
      </c>
      <c r="Z33" s="16" t="e">
        <f si="25" t="shared"/>
        <v>#DIV/0!</v>
      </c>
      <c r="AA33" s="16" t="e">
        <f si="25" t="shared"/>
        <v>#DIV/0!</v>
      </c>
      <c r="AB33" s="16" t="e">
        <f si="25" t="shared"/>
        <v>#DIV/0!</v>
      </c>
      <c r="AC33" s="16" t="e">
        <f si="25" t="shared"/>
        <v>#DIV/0!</v>
      </c>
      <c r="AD33" s="16" t="e">
        <f si="25" t="shared"/>
        <v>#DIV/0!</v>
      </c>
      <c r="AE33" s="16"/>
      <c r="AF33" s="16" t="e">
        <f ref="AF33:AF39" si="26" t="shared">U33-J33</f>
        <v>#DIV/0!</v>
      </c>
    </row>
    <row r="34" spans="1:32" x14ac:dyDescent="0.45">
      <c r="A34" t="str">
        <f>$A$8</f>
        <v>Rutherford</v>
      </c>
      <c r="B34" s="16" t="e">
        <f si="21" t="shared"/>
        <v>#DIV/0!</v>
      </c>
      <c r="C34" s="16" t="e">
        <f si="21" t="shared"/>
        <v>#DIV/0!</v>
      </c>
      <c r="D34" s="16" t="e">
        <f si="21" t="shared"/>
        <v>#DIV/0!</v>
      </c>
      <c r="E34" s="16" t="e">
        <f si="21" t="shared"/>
        <v>#DIV/0!</v>
      </c>
      <c r="F34" s="16" t="e">
        <f si="21" t="shared"/>
        <v>#DIV/0!</v>
      </c>
      <c r="G34" s="16" t="e">
        <f ref="G34:H34" si="27" t="shared">G21/$J$28</f>
        <v>#DIV/0!</v>
      </c>
      <c r="H34" s="16" t="e">
        <f si="27" t="shared"/>
        <v>#DIV/0!</v>
      </c>
      <c r="I34" s="16" t="e">
        <f si="22" t="shared"/>
        <v>#DIV/0!</v>
      </c>
      <c r="J34" s="16" t="e">
        <f si="22" t="shared"/>
        <v>#DIV/0!</v>
      </c>
      <c r="K34" s="12"/>
      <c r="L34" t="str">
        <f>$A$8</f>
        <v>Rutherford</v>
      </c>
      <c r="M34" s="16">
        <f ref="M34:R38" si="28" t="shared">M21/$U$28</f>
        <v>0</v>
      </c>
      <c r="N34" s="16">
        <f si="28" t="shared"/>
        <v>0</v>
      </c>
      <c r="O34" s="16">
        <f si="28" t="shared"/>
        <v>0</v>
      </c>
      <c r="P34" s="16">
        <f si="28" t="shared"/>
        <v>0</v>
      </c>
      <c r="Q34" s="16">
        <f si="28" t="shared"/>
        <v>0</v>
      </c>
      <c r="R34" s="16">
        <f si="28" t="shared"/>
        <v>0</v>
      </c>
      <c r="S34" s="16">
        <f ref="S34:S39" si="29" t="shared">S21/$U$28</f>
        <v>0</v>
      </c>
      <c r="T34" s="16"/>
      <c r="U34" s="16">
        <f si="24" t="shared"/>
        <v>0</v>
      </c>
      <c r="W34" t="str">
        <f>$A$8</f>
        <v>Rutherford</v>
      </c>
      <c r="X34" s="16" t="e">
        <f ref="X34:X39" si="30" t="shared">M34-B34</f>
        <v>#DIV/0!</v>
      </c>
      <c r="Y34" s="16" t="e">
        <f ref="Y34:AC38" si="31" t="shared">N34-C34</f>
        <v>#DIV/0!</v>
      </c>
      <c r="Z34" s="16" t="e">
        <f si="31" t="shared"/>
        <v>#DIV/0!</v>
      </c>
      <c r="AA34" s="16" t="e">
        <f si="31" t="shared"/>
        <v>#DIV/0!</v>
      </c>
      <c r="AB34" s="16" t="e">
        <f si="31" t="shared"/>
        <v>#DIV/0!</v>
      </c>
      <c r="AC34" s="16" t="e">
        <f si="31" t="shared"/>
        <v>#DIV/0!</v>
      </c>
      <c r="AD34" s="16" t="e">
        <f ref="AD34:AD39" si="32" t="shared">S34-H34</f>
        <v>#DIV/0!</v>
      </c>
      <c r="AE34" s="16"/>
      <c r="AF34" s="16" t="e">
        <f si="26" t="shared"/>
        <v>#DIV/0!</v>
      </c>
    </row>
    <row r="35" spans="1:32" x14ac:dyDescent="0.45">
      <c r="A35" t="str">
        <f>$A$9</f>
        <v>Sumner</v>
      </c>
      <c r="B35" s="16" t="e">
        <f si="21" t="shared"/>
        <v>#DIV/0!</v>
      </c>
      <c r="C35" s="16" t="e">
        <f si="21" t="shared"/>
        <v>#DIV/0!</v>
      </c>
      <c r="D35" s="16" t="e">
        <f si="21" t="shared"/>
        <v>#DIV/0!</v>
      </c>
      <c r="E35" s="16" t="e">
        <f si="21" t="shared"/>
        <v>#DIV/0!</v>
      </c>
      <c r="F35" s="16" t="e">
        <f si="21" t="shared"/>
        <v>#DIV/0!</v>
      </c>
      <c r="G35" s="16" t="e">
        <f ref="G35:H35" si="33" t="shared">G22/$J$28</f>
        <v>#DIV/0!</v>
      </c>
      <c r="H35" s="16" t="e">
        <f si="33" t="shared"/>
        <v>#DIV/0!</v>
      </c>
      <c r="I35" s="16" t="e">
        <f si="22" t="shared"/>
        <v>#DIV/0!</v>
      </c>
      <c r="J35" s="16" t="e">
        <f si="22" t="shared"/>
        <v>#DIV/0!</v>
      </c>
      <c r="K35" s="13"/>
      <c r="L35" t="str">
        <f>$A$9</f>
        <v>Sumner</v>
      </c>
      <c r="M35" s="16">
        <f si="28" t="shared"/>
        <v>0</v>
      </c>
      <c r="N35" s="16">
        <f si="28" t="shared"/>
        <v>0</v>
      </c>
      <c r="O35" s="16">
        <f si="28" t="shared"/>
        <v>0</v>
      </c>
      <c r="P35" s="16">
        <f si="28" t="shared"/>
        <v>0</v>
      </c>
      <c r="Q35" s="16">
        <f si="28" t="shared"/>
        <v>0</v>
      </c>
      <c r="R35" s="16">
        <f si="28" t="shared"/>
        <v>0</v>
      </c>
      <c r="S35" s="16">
        <f si="29" t="shared"/>
        <v>0</v>
      </c>
      <c r="T35" s="16"/>
      <c r="U35" s="16">
        <f si="24" t="shared"/>
        <v>0</v>
      </c>
      <c r="W35" t="str">
        <f>$A$9</f>
        <v>Sumner</v>
      </c>
      <c r="X35" s="16" t="e">
        <f si="30" t="shared"/>
        <v>#DIV/0!</v>
      </c>
      <c r="Y35" s="16" t="e">
        <f si="31" t="shared"/>
        <v>#DIV/0!</v>
      </c>
      <c r="Z35" s="16" t="e">
        <f si="31" t="shared"/>
        <v>#DIV/0!</v>
      </c>
      <c r="AA35" s="16" t="e">
        <f si="31" t="shared"/>
        <v>#DIV/0!</v>
      </c>
      <c r="AB35" s="16" t="e">
        <f si="31" t="shared"/>
        <v>#DIV/0!</v>
      </c>
      <c r="AC35" s="16" t="e">
        <f si="31" t="shared"/>
        <v>#DIV/0!</v>
      </c>
      <c r="AD35" s="16" t="e">
        <f si="32" t="shared"/>
        <v>#DIV/0!</v>
      </c>
      <c r="AE35" s="16"/>
      <c r="AF35" s="16" t="e">
        <f si="26" t="shared"/>
        <v>#DIV/0!</v>
      </c>
    </row>
    <row r="36" spans="1:32" x14ac:dyDescent="0.45">
      <c r="A36" t="str">
        <f>$A$10</f>
        <v>Roberston</v>
      </c>
      <c r="B36" s="16" t="e">
        <f si="21" t="shared"/>
        <v>#DIV/0!</v>
      </c>
      <c r="C36" s="16" t="e">
        <f si="21" t="shared"/>
        <v>#DIV/0!</v>
      </c>
      <c r="D36" s="16" t="e">
        <f si="21" t="shared"/>
        <v>#DIV/0!</v>
      </c>
      <c r="E36" s="16" t="e">
        <f si="21" t="shared"/>
        <v>#DIV/0!</v>
      </c>
      <c r="F36" s="16" t="e">
        <f si="21" t="shared"/>
        <v>#DIV/0!</v>
      </c>
      <c r="G36" s="16" t="e">
        <f ref="G36:H36" si="34" t="shared">G23/$J$28</f>
        <v>#DIV/0!</v>
      </c>
      <c r="H36" s="16" t="e">
        <f si="34" t="shared"/>
        <v>#DIV/0!</v>
      </c>
      <c r="I36" s="16" t="e">
        <f si="22" t="shared"/>
        <v>#DIV/0!</v>
      </c>
      <c r="J36" s="16" t="e">
        <f si="22" t="shared"/>
        <v>#DIV/0!</v>
      </c>
      <c r="K36" s="13"/>
      <c r="L36" t="str">
        <f>$A$10</f>
        <v>Roberston</v>
      </c>
      <c r="M36" s="16">
        <f si="28" t="shared"/>
        <v>0</v>
      </c>
      <c r="N36" s="16">
        <f si="28" t="shared"/>
        <v>0</v>
      </c>
      <c r="O36" s="16">
        <f si="28" t="shared"/>
        <v>0</v>
      </c>
      <c r="P36" s="16">
        <f si="28" t="shared"/>
        <v>0</v>
      </c>
      <c r="Q36" s="16">
        <f si="28" t="shared"/>
        <v>0</v>
      </c>
      <c r="R36" s="16">
        <f si="28" t="shared"/>
        <v>0</v>
      </c>
      <c r="S36" s="16">
        <f si="29" t="shared"/>
        <v>0</v>
      </c>
      <c r="T36" s="16"/>
      <c r="U36" s="16">
        <f si="24" t="shared"/>
        <v>0</v>
      </c>
      <c r="W36" t="str">
        <f>$A$10</f>
        <v>Roberston</v>
      </c>
      <c r="X36" s="16" t="e">
        <f si="30" t="shared"/>
        <v>#DIV/0!</v>
      </c>
      <c r="Y36" s="16" t="e">
        <f si="31" t="shared"/>
        <v>#DIV/0!</v>
      </c>
      <c r="Z36" s="16" t="e">
        <f si="31" t="shared"/>
        <v>#DIV/0!</v>
      </c>
      <c r="AA36" s="16" t="e">
        <f si="31" t="shared"/>
        <v>#DIV/0!</v>
      </c>
      <c r="AB36" s="16" t="e">
        <f si="31" t="shared"/>
        <v>#DIV/0!</v>
      </c>
      <c r="AC36" s="16" t="e">
        <f si="31" t="shared"/>
        <v>#DIV/0!</v>
      </c>
      <c r="AD36" s="16" t="e">
        <f si="32" t="shared"/>
        <v>#DIV/0!</v>
      </c>
      <c r="AE36" s="16"/>
      <c r="AF36" s="16" t="e">
        <f si="26" t="shared"/>
        <v>#DIV/0!</v>
      </c>
    </row>
    <row r="37" spans="1:32" x14ac:dyDescent="0.45">
      <c r="A37" t="str">
        <f>$A$11</f>
        <v>Davidson</v>
      </c>
      <c r="B37" s="16" t="e">
        <f si="21" t="shared"/>
        <v>#DIV/0!</v>
      </c>
      <c r="C37" s="16" t="e">
        <f si="21" t="shared"/>
        <v>#DIV/0!</v>
      </c>
      <c r="D37" s="16" t="e">
        <f si="21" t="shared"/>
        <v>#DIV/0!</v>
      </c>
      <c r="E37" s="16" t="e">
        <f si="21" t="shared"/>
        <v>#DIV/0!</v>
      </c>
      <c r="F37" s="16" t="e">
        <f si="21" t="shared"/>
        <v>#DIV/0!</v>
      </c>
      <c r="G37" s="16" t="e">
        <f ref="G37:H37" si="35" t="shared">G24/$J$28</f>
        <v>#DIV/0!</v>
      </c>
      <c r="H37" s="16" t="e">
        <f si="35" t="shared"/>
        <v>#DIV/0!</v>
      </c>
      <c r="I37" s="16" t="e">
        <f si="22" t="shared"/>
        <v>#DIV/0!</v>
      </c>
      <c r="J37" s="16" t="e">
        <f si="22" t="shared"/>
        <v>#DIV/0!</v>
      </c>
      <c r="K37" s="13"/>
      <c r="L37" t="str">
        <f>$A$11</f>
        <v>Davidson</v>
      </c>
      <c r="M37" s="16">
        <f si="28" t="shared"/>
        <v>0</v>
      </c>
      <c r="N37" s="16">
        <f si="28" t="shared"/>
        <v>0</v>
      </c>
      <c r="O37" s="16">
        <f si="28" t="shared"/>
        <v>0</v>
      </c>
      <c r="P37" s="16">
        <f si="28" t="shared"/>
        <v>0</v>
      </c>
      <c r="Q37" s="16">
        <f si="28" t="shared"/>
        <v>0</v>
      </c>
      <c r="R37" s="16">
        <f si="28" t="shared"/>
        <v>0</v>
      </c>
      <c r="S37" s="16">
        <f si="29" t="shared"/>
        <v>0</v>
      </c>
      <c r="T37" s="16"/>
      <c r="U37" s="16">
        <f si="24" t="shared"/>
        <v>0</v>
      </c>
      <c r="W37" t="str">
        <f>$A$11</f>
        <v>Davidson</v>
      </c>
      <c r="X37" s="16" t="e">
        <f si="30" t="shared"/>
        <v>#DIV/0!</v>
      </c>
      <c r="Y37" s="16" t="e">
        <f si="31" t="shared"/>
        <v>#DIV/0!</v>
      </c>
      <c r="Z37" s="16" t="e">
        <f si="31" t="shared"/>
        <v>#DIV/0!</v>
      </c>
      <c r="AA37" s="16" t="e">
        <f si="31" t="shared"/>
        <v>#DIV/0!</v>
      </c>
      <c r="AB37" s="16" t="e">
        <f si="31" t="shared"/>
        <v>#DIV/0!</v>
      </c>
      <c r="AC37" s="16" t="e">
        <f si="31" t="shared"/>
        <v>#DIV/0!</v>
      </c>
      <c r="AD37" s="16" t="e">
        <f si="32" t="shared"/>
        <v>#DIV/0!</v>
      </c>
      <c r="AE37" s="16"/>
      <c r="AF37" s="16" t="e">
        <f si="26" t="shared"/>
        <v>#DIV/0!</v>
      </c>
    </row>
    <row r="38" spans="1:32" x14ac:dyDescent="0.45">
      <c r="A38" t="str">
        <f>$A$12</f>
        <v>Maury</v>
      </c>
      <c r="B38" s="16" t="e">
        <f si="21" t="shared"/>
        <v>#DIV/0!</v>
      </c>
      <c r="C38" s="16" t="e">
        <f si="21" t="shared"/>
        <v>#DIV/0!</v>
      </c>
      <c r="D38" s="16" t="e">
        <f si="21" t="shared"/>
        <v>#DIV/0!</v>
      </c>
      <c r="E38" s="16" t="e">
        <f si="21" t="shared"/>
        <v>#DIV/0!</v>
      </c>
      <c r="F38" s="16" t="e">
        <f si="21" t="shared"/>
        <v>#DIV/0!</v>
      </c>
      <c r="G38" s="16" t="e">
        <f ref="G38:H38" si="36" t="shared">G25/$J$28</f>
        <v>#DIV/0!</v>
      </c>
      <c r="H38" s="16" t="e">
        <f si="36" t="shared"/>
        <v>#DIV/0!</v>
      </c>
      <c r="I38" s="16" t="e">
        <f si="22" t="shared"/>
        <v>#DIV/0!</v>
      </c>
      <c r="J38" s="16" t="e">
        <f si="22" t="shared"/>
        <v>#DIV/0!</v>
      </c>
      <c r="K38" s="13"/>
      <c r="L38" t="str">
        <f>$A$12</f>
        <v>Maury</v>
      </c>
      <c r="M38" s="16">
        <f si="28" t="shared"/>
        <v>0</v>
      </c>
      <c r="N38" s="16">
        <f si="28" t="shared"/>
        <v>0</v>
      </c>
      <c r="O38" s="16">
        <f si="28" t="shared"/>
        <v>0</v>
      </c>
      <c r="P38" s="16">
        <f si="28" t="shared"/>
        <v>0</v>
      </c>
      <c r="Q38" s="16">
        <f si="28" t="shared"/>
        <v>0</v>
      </c>
      <c r="R38" s="16">
        <f si="28" t="shared"/>
        <v>0</v>
      </c>
      <c r="S38" s="16">
        <f si="29" t="shared"/>
        <v>0</v>
      </c>
      <c r="T38" s="16"/>
      <c r="U38" s="16">
        <f si="24" t="shared"/>
        <v>0</v>
      </c>
      <c r="W38" t="str">
        <f>$A$12</f>
        <v>Maury</v>
      </c>
      <c r="X38" s="16" t="e">
        <f si="30" t="shared"/>
        <v>#DIV/0!</v>
      </c>
      <c r="Y38" s="16" t="e">
        <f si="31" t="shared"/>
        <v>#DIV/0!</v>
      </c>
      <c r="Z38" s="16" t="e">
        <f si="31" t="shared"/>
        <v>#DIV/0!</v>
      </c>
      <c r="AA38" s="16" t="e">
        <f si="31" t="shared"/>
        <v>#DIV/0!</v>
      </c>
      <c r="AB38" s="16" t="e">
        <f si="31" t="shared"/>
        <v>#DIV/0!</v>
      </c>
      <c r="AC38" s="16" t="e">
        <f si="31" t="shared"/>
        <v>#DIV/0!</v>
      </c>
      <c r="AD38" s="16" t="e">
        <f si="32" t="shared"/>
        <v>#DIV/0!</v>
      </c>
      <c r="AE38" s="16"/>
      <c r="AF38" s="16" t="e">
        <f si="26" t="shared"/>
        <v>#DIV/0!</v>
      </c>
    </row>
    <row r="39" spans="1:32" x14ac:dyDescent="0.45">
      <c r="A39" t="str">
        <f>$A$13</f>
        <v>Wilson</v>
      </c>
      <c r="B39" s="16" t="e">
        <f si="21" t="shared"/>
        <v>#DIV/0!</v>
      </c>
      <c r="C39" s="16" t="e">
        <f si="21" t="shared"/>
        <v>#DIV/0!</v>
      </c>
      <c r="D39" s="16" t="e">
        <f si="21" t="shared"/>
        <v>#DIV/0!</v>
      </c>
      <c r="E39" s="16" t="e">
        <f si="21" t="shared"/>
        <v>#DIV/0!</v>
      </c>
      <c r="F39" s="16" t="e">
        <f si="21" t="shared"/>
        <v>#DIV/0!</v>
      </c>
      <c r="G39" s="16" t="e">
        <f si="21" t="shared"/>
        <v>#DIV/0!</v>
      </c>
      <c r="H39" s="16" t="e">
        <f si="21" t="shared"/>
        <v>#DIV/0!</v>
      </c>
      <c r="I39" s="16" t="e">
        <f si="21" t="shared"/>
        <v>#DIV/0!</v>
      </c>
      <c r="J39" s="16" t="e">
        <f si="21" t="shared"/>
        <v>#DIV/0!</v>
      </c>
      <c r="K39" s="13"/>
      <c r="L39" t="str">
        <f>$A$13</f>
        <v>Wilson</v>
      </c>
      <c r="M39" s="16">
        <f>M26/$U$28</f>
        <v>0</v>
      </c>
      <c r="N39" s="16">
        <f ref="N39:R39" si="37" t="shared">N26/$U$28</f>
        <v>0</v>
      </c>
      <c r="O39" s="16">
        <f si="37" t="shared"/>
        <v>0</v>
      </c>
      <c r="P39" s="16">
        <f si="37" t="shared"/>
        <v>0</v>
      </c>
      <c r="Q39" s="16">
        <f si="37" t="shared"/>
        <v>0</v>
      </c>
      <c r="R39" s="16">
        <f si="37" t="shared"/>
        <v>0</v>
      </c>
      <c r="S39" s="16">
        <f si="29" t="shared"/>
        <v>0</v>
      </c>
      <c r="T39" s="16"/>
      <c r="U39" s="16">
        <f si="24" t="shared"/>
        <v>0</v>
      </c>
      <c r="W39" t="str">
        <f>$A$13</f>
        <v>Wilson</v>
      </c>
      <c r="X39" s="16" t="e">
        <f si="30" t="shared"/>
        <v>#DIV/0!</v>
      </c>
      <c r="Y39" s="16" t="e">
        <f ref="Y39" si="38" t="shared">N39-C39</f>
        <v>#DIV/0!</v>
      </c>
      <c r="Z39" s="16" t="e">
        <f ref="Z39" si="39" t="shared">O39-D39</f>
        <v>#DIV/0!</v>
      </c>
      <c r="AA39" s="16" t="e">
        <f ref="AA39" si="40" t="shared">P39-E39</f>
        <v>#DIV/0!</v>
      </c>
      <c r="AB39" s="16" t="e">
        <f ref="AB39" si="41" t="shared">Q39-F39</f>
        <v>#DIV/0!</v>
      </c>
      <c r="AC39" s="16" t="e">
        <f ref="AC39" si="42" t="shared">R39-G39</f>
        <v>#DIV/0!</v>
      </c>
      <c r="AD39" s="16" t="e">
        <f si="32" t="shared"/>
        <v>#DIV/0!</v>
      </c>
      <c r="AE39" s="16"/>
      <c r="AF39" s="16" t="e">
        <f si="26" t="shared"/>
        <v>#DIV/0!</v>
      </c>
    </row>
    <row r="40" spans="1:32" x14ac:dyDescent="0.45">
      <c r="A40" s="7" t="s">
        <v>15</v>
      </c>
      <c r="B40" s="17" t="e">
        <f ref="B40:H41" si="43" t="shared">B27/$J$28</f>
        <v>#DIV/0!</v>
      </c>
      <c r="C40" s="17" t="e">
        <f si="43" t="shared"/>
        <v>#DIV/0!</v>
      </c>
      <c r="D40" s="17" t="e">
        <f si="43" t="shared"/>
        <v>#DIV/0!</v>
      </c>
      <c r="E40" s="17" t="e">
        <f si="43" t="shared"/>
        <v>#DIV/0!</v>
      </c>
      <c r="F40" s="17" t="e">
        <f si="43" t="shared"/>
        <v>#DIV/0!</v>
      </c>
      <c r="G40" s="17" t="e">
        <f si="43" t="shared"/>
        <v>#DIV/0!</v>
      </c>
      <c r="H40" s="16" t="e">
        <f si="43" t="shared"/>
        <v>#DIV/0!</v>
      </c>
      <c r="I40" s="17" t="e">
        <f>I27/$J$28</f>
        <v>#DIV/0!</v>
      </c>
      <c r="J40" s="17" t="e">
        <f>J27/$J$28</f>
        <v>#DIV/0!</v>
      </c>
      <c r="K40" s="12"/>
      <c r="L40" s="383" t="s">
        <v>15</v>
      </c>
      <c r="M40" s="17"/>
      <c r="N40" s="17"/>
      <c r="O40" s="17"/>
      <c r="P40" s="17"/>
      <c r="Q40" s="17"/>
      <c r="R40" s="17"/>
      <c r="S40" s="17"/>
      <c r="T40" s="17"/>
      <c r="U40" s="17"/>
      <c r="W40" s="383" t="s">
        <v>15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4.65" r="41" spans="1:32" thickBot="1" x14ac:dyDescent="0.5">
      <c r="A41" s="1" t="s">
        <v>4</v>
      </c>
      <c r="B41" s="18" t="e">
        <f si="43" t="shared"/>
        <v>#DIV/0!</v>
      </c>
      <c r="C41" s="18" t="e">
        <f si="43" t="shared"/>
        <v>#DIV/0!</v>
      </c>
      <c r="D41" s="18" t="e">
        <f si="43" t="shared"/>
        <v>#DIV/0!</v>
      </c>
      <c r="E41" s="18" t="e">
        <f si="43" t="shared"/>
        <v>#DIV/0!</v>
      </c>
      <c r="F41" s="18" t="e">
        <f si="43" t="shared"/>
        <v>#DIV/0!</v>
      </c>
      <c r="G41" s="18" t="e">
        <f si="43" t="shared"/>
        <v>#DIV/0!</v>
      </c>
      <c r="H41" s="18" t="e">
        <f si="43" t="shared"/>
        <v>#DIV/0!</v>
      </c>
      <c r="I41" s="18" t="e">
        <f>I28/$J$28</f>
        <v>#DIV/0!</v>
      </c>
      <c r="J41" s="18" t="e">
        <f>J28/$J$28</f>
        <v>#DIV/0!</v>
      </c>
      <c r="K41" s="12"/>
      <c r="L41" s="15" t="s">
        <v>4</v>
      </c>
      <c r="M41" s="18">
        <f>M28/$U$28</f>
        <v>1</v>
      </c>
      <c r="N41" s="18">
        <f>N28/$U$28</f>
        <v>0</v>
      </c>
      <c r="O41" s="18">
        <f>O28/$U$28</f>
        <v>0</v>
      </c>
      <c r="P41" s="18">
        <f>P28/$U$28</f>
        <v>0</v>
      </c>
      <c r="Q41" s="18">
        <f ref="Q41:S41" si="44" t="shared">Q28/$U$28</f>
        <v>0</v>
      </c>
      <c r="R41" s="18">
        <f si="44" t="shared"/>
        <v>0</v>
      </c>
      <c r="S41" s="18">
        <f si="44" t="shared"/>
        <v>0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45" t="shared">M41-B41</f>
        <v>#DIV/0!</v>
      </c>
      <c r="Y41" s="18" t="e">
        <f si="45" t="shared"/>
        <v>#DIV/0!</v>
      </c>
      <c r="Z41" s="18" t="e">
        <f si="45" t="shared"/>
        <v>#DIV/0!</v>
      </c>
      <c r="AA41" s="18" t="e">
        <f si="45" t="shared"/>
        <v>#DIV/0!</v>
      </c>
      <c r="AB41" s="18" t="e">
        <f si="45" t="shared"/>
        <v>#DIV/0!</v>
      </c>
      <c r="AC41" s="18" t="e">
        <f si="45" t="shared"/>
        <v>#DIV/0!</v>
      </c>
      <c r="AD41" s="18" t="e">
        <f si="45" t="shared"/>
        <v>#DIV/0!</v>
      </c>
      <c r="AE41" s="18"/>
      <c r="AF41" s="18" t="e">
        <f si="45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/>
  </sheetViews>
  <sheetFormatPr defaultRowHeight="14.25" x14ac:dyDescent="0.45"/>
  <sheetData>
    <row r="1" spans="1:3" x14ac:dyDescent="0.45">
      <c r="A1" s="10" t="s">
        <v>21</v>
      </c>
    </row>
    <row r="2" spans="1:3" x14ac:dyDescent="0.45">
      <c r="A2">
        <v>1</v>
      </c>
      <c r="B2" t="s">
        <v>22</v>
      </c>
    </row>
    <row r="3" spans="1:3" x14ac:dyDescent="0.45">
      <c r="B3" t="s">
        <v>23</v>
      </c>
      <c r="C3" t="s">
        <v>24</v>
      </c>
    </row>
    <row r="4" spans="1:3" x14ac:dyDescent="0.45">
      <c r="B4" t="s">
        <v>25</v>
      </c>
      <c r="C4" t="s">
        <v>26</v>
      </c>
    </row>
    <row r="5" spans="1:3" x14ac:dyDescent="0.45">
      <c r="B5" t="s">
        <v>27</v>
      </c>
      <c r="C5" t="s">
        <v>28</v>
      </c>
    </row>
    <row r="6" spans="1:3" x14ac:dyDescent="0.45">
      <c r="B6" t="s">
        <v>29</v>
      </c>
      <c r="C6" t="s">
        <v>30</v>
      </c>
    </row>
    <row r="8" spans="1:3" x14ac:dyDescent="0.45">
      <c r="A8">
        <v>2</v>
      </c>
      <c r="B8" t="s">
        <v>31</v>
      </c>
    </row>
    <row r="10" spans="1:3" x14ac:dyDescent="0.45">
      <c r="A10">
        <v>3</v>
      </c>
      <c r="B10" t="s">
        <v>32</v>
      </c>
    </row>
    <row r="12" spans="1:3" x14ac:dyDescent="0.45">
      <c r="A12">
        <v>4</v>
      </c>
      <c r="B12" t="s">
        <v>33</v>
      </c>
    </row>
    <row r="14" spans="1:3" x14ac:dyDescent="0.45">
      <c r="A14">
        <v>5</v>
      </c>
      <c r="B14" t="s">
        <v>34</v>
      </c>
    </row>
    <row r="15" spans="1:3" x14ac:dyDescent="0.45">
      <c r="B15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baseType="lpstr" size="19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Peter Andrews</cp:lastModifiedBy>
  <dcterms:modified xsi:type="dcterms:W3CDTF">2016-07-01T21:10:59Z</dcterms:modified>
</cp:coreProperties>
</file>