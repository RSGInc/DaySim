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1" l="1" r="H15"/>
  <c i="1" r="J13"/>
  <c i="1" l="1" r="U13"/>
  <c i="1" r="U26" s="1"/>
  <c i="1" r="S15"/>
  <c i="1" r="S28" s="1"/>
  <c i="1" r="N26"/>
  <c i="1" r="O26"/>
  <c i="1" r="P26"/>
  <c i="1" r="Q26"/>
  <c i="1" r="R26"/>
  <c i="1" r="S26"/>
  <c i="1" r="M26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r="S21"/>
  <c i="1" r="S22"/>
  <c i="1" r="S23"/>
  <c i="1" r="S24"/>
  <c i="1" r="S25"/>
  <c i="1" r="S20"/>
  <c i="1" l="1" r="C26"/>
  <c i="1" r="D26"/>
  <c i="1" r="B26"/>
  <c i="1" r="F26"/>
  <c i="1" r="H26"/>
  <c i="1" r="G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J24"/>
  <c i="1" r="J23"/>
  <c i="1" r="U22"/>
  <c i="1" r="H22"/>
  <c i="1" r="U20"/>
  <c i="1" r="H20"/>
  <c i="1" r="H21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1" l="1" r="E28"/>
  <c i="1" r="H28"/>
  <c i="1" r="S34"/>
  <c i="1" r="O39"/>
  <c i="1" r="R39"/>
  <c i="1" r="S35"/>
  <c i="1" r="S36"/>
  <c i="1" r="S33"/>
  <c i="1" r="N39"/>
  <c i="1" r="P39"/>
  <c i="1" r="M39"/>
  <c i="1" r="S37"/>
  <c i="1" r="S38"/>
  <c i="1" r="S39"/>
  <c i="1" r="Q39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4" l="1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1" l="1" r="H35"/>
  <c i="1" r="AD35" s="1"/>
  <c i="1" r="H37"/>
  <c i="1" r="AD37" s="1"/>
  <c i="1" r="H38"/>
  <c i="1" r="AD38" s="1"/>
  <c i="1" r="H34"/>
  <c i="1" r="AD34" s="1"/>
  <c i="1" r="H36"/>
  <c i="1" r="AD36" s="1"/>
  <c i="1" r="H33"/>
  <c i="1" r="AD33" s="1"/>
  <c i="1" r="H39"/>
  <c i="1" r="AD39" s="1"/>
  <c i="1" r="B39"/>
  <c i="1" r="X39" s="1"/>
  <c i="1" r="C39"/>
  <c i="1" r="Y39" s="1"/>
  <c i="1" r="G39"/>
  <c i="1" r="AC39" s="1"/>
  <c i="1" r="E39"/>
  <c i="1" r="AA39" s="1"/>
  <c i="1" r="F39"/>
  <c i="1" r="AB39" s="1"/>
  <c i="1" r="D39"/>
  <c i="1" r="Z39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</calcChain>
</file>

<file path=xl/sharedStrings.xml><?xml version="1.0" encoding="utf-8"?>
<sst xmlns="http://schemas.openxmlformats.org/spreadsheetml/2006/main" count="123" uniqueCount="60">
  <si>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</si>
  <si>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</si>
  <si>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</si>
  <si>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</si>
  <si>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</si>
  <si>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</si>
  <si>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</si>
  <si>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</si>
  <si>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</si>
  <si>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</si>
  <si>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</si>
  <si>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</si>
  <si>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</si>
  <si>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</si>
  <si>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</si>
  <si>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</si>
  <si>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</si>
  <si>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</si>
  <si>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</si>
  <si>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</si>
  <si>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</si>
  <si>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</si>
  <si>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</si>
  <si>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</si>
  <si>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</si>
  <si>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</si>
  <si>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</si>
  <si>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</si>
  <si>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</si>
  <si>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</si>
  <si>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</si>
  <si>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</si>
  <si>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</si>
  <si>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</si>
  <si>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</si>
  <si>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</si>
  <si>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</si>
  <si>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</si>
  <si>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</si>
  <si>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</si>
  <si>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</si>
  <si>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</si>
  <si>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</si>
  <si>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</si>
  <si>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</si>
  <si>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</si>
  <si>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</si>
  <si>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Survey</t>
  </si>
  <si>
    <t>Observed Sources: Survey (2009), 4-county Jacksonville Region only</t>
  </si>
  <si>
    <t>Observed Sources: Survey &amp; CTPP, 6-county Tampa Region only</t>
  </si>
  <si>
    <t>Table X. New Trip Lengths</t>
  </si>
  <si>
    <t>Table X. New Trip Durations</t>
  </si>
  <si>
    <t>Table X. New  Work-based  Tour Flows by County: New</t>
  </si>
  <si>
    <t>Table X. New Work-based Tour Flows by County: New</t>
  </si>
  <si>
    <t>Table X. Reference Trip Lengths: Reference</t>
  </si>
  <si>
    <t>Table X. Reference Trip Durations: Reference</t>
  </si>
  <si>
    <t>Table X. Reference Work-based Tour Flows by County: Reference</t>
  </si>
  <si>
    <t>Table X. Adjusted Reference Work-based  Tour Flows by County: Reference</t>
  </si>
  <si>
    <t>Table X. Adjusted Reference  Work-based  Tour Flows by County: Reference</t>
  </si>
  <si>
    <t>Table X. Work-based  Tour Flows by County: (New-Reference)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</si>
</sst>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74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0.19475148021866676</c:v>
                </c:pt>
                <c:pt idx="1">
                  <c:v>0.16407024290882727</c:v>
                </c:pt>
                <c:pt idx="2">
                  <c:v>0.1349275643290764</c:v>
                </c:pt>
                <c:pt idx="3">
                  <c:v>0.10841652440709411</c:v>
                </c:pt>
                <c:pt idx="4">
                  <c:v>8.5132507750148689E-2</c:v>
                </c:pt>
                <c:pt idx="5">
                  <c:v>6.5416531380794049E-2</c:v>
                </c:pt>
                <c:pt idx="6">
                  <c:v>4.9479471229395063E-2</c:v>
                </c:pt>
                <c:pt idx="7">
                  <c:v>3.725514126741597E-2</c:v>
                </c:pt>
                <c:pt idx="8">
                  <c:v>2.8260777498381181E-2</c:v>
                </c:pt>
                <c:pt idx="9">
                  <c:v>2.1735384313373508E-2</c:v>
                </c:pt>
                <c:pt idx="10">
                  <c:v>1.6949588759322575E-2</c:v>
                </c:pt>
                <c:pt idx="11">
                  <c:v>1.3394186920957099E-2</c:v>
                </c:pt>
                <c:pt idx="12">
                  <c:v>1.075147082606138E-2</c:v>
                </c:pt>
                <c:pt idx="13">
                  <c:v>8.7922569236292616E-3</c:v>
                </c:pt>
                <c:pt idx="14">
                  <c:v>7.3388219963267222E-3</c:v>
                </c:pt>
                <c:pt idx="15">
                  <c:v>6.2850150104137416E-3</c:v>
                </c:pt>
                <c:pt idx="16">
                  <c:v>5.5860773711268541E-3</c:v>
                </c:pt>
                <c:pt idx="17">
                  <c:v>5.1850852024503784E-3</c:v>
                </c:pt>
                <c:pt idx="18">
                  <c:v>4.9410808807729073E-3</c:v>
                </c:pt>
                <c:pt idx="19">
                  <c:v>4.6467394465930867E-3</c:v>
                </c:pt>
                <c:pt idx="20">
                  <c:v>4.1382010619755456E-3</c:v>
                </c:pt>
                <c:pt idx="21">
                  <c:v>3.3992011306114346E-3</c:v>
                </c:pt>
                <c:pt idx="22">
                  <c:v>2.5615456768568138E-3</c:v>
                </c:pt>
                <c:pt idx="23">
                  <c:v>1.8044393317932497E-3</c:v>
                </c:pt>
                <c:pt idx="24">
                  <c:v>1.2450309679373024E-3</c:v>
                </c:pt>
                <c:pt idx="25">
                  <c:v>9.0293273445421105E-4</c:v>
                </c:pt>
                <c:pt idx="26">
                  <c:v>7.3766444792602718E-4</c:v>
                </c:pt>
                <c:pt idx="27">
                  <c:v>6.9666466416379086E-4</c:v>
                </c:pt>
                <c:pt idx="28">
                  <c:v>7.2880470928959938E-4</c:v>
                </c:pt>
                <c:pt idx="29">
                  <c:v>7.7581637958850833E-4</c:v>
                </c:pt>
                <c:pt idx="30">
                  <c:v>7.7749236708199779E-4</c:v>
                </c:pt>
                <c:pt idx="31">
                  <c:v>6.9779894066004434E-4</c:v>
                </c:pt>
                <c:pt idx="32">
                  <c:v>5.4538357669077096E-4</c:v>
                </c:pt>
                <c:pt idx="33">
                  <c:v>3.6548909323721399E-4</c:v>
                </c:pt>
                <c:pt idx="34">
                  <c:v>2.1076758816542158E-4</c:v>
                </c:pt>
                <c:pt idx="35">
                  <c:v>1.1784093595384487E-4</c:v>
                </c:pt>
                <c:pt idx="36">
                  <c:v>1.0536168342976239E-4</c:v>
                </c:pt>
                <c:pt idx="37">
                  <c:v>1.8253449541559712E-4</c:v>
                </c:pt>
                <c:pt idx="38">
                  <c:v>3.4536839905416111E-4</c:v>
                </c:pt>
                <c:pt idx="39">
                  <c:v>5.5747810385355112E-4</c:v>
                </c:pt>
                <c:pt idx="40">
                  <c:v>7.4278527514887887E-4</c:v>
                </c:pt>
                <c:pt idx="41">
                  <c:v>8.170173702925751E-4</c:v>
                </c:pt>
                <c:pt idx="42">
                  <c:v>7.4274105384298204E-4</c:v>
                </c:pt>
                <c:pt idx="43">
                  <c:v>5.5705579038223653E-4</c:v>
                </c:pt>
                <c:pt idx="44">
                  <c:v>3.4280356331214555E-4</c:v>
                </c:pt>
                <c:pt idx="45">
                  <c:v>1.7140178165607278E-4</c:v>
                </c:pt>
                <c:pt idx="46">
                  <c:v>6.8562923727723949E-5</c:v>
                </c:pt>
                <c:pt idx="47">
                  <c:v>2.1469444012905918E-5</c:v>
                </c:pt>
                <c:pt idx="48">
                  <c:v>5.4613312782572209E-6</c:v>
                </c:pt>
                <c:pt idx="49">
                  <c:v>3.3608192481582897E-6</c:v>
                </c:pt>
                <c:pt idx="50">
                  <c:v>1.0801053965298188E-5</c:v>
                </c:pt>
                <c:pt idx="51">
                  <c:v>3.428477846180424E-5</c:v>
                </c:pt>
                <c:pt idx="52">
                  <c:v>8.5700890828036388E-5</c:v>
                </c:pt>
                <c:pt idx="53">
                  <c:v>1.7140178165607278E-4</c:v>
                </c:pt>
                <c:pt idx="54">
                  <c:v>2.7852789519111827E-4</c:v>
                </c:pt>
                <c:pt idx="55">
                  <c:v>3.7137052692149102E-4</c:v>
                </c:pt>
                <c:pt idx="56">
                  <c:v>4.0850757961364013E-4</c:v>
                </c:pt>
                <c:pt idx="57">
                  <c:v>3.7137052692149102E-4</c:v>
                </c:pt>
                <c:pt idx="58">
                  <c:v>2.7852789519111827E-4</c:v>
                </c:pt>
                <c:pt idx="59">
                  <c:v>1.7140178165607278E-4</c:v>
                </c:pt>
                <c:pt idx="60">
                  <c:v>8.5700890828036388E-5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6-4236-B640-BDF74F2F024D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0.21319796954314721</c:v>
                </c:pt>
                <c:pt idx="1">
                  <c:v>0.17005076142131981</c:v>
                </c:pt>
                <c:pt idx="2">
                  <c:v>0.13197969543147209</c:v>
                </c:pt>
                <c:pt idx="3">
                  <c:v>0.10406091370558376</c:v>
                </c:pt>
                <c:pt idx="4">
                  <c:v>0.1065989847715736</c:v>
                </c:pt>
                <c:pt idx="5">
                  <c:v>5.0761421319796954E-2</c:v>
                </c:pt>
                <c:pt idx="6">
                  <c:v>3.0456852791878174E-2</c:v>
                </c:pt>
                <c:pt idx="7">
                  <c:v>3.553299492385787E-2</c:v>
                </c:pt>
                <c:pt idx="8">
                  <c:v>2.7918781725888325E-2</c:v>
                </c:pt>
                <c:pt idx="9">
                  <c:v>2.5380710659898477E-2</c:v>
                </c:pt>
                <c:pt idx="10">
                  <c:v>5.076142131979695E-3</c:v>
                </c:pt>
                <c:pt idx="11">
                  <c:v>2.030456852791878E-2</c:v>
                </c:pt>
                <c:pt idx="12">
                  <c:v>7.6142131979695434E-3</c:v>
                </c:pt>
                <c:pt idx="13">
                  <c:v>5.076142131979695E-3</c:v>
                </c:pt>
                <c:pt idx="14">
                  <c:v>1.2690355329949238E-2</c:v>
                </c:pt>
                <c:pt idx="15">
                  <c:v>5.076142131979695E-3</c:v>
                </c:pt>
                <c:pt idx="16">
                  <c:v>2.5380710659898475E-3</c:v>
                </c:pt>
                <c:pt idx="17">
                  <c:v>5.076142131979695E-3</c:v>
                </c:pt>
                <c:pt idx="18">
                  <c:v>5.076142131979695E-3</c:v>
                </c:pt>
                <c:pt idx="19">
                  <c:v>7.6142131979695434E-3</c:v>
                </c:pt>
                <c:pt idx="20">
                  <c:v>7.6142131979695434E-3</c:v>
                </c:pt>
                <c:pt idx="21">
                  <c:v>2.5380710659898475E-3</c:v>
                </c:pt>
                <c:pt idx="22">
                  <c:v>2.5380710659898475E-3</c:v>
                </c:pt>
                <c:pt idx="23">
                  <c:v>0</c:v>
                </c:pt>
                <c:pt idx="24">
                  <c:v>0</c:v>
                </c:pt>
                <c:pt idx="25">
                  <c:v>2.5380710659898475E-3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2.5380710659898475E-3</c:v>
                </c:pt>
                <c:pt idx="30">
                  <c:v>0</c:v>
                </c:pt>
                <c:pt idx="31">
                  <c:v>2.5380710659898475E-3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5.076142131979695E-3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2.5380710659898475E-3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26-4236-B640-BDF74F2F0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841280"/>
        <c:axId val="153831680"/>
      </c:lineChart>
      <c:catAx>
        <c:axId val="191841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18412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8.8221567986655983E-3</c:v>
                </c:pt>
                <c:pt idx="2">
                  <c:v>1.7647590602593407E-2</c:v>
                </c:pt>
                <c:pt idx="3">
                  <c:v>2.6563710410684976E-2</c:v>
                </c:pt>
                <c:pt idx="4">
                  <c:v>3.5672145304119635E-2</c:v>
                </c:pt>
                <c:pt idx="5">
                  <c:v>4.4852696505232187E-2</c:v>
                </c:pt>
                <c:pt idx="6">
                  <c:v>5.3551897797953316E-2</c:v>
                </c:pt>
                <c:pt idx="7">
                  <c:v>6.0849465501332037E-2</c:v>
                </c:pt>
                <c:pt idx="8">
                  <c:v>6.5843446451437151E-2</c:v>
                </c:pt>
                <c:pt idx="9">
                  <c:v>6.8085070928387101E-2</c:v>
                </c:pt>
                <c:pt idx="10">
                  <c:v>6.7724166374430045E-2</c:v>
                </c:pt>
                <c:pt idx="11">
                  <c:v>6.5275688645826987E-2</c:v>
                </c:pt>
                <c:pt idx="12">
                  <c:v>6.1233464435489153E-2</c:v>
                </c:pt>
                <c:pt idx="13">
                  <c:v>5.5862867059695738E-2</c:v>
                </c:pt>
                <c:pt idx="14">
                  <c:v>4.9330831456939603E-2</c:v>
                </c:pt>
                <c:pt idx="15">
                  <c:v>4.2018419832057105E-2</c:v>
                </c:pt>
                <c:pt idx="16">
                  <c:v>3.4673982816395367E-2</c:v>
                </c:pt>
                <c:pt idx="17">
                  <c:v>2.81993527512687E-2</c:v>
                </c:pt>
                <c:pt idx="18">
                  <c:v>2.3210927175772885E-2</c:v>
                </c:pt>
                <c:pt idx="19">
                  <c:v>1.9740415862422631E-2</c:v>
                </c:pt>
                <c:pt idx="20">
                  <c:v>1.7319184866812384E-2</c:v>
                </c:pt>
                <c:pt idx="21">
                  <c:v>1.5353773220914151E-2</c:v>
                </c:pt>
                <c:pt idx="22">
                  <c:v>1.3475615230552891E-2</c:v>
                </c:pt>
                <c:pt idx="23">
                  <c:v>1.1632259085391677E-2</c:v>
                </c:pt>
                <c:pt idx="24">
                  <c:v>9.955916783289465E-3</c:v>
                </c:pt>
                <c:pt idx="25">
                  <c:v>8.6017467562437659E-3</c:v>
                </c:pt>
                <c:pt idx="26">
                  <c:v>7.6687693032161412E-3</c:v>
                </c:pt>
                <c:pt idx="27">
                  <c:v>7.1658242013811803E-3</c:v>
                </c:pt>
                <c:pt idx="28">
                  <c:v>6.9677392196396109E-3</c:v>
                </c:pt>
                <c:pt idx="29">
                  <c:v>6.8064434918575631E-3</c:v>
                </c:pt>
                <c:pt idx="30">
                  <c:v>6.3784232071012904E-3</c:v>
                </c:pt>
                <c:pt idx="31">
                  <c:v>5.538306565341467E-3</c:v>
                </c:pt>
                <c:pt idx="32">
                  <c:v>4.4180836453447964E-3</c:v>
                </c:pt>
                <c:pt idx="33">
                  <c:v>3.34410373263746E-3</c:v>
                </c:pt>
                <c:pt idx="34">
                  <c:v>2.6089326296022479E-3</c:v>
                </c:pt>
                <c:pt idx="35">
                  <c:v>2.2898327010895383E-3</c:v>
                </c:pt>
                <c:pt idx="36">
                  <c:v>2.2490735611464486E-3</c:v>
                </c:pt>
                <c:pt idx="37">
                  <c:v>2.2821986843161684E-3</c:v>
                </c:pt>
                <c:pt idx="38">
                  <c:v>2.2705331373669394E-3</c:v>
                </c:pt>
                <c:pt idx="39">
                  <c:v>2.2195188695942484E-3</c:v>
                </c:pt>
                <c:pt idx="40">
                  <c:v>2.1789471279957248E-3</c:v>
                </c:pt>
                <c:pt idx="41">
                  <c:v>2.1464705017289112E-3</c:v>
                </c:pt>
                <c:pt idx="42">
                  <c:v>2.0600256179948017E-3</c:v>
                </c:pt>
                <c:pt idx="43">
                  <c:v>1.8773122320430214E-3</c:v>
                </c:pt>
                <c:pt idx="44">
                  <c:v>1.6360861787682217E-3</c:v>
                </c:pt>
                <c:pt idx="45">
                  <c:v>1.4163147701785291E-3</c:v>
                </c:pt>
                <c:pt idx="46">
                  <c:v>1.2526223162001907E-3</c:v>
                </c:pt>
                <c:pt idx="47">
                  <c:v>1.1071592827662719E-3</c:v>
                </c:pt>
                <c:pt idx="48">
                  <c:v>9.3151771855416385E-4</c:v>
                </c:pt>
                <c:pt idx="49">
                  <c:v>7.3530672025825345E-4</c:v>
                </c:pt>
                <c:pt idx="50">
                  <c:v>5.8009650713921484E-4</c:v>
                </c:pt>
                <c:pt idx="51">
                  <c:v>5.1474380023953893E-4</c:v>
                </c:pt>
                <c:pt idx="52">
                  <c:v>5.317033504227555E-4</c:v>
                </c:pt>
                <c:pt idx="53">
                  <c:v>5.8698093053432111E-4</c:v>
                </c:pt>
                <c:pt idx="54">
                  <c:v>6.4914786557637618E-4</c:v>
                </c:pt>
                <c:pt idx="55">
                  <c:v>7.1773812545519765E-4</c:v>
                </c:pt>
                <c:pt idx="56">
                  <c:v>7.9659091046669543E-4</c:v>
                </c:pt>
                <c:pt idx="57">
                  <c:v>8.622247148832202E-4</c:v>
                </c:pt>
                <c:pt idx="58">
                  <c:v>8.6934092044134209E-4</c:v>
                </c:pt>
                <c:pt idx="59">
                  <c:v>7.9007142068995438E-4</c:v>
                </c:pt>
                <c:pt idx="60">
                  <c:v>6.4633689040788725E-4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F9B-903D-E5BE63B5D419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0</c:v>
                </c:pt>
                <c:pt idx="1">
                  <c:v>7.6142131979695434E-3</c:v>
                </c:pt>
                <c:pt idx="2">
                  <c:v>2.030456852791878E-2</c:v>
                </c:pt>
                <c:pt idx="3">
                  <c:v>2.5380710659898477E-2</c:v>
                </c:pt>
                <c:pt idx="4">
                  <c:v>3.2994923857868022E-2</c:v>
                </c:pt>
                <c:pt idx="5">
                  <c:v>4.060913705583756E-2</c:v>
                </c:pt>
                <c:pt idx="6">
                  <c:v>4.8223350253807105E-2</c:v>
                </c:pt>
                <c:pt idx="7">
                  <c:v>7.8680203045685279E-2</c:v>
                </c:pt>
                <c:pt idx="8">
                  <c:v>7.8680203045685279E-2</c:v>
                </c:pt>
                <c:pt idx="9">
                  <c:v>5.8375634517766499E-2</c:v>
                </c:pt>
                <c:pt idx="10">
                  <c:v>9.1370558375634514E-2</c:v>
                </c:pt>
                <c:pt idx="11">
                  <c:v>5.0761421319796954E-2</c:v>
                </c:pt>
                <c:pt idx="12">
                  <c:v>6.5989847715736044E-2</c:v>
                </c:pt>
                <c:pt idx="13">
                  <c:v>5.5837563451776651E-2</c:v>
                </c:pt>
                <c:pt idx="14">
                  <c:v>6.0913705583756347E-2</c:v>
                </c:pt>
                <c:pt idx="15">
                  <c:v>4.060913705583756E-2</c:v>
                </c:pt>
                <c:pt idx="16">
                  <c:v>2.7918781725888325E-2</c:v>
                </c:pt>
                <c:pt idx="17">
                  <c:v>2.2842639593908629E-2</c:v>
                </c:pt>
                <c:pt idx="18">
                  <c:v>1.2690355329949238E-2</c:v>
                </c:pt>
                <c:pt idx="19">
                  <c:v>1.5228426395939087E-2</c:v>
                </c:pt>
                <c:pt idx="20">
                  <c:v>2.2842639593908629E-2</c:v>
                </c:pt>
                <c:pt idx="21">
                  <c:v>1.7766497461928935E-2</c:v>
                </c:pt>
                <c:pt idx="22">
                  <c:v>1.015228426395939E-2</c:v>
                </c:pt>
                <c:pt idx="23">
                  <c:v>1.015228426395939E-2</c:v>
                </c:pt>
                <c:pt idx="24">
                  <c:v>1.015228426395939E-2</c:v>
                </c:pt>
                <c:pt idx="25">
                  <c:v>7.6142131979695434E-3</c:v>
                </c:pt>
                <c:pt idx="26">
                  <c:v>5.076142131979695E-3</c:v>
                </c:pt>
                <c:pt idx="27">
                  <c:v>7.6142131979695434E-3</c:v>
                </c:pt>
                <c:pt idx="28">
                  <c:v>2.5380710659898475E-3</c:v>
                </c:pt>
                <c:pt idx="29">
                  <c:v>7.6142131979695434E-3</c:v>
                </c:pt>
                <c:pt idx="30">
                  <c:v>1.2690355329949238E-2</c:v>
                </c:pt>
                <c:pt idx="31">
                  <c:v>7.6142131979695434E-3</c:v>
                </c:pt>
                <c:pt idx="32">
                  <c:v>2.5380710659898475E-3</c:v>
                </c:pt>
                <c:pt idx="33">
                  <c:v>0</c:v>
                </c:pt>
                <c:pt idx="34">
                  <c:v>0</c:v>
                </c:pt>
                <c:pt idx="35">
                  <c:v>2.5380710659898475E-3</c:v>
                </c:pt>
                <c:pt idx="36">
                  <c:v>2.5380710659898475E-3</c:v>
                </c:pt>
                <c:pt idx="37">
                  <c:v>2.5380710659898475E-3</c:v>
                </c:pt>
                <c:pt idx="38">
                  <c:v>5.076142131979695E-3</c:v>
                </c:pt>
                <c:pt idx="39">
                  <c:v>0</c:v>
                </c:pt>
                <c:pt idx="40">
                  <c:v>0</c:v>
                </c:pt>
                <c:pt idx="41">
                  <c:v>2.5380710659898475E-3</c:v>
                </c:pt>
                <c:pt idx="42">
                  <c:v>5.076142131979695E-3</c:v>
                </c:pt>
                <c:pt idx="43">
                  <c:v>2.5380710659898475E-3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5.076142131979695E-3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2.5380710659898475E-3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2.5380710659898475E-3</c:v>
                </c:pt>
                <c:pt idx="58">
                  <c:v>0</c:v>
                </c:pt>
                <c:pt idx="59">
                  <c:v>2.5380710659898475E-3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F9B-903D-E5BE63B5D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7584"/>
        <c:axId val="153833408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02"/>
  <sheetViews>
    <sheetView tabSelected="1" workbookViewId="0">
      <selection activeCell="A9" sqref="A9"/>
    </sheetView>
  </sheetViews>
  <sheetFormatPr defaultRowHeight="14.25" x14ac:dyDescent="0.45"/>
  <cols>
    <col min="1" max="1" customWidth="true" width="13.59765625" collapsed="true"/>
  </cols>
  <sheetData>
    <row r="1" spans="1:18" x14ac:dyDescent="0.45">
      <c r="A1" t="s">
        <v>1</v>
      </c>
    </row>
    <row r="2" spans="1:18" x14ac:dyDescent="0.45">
      <c r="A2" t="s">
        <v>46</v>
      </c>
    </row>
    <row r="3" spans="1:18" x14ac:dyDescent="0.45">
      <c r="A3" t="s">
        <v>6</v>
      </c>
    </row>
    <row r="4" spans="1:18" x14ac:dyDescent="0.45">
      <c r="A4" t="s">
        <v>5</v>
      </c>
    </row>
    <row r="5" spans="1:18" x14ac:dyDescent="0.45">
      <c r="A5" t="s">
        <v>7</v>
      </c>
    </row>
    <row r="6" spans="1:18" x14ac:dyDescent="0.45">
      <c r="A6" t="s">
        <v>8</v>
      </c>
    </row>
    <row r="7" spans="1:18" x14ac:dyDescent="0.45">
      <c r="A7" t="s">
        <v>16</v>
      </c>
    </row>
    <row ht="14.65" r="9" spans="1:18" thickBot="1" x14ac:dyDescent="0.5">
      <c r="A9" s="4" t="s">
        <v>54</v>
      </c>
      <c r="B9" s="1"/>
      <c r="C9" s="1"/>
      <c r="D9" s="1"/>
      <c r="E9" s="1"/>
      <c r="F9" s="1"/>
      <c r="H9" s="4" t="s">
        <v>50</v>
      </c>
      <c r="I9" s="1"/>
      <c r="J9" s="1"/>
      <c r="K9" s="1"/>
      <c r="L9" s="1"/>
      <c r="M9" s="1"/>
      <c r="P9" s="10" t="s">
        <v>22</v>
      </c>
    </row>
    <row r="10" spans="1:18" x14ac:dyDescent="0.45">
      <c r="A10" s="2" t="s">
        <v>3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47</v>
      </c>
      <c r="H10" s="2" t="s">
        <v>3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21</v>
      </c>
      <c r="P10" s="2"/>
      <c r="Q10" s="5" t="s">
        <v>47</v>
      </c>
      <c r="R10" s="5" t="s">
        <v>21</v>
      </c>
    </row>
    <row r="11" spans="1:18" x14ac:dyDescent="0.45">
      <c r="A11">
        <v>0</v>
      </c>
      <c r="B11" s="8" t="n">
        <v>80000.0</v>
      </c>
      <c r="C11" s="8" t="n">
        <v>20000.0</v>
      </c>
      <c r="D11" s="8" t="n">
        <v>0.0</v>
      </c>
      <c r="E11" s="8">
        <f>SUM(B11:D11)</f>
        <v>84000</v>
      </c>
      <c r="F11" s="21">
        <f>E11/$E$102</f>
        <v>0.19475148021866676</v>
      </c>
      <c r="H11" s="23">
        <v>0</v>
      </c>
      <c r="I11" s="113" t="n">
        <v>80000.0</v>
      </c>
      <c r="J11" s="203" t="n">
        <v>20000.0</v>
      </c>
      <c r="K11" s="293" t="n">
        <v>0.0</v>
      </c>
      <c r="L11">
        <f>SUM(I11:K11)</f>
        <v>84000</v>
      </c>
      <c r="M11" s="21">
        <f>L11/$L$102</f>
        <v>0.21319796954314721</v>
      </c>
      <c r="P11" t="s">
        <v>13</v>
      </c>
      <c r="Q11" s="8" t="n">
        <v>5.836764902816039</v>
      </c>
      <c r="R11" s="8" t="n">
        <v>5.836764902816039</v>
      </c>
    </row>
    <row r="12" spans="1:18" x14ac:dyDescent="0.45">
      <c r="A12">
        <v>1</v>
      </c>
      <c r="B12" s="8" t="n">
        <v>40000.0</v>
      </c>
      <c r="C12" s="8" t="n">
        <v>10000.0</v>
      </c>
      <c r="D12" s="8" t="n">
        <v>10000.0</v>
      </c>
      <c r="E12" s="8">
        <f ref="E12:E75" si="0" t="shared">SUM(B12:D12)</f>
        <v>70766.6015625</v>
      </c>
      <c r="F12" s="21">
        <f ref="F12:F75" si="1" t="shared">E12/$E$102</f>
        <v>0.16407024290882727</v>
      </c>
      <c r="H12" s="24">
        <v>1</v>
      </c>
      <c r="I12" s="114" t="n">
        <v>40000.0</v>
      </c>
      <c r="J12" s="204" t="n">
        <v>10000.0</v>
      </c>
      <c r="K12" s="294" t="n">
        <v>10000.0</v>
      </c>
      <c r="L12">
        <f ref="L12:L75" si="2" t="shared">SUM(I12:K12)</f>
        <v>67000</v>
      </c>
      <c r="M12" s="21">
        <f ref="M12:M75" si="3" t="shared">L12/$L$102</f>
        <v>0.17005076142131981</v>
      </c>
      <c r="P12" t="s">
        <v>14</v>
      </c>
      <c r="Q12" s="8" t="n">
        <v>4.055377462121212</v>
      </c>
      <c r="R12" s="8" t="n">
        <v>4.055377462121212</v>
      </c>
    </row>
    <row r="13" spans="1:18" x14ac:dyDescent="0.45">
      <c r="A13">
        <v>2</v>
      </c>
      <c r="B13" s="8" t="n">
        <v>30000.0</v>
      </c>
      <c r="C13" s="8" t="n">
        <v>0.0</v>
      </c>
      <c r="D13" s="8" t="n">
        <v>0.0</v>
      </c>
      <c r="E13" s="8">
        <f si="0" t="shared"/>
        <v>58196.812629699707</v>
      </c>
      <c r="F13" s="21">
        <f si="1" t="shared"/>
        <v>0.1349275643290764</v>
      </c>
      <c r="H13" s="25">
        <v>2</v>
      </c>
      <c r="I13" s="115" t="n">
        <v>30000.0</v>
      </c>
      <c r="J13" s="205" t="n">
        <v>0.0</v>
      </c>
      <c r="K13" s="295" t="n">
        <v>0.0</v>
      </c>
      <c r="L13">
        <f si="2" t="shared"/>
        <v>52000</v>
      </c>
      <c r="M13" s="21">
        <f si="3" t="shared"/>
        <v>0.13197969543147209</v>
      </c>
      <c r="P13" s="6" t="s">
        <v>15</v>
      </c>
      <c r="Q13" s="11" t="n">
        <v>1.09506136363636</v>
      </c>
      <c r="R13" s="11" t="n">
        <v>1.09506136363636</v>
      </c>
    </row>
    <row ht="14.65" r="14" spans="1:18" thickBot="1" x14ac:dyDescent="0.5">
      <c r="A14">
        <v>3</v>
      </c>
      <c r="B14" s="8" t="n">
        <v>50000.0</v>
      </c>
      <c r="C14" s="8" t="n">
        <v>10000.0</v>
      </c>
      <c r="D14" s="8" t="n">
        <v>0.0</v>
      </c>
      <c r="E14" s="8">
        <f si="0" t="shared"/>
        <v>46762.099266052246</v>
      </c>
      <c r="F14" s="21">
        <f si="1" t="shared"/>
        <v>0.10841652440709411</v>
      </c>
      <c r="H14" s="26">
        <v>3</v>
      </c>
      <c r="I14" s="116" t="n">
        <v>50000.0</v>
      </c>
      <c r="J14" s="206" t="n">
        <v>10000.0</v>
      </c>
      <c r="K14" s="296" t="n">
        <v>0.0</v>
      </c>
      <c r="L14">
        <f si="2" t="shared"/>
        <v>41000</v>
      </c>
      <c r="M14" s="21">
        <f si="3" t="shared"/>
        <v>0.10406091370558376</v>
      </c>
      <c r="P14" s="1" t="s">
        <v>4</v>
      </c>
      <c r="Q14" s="9" t="n">
        <v>5.384555306036557</v>
      </c>
      <c r="R14" s="9" t="n">
        <v>5.384555306036557</v>
      </c>
    </row>
    <row r="15" spans="1:18" x14ac:dyDescent="0.45">
      <c r="A15">
        <v>4</v>
      </c>
      <c r="B15" s="8" t="n">
        <v>10000.0</v>
      </c>
      <c r="C15" s="8" t="n">
        <v>0.0</v>
      </c>
      <c r="D15" s="8" t="n">
        <v>0.0</v>
      </c>
      <c r="E15" s="8">
        <f si="0" t="shared"/>
        <v>36719.26212310791</v>
      </c>
      <c r="F15" s="21">
        <f si="1" t="shared"/>
        <v>8.5132507750148689E-2</v>
      </c>
      <c r="H15" s="27">
        <v>4</v>
      </c>
      <c r="I15" s="117" t="n">
        <v>10000.0</v>
      </c>
      <c r="J15" s="207" t="n">
        <v>0.0</v>
      </c>
      <c r="K15" s="297" t="n">
        <v>0.0</v>
      </c>
      <c r="L15">
        <f si="2" t="shared"/>
        <v>42000</v>
      </c>
      <c r="M15" s="21">
        <f si="3" t="shared"/>
        <v>0.1065989847715736</v>
      </c>
    </row>
    <row r="16" spans="1:18" x14ac:dyDescent="0.45">
      <c r="A16">
        <v>5</v>
      </c>
      <c r="B16" s="8" t="n">
        <v>20000.0</v>
      </c>
      <c r="C16" s="8" t="n">
        <v>20000.0</v>
      </c>
      <c r="D16" s="8" t="n">
        <v>0.0</v>
      </c>
      <c r="E16" s="8">
        <f si="0" t="shared"/>
        <v>28215.388298034668</v>
      </c>
      <c r="F16" s="21">
        <f si="1" t="shared"/>
        <v>6.5416531380794049E-2</v>
      </c>
      <c r="H16" s="28">
        <v>5</v>
      </c>
      <c r="I16" s="118" t="n">
        <v>20000.0</v>
      </c>
      <c r="J16" s="208" t="n">
        <v>20000.0</v>
      </c>
      <c r="K16" s="298" t="n">
        <v>0.0</v>
      </c>
      <c r="L16">
        <f si="2" t="shared"/>
        <v>20000</v>
      </c>
      <c r="M16" s="21">
        <f si="3" t="shared"/>
        <v>5.0761421319796954E-2</v>
      </c>
    </row>
    <row r="17" spans="1:13" x14ac:dyDescent="0.45">
      <c r="A17">
        <v>6</v>
      </c>
      <c r="B17" s="8" t="n">
        <v>10000.0</v>
      </c>
      <c r="C17" s="8" t="n">
        <v>10000.0</v>
      </c>
      <c r="D17" s="8" t="n">
        <v>0.0</v>
      </c>
      <c r="E17" s="8">
        <f si="0" t="shared"/>
        <v>21341.432571411133</v>
      </c>
      <c r="F17" s="21">
        <f si="1" t="shared"/>
        <v>4.9479471229395063E-2</v>
      </c>
      <c r="H17" s="29">
        <v>6</v>
      </c>
      <c r="I17" s="119" t="n">
        <v>10000.0</v>
      </c>
      <c r="J17" s="209" t="n">
        <v>10000.0</v>
      </c>
      <c r="K17" s="299" t="n">
        <v>0.0</v>
      </c>
      <c r="L17">
        <f si="2" t="shared"/>
        <v>12000</v>
      </c>
      <c r="M17" s="21">
        <f si="3" t="shared"/>
        <v>3.0456852791878174E-2</v>
      </c>
    </row>
    <row r="18" spans="1:13" x14ac:dyDescent="0.45">
      <c r="A18">
        <v>7</v>
      </c>
      <c r="B18" s="8" t="n">
        <v>10000.0</v>
      </c>
      <c r="C18" s="8" t="n">
        <v>0.0</v>
      </c>
      <c r="D18" s="8" t="n">
        <v>0.0</v>
      </c>
      <c r="E18" s="8">
        <f si="0" t="shared"/>
        <v>16068.84765625</v>
      </c>
      <c r="F18" s="21">
        <f si="1" t="shared"/>
        <v>3.725514126741597E-2</v>
      </c>
      <c r="H18" s="30">
        <v>7</v>
      </c>
      <c r="I18" s="120" t="n">
        <v>10000.0</v>
      </c>
      <c r="J18" s="210" t="n">
        <v>0.0</v>
      </c>
      <c r="K18" s="300" t="n">
        <v>0.0</v>
      </c>
      <c r="L18">
        <f si="2" t="shared"/>
        <v>14000</v>
      </c>
      <c r="M18" s="21">
        <f si="3" t="shared"/>
        <v>3.553299492385787E-2</v>
      </c>
    </row>
    <row r="19" spans="1:13" x14ac:dyDescent="0.45">
      <c r="A19">
        <v>8</v>
      </c>
      <c r="B19" s="8" t="n">
        <v>30000.0</v>
      </c>
      <c r="C19" s="8" t="n">
        <v>0.0</v>
      </c>
      <c r="D19" s="8" t="n">
        <v>0.0</v>
      </c>
      <c r="E19" s="8">
        <f si="0" t="shared"/>
        <v>12189.408302307129</v>
      </c>
      <c r="F19" s="21">
        <f si="1" t="shared"/>
        <v>2.8260777498381181E-2</v>
      </c>
      <c r="H19" s="31">
        <v>8</v>
      </c>
      <c r="I19" s="121" t="n">
        <v>30000.0</v>
      </c>
      <c r="J19" s="211" t="n">
        <v>0.0</v>
      </c>
      <c r="K19" s="301" t="n">
        <v>0.0</v>
      </c>
      <c r="L19">
        <f si="2" t="shared"/>
        <v>11000</v>
      </c>
      <c r="M19" s="21">
        <f si="3" t="shared"/>
        <v>2.7918781725888325E-2</v>
      </c>
    </row>
    <row r="20" spans="1:13" x14ac:dyDescent="0.45">
      <c r="A20">
        <v>9</v>
      </c>
      <c r="B20" s="8" t="n">
        <v>0.0</v>
      </c>
      <c r="C20" s="8" t="n">
        <v>10000.0</v>
      </c>
      <c r="D20" s="8" t="n">
        <v>0.0</v>
      </c>
      <c r="E20" s="8">
        <f si="0" t="shared"/>
        <v>9374.882698059082</v>
      </c>
      <c r="F20" s="21">
        <f si="1" t="shared"/>
        <v>2.1735384313373508E-2</v>
      </c>
      <c r="H20" s="32">
        <v>9</v>
      </c>
      <c r="I20" s="122" t="n">
        <v>0.0</v>
      </c>
      <c r="J20" s="212" t="n">
        <v>10000.0</v>
      </c>
      <c r="K20" s="302" t="n">
        <v>0.0</v>
      </c>
      <c r="L20">
        <f si="2" t="shared"/>
        <v>10000</v>
      </c>
      <c r="M20" s="21">
        <f si="3" t="shared"/>
        <v>2.5380710659898477E-2</v>
      </c>
    </row>
    <row r="21" spans="1:13" x14ac:dyDescent="0.45">
      <c r="A21">
        <v>10</v>
      </c>
      <c r="B21" s="8" t="n">
        <v>0.0</v>
      </c>
      <c r="C21" s="8" t="n">
        <v>0.0</v>
      </c>
      <c r="D21" s="8" t="n">
        <v>0.0</v>
      </c>
      <c r="E21" s="8">
        <f si="0" t="shared"/>
        <v>7310.6784820556641</v>
      </c>
      <c r="F21" s="21">
        <f si="1" t="shared"/>
        <v>1.6949588759322575E-2</v>
      </c>
      <c r="H21" s="33">
        <v>10</v>
      </c>
      <c r="I21" s="123" t="n">
        <v>0.0</v>
      </c>
      <c r="J21" s="213" t="n">
        <v>0.0</v>
      </c>
      <c r="K21" s="303" t="n">
        <v>0.0</v>
      </c>
      <c r="L21">
        <f si="2" t="shared"/>
        <v>2000</v>
      </c>
      <c r="M21" s="21">
        <f si="3" t="shared"/>
        <v>5.076142131979695E-3</v>
      </c>
    </row>
    <row r="22" spans="1:13" x14ac:dyDescent="0.45">
      <c r="A22">
        <v>11</v>
      </c>
      <c r="B22" s="8" t="n">
        <v>10000.0</v>
      </c>
      <c r="C22" s="8" t="n">
        <v>0.0</v>
      </c>
      <c r="D22" s="8" t="n">
        <v>0.0</v>
      </c>
      <c r="E22" s="8">
        <f si="0" t="shared"/>
        <v>5777.1663665771484</v>
      </c>
      <c r="F22" s="21">
        <f si="1" t="shared"/>
        <v>1.3394186920957099E-2</v>
      </c>
      <c r="H22" s="34">
        <v>11</v>
      </c>
      <c r="I22" s="124" t="n">
        <v>10000.0</v>
      </c>
      <c r="J22" s="214" t="n">
        <v>0.0</v>
      </c>
      <c r="K22" s="304" t="n">
        <v>0.0</v>
      </c>
      <c r="L22">
        <f si="2" t="shared"/>
        <v>8000</v>
      </c>
      <c r="M22" s="21">
        <f si="3" t="shared"/>
        <v>2.030456852791878E-2</v>
      </c>
    </row>
    <row r="23" spans="1:13" x14ac:dyDescent="0.45">
      <c r="A23">
        <v>12</v>
      </c>
      <c r="B23" s="8" t="n">
        <v>0.0</v>
      </c>
      <c r="C23" s="8" t="n">
        <v>0.0</v>
      </c>
      <c r="D23" s="8" t="n">
        <v>0.0</v>
      </c>
      <c r="E23" s="8">
        <f si="0" t="shared"/>
        <v>4637.3128890991211</v>
      </c>
      <c r="F23" s="21">
        <f si="1" t="shared"/>
        <v>1.075147082606138E-2</v>
      </c>
      <c r="H23" s="35">
        <v>12</v>
      </c>
      <c r="I23" s="125" t="n">
        <v>0.0</v>
      </c>
      <c r="J23" s="215" t="n">
        <v>0.0</v>
      </c>
      <c r="K23" s="305" t="n">
        <v>0.0</v>
      </c>
      <c r="L23">
        <f si="2" t="shared"/>
        <v>3000</v>
      </c>
      <c r="M23" s="21">
        <f si="3" t="shared"/>
        <v>7.6142131979695434E-3</v>
      </c>
    </row>
    <row r="24" spans="1:13" x14ac:dyDescent="0.45">
      <c r="A24">
        <v>13</v>
      </c>
      <c r="B24" s="8" t="n">
        <v>0.0</v>
      </c>
      <c r="C24" s="8" t="n">
        <v>0.0</v>
      </c>
      <c r="D24" s="8" t="n">
        <v>0.0</v>
      </c>
      <c r="E24" s="8">
        <f si="0" t="shared"/>
        <v>3792.266845703125</v>
      </c>
      <c r="F24" s="21">
        <f si="1" t="shared"/>
        <v>8.7922569236292616E-3</v>
      </c>
      <c r="H24" s="36">
        <v>13</v>
      </c>
      <c r="I24" s="126" t="n">
        <v>0.0</v>
      </c>
      <c r="J24" s="216" t="n">
        <v>0.0</v>
      </c>
      <c r="K24" s="306" t="n">
        <v>0.0</v>
      </c>
      <c r="L24">
        <f si="2" t="shared"/>
        <v>2000</v>
      </c>
      <c r="M24" s="21">
        <f si="3" t="shared"/>
        <v>5.076142131979695E-3</v>
      </c>
    </row>
    <row r="25" spans="1:13" x14ac:dyDescent="0.45">
      <c r="A25">
        <v>14</v>
      </c>
      <c r="B25" s="8" t="n">
        <v>10000.0</v>
      </c>
      <c r="C25" s="8" t="n">
        <v>0.0</v>
      </c>
      <c r="D25" s="8" t="n">
        <v>0.0</v>
      </c>
      <c r="E25" s="8">
        <f si="0" t="shared"/>
        <v>3165.3728485107422</v>
      </c>
      <c r="F25" s="21">
        <f si="1" t="shared"/>
        <v>7.3388219963267222E-3</v>
      </c>
      <c r="H25" s="37">
        <v>14</v>
      </c>
      <c r="I25" s="127" t="n">
        <v>10000.0</v>
      </c>
      <c r="J25" s="217" t="n">
        <v>0.0</v>
      </c>
      <c r="K25" s="307" t="n">
        <v>0.0</v>
      </c>
      <c r="L25">
        <f si="2" t="shared"/>
        <v>5000</v>
      </c>
      <c r="M25" s="21">
        <f si="3" t="shared"/>
        <v>1.2690355329949238E-2</v>
      </c>
    </row>
    <row r="26" spans="1:13" x14ac:dyDescent="0.45">
      <c r="A26">
        <v>15</v>
      </c>
      <c r="B26" s="8" t="n">
        <v>0.0</v>
      </c>
      <c r="C26" s="8" t="n">
        <v>0.0</v>
      </c>
      <c r="D26" s="8" t="n">
        <v>0.0</v>
      </c>
      <c r="E26" s="8">
        <f si="0" t="shared"/>
        <v>2710.845947265625</v>
      </c>
      <c r="F26" s="21">
        <f si="1" t="shared"/>
        <v>6.2850150104137416E-3</v>
      </c>
      <c r="H26" s="38">
        <v>15</v>
      </c>
      <c r="I26" s="128" t="n">
        <v>0.0</v>
      </c>
      <c r="J26" s="218" t="n">
        <v>0.0</v>
      </c>
      <c r="K26" s="308" t="n">
        <v>0.0</v>
      </c>
      <c r="L26">
        <f si="2" t="shared"/>
        <v>2000</v>
      </c>
      <c r="M26" s="21">
        <f si="3" t="shared"/>
        <v>5.076142131979695E-3</v>
      </c>
    </row>
    <row r="27" spans="1:13" x14ac:dyDescent="0.45">
      <c r="A27">
        <v>16</v>
      </c>
      <c r="B27" s="8" t="n">
        <v>0.0</v>
      </c>
      <c r="C27" s="8" t="n">
        <v>0.0</v>
      </c>
      <c r="D27" s="8" t="n">
        <v>0.0</v>
      </c>
      <c r="E27" s="8">
        <f si="0" t="shared"/>
        <v>2409.3809127807617</v>
      </c>
      <c r="F27" s="21">
        <f si="1" t="shared"/>
        <v>5.5860773711268541E-3</v>
      </c>
      <c r="H27" s="39">
        <v>16</v>
      </c>
      <c r="I27" s="129" t="n">
        <v>0.0</v>
      </c>
      <c r="J27" s="219" t="n">
        <v>0.0</v>
      </c>
      <c r="K27" s="309" t="n">
        <v>0.0</v>
      </c>
      <c r="L27">
        <f si="2" t="shared"/>
        <v>1000</v>
      </c>
      <c r="M27" s="21">
        <f si="3" t="shared"/>
        <v>2.5380710659898475E-3</v>
      </c>
    </row>
    <row r="28" spans="1:13" x14ac:dyDescent="0.45">
      <c r="A28">
        <v>17</v>
      </c>
      <c r="B28" s="8" t="n">
        <v>10000.0</v>
      </c>
      <c r="C28" s="8" t="n">
        <v>0.0</v>
      </c>
      <c r="D28" s="8" t="n">
        <v>0.0</v>
      </c>
      <c r="E28" s="8">
        <f si="0" t="shared"/>
        <v>2236.4253997802734</v>
      </c>
      <c r="F28" s="21">
        <f si="1" t="shared"/>
        <v>5.1850852024503784E-3</v>
      </c>
      <c r="H28" s="40">
        <v>17</v>
      </c>
      <c r="I28" s="130" t="n">
        <v>10000.0</v>
      </c>
      <c r="J28" s="220" t="n">
        <v>0.0</v>
      </c>
      <c r="K28" s="310" t="n">
        <v>0.0</v>
      </c>
      <c r="L28">
        <f si="2" t="shared"/>
        <v>2000</v>
      </c>
      <c r="M28" s="21">
        <f si="3" t="shared"/>
        <v>5.076142131979695E-3</v>
      </c>
    </row>
    <row r="29" spans="1:13" x14ac:dyDescent="0.45">
      <c r="A29">
        <v>18</v>
      </c>
      <c r="B29" s="8" t="n">
        <v>0.0</v>
      </c>
      <c r="C29" s="8" t="n">
        <v>0.0</v>
      </c>
      <c r="D29" s="8" t="n">
        <v>0.0</v>
      </c>
      <c r="E29" s="8">
        <f si="0" t="shared"/>
        <v>2131.1817169189453</v>
      </c>
      <c r="F29" s="21">
        <f si="1" t="shared"/>
        <v>4.9410808807729073E-3</v>
      </c>
      <c r="H29" s="41">
        <v>18</v>
      </c>
      <c r="I29" s="131" t="n">
        <v>0.0</v>
      </c>
      <c r="J29" s="221" t="n">
        <v>0.0</v>
      </c>
      <c r="K29" s="311" t="n">
        <v>0.0</v>
      </c>
      <c r="L29">
        <f si="2" t="shared"/>
        <v>2000</v>
      </c>
      <c r="M29" s="21">
        <f si="3" t="shared"/>
        <v>5.076142131979695E-3</v>
      </c>
    </row>
    <row r="30" spans="1:13" x14ac:dyDescent="0.45">
      <c r="A30">
        <v>19</v>
      </c>
      <c r="B30" s="8" t="n">
        <v>0.0</v>
      </c>
      <c r="C30" s="8" t="n">
        <v>0.0</v>
      </c>
      <c r="D30" s="8" t="n">
        <v>0.0</v>
      </c>
      <c r="E30" s="8">
        <f si="0" t="shared"/>
        <v>2004.2266845703125</v>
      </c>
      <c r="F30" s="21">
        <f si="1" t="shared"/>
        <v>4.6467394465930867E-3</v>
      </c>
      <c r="H30" s="42">
        <v>19</v>
      </c>
      <c r="I30" s="132" t="n">
        <v>0.0</v>
      </c>
      <c r="J30" s="222" t="n">
        <v>0.0</v>
      </c>
      <c r="K30" s="312" t="n">
        <v>0.0</v>
      </c>
      <c r="L30">
        <f si="2" t="shared"/>
        <v>3000</v>
      </c>
      <c r="M30" s="21">
        <f si="3" t="shared"/>
        <v>7.6142131979695434E-3</v>
      </c>
    </row>
    <row r="31" spans="1:13" x14ac:dyDescent="0.45">
      <c r="A31">
        <v>20</v>
      </c>
      <c r="B31" s="8" t="n">
        <v>10000.0</v>
      </c>
      <c r="C31" s="8" t="n">
        <v>0.0</v>
      </c>
      <c r="D31" s="8" t="n">
        <v>0.0</v>
      </c>
      <c r="E31" s="8">
        <f si="0" t="shared"/>
        <v>1784.8844528198242</v>
      </c>
      <c r="F31" s="21">
        <f si="1" t="shared"/>
        <v>4.1382010619755456E-3</v>
      </c>
      <c r="H31" s="43">
        <v>20</v>
      </c>
      <c r="I31" s="133" t="n">
        <v>10000.0</v>
      </c>
      <c r="J31" s="223" t="n">
        <v>0.0</v>
      </c>
      <c r="K31" s="313" t="n">
        <v>0.0</v>
      </c>
      <c r="L31">
        <f si="2" t="shared"/>
        <v>3000</v>
      </c>
      <c r="M31" s="21">
        <f si="3" t="shared"/>
        <v>7.6142131979695434E-3</v>
      </c>
    </row>
    <row r="32" spans="1:13" x14ac:dyDescent="0.45">
      <c r="A32">
        <v>21</v>
      </c>
      <c r="B32" s="8" t="n">
        <v>0.0</v>
      </c>
      <c r="C32" s="8" t="n">
        <v>0.0</v>
      </c>
      <c r="D32" s="8" t="n">
        <v>0.0</v>
      </c>
      <c r="E32" s="8">
        <f si="0" t="shared"/>
        <v>1466.1397933959961</v>
      </c>
      <c r="F32" s="21">
        <f si="1" t="shared"/>
        <v>3.3992011306114346E-3</v>
      </c>
      <c r="H32" s="44">
        <v>21</v>
      </c>
      <c r="I32" s="134" t="n">
        <v>0.0</v>
      </c>
      <c r="J32" s="224" t="n">
        <v>0.0</v>
      </c>
      <c r="K32" s="314" t="n">
        <v>0.0</v>
      </c>
      <c r="L32">
        <f si="2" t="shared"/>
        <v>1000</v>
      </c>
      <c r="M32" s="21">
        <f si="3" t="shared"/>
        <v>2.5380710659898475E-3</v>
      </c>
    </row>
    <row r="33" spans="1:13" x14ac:dyDescent="0.45">
      <c r="A33">
        <v>22</v>
      </c>
      <c r="B33" s="8" t="n">
        <v>0.0</v>
      </c>
      <c r="C33" s="8" t="n">
        <v>0.0</v>
      </c>
      <c r="D33" s="8" t="n">
        <v>0.0</v>
      </c>
      <c r="E33" s="8">
        <f si="0" t="shared"/>
        <v>1104.8431396484375</v>
      </c>
      <c r="F33" s="21">
        <f si="1" t="shared"/>
        <v>2.5615456768568138E-3</v>
      </c>
      <c r="H33" s="45">
        <v>22</v>
      </c>
      <c r="I33" s="135" t="n">
        <v>0.0</v>
      </c>
      <c r="J33" s="225" t="n">
        <v>0.0</v>
      </c>
      <c r="K33" s="315" t="n">
        <v>0.0</v>
      </c>
      <c r="L33">
        <f si="2" t="shared"/>
        <v>1000</v>
      </c>
      <c r="M33" s="21">
        <f si="3" t="shared"/>
        <v>2.5380710659898475E-3</v>
      </c>
    </row>
    <row r="34" spans="1:13" x14ac:dyDescent="0.45">
      <c r="A34">
        <v>23</v>
      </c>
      <c r="B34" s="8" t="n">
        <v>0.0</v>
      </c>
      <c r="C34" s="8" t="n">
        <v>0.0</v>
      </c>
      <c r="D34" s="8" t="n">
        <v>0.0</v>
      </c>
      <c r="E34" s="8">
        <f si="0" t="shared"/>
        <v>778.28884124755859</v>
      </c>
      <c r="F34" s="21">
        <f si="1" t="shared"/>
        <v>1.8044393317932497E-3</v>
      </c>
      <c r="H34" s="46">
        <v>23</v>
      </c>
      <c r="I34" s="136" t="n">
        <v>0.0</v>
      </c>
      <c r="J34" s="226" t="n">
        <v>0.0</v>
      </c>
      <c r="K34" s="316" t="n">
        <v>0.0</v>
      </c>
      <c r="L34">
        <f si="2" t="shared"/>
        <v>0</v>
      </c>
      <c r="M34" s="21">
        <f si="3" t="shared"/>
        <v>0</v>
      </c>
    </row>
    <row r="35" spans="1:13" x14ac:dyDescent="0.45">
      <c r="A35">
        <v>24</v>
      </c>
      <c r="B35" s="8" t="n">
        <v>0.0</v>
      </c>
      <c r="C35" s="8" t="n">
        <v>0.0</v>
      </c>
      <c r="D35" s="8" t="n">
        <v>0.0</v>
      </c>
      <c r="E35" s="8">
        <f si="0" t="shared"/>
        <v>537.00542449951172</v>
      </c>
      <c r="F35" s="21">
        <f si="1" t="shared"/>
        <v>1.2450309679373024E-3</v>
      </c>
      <c r="H35" s="47">
        <v>24</v>
      </c>
      <c r="I35" s="137" t="n">
        <v>0.0</v>
      </c>
      <c r="J35" s="227" t="n">
        <v>0.0</v>
      </c>
      <c r="K35" s="317" t="n">
        <v>0.0</v>
      </c>
      <c r="L35">
        <f si="2" t="shared"/>
        <v>0</v>
      </c>
      <c r="M35" s="21">
        <f si="3" t="shared"/>
        <v>0</v>
      </c>
    </row>
    <row r="36" spans="1:13" x14ac:dyDescent="0.45">
      <c r="A36">
        <v>25</v>
      </c>
      <c r="B36" s="8" t="n">
        <v>0.0</v>
      </c>
      <c r="C36" s="8" t="n">
        <v>0.0</v>
      </c>
      <c r="D36" s="8" t="n">
        <v>0.0</v>
      </c>
      <c r="E36" s="8">
        <f si="0" t="shared"/>
        <v>389.45198059082031</v>
      </c>
      <c r="F36" s="21">
        <f si="1" t="shared"/>
        <v>9.0293273445421105E-4</v>
      </c>
      <c r="H36" s="48">
        <v>25</v>
      </c>
      <c r="I36" s="138" t="n">
        <v>0.0</v>
      </c>
      <c r="J36" s="228" t="n">
        <v>0.0</v>
      </c>
      <c r="K36" s="318" t="n">
        <v>0.0</v>
      </c>
      <c r="L36">
        <f si="2" t="shared"/>
        <v>1000</v>
      </c>
      <c r="M36" s="21">
        <f si="3" t="shared"/>
        <v>2.5380710659898475E-3</v>
      </c>
    </row>
    <row r="37" spans="1:13" x14ac:dyDescent="0.45">
      <c r="A37">
        <v>26</v>
      </c>
      <c r="B37" s="8" t="n">
        <v>0.0</v>
      </c>
      <c r="C37" s="8" t="n">
        <v>0.0</v>
      </c>
      <c r="D37" s="8" t="n">
        <v>0.0</v>
      </c>
      <c r="E37" s="8">
        <f si="0" t="shared"/>
        <v>318.16864013671875</v>
      </c>
      <c r="F37" s="21">
        <f si="1" t="shared"/>
        <v>7.3766444792602718E-4</v>
      </c>
      <c r="H37" s="49">
        <v>26</v>
      </c>
      <c r="I37" s="139" t="n">
        <v>0.0</v>
      </c>
      <c r="J37" s="229" t="n">
        <v>0.0</v>
      </c>
      <c r="K37" s="319" t="n">
        <v>0.0</v>
      </c>
      <c r="L37">
        <f si="2" t="shared"/>
        <v>0</v>
      </c>
      <c r="M37" s="21">
        <f si="3" t="shared"/>
        <v>0</v>
      </c>
    </row>
    <row r="38" spans="1:13" x14ac:dyDescent="0.45">
      <c r="A38">
        <v>27</v>
      </c>
      <c r="B38" s="8" t="n">
        <v>0.0</v>
      </c>
      <c r="C38" s="8" t="n">
        <v>0.0</v>
      </c>
      <c r="D38" s="8" t="n">
        <v>0.0</v>
      </c>
      <c r="E38" s="8">
        <f si="0" t="shared"/>
        <v>300.48465728759766</v>
      </c>
      <c r="F38" s="21">
        <f si="1" t="shared"/>
        <v>6.9666466416379086E-4</v>
      </c>
      <c r="H38" s="50">
        <v>27</v>
      </c>
      <c r="I38" s="140" t="n">
        <v>0.0</v>
      </c>
      <c r="J38" s="230" t="n">
        <v>0.0</v>
      </c>
      <c r="K38" s="320" t="n">
        <v>0.0</v>
      </c>
      <c r="L38">
        <f si="2" t="shared"/>
        <v>0</v>
      </c>
      <c r="M38" s="21">
        <f si="3" t="shared"/>
        <v>0</v>
      </c>
    </row>
    <row r="39" spans="1:13" x14ac:dyDescent="0.4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314.34726715087891</v>
      </c>
      <c r="F39" s="21">
        <f si="1" t="shared"/>
        <v>7.2880470928959938E-4</v>
      </c>
      <c r="H39" s="51">
        <v>28</v>
      </c>
      <c r="I39" s="141" t="n">
        <v>0.0</v>
      </c>
      <c r="J39" s="231" t="n">
        <v>0.0</v>
      </c>
      <c r="K39" s="321" t="n">
        <v>0.0</v>
      </c>
      <c r="L39">
        <f si="2" t="shared"/>
        <v>0</v>
      </c>
      <c r="M39" s="21">
        <f si="3" t="shared"/>
        <v>0</v>
      </c>
    </row>
    <row r="40" spans="1:13" x14ac:dyDescent="0.45">
      <c r="A40">
        <v>29</v>
      </c>
      <c r="B40" s="8" t="n">
        <v>0.0</v>
      </c>
      <c r="C40" s="8" t="n">
        <v>0.0</v>
      </c>
      <c r="D40" s="8" t="n">
        <v>0.0</v>
      </c>
      <c r="E40" s="8">
        <f si="0" t="shared"/>
        <v>334.62429046630859</v>
      </c>
      <c r="F40" s="21">
        <f si="1" t="shared"/>
        <v>7.7581637958850833E-4</v>
      </c>
      <c r="H40" s="52">
        <v>29</v>
      </c>
      <c r="I40" s="142" t="n">
        <v>0.0</v>
      </c>
      <c r="J40" s="232" t="n">
        <v>0.0</v>
      </c>
      <c r="K40" s="322" t="n">
        <v>0.0</v>
      </c>
      <c r="L40">
        <f si="2" t="shared"/>
        <v>1000</v>
      </c>
      <c r="M40" s="21">
        <f si="3" t="shared"/>
        <v>2.5380710659898475E-3</v>
      </c>
    </row>
    <row r="41" spans="1:13" x14ac:dyDescent="0.45">
      <c r="A41">
        <v>30</v>
      </c>
      <c r="B41" s="8" t="n">
        <v>0.0</v>
      </c>
      <c r="C41" s="8" t="n">
        <v>0.0</v>
      </c>
      <c r="D41" s="8" t="n">
        <v>0.0</v>
      </c>
      <c r="E41" s="8">
        <f si="0" t="shared"/>
        <v>335.34717559814453</v>
      </c>
      <c r="F41" s="21">
        <f si="1" t="shared"/>
        <v>7.7749236708199779E-4</v>
      </c>
      <c r="H41" s="53">
        <v>30</v>
      </c>
      <c r="I41" s="143" t="n">
        <v>0.0</v>
      </c>
      <c r="J41" s="233" t="n">
        <v>0.0</v>
      </c>
      <c r="K41" s="323" t="n">
        <v>0.0</v>
      </c>
      <c r="L41">
        <f si="2" t="shared"/>
        <v>0</v>
      </c>
      <c r="M41" s="21">
        <f si="3" t="shared"/>
        <v>0</v>
      </c>
    </row>
    <row r="42" spans="1:13" x14ac:dyDescent="0.4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300.97389221191406</v>
      </c>
      <c r="F42" s="21">
        <f si="1" t="shared"/>
        <v>6.9779894066004434E-4</v>
      </c>
      <c r="H42" s="54">
        <v>31</v>
      </c>
      <c r="I42" s="144" t="n">
        <v>0.0</v>
      </c>
      <c r="J42" s="234" t="n">
        <v>0.0</v>
      </c>
      <c r="K42" s="324" t="n">
        <v>0.0</v>
      </c>
      <c r="L42">
        <f si="2" t="shared"/>
        <v>1000</v>
      </c>
      <c r="M42" s="21">
        <f si="3" t="shared"/>
        <v>2.5380710659898475E-3</v>
      </c>
    </row>
    <row r="43" spans="1:13" x14ac:dyDescent="0.4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235.23426055908203</v>
      </c>
      <c r="F43" s="21">
        <f si="1" t="shared"/>
        <v>5.4538357669077096E-4</v>
      </c>
      <c r="H43" s="55">
        <v>32</v>
      </c>
      <c r="I43" s="145" t="n">
        <v>0.0</v>
      </c>
      <c r="J43" s="235" t="n">
        <v>0.0</v>
      </c>
      <c r="K43" s="325" t="n">
        <v>0.0</v>
      </c>
      <c r="L43">
        <f si="2" t="shared"/>
        <v>0</v>
      </c>
      <c r="M43" s="21">
        <f si="3" t="shared"/>
        <v>0</v>
      </c>
    </row>
    <row r="44" spans="1:13" x14ac:dyDescent="0.4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157.64236450195313</v>
      </c>
      <c r="F44" s="21">
        <f si="1" t="shared"/>
        <v>3.6548909323721399E-4</v>
      </c>
      <c r="H44" s="56">
        <v>33</v>
      </c>
      <c r="I44" s="146" t="n">
        <v>0.0</v>
      </c>
      <c r="J44" s="236" t="n">
        <v>0.0</v>
      </c>
      <c r="K44" s="326" t="n">
        <v>0.0</v>
      </c>
      <c r="L44">
        <f si="2" t="shared"/>
        <v>0</v>
      </c>
      <c r="M44" s="21">
        <f si="3" t="shared"/>
        <v>0</v>
      </c>
    </row>
    <row r="45" spans="1:13" x14ac:dyDescent="0.45">
      <c r="A45">
        <v>34</v>
      </c>
      <c r="B45" s="8" t="n">
        <v>0.0</v>
      </c>
      <c r="C45" s="8" t="n">
        <v>0.0</v>
      </c>
      <c r="D45" s="8" t="n">
        <v>0.0</v>
      </c>
      <c r="E45" s="8">
        <f si="0" t="shared"/>
        <v>90.908050537109375</v>
      </c>
      <c r="F45" s="21">
        <f si="1" t="shared"/>
        <v>2.1076758816542158E-4</v>
      </c>
      <c r="H45" s="57">
        <v>34</v>
      </c>
      <c r="I45" s="147" t="n">
        <v>0.0</v>
      </c>
      <c r="J45" s="237" t="n">
        <v>0.0</v>
      </c>
      <c r="K45" s="327" t="n">
        <v>0.0</v>
      </c>
      <c r="L45">
        <f si="2" t="shared"/>
        <v>0</v>
      </c>
      <c r="M45" s="21">
        <f si="3" t="shared"/>
        <v>0</v>
      </c>
    </row>
    <row r="46" spans="1:13" x14ac:dyDescent="0.45">
      <c r="A46">
        <v>35</v>
      </c>
      <c r="B46" s="8" t="n">
        <v>0.0</v>
      </c>
      <c r="C46" s="8" t="n">
        <v>0.0</v>
      </c>
      <c r="D46" s="8" t="n">
        <v>0.0</v>
      </c>
      <c r="E46" s="8">
        <f si="0" t="shared"/>
        <v>50.8270263671875</v>
      </c>
      <c r="F46" s="21">
        <f si="1" t="shared"/>
        <v>1.1784093595384487E-4</v>
      </c>
      <c r="H46" s="58">
        <v>35</v>
      </c>
      <c r="I46" s="148" t="n">
        <v>0.0</v>
      </c>
      <c r="J46" s="238" t="n">
        <v>0.0</v>
      </c>
      <c r="K46" s="328" t="n">
        <v>0.0</v>
      </c>
      <c r="L46">
        <f si="2" t="shared"/>
        <v>0</v>
      </c>
      <c r="M46" s="21">
        <f si="3" t="shared"/>
        <v>0</v>
      </c>
    </row>
    <row r="47" spans="1:13" x14ac:dyDescent="0.45">
      <c r="A47">
        <v>36</v>
      </c>
      <c r="B47" s="8" t="n">
        <v>0.0</v>
      </c>
      <c r="C47" s="8" t="n">
        <v>0.0</v>
      </c>
      <c r="D47" s="8" t="n">
        <v>0.0</v>
      </c>
      <c r="E47" s="8">
        <f si="0" t="shared"/>
        <v>45.444488525390625</v>
      </c>
      <c r="F47" s="21">
        <f si="1" t="shared"/>
        <v>1.0536168342976239E-4</v>
      </c>
      <c r="H47" s="59">
        <v>36</v>
      </c>
      <c r="I47" s="149" t="n">
        <v>0.0</v>
      </c>
      <c r="J47" s="239" t="n">
        <v>0.0</v>
      </c>
      <c r="K47" s="329" t="n">
        <v>0.0</v>
      </c>
      <c r="L47">
        <f si="2" t="shared"/>
        <v>0</v>
      </c>
      <c r="M47" s="21">
        <f si="3" t="shared"/>
        <v>0</v>
      </c>
    </row>
    <row r="48" spans="1:13" x14ac:dyDescent="0.4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78.730583190917969</v>
      </c>
      <c r="F48" s="21">
        <f si="1" t="shared"/>
        <v>1.8253449541559712E-4</v>
      </c>
      <c r="H48" s="60">
        <v>37</v>
      </c>
      <c r="I48" s="150" t="n">
        <v>0.0</v>
      </c>
      <c r="J48" s="240" t="n">
        <v>0.0</v>
      </c>
      <c r="K48" s="330" t="n">
        <v>0.0</v>
      </c>
      <c r="L48">
        <f si="2" t="shared"/>
        <v>0</v>
      </c>
      <c r="M48" s="21">
        <f si="3" t="shared"/>
        <v>0</v>
      </c>
    </row>
    <row r="49" spans="1:13" x14ac:dyDescent="0.45">
      <c r="A49">
        <v>38</v>
      </c>
      <c r="B49" s="8" t="n">
        <v>0.0</v>
      </c>
      <c r="C49" s="8" t="n">
        <v>0.0</v>
      </c>
      <c r="D49" s="8" t="n">
        <v>0.0</v>
      </c>
      <c r="E49" s="8">
        <f si="0" t="shared"/>
        <v>148.96392822265625</v>
      </c>
      <c r="F49" s="21">
        <f si="1" t="shared"/>
        <v>3.4536839905416111E-4</v>
      </c>
      <c r="H49" s="61">
        <v>38</v>
      </c>
      <c r="I49" s="151" t="n">
        <v>0.0</v>
      </c>
      <c r="J49" s="241" t="n">
        <v>0.0</v>
      </c>
      <c r="K49" s="331" t="n">
        <v>0.0</v>
      </c>
      <c r="L49">
        <f si="2" t="shared"/>
        <v>0</v>
      </c>
      <c r="M49" s="21">
        <f si="3" t="shared"/>
        <v>0</v>
      </c>
    </row>
    <row r="50" spans="1:13" x14ac:dyDescent="0.4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240.45085906982422</v>
      </c>
      <c r="F50" s="21">
        <f si="1" t="shared"/>
        <v>5.5747810385355112E-4</v>
      </c>
      <c r="H50" s="62">
        <v>39</v>
      </c>
      <c r="I50" s="152" t="n">
        <v>0.0</v>
      </c>
      <c r="J50" s="242" t="n">
        <v>0.0</v>
      </c>
      <c r="K50" s="332" t="n">
        <v>0.0</v>
      </c>
      <c r="L50">
        <f si="2" t="shared"/>
        <v>0</v>
      </c>
      <c r="M50" s="21">
        <f si="3" t="shared"/>
        <v>0</v>
      </c>
    </row>
    <row r="51" spans="1:13" x14ac:dyDescent="0.45">
      <c r="A51">
        <v>40</v>
      </c>
      <c r="B51" s="8" t="n">
        <v>0.0</v>
      </c>
      <c r="C51" s="8" t="n">
        <v>0.0</v>
      </c>
      <c r="D51" s="8" t="n">
        <v>0.0</v>
      </c>
      <c r="E51" s="8">
        <f si="0" t="shared"/>
        <v>320.37734985351563</v>
      </c>
      <c r="F51" s="21">
        <f si="1" t="shared"/>
        <v>7.4278527514887887E-4</v>
      </c>
      <c r="H51" s="63">
        <v>40</v>
      </c>
      <c r="I51" s="153" t="n">
        <v>0.0</v>
      </c>
      <c r="J51" s="243" t="n">
        <v>0.0</v>
      </c>
      <c r="K51" s="333" t="n">
        <v>0.0</v>
      </c>
      <c r="L51">
        <f si="2" t="shared"/>
        <v>0</v>
      </c>
      <c r="M51" s="21">
        <f si="3" t="shared"/>
        <v>0</v>
      </c>
    </row>
    <row r="52" spans="1:13" x14ac:dyDescent="0.45">
      <c r="A52">
        <v>41</v>
      </c>
      <c r="B52" s="8" t="n">
        <v>10000.0</v>
      </c>
      <c r="C52" s="8" t="n">
        <v>0.0</v>
      </c>
      <c r="D52" s="8" t="n">
        <v>0.0</v>
      </c>
      <c r="E52" s="8">
        <f si="0" t="shared"/>
        <v>352.39505767822266</v>
      </c>
      <c r="F52" s="21">
        <f si="1" t="shared"/>
        <v>8.170173702925751E-4</v>
      </c>
      <c r="H52" s="64">
        <v>41</v>
      </c>
      <c r="I52" s="154" t="n">
        <v>10000.0</v>
      </c>
      <c r="J52" s="244" t="n">
        <v>0.0</v>
      </c>
      <c r="K52" s="334" t="n">
        <v>0.0</v>
      </c>
      <c r="L52">
        <f si="2" t="shared"/>
        <v>2000</v>
      </c>
      <c r="M52" s="21">
        <f si="3" t="shared"/>
        <v>5.076142131979695E-3</v>
      </c>
    </row>
    <row r="53" spans="1:13" x14ac:dyDescent="0.4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320.3582763671875</v>
      </c>
      <c r="F53" s="21">
        <f si="1" t="shared"/>
        <v>7.4274105384298204E-4</v>
      </c>
      <c r="H53" s="65">
        <v>42</v>
      </c>
      <c r="I53" s="155" t="n">
        <v>0.0</v>
      </c>
      <c r="J53" s="245" t="n">
        <v>0.0</v>
      </c>
      <c r="K53" s="335" t="n">
        <v>0.0</v>
      </c>
      <c r="L53">
        <f si="2" t="shared"/>
        <v>0</v>
      </c>
      <c r="M53" s="21">
        <f si="3" t="shared"/>
        <v>0</v>
      </c>
    </row>
    <row r="54" spans="1:13" x14ac:dyDescent="0.4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240.26870727539063</v>
      </c>
      <c r="F54" s="21">
        <f si="1" t="shared"/>
        <v>5.5705579038223653E-4</v>
      </c>
      <c r="H54" s="66">
        <v>43</v>
      </c>
      <c r="I54" s="156" t="n">
        <v>0.0</v>
      </c>
      <c r="J54" s="246" t="n">
        <v>0.0</v>
      </c>
      <c r="K54" s="336" t="n">
        <v>0.0</v>
      </c>
      <c r="L54">
        <f si="2" t="shared"/>
        <v>0</v>
      </c>
      <c r="M54" s="21">
        <f si="3" t="shared"/>
        <v>0</v>
      </c>
    </row>
    <row r="55" spans="1:13" x14ac:dyDescent="0.4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147.857666015625</v>
      </c>
      <c r="F55" s="21">
        <f si="1" t="shared"/>
        <v>3.4280356331214555E-4</v>
      </c>
      <c r="H55" s="67">
        <v>44</v>
      </c>
      <c r="I55" s="157" t="n">
        <v>0.0</v>
      </c>
      <c r="J55" s="247" t="n">
        <v>0.0</v>
      </c>
      <c r="K55" s="337" t="n">
        <v>0.0</v>
      </c>
      <c r="L55">
        <f si="2" t="shared"/>
        <v>0</v>
      </c>
      <c r="M55" s="21">
        <f si="3" t="shared"/>
        <v>0</v>
      </c>
    </row>
    <row r="56" spans="1:13" x14ac:dyDescent="0.45">
      <c r="A56">
        <v>45</v>
      </c>
      <c r="B56" s="8" t="n">
        <v>0.0</v>
      </c>
      <c r="C56" s="8" t="n">
        <v>0.0</v>
      </c>
      <c r="D56" s="8" t="n">
        <v>0.0</v>
      </c>
      <c r="E56" s="8">
        <f si="0" t="shared"/>
        <v>73.9288330078125</v>
      </c>
      <c r="F56" s="21">
        <f si="1" t="shared"/>
        <v>1.7140178165607278E-4</v>
      </c>
      <c r="H56" s="68">
        <v>45</v>
      </c>
      <c r="I56" s="158" t="n">
        <v>0.0</v>
      </c>
      <c r="J56" s="248" t="n">
        <v>0.0</v>
      </c>
      <c r="K56" s="338" t="n">
        <v>0.0</v>
      </c>
      <c r="L56">
        <f si="2" t="shared"/>
        <v>0</v>
      </c>
      <c r="M56" s="21">
        <f si="3" t="shared"/>
        <v>0</v>
      </c>
    </row>
    <row r="57" spans="1:13" x14ac:dyDescent="0.4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29.572486877441406</v>
      </c>
      <c r="F57" s="21">
        <f si="1" t="shared"/>
        <v>6.8562923727723949E-5</v>
      </c>
      <c r="H57" s="69">
        <v>46</v>
      </c>
      <c r="I57" s="159" t="n">
        <v>0.0</v>
      </c>
      <c r="J57" s="249" t="n">
        <v>0.0</v>
      </c>
      <c r="K57" s="339" t="n">
        <v>0.0</v>
      </c>
      <c r="L57">
        <f si="2" t="shared"/>
        <v>0</v>
      </c>
      <c r="M57" s="21">
        <f si="3" t="shared"/>
        <v>0</v>
      </c>
    </row>
    <row r="58" spans="1:13" x14ac:dyDescent="0.4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9.2601776123046875</v>
      </c>
      <c r="F58" s="21">
        <f si="1" t="shared"/>
        <v>2.1469444012905918E-5</v>
      </c>
      <c r="H58" s="70">
        <v>47</v>
      </c>
      <c r="I58" s="160" t="n">
        <v>0.0</v>
      </c>
      <c r="J58" s="250" t="n">
        <v>0.0</v>
      </c>
      <c r="K58" s="340" t="n">
        <v>0.0</v>
      </c>
      <c r="L58">
        <f si="2" t="shared"/>
        <v>0</v>
      </c>
      <c r="M58" s="21">
        <f si="3" t="shared"/>
        <v>0</v>
      </c>
    </row>
    <row r="59" spans="1:13" x14ac:dyDescent="0.4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2.3555755615234375</v>
      </c>
      <c r="F59" s="21">
        <f si="1" t="shared"/>
        <v>5.4613312782572209E-6</v>
      </c>
      <c r="H59" s="71">
        <v>48</v>
      </c>
      <c r="I59" s="161" t="n">
        <v>0.0</v>
      </c>
      <c r="J59" s="251" t="n">
        <v>0.0</v>
      </c>
      <c r="K59" s="341" t="n">
        <v>0.0</v>
      </c>
      <c r="L59">
        <f si="2" t="shared"/>
        <v>0</v>
      </c>
      <c r="M59" s="21">
        <f si="3" t="shared"/>
        <v>0</v>
      </c>
    </row>
    <row r="60" spans="1:13" x14ac:dyDescent="0.4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1.4495849609375</v>
      </c>
      <c r="F60" s="21">
        <f si="1" t="shared"/>
        <v>3.3608192481582897E-6</v>
      </c>
      <c r="H60" s="72">
        <v>49</v>
      </c>
      <c r="I60" s="162" t="n">
        <v>0.0</v>
      </c>
      <c r="J60" s="252" t="n">
        <v>0.0</v>
      </c>
      <c r="K60" s="342" t="n">
        <v>0.0</v>
      </c>
      <c r="L60">
        <f si="2" t="shared"/>
        <v>0</v>
      </c>
      <c r="M60" s="21">
        <f si="3" t="shared"/>
        <v>0</v>
      </c>
    </row>
    <row r="61" spans="1:13" x14ac:dyDescent="0.4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4.6586990356445313</v>
      </c>
      <c r="F61" s="21">
        <f si="1" t="shared"/>
        <v>1.0801053965298188E-5</v>
      </c>
      <c r="H61" s="73">
        <v>50</v>
      </c>
      <c r="I61" s="163" t="n">
        <v>0.0</v>
      </c>
      <c r="J61" s="253" t="n">
        <v>0.0</v>
      </c>
      <c r="K61" s="343" t="n">
        <v>0.0</v>
      </c>
      <c r="L61">
        <f si="2" t="shared"/>
        <v>0</v>
      </c>
      <c r="M61" s="21">
        <f si="3" t="shared"/>
        <v>0</v>
      </c>
    </row>
    <row r="62" spans="1:13" x14ac:dyDescent="0.4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14.787673950195313</v>
      </c>
      <c r="F62" s="21">
        <f si="1" t="shared"/>
        <v>3.428477846180424E-5</v>
      </c>
      <c r="H62" s="74">
        <v>51</v>
      </c>
      <c r="I62" s="164" t="n">
        <v>0.0</v>
      </c>
      <c r="J62" s="254" t="n">
        <v>0.0</v>
      </c>
      <c r="K62" s="344" t="n">
        <v>0.0</v>
      </c>
      <c r="L62">
        <f si="2" t="shared"/>
        <v>0</v>
      </c>
      <c r="M62" s="21">
        <f si="3" t="shared"/>
        <v>0</v>
      </c>
    </row>
    <row r="63" spans="1:13" x14ac:dyDescent="0.4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36.96441650390625</v>
      </c>
      <c r="F63" s="21">
        <f si="1" t="shared"/>
        <v>8.5700890828036388E-5</v>
      </c>
      <c r="H63" s="75">
        <v>52</v>
      </c>
      <c r="I63" s="165" t="n">
        <v>0.0</v>
      </c>
      <c r="J63" s="255" t="n">
        <v>0.0</v>
      </c>
      <c r="K63" s="345" t="n">
        <v>0.0</v>
      </c>
      <c r="L63">
        <f si="2" t="shared"/>
        <v>0</v>
      </c>
      <c r="M63" s="21">
        <f si="3" t="shared"/>
        <v>0</v>
      </c>
    </row>
    <row r="64" spans="1:13" x14ac:dyDescent="0.4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73.9288330078125</v>
      </c>
      <c r="F64" s="21">
        <f si="1" t="shared"/>
        <v>1.7140178165607278E-4</v>
      </c>
      <c r="H64" s="76">
        <v>53</v>
      </c>
      <c r="I64" s="166" t="n">
        <v>0.0</v>
      </c>
      <c r="J64" s="256" t="n">
        <v>0.0</v>
      </c>
      <c r="K64" s="346" t="n">
        <v>0.0</v>
      </c>
      <c r="L64">
        <f si="2" t="shared"/>
        <v>0</v>
      </c>
      <c r="M64" s="21">
        <f si="3" t="shared"/>
        <v>0</v>
      </c>
    </row>
    <row r="65" spans="1:13" x14ac:dyDescent="0.4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120.13435363769531</v>
      </c>
      <c r="F65" s="21">
        <f si="1" t="shared"/>
        <v>2.7852789519111827E-4</v>
      </c>
      <c r="H65" s="77">
        <v>54</v>
      </c>
      <c r="I65" s="167" t="n">
        <v>0.0</v>
      </c>
      <c r="J65" s="257" t="n">
        <v>0.0</v>
      </c>
      <c r="K65" s="347" t="n">
        <v>0.0</v>
      </c>
      <c r="L65">
        <f si="2" t="shared"/>
        <v>0</v>
      </c>
      <c r="M65" s="21">
        <f si="3" t="shared"/>
        <v>0</v>
      </c>
    </row>
    <row r="66" spans="1:13" x14ac:dyDescent="0.4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160.17913818359375</v>
      </c>
      <c r="F66" s="21">
        <f si="1" t="shared"/>
        <v>3.7137052692149102E-4</v>
      </c>
      <c r="H66" s="78">
        <v>55</v>
      </c>
      <c r="I66" s="168" t="n">
        <v>0.0</v>
      </c>
      <c r="J66" s="258" t="n">
        <v>0.0</v>
      </c>
      <c r="K66" s="348" t="n">
        <v>0.0</v>
      </c>
      <c r="L66">
        <f si="2" t="shared"/>
        <v>0</v>
      </c>
      <c r="M66" s="21">
        <f si="3" t="shared"/>
        <v>0</v>
      </c>
    </row>
    <row r="67" spans="1:13" x14ac:dyDescent="0.4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176.19705200195313</v>
      </c>
      <c r="F67" s="21">
        <f si="1" t="shared"/>
        <v>4.0850757961364013E-4</v>
      </c>
      <c r="H67" s="79">
        <v>56</v>
      </c>
      <c r="I67" s="169" t="n">
        <v>0.0</v>
      </c>
      <c r="J67" s="259" t="n">
        <v>0.0</v>
      </c>
      <c r="K67" s="349" t="n">
        <v>0.0</v>
      </c>
      <c r="L67">
        <f si="2" t="shared"/>
        <v>1000</v>
      </c>
      <c r="M67" s="21">
        <f si="3" t="shared"/>
        <v>2.5380710659898475E-3</v>
      </c>
    </row>
    <row r="68" spans="1:13" x14ac:dyDescent="0.4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160.17913818359375</v>
      </c>
      <c r="F68" s="21">
        <f si="1" t="shared"/>
        <v>3.7137052692149102E-4</v>
      </c>
      <c r="H68" s="80">
        <v>57</v>
      </c>
      <c r="I68" s="170" t="n">
        <v>0.0</v>
      </c>
      <c r="J68" s="260" t="n">
        <v>0.0</v>
      </c>
      <c r="K68" s="350" t="n">
        <v>0.0</v>
      </c>
      <c r="L68">
        <f si="2" t="shared"/>
        <v>0</v>
      </c>
      <c r="M68" s="21">
        <f si="3" t="shared"/>
        <v>0</v>
      </c>
    </row>
    <row r="69" spans="1:13" x14ac:dyDescent="0.4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120.13435363769531</v>
      </c>
      <c r="F69" s="21">
        <f si="1" t="shared"/>
        <v>2.7852789519111827E-4</v>
      </c>
      <c r="H69" s="81">
        <v>58</v>
      </c>
      <c r="I69" s="171" t="n">
        <v>0.0</v>
      </c>
      <c r="J69" s="261" t="n">
        <v>0.0</v>
      </c>
      <c r="K69" s="351" t="n">
        <v>0.0</v>
      </c>
      <c r="L69">
        <f si="2" t="shared"/>
        <v>0</v>
      </c>
      <c r="M69" s="21">
        <f si="3" t="shared"/>
        <v>0</v>
      </c>
    </row>
    <row r="70" spans="1:13" x14ac:dyDescent="0.4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73.9288330078125</v>
      </c>
      <c r="F70" s="21">
        <f si="1" t="shared"/>
        <v>1.7140178165607278E-4</v>
      </c>
      <c r="H70" s="82">
        <v>59</v>
      </c>
      <c r="I70" s="172" t="n">
        <v>0.0</v>
      </c>
      <c r="J70" s="262" t="n">
        <v>0.0</v>
      </c>
      <c r="K70" s="352" t="n">
        <v>0.0</v>
      </c>
      <c r="L70">
        <f si="2" t="shared"/>
        <v>0</v>
      </c>
      <c r="M70" s="21">
        <f si="3" t="shared"/>
        <v>0</v>
      </c>
    </row>
    <row r="71" spans="1:13" x14ac:dyDescent="0.4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36.96441650390625</v>
      </c>
      <c r="F71" s="21">
        <f si="1" t="shared"/>
        <v>8.5700890828036388E-5</v>
      </c>
      <c r="H71" s="83">
        <v>60</v>
      </c>
      <c r="I71" s="173" t="n">
        <v>0.0</v>
      </c>
      <c r="J71" s="263" t="n">
        <v>0.0</v>
      </c>
      <c r="K71" s="353" t="n">
        <v>0.0</v>
      </c>
      <c r="L71">
        <f si="2" t="shared"/>
        <v>0</v>
      </c>
      <c r="M71" s="21">
        <f si="3" t="shared"/>
        <v>0</v>
      </c>
    </row>
    <row r="72" spans="1:13" x14ac:dyDescent="0.4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14.7857666015625</v>
      </c>
      <c r="F72" s="21">
        <f si="1" t="shared"/>
        <v>3.4280356331214559E-5</v>
      </c>
      <c r="H72" s="84">
        <v>61</v>
      </c>
      <c r="I72" s="174" t="n">
        <v>0.0</v>
      </c>
      <c r="J72" s="264" t="n">
        <v>0.0</v>
      </c>
      <c r="K72" s="354" t="n">
        <v>0.0</v>
      </c>
      <c r="L72">
        <f si="2" t="shared"/>
        <v>0</v>
      </c>
      <c r="M72" s="21">
        <f si="3" t="shared"/>
        <v>0</v>
      </c>
    </row>
    <row r="73" spans="1:13" x14ac:dyDescent="0.4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4.6205520629882813</v>
      </c>
      <c r="F73" s="21">
        <f si="1" t="shared"/>
        <v>1.0712611353504548E-5</v>
      </c>
      <c r="H73" s="85">
        <v>62</v>
      </c>
      <c r="I73" s="175" t="n">
        <v>0.0</v>
      </c>
      <c r="J73" s="265" t="n">
        <v>0.0</v>
      </c>
      <c r="K73" s="355" t="n">
        <v>0.0</v>
      </c>
      <c r="L73">
        <f si="2" t="shared"/>
        <v>0</v>
      </c>
      <c r="M73" s="21">
        <f si="3" t="shared"/>
        <v>0</v>
      </c>
    </row>
    <row r="74" spans="1:13" x14ac:dyDescent="0.4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1.087188720703125</v>
      </c>
      <c r="F74" s="21">
        <f si="1" t="shared"/>
        <v>2.5206144361187175E-6</v>
      </c>
      <c r="H74" s="86">
        <v>63</v>
      </c>
      <c r="I74" s="176" t="n">
        <v>0.0</v>
      </c>
      <c r="J74" s="266" t="n">
        <v>0.0</v>
      </c>
      <c r="K74" s="356" t="n">
        <v>0.0</v>
      </c>
      <c r="L74">
        <f si="2" t="shared"/>
        <v>0</v>
      </c>
      <c r="M74" s="21">
        <f si="3" t="shared"/>
        <v>0</v>
      </c>
    </row>
    <row r="75" spans="1:13" x14ac:dyDescent="0.4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0.1811981201171875</v>
      </c>
      <c r="F75" s="21">
        <f si="1" t="shared"/>
        <v>4.2010240601978622E-7</v>
      </c>
      <c r="H75" s="87">
        <v>64</v>
      </c>
      <c r="I75" s="177" t="n">
        <v>0.0</v>
      </c>
      <c r="J75" s="267" t="n">
        <v>0.0</v>
      </c>
      <c r="K75" s="357" t="n">
        <v>0.0</v>
      </c>
      <c r="L75">
        <f si="2" t="shared"/>
        <v>0</v>
      </c>
      <c r="M75" s="21">
        <f si="3" t="shared"/>
        <v>0</v>
      </c>
    </row>
    <row r="76" spans="1:13" x14ac:dyDescent="0.4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1.9073486328125E-2</v>
      </c>
      <c r="F76" s="21">
        <f ref="F76:F102" si="5" t="shared">E76/$E$102</f>
        <v>4.4221305896819602E-8</v>
      </c>
      <c r="H76" s="88">
        <v>65</v>
      </c>
      <c r="I76" s="178" t="n">
        <v>0.0</v>
      </c>
      <c r="J76" s="268" t="n">
        <v>0.0</v>
      </c>
      <c r="K76" s="35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4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9.5367431640625E-4</v>
      </c>
      <c r="F77" s="21">
        <f si="5" t="shared"/>
        <v>2.21106529484098E-9</v>
      </c>
      <c r="H77" s="89">
        <v>66</v>
      </c>
      <c r="I77" s="179" t="n">
        <v>0.0</v>
      </c>
      <c r="J77" s="269" t="n">
        <v>0.0</v>
      </c>
      <c r="K77" s="359" t="n">
        <v>0.0</v>
      </c>
      <c r="L77">
        <f si="6" t="shared"/>
        <v>0</v>
      </c>
      <c r="M77" s="21">
        <f si="7" t="shared"/>
        <v>0</v>
      </c>
    </row>
    <row r="78" spans="1:13" x14ac:dyDescent="0.4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90">
        <v>67</v>
      </c>
      <c r="I78" s="180" t="n">
        <v>0.0</v>
      </c>
      <c r="J78" s="270" t="n">
        <v>0.0</v>
      </c>
      <c r="K78" s="360" t="n">
        <v>0.0</v>
      </c>
      <c r="L78">
        <f si="6" t="shared"/>
        <v>0</v>
      </c>
      <c r="M78" s="21">
        <f si="7" t="shared"/>
        <v>0</v>
      </c>
    </row>
    <row r="79" spans="1:13" x14ac:dyDescent="0.4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91">
        <v>68</v>
      </c>
      <c r="I79" s="181" t="n">
        <v>0.0</v>
      </c>
      <c r="J79" s="271" t="n">
        <v>0.0</v>
      </c>
      <c r="K79" s="361" t="n">
        <v>0.0</v>
      </c>
      <c r="L79">
        <f si="6" t="shared"/>
        <v>0</v>
      </c>
      <c r="M79" s="21">
        <f si="7" t="shared"/>
        <v>0</v>
      </c>
    </row>
    <row r="80" spans="1:13" x14ac:dyDescent="0.4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92">
        <v>69</v>
      </c>
      <c r="I80" s="182" t="n">
        <v>0.0</v>
      </c>
      <c r="J80" s="272" t="n">
        <v>0.0</v>
      </c>
      <c r="K80" s="362" t="n">
        <v>0.0</v>
      </c>
      <c r="L80">
        <f si="6" t="shared"/>
        <v>0</v>
      </c>
      <c r="M80" s="21">
        <f si="7" t="shared"/>
        <v>0</v>
      </c>
    </row>
    <row r="81" spans="1:13" x14ac:dyDescent="0.4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93">
        <v>70</v>
      </c>
      <c r="I81" s="183" t="n">
        <v>0.0</v>
      </c>
      <c r="J81" s="273" t="n">
        <v>0.0</v>
      </c>
      <c r="K81" s="363" t="n">
        <v>0.0</v>
      </c>
      <c r="L81">
        <f si="6" t="shared"/>
        <v>0</v>
      </c>
      <c r="M81" s="21">
        <f si="7" t="shared"/>
        <v>0</v>
      </c>
    </row>
    <row r="82" spans="1:13" x14ac:dyDescent="0.4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94">
        <v>71</v>
      </c>
      <c r="I82" s="184" t="n">
        <v>0.0</v>
      </c>
      <c r="J82" s="274" t="n">
        <v>0.0</v>
      </c>
      <c r="K82" s="364" t="n">
        <v>0.0</v>
      </c>
      <c r="L82">
        <f si="6" t="shared"/>
        <v>0</v>
      </c>
      <c r="M82" s="21">
        <f si="7" t="shared"/>
        <v>0</v>
      </c>
    </row>
    <row r="83" spans="1:13" x14ac:dyDescent="0.4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95">
        <v>72</v>
      </c>
      <c r="I83" s="185" t="n">
        <v>0.0</v>
      </c>
      <c r="J83" s="275" t="n">
        <v>0.0</v>
      </c>
      <c r="K83" s="365" t="n">
        <v>0.0</v>
      </c>
      <c r="L83">
        <f si="6" t="shared"/>
        <v>0</v>
      </c>
      <c r="M83" s="21">
        <f si="7" t="shared"/>
        <v>0</v>
      </c>
    </row>
    <row r="84" spans="1:13" x14ac:dyDescent="0.4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96">
        <v>73</v>
      </c>
      <c r="I84" s="186" t="n">
        <v>0.0</v>
      </c>
      <c r="J84" s="276" t="n">
        <v>0.0</v>
      </c>
      <c r="K84" s="366" t="n">
        <v>0.0</v>
      </c>
      <c r="L84">
        <f si="6" t="shared"/>
        <v>0</v>
      </c>
      <c r="M84" s="21">
        <f si="7" t="shared"/>
        <v>0</v>
      </c>
    </row>
    <row r="85" spans="1:13" x14ac:dyDescent="0.4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97">
        <v>74</v>
      </c>
      <c r="I85" s="187" t="n">
        <v>0.0</v>
      </c>
      <c r="J85" s="277" t="n">
        <v>0.0</v>
      </c>
      <c r="K85" s="367" t="n">
        <v>0.0</v>
      </c>
      <c r="L85">
        <f si="6" t="shared"/>
        <v>0</v>
      </c>
      <c r="M85" s="21">
        <f si="7" t="shared"/>
        <v>0</v>
      </c>
    </row>
    <row r="86" spans="1:13" x14ac:dyDescent="0.4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98">
        <v>75</v>
      </c>
      <c r="I86" s="188" t="n">
        <v>0.0</v>
      </c>
      <c r="J86" s="278" t="n">
        <v>0.0</v>
      </c>
      <c r="K86" s="368" t="n">
        <v>0.0</v>
      </c>
      <c r="L86">
        <f si="6" t="shared"/>
        <v>0</v>
      </c>
      <c r="M86" s="21">
        <f si="7" t="shared"/>
        <v>0</v>
      </c>
    </row>
    <row r="87" spans="1:13" x14ac:dyDescent="0.4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99">
        <v>76</v>
      </c>
      <c r="I87" s="189" t="n">
        <v>0.0</v>
      </c>
      <c r="J87" s="279" t="n">
        <v>0.0</v>
      </c>
      <c r="K87" s="369" t="n">
        <v>0.0</v>
      </c>
      <c r="L87">
        <f si="6" t="shared"/>
        <v>0</v>
      </c>
      <c r="M87" s="21">
        <f si="7" t="shared"/>
        <v>0</v>
      </c>
    </row>
    <row r="88" spans="1:13" x14ac:dyDescent="0.4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00">
        <v>77</v>
      </c>
      <c r="I88" s="190" t="n">
        <v>0.0</v>
      </c>
      <c r="J88" s="280" t="n">
        <v>0.0</v>
      </c>
      <c r="K88" s="370" t="n">
        <v>0.0</v>
      </c>
      <c r="L88">
        <f si="6" t="shared"/>
        <v>0</v>
      </c>
      <c r="M88" s="21">
        <f si="7" t="shared"/>
        <v>0</v>
      </c>
    </row>
    <row r="89" spans="1:13" x14ac:dyDescent="0.4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01">
        <v>78</v>
      </c>
      <c r="I89" s="191" t="n">
        <v>0.0</v>
      </c>
      <c r="J89" s="281" t="n">
        <v>0.0</v>
      </c>
      <c r="K89" s="371" t="n">
        <v>0.0</v>
      </c>
      <c r="L89">
        <f si="6" t="shared"/>
        <v>0</v>
      </c>
      <c r="M89" s="21">
        <f si="7" t="shared"/>
        <v>0</v>
      </c>
    </row>
    <row r="90" spans="1:13" x14ac:dyDescent="0.4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02">
        <v>79</v>
      </c>
      <c r="I90" s="192" t="n">
        <v>0.0</v>
      </c>
      <c r="J90" s="282" t="n">
        <v>0.0</v>
      </c>
      <c r="K90" s="372" t="n">
        <v>0.0</v>
      </c>
      <c r="L90">
        <f si="6" t="shared"/>
        <v>0</v>
      </c>
      <c r="M90" s="21">
        <f si="7" t="shared"/>
        <v>0</v>
      </c>
    </row>
    <row r="91" spans="1:13" x14ac:dyDescent="0.4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03">
        <v>80</v>
      </c>
      <c r="I91" s="193" t="n">
        <v>0.0</v>
      </c>
      <c r="J91" s="283" t="n">
        <v>0.0</v>
      </c>
      <c r="K91" s="373" t="n">
        <v>0.0</v>
      </c>
      <c r="L91">
        <f si="6" t="shared"/>
        <v>0</v>
      </c>
      <c r="M91" s="21">
        <f si="7" t="shared"/>
        <v>0</v>
      </c>
    </row>
    <row r="92" spans="1:13" x14ac:dyDescent="0.4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04">
        <v>81</v>
      </c>
      <c r="I92" s="194" t="n">
        <v>0.0</v>
      </c>
      <c r="J92" s="284" t="n">
        <v>0.0</v>
      </c>
      <c r="K92" s="374" t="n">
        <v>0.0</v>
      </c>
      <c r="L92">
        <f si="6" t="shared"/>
        <v>0</v>
      </c>
      <c r="M92" s="21">
        <f si="7" t="shared"/>
        <v>0</v>
      </c>
    </row>
    <row r="93" spans="1:13" x14ac:dyDescent="0.4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05">
        <v>82</v>
      </c>
      <c r="I93" s="195" t="n">
        <v>0.0</v>
      </c>
      <c r="J93" s="285" t="n">
        <v>0.0</v>
      </c>
      <c r="K93" s="375" t="n">
        <v>0.0</v>
      </c>
      <c r="L93">
        <f si="6" t="shared"/>
        <v>0</v>
      </c>
      <c r="M93" s="21">
        <f si="7" t="shared"/>
        <v>0</v>
      </c>
    </row>
    <row r="94" spans="1:13" x14ac:dyDescent="0.4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06">
        <v>83</v>
      </c>
      <c r="I94" s="196" t="n">
        <v>0.0</v>
      </c>
      <c r="J94" s="286" t="n">
        <v>0.0</v>
      </c>
      <c r="K94" s="376" t="n">
        <v>0.0</v>
      </c>
      <c r="L94">
        <f si="6" t="shared"/>
        <v>0</v>
      </c>
      <c r="M94" s="21">
        <f si="7" t="shared"/>
        <v>0</v>
      </c>
    </row>
    <row r="95" spans="1:13" x14ac:dyDescent="0.4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07">
        <v>84</v>
      </c>
      <c r="I95" s="197" t="n">
        <v>0.0</v>
      </c>
      <c r="J95" s="287" t="n">
        <v>0.0</v>
      </c>
      <c r="K95" s="377" t="n">
        <v>0.0</v>
      </c>
      <c r="L95">
        <f si="6" t="shared"/>
        <v>0</v>
      </c>
      <c r="M95" s="21">
        <f si="7" t="shared"/>
        <v>0</v>
      </c>
    </row>
    <row r="96" spans="1:13" x14ac:dyDescent="0.4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08">
        <v>85</v>
      </c>
      <c r="I96" s="198" t="n">
        <v>0.0</v>
      </c>
      <c r="J96" s="288" t="n">
        <v>0.0</v>
      </c>
      <c r="K96" s="378" t="n">
        <v>0.0</v>
      </c>
      <c r="L96">
        <f si="6" t="shared"/>
        <v>0</v>
      </c>
      <c r="M96" s="21">
        <f si="7" t="shared"/>
        <v>0</v>
      </c>
    </row>
    <row r="97" spans="1:13" x14ac:dyDescent="0.4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09">
        <v>86</v>
      </c>
      <c r="I97" s="199" t="n">
        <v>0.0</v>
      </c>
      <c r="J97" s="289" t="n">
        <v>0.0</v>
      </c>
      <c r="K97" s="379" t="n">
        <v>0.0</v>
      </c>
      <c r="L97">
        <f si="6" t="shared"/>
        <v>0</v>
      </c>
      <c r="M97" s="21">
        <f si="7" t="shared"/>
        <v>0</v>
      </c>
    </row>
    <row r="98" spans="1:13" x14ac:dyDescent="0.4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110">
        <v>87</v>
      </c>
      <c r="I98" s="200" t="n">
        <v>0.0</v>
      </c>
      <c r="J98" s="290" t="n">
        <v>0.0</v>
      </c>
      <c r="K98" s="380" t="n">
        <v>0.0</v>
      </c>
      <c r="L98">
        <f si="6" t="shared"/>
        <v>0</v>
      </c>
      <c r="M98" s="21">
        <f si="7" t="shared"/>
        <v>0</v>
      </c>
    </row>
    <row r="99" spans="1:13" x14ac:dyDescent="0.4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111">
        <v>88</v>
      </c>
      <c r="I99" s="201" t="n">
        <v>0.0</v>
      </c>
      <c r="J99" s="291" t="n">
        <v>0.0</v>
      </c>
      <c r="K99" s="381" t="n">
        <v>0.0</v>
      </c>
      <c r="L99">
        <f si="6" t="shared"/>
        <v>0</v>
      </c>
      <c r="M99" s="21">
        <f si="7" t="shared"/>
        <v>0</v>
      </c>
    </row>
    <row r="100" spans="1:13" x14ac:dyDescent="0.4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112">
        <v>89</v>
      </c>
      <c r="I100" s="202" t="n">
        <v>0.0</v>
      </c>
      <c r="J100" s="292" t="n">
        <v>0.0</v>
      </c>
      <c r="K100" s="382" t="n">
        <v>0.0</v>
      </c>
      <c r="L100">
        <f si="6" t="shared"/>
        <v>0</v>
      </c>
      <c r="M100" s="21">
        <f si="7" t="shared"/>
        <v>0</v>
      </c>
    </row>
    <row ht="14.65" r="101" spans="1:13" thickBot="1" x14ac:dyDescent="0.5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744">
        <v>90</v>
      </c>
      <c r="I101" s="744" t="n">
        <v>0.0</v>
      </c>
      <c r="J101" s="744" t="n">
        <v>0.0</v>
      </c>
      <c r="K101" s="744" t="n">
        <v>0.0</v>
      </c>
      <c r="L101" s="1">
        <f si="6" t="shared"/>
        <v>0</v>
      </c>
      <c r="M101" s="21">
        <f si="7" t="shared"/>
        <v>0</v>
      </c>
    </row>
    <row r="102" spans="1:13" x14ac:dyDescent="0.45">
      <c r="E102" s="8">
        <f>SUM(E11:E101)</f>
        <v>431318.92967224121</v>
      </c>
      <c r="F102" s="21">
        <f si="5" t="shared"/>
        <v>1</v>
      </c>
      <c r="L102" s="8">
        <f>SUM(L11:L101)</f>
        <v>394000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02"/>
  <sheetViews>
    <sheetView workbookViewId="0"/>
  </sheetViews>
  <sheetFormatPr defaultRowHeight="14.25" x14ac:dyDescent="0.45"/>
  <cols>
    <col min="13" max="13" bestFit="true" customWidth="true" width="10.1328125" collapsed="true"/>
  </cols>
  <sheetData>
    <row r="1" spans="1:18" x14ac:dyDescent="0.45">
      <c r="A1" t="s">
        <v>0</v>
      </c>
    </row>
    <row r="2" spans="1:18" x14ac:dyDescent="0.45">
      <c r="A2" t="s">
        <v>48</v>
      </c>
    </row>
    <row r="3" spans="1:18" x14ac:dyDescent="0.45">
      <c r="A3" t="s">
        <v>10</v>
      </c>
    </row>
    <row r="4" spans="1:18" x14ac:dyDescent="0.45">
      <c r="A4" t="s">
        <v>9</v>
      </c>
    </row>
    <row r="5" spans="1:18" x14ac:dyDescent="0.45">
      <c r="A5" t="s">
        <v>11</v>
      </c>
    </row>
    <row r="6" spans="1:18" x14ac:dyDescent="0.45">
      <c r="A6" t="s">
        <v>12</v>
      </c>
    </row>
    <row r="7" spans="1:18" x14ac:dyDescent="0.45">
      <c r="A7" t="s">
        <v>16</v>
      </c>
    </row>
    <row ht="14.65" r="9" spans="1:18" thickBot="1" x14ac:dyDescent="0.5">
      <c r="A9" s="4" t="s">
        <v>55</v>
      </c>
      <c r="B9" s="1"/>
      <c r="C9" s="1"/>
      <c r="D9" s="1"/>
      <c r="E9" s="1"/>
      <c r="F9" s="1"/>
      <c r="H9" s="4" t="s">
        <v>51</v>
      </c>
      <c r="I9" s="1"/>
      <c r="J9" s="1"/>
      <c r="K9" s="1"/>
      <c r="L9" s="1"/>
      <c r="M9" s="1"/>
      <c r="P9" s="10" t="s">
        <v>23</v>
      </c>
    </row>
    <row r="10" spans="1:18" x14ac:dyDescent="0.45">
      <c r="A10" s="2" t="s">
        <v>20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47</v>
      </c>
      <c r="H10" s="2" t="s">
        <v>20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21</v>
      </c>
      <c r="P10" s="2"/>
      <c r="Q10" s="5" t="s">
        <v>47</v>
      </c>
      <c r="R10" s="5" t="s">
        <v>21</v>
      </c>
    </row>
    <row r="11" spans="1:18" x14ac:dyDescent="0.4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383">
        <v>0</v>
      </c>
      <c r="I11" s="473" t="n">
        <v>0.0</v>
      </c>
      <c r="J11" s="563" t="n">
        <v>0.0</v>
      </c>
      <c r="K11" s="653" t="n">
        <v>0.0</v>
      </c>
      <c r="L11">
        <f>SUM(I11:K11)</f>
        <v>0</v>
      </c>
      <c r="M11" s="21">
        <f>L11/$L$102</f>
        <v>0</v>
      </c>
      <c r="P11" t="s">
        <v>13</v>
      </c>
      <c r="Q11" s="8" t="n">
        <v>15.193616220427982</v>
      </c>
      <c r="R11" s="8" t="n">
        <v>15.193616220427982</v>
      </c>
    </row>
    <row r="12" spans="1:18" x14ac:dyDescent="0.45">
      <c r="A12">
        <v>1</v>
      </c>
      <c r="B12" s="8" t="n">
        <v>0.0</v>
      </c>
      <c r="C12" s="8" t="n">
        <v>10000.0</v>
      </c>
      <c r="D12" s="8" t="n">
        <v>0.0</v>
      </c>
      <c r="E12" s="8">
        <f ref="E12:E75" si="0" t="shared">SUM(B12:D12)</f>
        <v>3412.1074676513672</v>
      </c>
      <c r="F12" s="21">
        <f ref="F12:F75" si="1" t="shared">E12/$E$102</f>
        <v>8.8221567986655983E-3</v>
      </c>
      <c r="H12" s="384">
        <v>1</v>
      </c>
      <c r="I12" s="474" t="n">
        <v>0.0</v>
      </c>
      <c r="J12" s="564" t="n">
        <v>10000.0</v>
      </c>
      <c r="K12" s="654" t="n">
        <v>0.0</v>
      </c>
      <c r="L12">
        <f ref="L12:L75" si="2" t="shared">SUM(I12:K12)</f>
        <v>3000</v>
      </c>
      <c r="M12" s="21">
        <f ref="M12:M75" si="3" t="shared">L12/$L$102</f>
        <v>7.6142131979695434E-3</v>
      </c>
      <c r="P12" t="s">
        <v>14</v>
      </c>
      <c r="Q12" s="8" t="n">
        <v>12.760124557956038</v>
      </c>
      <c r="R12" s="8" t="n">
        <v>12.760124557956038</v>
      </c>
    </row>
    <row r="13" spans="1:18" x14ac:dyDescent="0.45">
      <c r="A13">
        <v>2</v>
      </c>
      <c r="B13" s="8" t="n">
        <v>10000.0</v>
      </c>
      <c r="C13" s="8" t="n">
        <v>0.0</v>
      </c>
      <c r="D13" s="8" t="n">
        <v>0.0</v>
      </c>
      <c r="E13" s="8">
        <f si="0" t="shared"/>
        <v>6825.4823684692383</v>
      </c>
      <c r="F13" s="21">
        <f si="1" t="shared"/>
        <v>1.7647590602593407E-2</v>
      </c>
      <c r="H13" s="385">
        <v>2</v>
      </c>
      <c r="I13" s="475" t="n">
        <v>10000.0</v>
      </c>
      <c r="J13" s="565" t="n">
        <v>0.0</v>
      </c>
      <c r="K13" s="655" t="n">
        <v>0.0</v>
      </c>
      <c r="L13">
        <f si="2" t="shared"/>
        <v>8000</v>
      </c>
      <c r="M13" s="21">
        <f si="3" t="shared"/>
        <v>2.030456852791878E-2</v>
      </c>
      <c r="P13" s="6" t="s">
        <v>15</v>
      </c>
      <c r="Q13" s="11" t="n">
        <v>6.07223876452495</v>
      </c>
      <c r="R13" s="8" t="n">
        <v>6.07223876452495</v>
      </c>
    </row>
    <row ht="14.65" r="14" spans="1:18" thickBot="1" x14ac:dyDescent="0.5">
      <c r="A14">
        <v>3</v>
      </c>
      <c r="B14" s="8" t="n">
        <v>0.0</v>
      </c>
      <c r="C14" s="8" t="n">
        <v>0.0</v>
      </c>
      <c r="D14" s="8" t="n">
        <v>0.0</v>
      </c>
      <c r="E14" s="8">
        <f si="0" t="shared"/>
        <v>10273.931503295898</v>
      </c>
      <c r="F14" s="21">
        <f si="1" t="shared"/>
        <v>2.6563710410684976E-2</v>
      </c>
      <c r="H14" s="386">
        <v>3</v>
      </c>
      <c r="I14" s="476" t="n">
        <v>0.0</v>
      </c>
      <c r="J14" s="566" t="n">
        <v>0.0</v>
      </c>
      <c r="K14" s="656" t="n">
        <v>0.0</v>
      </c>
      <c r="L14">
        <f si="2" t="shared"/>
        <v>10000</v>
      </c>
      <c r="M14" s="21">
        <f si="3" t="shared"/>
        <v>2.5380710659898477E-2</v>
      </c>
      <c r="P14" s="1" t="s">
        <v>4</v>
      </c>
      <c r="Q14" s="12" t="n">
        <v>14.51291834529278</v>
      </c>
      <c r="R14" s="12" t="n">
        <v>14.51291834529278</v>
      </c>
    </row>
    <row r="15" spans="1:18" x14ac:dyDescent="0.45">
      <c r="A15">
        <v>4</v>
      </c>
      <c r="B15" s="8" t="n">
        <v>0.0</v>
      </c>
      <c r="C15" s="8" t="n">
        <v>0.0</v>
      </c>
      <c r="D15" s="8" t="n">
        <v>0.0</v>
      </c>
      <c r="E15" s="8">
        <f si="0" t="shared"/>
        <v>13796.761512756348</v>
      </c>
      <c r="F15" s="21">
        <f si="1" t="shared"/>
        <v>3.5672145304119635E-2</v>
      </c>
      <c r="H15" s="387">
        <v>4</v>
      </c>
      <c r="I15" s="477" t="n">
        <v>0.0</v>
      </c>
      <c r="J15" s="567" t="n">
        <v>0.0</v>
      </c>
      <c r="K15" s="657" t="n">
        <v>0.0</v>
      </c>
      <c r="L15">
        <f si="2" t="shared"/>
        <v>13000</v>
      </c>
      <c r="M15" s="21">
        <f si="3" t="shared"/>
        <v>3.2994923857868022E-2</v>
      </c>
    </row>
    <row r="16" spans="1:18" x14ac:dyDescent="0.45">
      <c r="A16">
        <v>5</v>
      </c>
      <c r="B16" s="8" t="n">
        <v>20000.0</v>
      </c>
      <c r="C16" s="8" t="n">
        <v>0.0</v>
      </c>
      <c r="D16" s="8" t="n">
        <v>0.0</v>
      </c>
      <c r="E16" s="8">
        <f si="0" t="shared"/>
        <v>17347.48363494873</v>
      </c>
      <c r="F16" s="21">
        <f si="1" t="shared"/>
        <v>4.4852696505232187E-2</v>
      </c>
      <c r="H16" s="388">
        <v>5</v>
      </c>
      <c r="I16" s="478" t="n">
        <v>20000.0</v>
      </c>
      <c r="J16" s="568" t="n">
        <v>0.0</v>
      </c>
      <c r="K16" s="658" t="n">
        <v>0.0</v>
      </c>
      <c r="L16">
        <f si="2" t="shared"/>
        <v>16000</v>
      </c>
      <c r="M16" s="21">
        <f si="3" t="shared"/>
        <v>4.060913705583756E-2</v>
      </c>
    </row>
    <row r="17" spans="1:13" x14ac:dyDescent="0.45">
      <c r="A17">
        <v>6</v>
      </c>
      <c r="B17" s="8" t="n">
        <v>30000.0</v>
      </c>
      <c r="C17" s="8" t="n">
        <v>0.0</v>
      </c>
      <c r="D17" s="8" t="n">
        <v>10000.0</v>
      </c>
      <c r="E17" s="8">
        <f si="0" t="shared"/>
        <v>20712.0361328125</v>
      </c>
      <c r="F17" s="21">
        <f si="1" t="shared"/>
        <v>5.3551897797953316E-2</v>
      </c>
      <c r="H17" s="389">
        <v>6</v>
      </c>
      <c r="I17" s="479" t="n">
        <v>30000.0</v>
      </c>
      <c r="J17" s="569" t="n">
        <v>0.0</v>
      </c>
      <c r="K17" s="659" t="n">
        <v>10000.0</v>
      </c>
      <c r="L17">
        <f si="2" t="shared"/>
        <v>19000</v>
      </c>
      <c r="M17" s="21">
        <f si="3" t="shared"/>
        <v>4.8223350253807105E-2</v>
      </c>
    </row>
    <row r="18" spans="1:13" x14ac:dyDescent="0.45">
      <c r="A18">
        <v>7</v>
      </c>
      <c r="B18" s="8" t="n">
        <v>50000.0</v>
      </c>
      <c r="C18" s="8" t="n">
        <v>0.0</v>
      </c>
      <c r="D18" s="8" t="n">
        <v>0.0</v>
      </c>
      <c r="E18" s="8">
        <f si="0" t="shared"/>
        <v>23534.48486328125</v>
      </c>
      <c r="F18" s="21">
        <f si="1" t="shared"/>
        <v>6.0849465501332037E-2</v>
      </c>
      <c r="H18" s="390">
        <v>7</v>
      </c>
      <c r="I18" s="480" t="n">
        <v>50000.0</v>
      </c>
      <c r="J18" s="570" t="n">
        <v>0.0</v>
      </c>
      <c r="K18" s="660" t="n">
        <v>0.0</v>
      </c>
      <c r="L18">
        <f si="2" t="shared"/>
        <v>31000</v>
      </c>
      <c r="M18" s="21">
        <f si="3" t="shared"/>
        <v>7.8680203045685279E-2</v>
      </c>
    </row>
    <row r="19" spans="1:13" x14ac:dyDescent="0.45">
      <c r="A19">
        <v>8</v>
      </c>
      <c r="B19" s="8" t="n">
        <v>20000.0</v>
      </c>
      <c r="C19" s="8" t="n">
        <v>10000.0</v>
      </c>
      <c r="D19" s="8" t="n">
        <v>0.0</v>
      </c>
      <c r="E19" s="8">
        <f si="0" t="shared"/>
        <v>25465.985298156738</v>
      </c>
      <c r="F19" s="21">
        <f si="1" t="shared"/>
        <v>6.5843446451437151E-2</v>
      </c>
      <c r="H19" s="391">
        <v>8</v>
      </c>
      <c r="I19" s="481" t="n">
        <v>20000.0</v>
      </c>
      <c r="J19" s="571" t="n">
        <v>10000.0</v>
      </c>
      <c r="K19" s="661" t="n">
        <v>0.0</v>
      </c>
      <c r="L19">
        <f si="2" t="shared"/>
        <v>31000</v>
      </c>
      <c r="M19" s="21">
        <f si="3" t="shared"/>
        <v>7.8680203045685279E-2</v>
      </c>
    </row>
    <row r="20" spans="1:13" x14ac:dyDescent="0.45">
      <c r="A20">
        <v>9</v>
      </c>
      <c r="B20" s="8" t="n">
        <v>0.0</v>
      </c>
      <c r="C20" s="8" t="n">
        <v>0.0</v>
      </c>
      <c r="D20" s="8" t="n">
        <v>0.0</v>
      </c>
      <c r="E20" s="8">
        <f si="0" t="shared"/>
        <v>26332.968711853027</v>
      </c>
      <c r="F20" s="21">
        <f si="1" t="shared"/>
        <v>6.8085070928387101E-2</v>
      </c>
      <c r="H20" s="392">
        <v>9</v>
      </c>
      <c r="I20" s="482" t="n">
        <v>0.0</v>
      </c>
      <c r="J20" s="572" t="n">
        <v>0.0</v>
      </c>
      <c r="K20" s="662" t="n">
        <v>0.0</v>
      </c>
      <c r="L20">
        <f si="2" t="shared"/>
        <v>23000</v>
      </c>
      <c r="M20" s="21">
        <f si="3" t="shared"/>
        <v>5.8375634517766499E-2</v>
      </c>
    </row>
    <row r="21" spans="1:13" x14ac:dyDescent="0.45">
      <c r="A21">
        <v>10</v>
      </c>
      <c r="B21" s="8" t="n">
        <v>40000.0</v>
      </c>
      <c r="C21" s="8" t="n">
        <v>10000.0</v>
      </c>
      <c r="D21" s="8" t="n">
        <v>0.0</v>
      </c>
      <c r="E21" s="8">
        <f si="0" t="shared"/>
        <v>26193.38321685791</v>
      </c>
      <c r="F21" s="21">
        <f si="1" t="shared"/>
        <v>6.7724166374430045E-2</v>
      </c>
      <c r="H21" s="393">
        <v>10</v>
      </c>
      <c r="I21" s="483" t="n">
        <v>40000.0</v>
      </c>
      <c r="J21" s="573" t="n">
        <v>10000.0</v>
      </c>
      <c r="K21" s="663" t="n">
        <v>0.0</v>
      </c>
      <c r="L21">
        <f si="2" t="shared"/>
        <v>36000</v>
      </c>
      <c r="M21" s="21">
        <f si="3" t="shared"/>
        <v>9.1370558375634514E-2</v>
      </c>
    </row>
    <row r="22" spans="1:13" x14ac:dyDescent="0.45">
      <c r="A22">
        <v>11</v>
      </c>
      <c r="B22" s="8" t="n">
        <v>0.0</v>
      </c>
      <c r="C22" s="8" t="n">
        <v>20000.0</v>
      </c>
      <c r="D22" s="8" t="n">
        <v>0.0</v>
      </c>
      <c r="E22" s="8">
        <f si="0" t="shared"/>
        <v>25246.396064758301</v>
      </c>
      <c r="F22" s="21">
        <f si="1" t="shared"/>
        <v>6.5275688645826987E-2</v>
      </c>
      <c r="H22" s="394">
        <v>11</v>
      </c>
      <c r="I22" s="484" t="n">
        <v>0.0</v>
      </c>
      <c r="J22" s="574" t="n">
        <v>20000.0</v>
      </c>
      <c r="K22" s="664" t="n">
        <v>0.0</v>
      </c>
      <c r="L22">
        <f si="2" t="shared"/>
        <v>20000</v>
      </c>
      <c r="M22" s="21">
        <f si="3" t="shared"/>
        <v>5.0761421319796954E-2</v>
      </c>
    </row>
    <row r="23" spans="1:13" x14ac:dyDescent="0.45">
      <c r="A23">
        <v>12</v>
      </c>
      <c r="B23" s="8" t="n">
        <v>20000.0</v>
      </c>
      <c r="C23" s="8" t="n">
        <v>0.0</v>
      </c>
      <c r="D23" s="8" t="n">
        <v>0.0</v>
      </c>
      <c r="E23" s="8">
        <f si="0" t="shared"/>
        <v>23683.002471923828</v>
      </c>
      <c r="F23" s="21">
        <f si="1" t="shared"/>
        <v>6.1233464435489153E-2</v>
      </c>
      <c r="H23" s="395">
        <v>12</v>
      </c>
      <c r="I23" s="485" t="n">
        <v>20000.0</v>
      </c>
      <c r="J23" s="575" t="n">
        <v>0.0</v>
      </c>
      <c r="K23" s="665" t="n">
        <v>0.0</v>
      </c>
      <c r="L23">
        <f si="2" t="shared"/>
        <v>26000</v>
      </c>
      <c r="M23" s="21">
        <f si="3" t="shared"/>
        <v>6.5989847715736044E-2</v>
      </c>
    </row>
    <row r="24" spans="1:13" x14ac:dyDescent="0.45">
      <c r="A24">
        <v>13</v>
      </c>
      <c r="B24" s="8" t="n">
        <v>0.0</v>
      </c>
      <c r="C24" s="8" t="n">
        <v>0.0</v>
      </c>
      <c r="D24" s="8" t="n">
        <v>0.0</v>
      </c>
      <c r="E24" s="8">
        <f si="0" t="shared"/>
        <v>21605.839729309082</v>
      </c>
      <c r="F24" s="21">
        <f si="1" t="shared"/>
        <v>5.5862867059695738E-2</v>
      </c>
      <c r="H24" s="396">
        <v>13</v>
      </c>
      <c r="I24" s="486" t="n">
        <v>0.0</v>
      </c>
      <c r="J24" s="576" t="n">
        <v>0.0</v>
      </c>
      <c r="K24" s="666" t="n">
        <v>0.0</v>
      </c>
      <c r="L24">
        <f si="2" t="shared"/>
        <v>22000</v>
      </c>
      <c r="M24" s="21">
        <f si="3" t="shared"/>
        <v>5.5837563451776651E-2</v>
      </c>
    </row>
    <row r="25" spans="1:13" x14ac:dyDescent="0.45">
      <c r="A25">
        <v>14</v>
      </c>
      <c r="B25" s="8" t="n">
        <v>10000.0</v>
      </c>
      <c r="C25" s="8" t="n">
        <v>0.0</v>
      </c>
      <c r="D25" s="8" t="n">
        <v>0.0</v>
      </c>
      <c r="E25" s="8">
        <f si="0" t="shared"/>
        <v>19079.472541809082</v>
      </c>
      <c r="F25" s="21">
        <f si="1" t="shared"/>
        <v>4.9330831456939603E-2</v>
      </c>
      <c r="H25" s="397">
        <v>14</v>
      </c>
      <c r="I25" s="487" t="n">
        <v>10000.0</v>
      </c>
      <c r="J25" s="577" t="n">
        <v>0.0</v>
      </c>
      <c r="K25" s="667" t="n">
        <v>0.0</v>
      </c>
      <c r="L25">
        <f si="2" t="shared"/>
        <v>24000</v>
      </c>
      <c r="M25" s="21">
        <f si="3" t="shared"/>
        <v>6.0913705583756347E-2</v>
      </c>
    </row>
    <row r="26" spans="1:13" x14ac:dyDescent="0.45">
      <c r="A26">
        <v>15</v>
      </c>
      <c r="B26" s="8" t="n">
        <v>10000.0</v>
      </c>
      <c r="C26" s="8" t="n">
        <v>0.0</v>
      </c>
      <c r="D26" s="8" t="n">
        <v>0.0</v>
      </c>
      <c r="E26" s="8">
        <f si="0" t="shared"/>
        <v>16251.282691955566</v>
      </c>
      <c r="F26" s="21">
        <f si="1" t="shared"/>
        <v>4.2018419832057105E-2</v>
      </c>
      <c r="H26" s="398">
        <v>15</v>
      </c>
      <c r="I26" s="488" t="n">
        <v>10000.0</v>
      </c>
      <c r="J26" s="578" t="n">
        <v>0.0</v>
      </c>
      <c r="K26" s="668" t="n">
        <v>0.0</v>
      </c>
      <c r="L26">
        <f si="2" t="shared"/>
        <v>16000</v>
      </c>
      <c r="M26" s="21">
        <f si="3" t="shared"/>
        <v>4.060913705583756E-2</v>
      </c>
    </row>
    <row r="27" spans="1:13" x14ac:dyDescent="0.45">
      <c r="A27">
        <v>16</v>
      </c>
      <c r="B27" s="8" t="n">
        <v>30000.0</v>
      </c>
      <c r="C27" s="8" t="n">
        <v>10000.0</v>
      </c>
      <c r="D27" s="8" t="n">
        <v>0.0</v>
      </c>
      <c r="E27" s="8">
        <f si="0" t="shared"/>
        <v>13410.706520080566</v>
      </c>
      <c r="F27" s="21">
        <f si="1" t="shared"/>
        <v>3.4673982816395367E-2</v>
      </c>
      <c r="H27" s="399">
        <v>16</v>
      </c>
      <c r="I27" s="489" t="n">
        <v>30000.0</v>
      </c>
      <c r="J27" s="579" t="n">
        <v>10000.0</v>
      </c>
      <c r="K27" s="669" t="n">
        <v>0.0</v>
      </c>
      <c r="L27">
        <f si="2" t="shared"/>
        <v>11000</v>
      </c>
      <c r="M27" s="21">
        <f si="3" t="shared"/>
        <v>2.7918781725888325E-2</v>
      </c>
    </row>
    <row r="28" spans="1:13" x14ac:dyDescent="0.45">
      <c r="A28">
        <v>17</v>
      </c>
      <c r="B28" s="8" t="n">
        <v>0.0</v>
      </c>
      <c r="C28" s="8" t="n">
        <v>0.0</v>
      </c>
      <c r="D28" s="8" t="n">
        <v>0.0</v>
      </c>
      <c r="E28" s="8">
        <f si="0" t="shared"/>
        <v>10906.54182434082</v>
      </c>
      <c r="F28" s="21">
        <f si="1" t="shared"/>
        <v>2.81993527512687E-2</v>
      </c>
      <c r="H28" s="400">
        <v>17</v>
      </c>
      <c r="I28" s="490" t="n">
        <v>0.0</v>
      </c>
      <c r="J28" s="580" t="n">
        <v>0.0</v>
      </c>
      <c r="K28" s="670" t="n">
        <v>0.0</v>
      </c>
      <c r="L28">
        <f si="2" t="shared"/>
        <v>9000</v>
      </c>
      <c r="M28" s="21">
        <f si="3" t="shared"/>
        <v>2.2842639593908629E-2</v>
      </c>
    </row>
    <row r="29" spans="1:13" x14ac:dyDescent="0.45">
      <c r="A29">
        <v>18</v>
      </c>
      <c r="B29" s="8" t="n">
        <v>10000.0</v>
      </c>
      <c r="C29" s="8" t="n">
        <v>0.0</v>
      </c>
      <c r="D29" s="8" t="n">
        <v>0.0</v>
      </c>
      <c r="E29" s="8">
        <f si="0" t="shared"/>
        <v>8977.1900177001953</v>
      </c>
      <c r="F29" s="21">
        <f si="1" t="shared"/>
        <v>2.3210927175772885E-2</v>
      </c>
      <c r="H29" s="401">
        <v>18</v>
      </c>
      <c r="I29" s="491" t="n">
        <v>10000.0</v>
      </c>
      <c r="J29" s="581" t="n">
        <v>0.0</v>
      </c>
      <c r="K29" s="671" t="n">
        <v>0.0</v>
      </c>
      <c r="L29">
        <f si="2" t="shared"/>
        <v>5000</v>
      </c>
      <c r="M29" s="21">
        <f si="3" t="shared"/>
        <v>1.2690355329949238E-2</v>
      </c>
    </row>
    <row r="30" spans="1:13" x14ac:dyDescent="0.45">
      <c r="A30">
        <v>19</v>
      </c>
      <c r="B30" s="8" t="n">
        <v>10000.0</v>
      </c>
      <c r="C30" s="8" t="n">
        <v>10000.0</v>
      </c>
      <c r="D30" s="8" t="n">
        <v>0.0</v>
      </c>
      <c r="E30" s="8">
        <f si="0" t="shared"/>
        <v>7634.9153518676758</v>
      </c>
      <c r="F30" s="21">
        <f si="1" t="shared"/>
        <v>1.9740415862422631E-2</v>
      </c>
      <c r="H30" s="402">
        <v>19</v>
      </c>
      <c r="I30" s="492" t="n">
        <v>10000.0</v>
      </c>
      <c r="J30" s="582" t="n">
        <v>10000.0</v>
      </c>
      <c r="K30" s="672" t="n">
        <v>0.0</v>
      </c>
      <c r="L30">
        <f si="2" t="shared"/>
        <v>6000</v>
      </c>
      <c r="M30" s="21">
        <f si="3" t="shared"/>
        <v>1.5228426395939087E-2</v>
      </c>
    </row>
    <row r="31" spans="1:13" x14ac:dyDescent="0.45">
      <c r="A31">
        <v>20</v>
      </c>
      <c r="B31" s="8" t="n">
        <v>0.0</v>
      </c>
      <c r="C31" s="8" t="n">
        <v>0.0</v>
      </c>
      <c r="D31" s="8" t="n">
        <v>0.0</v>
      </c>
      <c r="E31" s="8">
        <f si="0" t="shared"/>
        <v>6698.4663009643555</v>
      </c>
      <c r="F31" s="21">
        <f si="1" t="shared"/>
        <v>1.7319184866812384E-2</v>
      </c>
      <c r="H31" s="403">
        <v>20</v>
      </c>
      <c r="I31" s="493" t="n">
        <v>0.0</v>
      </c>
      <c r="J31" s="583" t="n">
        <v>0.0</v>
      </c>
      <c r="K31" s="673" t="n">
        <v>0.0</v>
      </c>
      <c r="L31">
        <f si="2" t="shared"/>
        <v>9000</v>
      </c>
      <c r="M31" s="21">
        <f si="3" t="shared"/>
        <v>2.2842639593908629E-2</v>
      </c>
    </row>
    <row r="32" spans="1:13" x14ac:dyDescent="0.45">
      <c r="A32">
        <v>21</v>
      </c>
      <c r="B32" s="8" t="n">
        <v>10000.0</v>
      </c>
      <c r="C32" s="8" t="n">
        <v>10000.0</v>
      </c>
      <c r="D32" s="8" t="n">
        <v>0.0</v>
      </c>
      <c r="E32" s="8">
        <f si="0" t="shared"/>
        <v>5938.3125305175781</v>
      </c>
      <c r="F32" s="21">
        <f si="1" t="shared"/>
        <v>1.5353773220914151E-2</v>
      </c>
      <c r="H32" s="404">
        <v>21</v>
      </c>
      <c r="I32" s="494" t="n">
        <v>10000.0</v>
      </c>
      <c r="J32" s="584" t="n">
        <v>10000.0</v>
      </c>
      <c r="K32" s="674" t="n">
        <v>0.0</v>
      </c>
      <c r="L32">
        <f si="2" t="shared"/>
        <v>7000</v>
      </c>
      <c r="M32" s="21">
        <f si="3" t="shared"/>
        <v>1.7766497461928935E-2</v>
      </c>
    </row>
    <row r="33" spans="1:13" x14ac:dyDescent="0.45">
      <c r="A33">
        <v>22</v>
      </c>
      <c r="B33" s="8" t="n">
        <v>10000.0</v>
      </c>
      <c r="C33" s="8" t="n">
        <v>0.0</v>
      </c>
      <c r="D33" s="8" t="n">
        <v>0.0</v>
      </c>
      <c r="E33" s="8">
        <f si="0" t="shared"/>
        <v>5211.9054794311523</v>
      </c>
      <c r="F33" s="21">
        <f si="1" t="shared"/>
        <v>1.3475615230552891E-2</v>
      </c>
      <c r="H33" s="405">
        <v>22</v>
      </c>
      <c r="I33" s="495" t="n">
        <v>10000.0</v>
      </c>
      <c r="J33" s="585" t="n">
        <v>0.0</v>
      </c>
      <c r="K33" s="675" t="n">
        <v>0.0</v>
      </c>
      <c r="L33">
        <f si="2" t="shared"/>
        <v>4000</v>
      </c>
      <c r="M33" s="21">
        <f si="3" t="shared"/>
        <v>1.015228426395939E-2</v>
      </c>
    </row>
    <row r="34" spans="1:13" x14ac:dyDescent="0.45">
      <c r="A34">
        <v>23</v>
      </c>
      <c r="B34" s="8" t="n">
        <v>0.0</v>
      </c>
      <c r="C34" s="8" t="n">
        <v>0.0</v>
      </c>
      <c r="D34" s="8" t="n">
        <v>0.0</v>
      </c>
      <c r="E34" s="8">
        <f si="0" t="shared"/>
        <v>4498.9585876464844</v>
      </c>
      <c r="F34" s="21">
        <f si="1" t="shared"/>
        <v>1.1632259085391677E-2</v>
      </c>
      <c r="H34" s="406">
        <v>23</v>
      </c>
      <c r="I34" s="496" t="n">
        <v>0.0</v>
      </c>
      <c r="J34" s="586" t="n">
        <v>0.0</v>
      </c>
      <c r="K34" s="676" t="n">
        <v>0.0</v>
      </c>
      <c r="L34">
        <f si="2" t="shared"/>
        <v>4000</v>
      </c>
      <c r="M34" s="21">
        <f si="3" t="shared"/>
        <v>1.015228426395939E-2</v>
      </c>
    </row>
    <row r="35" spans="1:13" x14ac:dyDescent="0.45">
      <c r="A35">
        <v>24</v>
      </c>
      <c r="B35" s="8" t="n">
        <v>0.0</v>
      </c>
      <c r="C35" s="8" t="n">
        <v>0.0</v>
      </c>
      <c r="D35" s="8" t="n">
        <v>0.0</v>
      </c>
      <c r="E35" s="8">
        <f si="0" t="shared"/>
        <v>3850.6069183349609</v>
      </c>
      <c r="F35" s="21">
        <f si="1" t="shared"/>
        <v>9.955916783289465E-3</v>
      </c>
      <c r="H35" s="407">
        <v>24</v>
      </c>
      <c r="I35" s="497" t="n">
        <v>0.0</v>
      </c>
      <c r="J35" s="587" t="n">
        <v>0.0</v>
      </c>
      <c r="K35" s="677" t="n">
        <v>0.0</v>
      </c>
      <c r="L35">
        <f si="2" t="shared"/>
        <v>4000</v>
      </c>
      <c r="M35" s="21">
        <f si="3" t="shared"/>
        <v>1.015228426395939E-2</v>
      </c>
    </row>
    <row r="36" spans="1:13" x14ac:dyDescent="0.45">
      <c r="A36">
        <v>25</v>
      </c>
      <c r="B36" s="8" t="n">
        <v>10000.0</v>
      </c>
      <c r="C36" s="8" t="n">
        <v>0.0</v>
      </c>
      <c r="D36" s="8" t="n">
        <v>0.0</v>
      </c>
      <c r="E36" s="8">
        <f si="0" t="shared"/>
        <v>3326.8604278564453</v>
      </c>
      <c r="F36" s="21">
        <f si="1" t="shared"/>
        <v>8.6017467562437659E-3</v>
      </c>
      <c r="H36" s="408">
        <v>25</v>
      </c>
      <c r="I36" s="498" t="n">
        <v>10000.0</v>
      </c>
      <c r="J36" s="588" t="n">
        <v>0.0</v>
      </c>
      <c r="K36" s="678" t="n">
        <v>0.0</v>
      </c>
      <c r="L36">
        <f si="2" t="shared"/>
        <v>3000</v>
      </c>
      <c r="M36" s="21">
        <f si="3" t="shared"/>
        <v>7.6142131979695434E-3</v>
      </c>
    </row>
    <row r="37" spans="1:13" x14ac:dyDescent="0.45">
      <c r="A37">
        <v>26</v>
      </c>
      <c r="B37" s="8" t="n">
        <v>0.0</v>
      </c>
      <c r="C37" s="8" t="n">
        <v>0.0</v>
      </c>
      <c r="D37" s="8" t="n">
        <v>0.0</v>
      </c>
      <c r="E37" s="8">
        <f si="0" t="shared"/>
        <v>2966.0167694091797</v>
      </c>
      <c r="F37" s="21">
        <f si="1" t="shared"/>
        <v>7.6687693032161412E-3</v>
      </c>
      <c r="H37" s="409">
        <v>26</v>
      </c>
      <c r="I37" s="499" t="n">
        <v>0.0</v>
      </c>
      <c r="J37" s="589" t="n">
        <v>0.0</v>
      </c>
      <c r="K37" s="679" t="n">
        <v>0.0</v>
      </c>
      <c r="L37">
        <f si="2" t="shared"/>
        <v>2000</v>
      </c>
      <c r="M37" s="21">
        <f si="3" t="shared"/>
        <v>5.076142131979695E-3</v>
      </c>
    </row>
    <row r="38" spans="1:13" x14ac:dyDescent="0.45">
      <c r="A38">
        <v>27</v>
      </c>
      <c r="B38" s="8" t="n">
        <v>0.0</v>
      </c>
      <c r="C38" s="8" t="n">
        <v>0.0</v>
      </c>
      <c r="D38" s="8" t="n">
        <v>0.0</v>
      </c>
      <c r="E38" s="8">
        <f si="0" t="shared"/>
        <v>2771.4948654174805</v>
      </c>
      <c r="F38" s="21">
        <f si="1" t="shared"/>
        <v>7.1658242013811803E-3</v>
      </c>
      <c r="H38" s="410">
        <v>27</v>
      </c>
      <c r="I38" s="500" t="n">
        <v>0.0</v>
      </c>
      <c r="J38" s="590" t="n">
        <v>0.0</v>
      </c>
      <c r="K38" s="680" t="n">
        <v>0.0</v>
      </c>
      <c r="L38">
        <f si="2" t="shared"/>
        <v>3000</v>
      </c>
      <c r="M38" s="21">
        <f si="3" t="shared"/>
        <v>7.6142131979695434E-3</v>
      </c>
    </row>
    <row r="39" spans="1:13" x14ac:dyDescent="0.4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2694.8823928833008</v>
      </c>
      <c r="F39" s="21">
        <f si="1" t="shared"/>
        <v>6.9677392196396109E-3</v>
      </c>
      <c r="H39" s="411">
        <v>28</v>
      </c>
      <c r="I39" s="501" t="n">
        <v>0.0</v>
      </c>
      <c r="J39" s="591" t="n">
        <v>0.0</v>
      </c>
      <c r="K39" s="681" t="n">
        <v>0.0</v>
      </c>
      <c r="L39">
        <f si="2" t="shared"/>
        <v>1000</v>
      </c>
      <c r="M39" s="21">
        <f si="3" t="shared"/>
        <v>2.5380710659898475E-3</v>
      </c>
    </row>
    <row r="40" spans="1:13" x14ac:dyDescent="0.45">
      <c r="A40">
        <v>29</v>
      </c>
      <c r="B40" s="8" t="n">
        <v>10000.0</v>
      </c>
      <c r="C40" s="8" t="n">
        <v>0.0</v>
      </c>
      <c r="D40" s="8" t="n">
        <v>0.0</v>
      </c>
      <c r="E40" s="8">
        <f si="0" t="shared"/>
        <v>2632.4987411499023</v>
      </c>
      <c r="F40" s="21">
        <f si="1" t="shared"/>
        <v>6.8064434918575631E-3</v>
      </c>
      <c r="H40" s="412">
        <v>29</v>
      </c>
      <c r="I40" s="502" t="n">
        <v>10000.0</v>
      </c>
      <c r="J40" s="592" t="n">
        <v>0.0</v>
      </c>
      <c r="K40" s="682" t="n">
        <v>0.0</v>
      </c>
      <c r="L40">
        <f si="2" t="shared"/>
        <v>3000</v>
      </c>
      <c r="M40" s="21">
        <f si="3" t="shared"/>
        <v>7.6142131979695434E-3</v>
      </c>
    </row>
    <row r="41" spans="1:13" x14ac:dyDescent="0.45">
      <c r="A41">
        <v>30</v>
      </c>
      <c r="B41" s="8" t="n">
        <v>10000.0</v>
      </c>
      <c r="C41" s="8" t="n">
        <v>0.0</v>
      </c>
      <c r="D41" s="8" t="n">
        <v>0.0</v>
      </c>
      <c r="E41" s="8">
        <f si="0" t="shared"/>
        <v>2466.9551849365234</v>
      </c>
      <c r="F41" s="21">
        <f si="1" t="shared"/>
        <v>6.3784232071012904E-3</v>
      </c>
      <c r="H41" s="413">
        <v>30</v>
      </c>
      <c r="I41" s="503" t="n">
        <v>10000.0</v>
      </c>
      <c r="J41" s="593" t="n">
        <v>0.0</v>
      </c>
      <c r="K41" s="683" t="n">
        <v>0.0</v>
      </c>
      <c r="L41">
        <f si="2" t="shared"/>
        <v>5000</v>
      </c>
      <c r="M41" s="21">
        <f si="3" t="shared"/>
        <v>1.2690355329949238E-2</v>
      </c>
    </row>
    <row r="42" spans="1:13" x14ac:dyDescent="0.4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2142.0269012451172</v>
      </c>
      <c r="F42" s="21">
        <f si="1" t="shared"/>
        <v>5.538306565341467E-3</v>
      </c>
      <c r="H42" s="414">
        <v>31</v>
      </c>
      <c r="I42" s="504" t="n">
        <v>0.0</v>
      </c>
      <c r="J42" s="594" t="n">
        <v>0.0</v>
      </c>
      <c r="K42" s="684" t="n">
        <v>0.0</v>
      </c>
      <c r="L42">
        <f si="2" t="shared"/>
        <v>3000</v>
      </c>
      <c r="M42" s="21">
        <f si="3" t="shared"/>
        <v>7.6142131979695434E-3</v>
      </c>
    </row>
    <row r="43" spans="1:13" x14ac:dyDescent="0.4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1708.7631225585938</v>
      </c>
      <c r="F43" s="21">
        <f si="1" t="shared"/>
        <v>4.4180836453447964E-3</v>
      </c>
      <c r="H43" s="415">
        <v>32</v>
      </c>
      <c r="I43" s="505" t="n">
        <v>0.0</v>
      </c>
      <c r="J43" s="595" t="n">
        <v>0.0</v>
      </c>
      <c r="K43" s="685" t="n">
        <v>0.0</v>
      </c>
      <c r="L43">
        <f si="2" t="shared"/>
        <v>1000</v>
      </c>
      <c r="M43" s="21">
        <f si="3" t="shared"/>
        <v>2.5380710659898475E-3</v>
      </c>
    </row>
    <row r="44" spans="1:13" x14ac:dyDescent="0.4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1293.3845520019531</v>
      </c>
      <c r="F44" s="21">
        <f si="1" t="shared"/>
        <v>3.34410373263746E-3</v>
      </c>
      <c r="H44" s="416">
        <v>33</v>
      </c>
      <c r="I44" s="506" t="n">
        <v>0.0</v>
      </c>
      <c r="J44" s="596" t="n">
        <v>0.0</v>
      </c>
      <c r="K44" s="686" t="n">
        <v>0.0</v>
      </c>
      <c r="L44">
        <f si="2" t="shared"/>
        <v>0</v>
      </c>
      <c r="M44" s="21">
        <f si="3" t="shared"/>
        <v>0</v>
      </c>
    </row>
    <row r="45" spans="1:13" x14ac:dyDescent="0.45">
      <c r="A45">
        <v>34</v>
      </c>
      <c r="B45" s="8" t="n">
        <v>0.0</v>
      </c>
      <c r="C45" s="8" t="n">
        <v>0.0</v>
      </c>
      <c r="D45" s="8" t="n">
        <v>0.0</v>
      </c>
      <c r="E45" s="8">
        <f si="0" t="shared"/>
        <v>1009.0456008911133</v>
      </c>
      <c r="F45" s="21">
        <f si="1" t="shared"/>
        <v>2.6089326296022479E-3</v>
      </c>
      <c r="H45" s="417">
        <v>34</v>
      </c>
      <c r="I45" s="507" t="n">
        <v>0.0</v>
      </c>
      <c r="J45" s="597" t="n">
        <v>0.0</v>
      </c>
      <c r="K45" s="687" t="n">
        <v>0.0</v>
      </c>
      <c r="L45">
        <f si="2" t="shared"/>
        <v>0</v>
      </c>
      <c r="M45" s="21">
        <f si="3" t="shared"/>
        <v>0</v>
      </c>
    </row>
    <row r="46" spans="1:13" x14ac:dyDescent="0.45">
      <c r="A46">
        <v>35</v>
      </c>
      <c r="B46" s="8" t="n">
        <v>0.0</v>
      </c>
      <c r="C46" s="8" t="n">
        <v>0.0</v>
      </c>
      <c r="D46" s="8" t="n">
        <v>0.0</v>
      </c>
      <c r="E46" s="8">
        <f si="0" t="shared"/>
        <v>885.62870025634766</v>
      </c>
      <c r="F46" s="21">
        <f si="1" t="shared"/>
        <v>2.2898327010895383E-3</v>
      </c>
      <c r="H46" s="418">
        <v>35</v>
      </c>
      <c r="I46" s="508" t="n">
        <v>0.0</v>
      </c>
      <c r="J46" s="598" t="n">
        <v>0.0</v>
      </c>
      <c r="K46" s="688" t="n">
        <v>0.0</v>
      </c>
      <c r="L46">
        <f si="2" t="shared"/>
        <v>1000</v>
      </c>
      <c r="M46" s="21">
        <f si="3" t="shared"/>
        <v>2.5380710659898475E-3</v>
      </c>
    </row>
    <row r="47" spans="1:13" x14ac:dyDescent="0.45">
      <c r="A47">
        <v>36</v>
      </c>
      <c r="B47" s="8" t="n">
        <v>0.0</v>
      </c>
      <c r="C47" s="8" t="n">
        <v>0.0</v>
      </c>
      <c r="D47" s="8" t="n">
        <v>0.0</v>
      </c>
      <c r="E47" s="8">
        <f si="0" t="shared"/>
        <v>869.86446380615234</v>
      </c>
      <c r="F47" s="21">
        <f si="1" t="shared"/>
        <v>2.2490735611464486E-3</v>
      </c>
      <c r="H47" s="419">
        <v>36</v>
      </c>
      <c r="I47" s="509" t="n">
        <v>0.0</v>
      </c>
      <c r="J47" s="599" t="n">
        <v>0.0</v>
      </c>
      <c r="K47" s="689" t="n">
        <v>0.0</v>
      </c>
      <c r="L47">
        <f si="2" t="shared"/>
        <v>1000</v>
      </c>
      <c r="M47" s="21">
        <f si="3" t="shared"/>
        <v>2.5380710659898475E-3</v>
      </c>
    </row>
    <row r="48" spans="1:13" x14ac:dyDescent="0.45">
      <c r="A48">
        <v>37</v>
      </c>
      <c r="B48" s="8" t="n">
        <v>10000.0</v>
      </c>
      <c r="C48" s="8" t="n">
        <v>0.0</v>
      </c>
      <c r="D48" s="8" t="n">
        <v>0.0</v>
      </c>
      <c r="E48" s="8">
        <f si="0" t="shared"/>
        <v>882.67612457275391</v>
      </c>
      <c r="F48" s="21">
        <f si="1" t="shared"/>
        <v>2.2821986843161684E-3</v>
      </c>
      <c r="H48" s="420">
        <v>37</v>
      </c>
      <c r="I48" s="510" t="n">
        <v>10000.0</v>
      </c>
      <c r="J48" s="600" t="n">
        <v>0.0</v>
      </c>
      <c r="K48" s="690" t="n">
        <v>0.0</v>
      </c>
      <c r="L48">
        <f si="2" t="shared"/>
        <v>1000</v>
      </c>
      <c r="M48" s="21">
        <f si="3" t="shared"/>
        <v>2.5380710659898475E-3</v>
      </c>
    </row>
    <row r="49" spans="1:13" x14ac:dyDescent="0.45">
      <c r="A49">
        <v>38</v>
      </c>
      <c r="B49" s="8" t="n">
        <v>0.0</v>
      </c>
      <c r="C49" s="8" t="n">
        <v>0.0</v>
      </c>
      <c r="D49" s="8" t="n">
        <v>0.0</v>
      </c>
      <c r="E49" s="8">
        <f si="0" t="shared"/>
        <v>878.16429138183594</v>
      </c>
      <c r="F49" s="21">
        <f si="1" t="shared"/>
        <v>2.2705331373669394E-3</v>
      </c>
      <c r="H49" s="421">
        <v>38</v>
      </c>
      <c r="I49" s="511" t="n">
        <v>0.0</v>
      </c>
      <c r="J49" s="601" t="n">
        <v>0.0</v>
      </c>
      <c r="K49" s="691" t="n">
        <v>0.0</v>
      </c>
      <c r="L49">
        <f si="2" t="shared"/>
        <v>2000</v>
      </c>
      <c r="M49" s="21">
        <f si="3" t="shared"/>
        <v>5.076142131979695E-3</v>
      </c>
    </row>
    <row r="50" spans="1:13" x14ac:dyDescent="0.4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858.43372344970703</v>
      </c>
      <c r="F50" s="21">
        <f si="1" t="shared"/>
        <v>2.2195188695942484E-3</v>
      </c>
      <c r="H50" s="422">
        <v>39</v>
      </c>
      <c r="I50" s="512" t="n">
        <v>0.0</v>
      </c>
      <c r="J50" s="602" t="n">
        <v>0.0</v>
      </c>
      <c r="K50" s="692" t="n">
        <v>0.0</v>
      </c>
      <c r="L50">
        <f si="2" t="shared"/>
        <v>0</v>
      </c>
      <c r="M50" s="21">
        <f si="3" t="shared"/>
        <v>0</v>
      </c>
    </row>
    <row r="51" spans="1:13" x14ac:dyDescent="0.45">
      <c r="A51">
        <v>40</v>
      </c>
      <c r="B51" s="8" t="n">
        <v>0.0</v>
      </c>
      <c r="C51" s="8" t="n">
        <v>0.0</v>
      </c>
      <c r="D51" s="8" t="n">
        <v>0.0</v>
      </c>
      <c r="E51" s="8">
        <f si="0" t="shared"/>
        <v>842.74196624755859</v>
      </c>
      <c r="F51" s="21">
        <f si="1" t="shared"/>
        <v>2.1789471279957248E-3</v>
      </c>
      <c r="H51" s="423">
        <v>40</v>
      </c>
      <c r="I51" s="513" t="n">
        <v>0.0</v>
      </c>
      <c r="J51" s="603" t="n">
        <v>0.0</v>
      </c>
      <c r="K51" s="693" t="n">
        <v>0.0</v>
      </c>
      <c r="L51">
        <f si="2" t="shared"/>
        <v>0</v>
      </c>
      <c r="M51" s="21">
        <f si="3" t="shared"/>
        <v>0</v>
      </c>
    </row>
    <row r="52" spans="1:13" x14ac:dyDescent="0.45">
      <c r="A52">
        <v>41</v>
      </c>
      <c r="B52" s="8" t="n">
        <v>0.0</v>
      </c>
      <c r="C52" s="8" t="n">
        <v>0.0</v>
      </c>
      <c r="D52" s="8" t="n">
        <v>0.0</v>
      </c>
      <c r="E52" s="8">
        <f si="0" t="shared"/>
        <v>830.18112182617188</v>
      </c>
      <c r="F52" s="21">
        <f si="1" t="shared"/>
        <v>2.1464705017289112E-3</v>
      </c>
      <c r="H52" s="424">
        <v>41</v>
      </c>
      <c r="I52" s="514" t="n">
        <v>0.0</v>
      </c>
      <c r="J52" s="604" t="n">
        <v>0.0</v>
      </c>
      <c r="K52" s="694" t="n">
        <v>0.0</v>
      </c>
      <c r="L52">
        <f si="2" t="shared"/>
        <v>1000</v>
      </c>
      <c r="M52" s="21">
        <f si="3" t="shared"/>
        <v>2.5380710659898475E-3</v>
      </c>
    </row>
    <row r="53" spans="1:13" x14ac:dyDescent="0.4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796.74720764160156</v>
      </c>
      <c r="F53" s="21">
        <f si="1" t="shared"/>
        <v>2.0600256179948017E-3</v>
      </c>
      <c r="H53" s="425">
        <v>42</v>
      </c>
      <c r="I53" s="515" t="n">
        <v>0.0</v>
      </c>
      <c r="J53" s="605" t="n">
        <v>0.0</v>
      </c>
      <c r="K53" s="695" t="n">
        <v>0.0</v>
      </c>
      <c r="L53">
        <f si="2" t="shared"/>
        <v>2000</v>
      </c>
      <c r="M53" s="21">
        <f si="3" t="shared"/>
        <v>5.076142131979695E-3</v>
      </c>
    </row>
    <row r="54" spans="1:13" x14ac:dyDescent="0.4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726.07994079589844</v>
      </c>
      <c r="F54" s="21">
        <f si="1" t="shared"/>
        <v>1.8773122320430214E-3</v>
      </c>
      <c r="H54" s="426">
        <v>43</v>
      </c>
      <c r="I54" s="516" t="n">
        <v>0.0</v>
      </c>
      <c r="J54" s="606" t="n">
        <v>0.0</v>
      </c>
      <c r="K54" s="696" t="n">
        <v>0.0</v>
      </c>
      <c r="L54">
        <f si="2" t="shared"/>
        <v>1000</v>
      </c>
      <c r="M54" s="21">
        <f si="3" t="shared"/>
        <v>2.5380710659898475E-3</v>
      </c>
    </row>
    <row r="55" spans="1:13" x14ac:dyDescent="0.4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632.781982421875</v>
      </c>
      <c r="F55" s="21">
        <f si="1" t="shared"/>
        <v>1.6360861787682217E-3</v>
      </c>
      <c r="H55" s="427">
        <v>44</v>
      </c>
      <c r="I55" s="517" t="n">
        <v>0.0</v>
      </c>
      <c r="J55" s="607" t="n">
        <v>0.0</v>
      </c>
      <c r="K55" s="697" t="n">
        <v>0.0</v>
      </c>
      <c r="L55">
        <f si="2" t="shared"/>
        <v>0</v>
      </c>
      <c r="M55" s="21">
        <f si="3" t="shared"/>
        <v>0</v>
      </c>
    </row>
    <row r="56" spans="1:13" x14ac:dyDescent="0.45">
      <c r="A56">
        <v>45</v>
      </c>
      <c r="B56" s="8" t="n">
        <v>0.0</v>
      </c>
      <c r="C56" s="8" t="n">
        <v>0.0</v>
      </c>
      <c r="D56" s="8" t="n">
        <v>0.0</v>
      </c>
      <c r="E56" s="8">
        <f si="0" t="shared"/>
        <v>547.78194427490234</v>
      </c>
      <c r="F56" s="21">
        <f si="1" t="shared"/>
        <v>1.4163147701785291E-3</v>
      </c>
      <c r="H56" s="428">
        <v>45</v>
      </c>
      <c r="I56" s="518" t="n">
        <v>0.0</v>
      </c>
      <c r="J56" s="608" t="n">
        <v>0.0</v>
      </c>
      <c r="K56" s="698" t="n">
        <v>0.0</v>
      </c>
      <c r="L56">
        <f si="2" t="shared"/>
        <v>0</v>
      </c>
      <c r="M56" s="21">
        <f si="3" t="shared"/>
        <v>0</v>
      </c>
    </row>
    <row r="57" spans="1:13" x14ac:dyDescent="0.4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484.47132110595703</v>
      </c>
      <c r="F57" s="21">
        <f si="1" t="shared"/>
        <v>1.2526223162001907E-3</v>
      </c>
      <c r="H57" s="429">
        <v>46</v>
      </c>
      <c r="I57" s="519" t="n">
        <v>0.0</v>
      </c>
      <c r="J57" s="609" t="n">
        <v>0.0</v>
      </c>
      <c r="K57" s="699" t="n">
        <v>0.0</v>
      </c>
      <c r="L57">
        <f si="2" t="shared"/>
        <v>0</v>
      </c>
      <c r="M57" s="21">
        <f si="3" t="shared"/>
        <v>0</v>
      </c>
    </row>
    <row r="58" spans="1:13" x14ac:dyDescent="0.4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428.21121215820313</v>
      </c>
      <c r="F58" s="21">
        <f si="1" t="shared"/>
        <v>1.1071592827662719E-3</v>
      </c>
      <c r="H58" s="430">
        <v>47</v>
      </c>
      <c r="I58" s="520" t="n">
        <v>0.0</v>
      </c>
      <c r="J58" s="610" t="n">
        <v>0.0</v>
      </c>
      <c r="K58" s="700" t="n">
        <v>0.0</v>
      </c>
      <c r="L58">
        <f si="2" t="shared"/>
        <v>2000</v>
      </c>
      <c r="M58" s="21">
        <f si="3" t="shared"/>
        <v>5.076142131979695E-3</v>
      </c>
    </row>
    <row r="59" spans="1:13" x14ac:dyDescent="0.4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360.27908325195313</v>
      </c>
      <c r="F59" s="21">
        <f si="1" t="shared"/>
        <v>9.3151771855416385E-4</v>
      </c>
      <c r="H59" s="431">
        <v>48</v>
      </c>
      <c r="I59" s="521" t="n">
        <v>0.0</v>
      </c>
      <c r="J59" s="611" t="n">
        <v>0.0</v>
      </c>
      <c r="K59" s="701" t="n">
        <v>0.0</v>
      </c>
      <c r="L59">
        <f si="2" t="shared"/>
        <v>0</v>
      </c>
      <c r="M59" s="21">
        <f si="3" t="shared"/>
        <v>0</v>
      </c>
    </row>
    <row r="60" spans="1:13" x14ac:dyDescent="0.4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284.39140319824219</v>
      </c>
      <c r="F60" s="21">
        <f si="1" t="shared"/>
        <v>7.3530672025825345E-4</v>
      </c>
      <c r="H60" s="432">
        <v>49</v>
      </c>
      <c r="I60" s="522" t="n">
        <v>0.0</v>
      </c>
      <c r="J60" s="612" t="n">
        <v>0.0</v>
      </c>
      <c r="K60" s="702" t="n">
        <v>0.0</v>
      </c>
      <c r="L60">
        <f si="2" t="shared"/>
        <v>0</v>
      </c>
      <c r="M60" s="21">
        <f si="3" t="shared"/>
        <v>0</v>
      </c>
    </row>
    <row r="61" spans="1:13" x14ac:dyDescent="0.4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224.36141967773438</v>
      </c>
      <c r="F61" s="21">
        <f si="1" t="shared"/>
        <v>5.8009650713921484E-4</v>
      </c>
      <c r="H61" s="433">
        <v>50</v>
      </c>
      <c r="I61" s="523" t="n">
        <v>0.0</v>
      </c>
      <c r="J61" s="613" t="n">
        <v>0.0</v>
      </c>
      <c r="K61" s="703" t="n">
        <v>0.0</v>
      </c>
      <c r="L61">
        <f si="2" t="shared"/>
        <v>0</v>
      </c>
      <c r="M61" s="21">
        <f si="3" t="shared"/>
        <v>0</v>
      </c>
    </row>
    <row r="62" spans="1:13" x14ac:dyDescent="0.4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199.08523559570313</v>
      </c>
      <c r="F62" s="21">
        <f si="1" t="shared"/>
        <v>5.1474380023953893E-4</v>
      </c>
      <c r="H62" s="434">
        <v>51</v>
      </c>
      <c r="I62" s="524" t="n">
        <v>0.0</v>
      </c>
      <c r="J62" s="614" t="n">
        <v>0.0</v>
      </c>
      <c r="K62" s="704" t="n">
        <v>0.0</v>
      </c>
      <c r="L62">
        <f si="2" t="shared"/>
        <v>0</v>
      </c>
      <c r="M62" s="21">
        <f si="3" t="shared"/>
        <v>0</v>
      </c>
    </row>
    <row r="63" spans="1:13" x14ac:dyDescent="0.4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205.64460754394531</v>
      </c>
      <c r="F63" s="21">
        <f si="1" t="shared"/>
        <v>5.317033504227555E-4</v>
      </c>
      <c r="H63" s="435">
        <v>52</v>
      </c>
      <c r="I63" s="525" t="n">
        <v>0.0</v>
      </c>
      <c r="J63" s="615" t="n">
        <v>0.0</v>
      </c>
      <c r="K63" s="705" t="n">
        <v>0.0</v>
      </c>
      <c r="L63">
        <f si="2" t="shared"/>
        <v>0</v>
      </c>
      <c r="M63" s="21">
        <f si="3" t="shared"/>
        <v>0</v>
      </c>
    </row>
    <row r="64" spans="1:13" x14ac:dyDescent="0.4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227.02407836914063</v>
      </c>
      <c r="F64" s="21">
        <f si="1" t="shared"/>
        <v>5.8698093053432111E-4</v>
      </c>
      <c r="H64" s="436">
        <v>53</v>
      </c>
      <c r="I64" s="526" t="n">
        <v>0.0</v>
      </c>
      <c r="J64" s="616" t="n">
        <v>0.0</v>
      </c>
      <c r="K64" s="706" t="n">
        <v>0.0</v>
      </c>
      <c r="L64">
        <f si="2" t="shared"/>
        <v>1000</v>
      </c>
      <c r="M64" s="21">
        <f si="3" t="shared"/>
        <v>2.5380710659898475E-3</v>
      </c>
    </row>
    <row r="65" spans="1:13" x14ac:dyDescent="0.4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251.068115234375</v>
      </c>
      <c r="F65" s="21">
        <f si="1" t="shared"/>
        <v>6.4914786557637618E-4</v>
      </c>
      <c r="H65" s="437">
        <v>54</v>
      </c>
      <c r="I65" s="527" t="n">
        <v>0.0</v>
      </c>
      <c r="J65" s="617" t="n">
        <v>0.0</v>
      </c>
      <c r="K65" s="707" t="n">
        <v>0.0</v>
      </c>
      <c r="L65">
        <f si="2" t="shared"/>
        <v>0</v>
      </c>
      <c r="M65" s="21">
        <f si="3" t="shared"/>
        <v>0</v>
      </c>
    </row>
    <row r="66" spans="1:13" x14ac:dyDescent="0.4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277.59647369384766</v>
      </c>
      <c r="F66" s="21">
        <f si="1" t="shared"/>
        <v>7.1773812545519765E-4</v>
      </c>
      <c r="H66" s="438">
        <v>55</v>
      </c>
      <c r="I66" s="528" t="n">
        <v>0.0</v>
      </c>
      <c r="J66" s="618" t="n">
        <v>0.0</v>
      </c>
      <c r="K66" s="708" t="n">
        <v>0.0</v>
      </c>
      <c r="L66">
        <f si="2" t="shared"/>
        <v>0</v>
      </c>
      <c r="M66" s="21">
        <f si="3" t="shared"/>
        <v>0</v>
      </c>
    </row>
    <row r="67" spans="1:13" x14ac:dyDescent="0.4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308.09402465820313</v>
      </c>
      <c r="F67" s="21">
        <f si="1" t="shared"/>
        <v>7.9659091046669543E-4</v>
      </c>
      <c r="H67" s="439">
        <v>56</v>
      </c>
      <c r="I67" s="529" t="n">
        <v>0.0</v>
      </c>
      <c r="J67" s="619" t="n">
        <v>0.0</v>
      </c>
      <c r="K67" s="709" t="n">
        <v>0.0</v>
      </c>
      <c r="L67">
        <f si="2" t="shared"/>
        <v>0</v>
      </c>
      <c r="M67" s="21">
        <f si="3" t="shared"/>
        <v>0</v>
      </c>
    </row>
    <row r="68" spans="1:13" x14ac:dyDescent="0.4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333.47892761230469</v>
      </c>
      <c r="F68" s="21">
        <f si="1" t="shared"/>
        <v>8.622247148832202E-4</v>
      </c>
      <c r="H68" s="440">
        <v>57</v>
      </c>
      <c r="I68" s="530" t="n">
        <v>0.0</v>
      </c>
      <c r="J68" s="620" t="n">
        <v>0.0</v>
      </c>
      <c r="K68" s="710" t="n">
        <v>0.0</v>
      </c>
      <c r="L68">
        <f si="2" t="shared"/>
        <v>1000</v>
      </c>
      <c r="M68" s="21">
        <f si="3" t="shared"/>
        <v>2.5380710659898475E-3</v>
      </c>
    </row>
    <row r="69" spans="1:13" x14ac:dyDescent="0.4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336.23123168945313</v>
      </c>
      <c r="F69" s="21">
        <f si="1" t="shared"/>
        <v>8.6934092044134209E-4</v>
      </c>
      <c r="H69" s="441">
        <v>58</v>
      </c>
      <c r="I69" s="531" t="n">
        <v>0.0</v>
      </c>
      <c r="J69" s="621" t="n">
        <v>0.0</v>
      </c>
      <c r="K69" s="711" t="n">
        <v>0.0</v>
      </c>
      <c r="L69">
        <f si="2" t="shared"/>
        <v>0</v>
      </c>
      <c r="M69" s="21">
        <f si="3" t="shared"/>
        <v>0</v>
      </c>
    </row>
    <row r="70" spans="1:13" x14ac:dyDescent="0.4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305.572509765625</v>
      </c>
      <c r="F70" s="21">
        <f si="1" t="shared"/>
        <v>7.9007142068995438E-4</v>
      </c>
      <c r="H70" s="442">
        <v>59</v>
      </c>
      <c r="I70" s="532" t="n">
        <v>0.0</v>
      </c>
      <c r="J70" s="622" t="n">
        <v>0.0</v>
      </c>
      <c r="K70" s="712" t="n">
        <v>0.0</v>
      </c>
      <c r="L70">
        <f si="2" t="shared"/>
        <v>1000</v>
      </c>
      <c r="M70" s="21">
        <f si="3" t="shared"/>
        <v>2.5380710659898475E-3</v>
      </c>
    </row>
    <row r="71" spans="1:13" x14ac:dyDescent="0.4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249.98092651367188</v>
      </c>
      <c r="F71" s="21">
        <f si="1" t="shared"/>
        <v>6.4633689040788725E-4</v>
      </c>
      <c r="H71" s="443">
        <v>60</v>
      </c>
      <c r="I71" s="533" t="n">
        <v>0.0</v>
      </c>
      <c r="J71" s="623" t="n">
        <v>0.0</v>
      </c>
      <c r="K71" s="713" t="n">
        <v>0.0</v>
      </c>
      <c r="L71">
        <f si="2" t="shared"/>
        <v>0</v>
      </c>
      <c r="M71" s="21">
        <f si="3" t="shared"/>
        <v>0</v>
      </c>
    </row>
    <row r="72" spans="1:13" x14ac:dyDescent="0.4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194.244384765625</v>
      </c>
      <c r="F72" s="21">
        <f si="1" t="shared"/>
        <v>5.0222756343668831E-4</v>
      </c>
      <c r="H72" s="444">
        <v>61</v>
      </c>
      <c r="I72" s="534" t="n">
        <v>0.0</v>
      </c>
      <c r="J72" s="624" t="n">
        <v>0.0</v>
      </c>
      <c r="K72" s="714" t="n">
        <v>0.0</v>
      </c>
      <c r="L72">
        <f si="2" t="shared"/>
        <v>0</v>
      </c>
      <c r="M72" s="21">
        <f si="3" t="shared"/>
        <v>0</v>
      </c>
    </row>
    <row r="73" spans="1:13" x14ac:dyDescent="0.4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162.66250610351563</v>
      </c>
      <c r="F73" s="21">
        <f si="1" t="shared"/>
        <v>4.2057120055977659E-4</v>
      </c>
      <c r="H73" s="445">
        <v>62</v>
      </c>
      <c r="I73" s="535" t="n">
        <v>0.0</v>
      </c>
      <c r="J73" s="625" t="n">
        <v>0.0</v>
      </c>
      <c r="K73" s="715" t="n">
        <v>0.0</v>
      </c>
      <c r="L73">
        <f si="2" t="shared"/>
        <v>0</v>
      </c>
      <c r="M73" s="21">
        <f si="3" t="shared"/>
        <v>0</v>
      </c>
    </row>
    <row r="74" spans="1:13" x14ac:dyDescent="0.4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161.72027587890625</v>
      </c>
      <c r="F74" s="21">
        <f si="1" t="shared"/>
        <v>4.1813502208041956E-4</v>
      </c>
      <c r="H74" s="446">
        <v>63</v>
      </c>
      <c r="I74" s="536" t="n">
        <v>0.0</v>
      </c>
      <c r="J74" s="626" t="n">
        <v>0.0</v>
      </c>
      <c r="K74" s="716" t="n">
        <v>0.0</v>
      </c>
      <c r="L74">
        <f si="2" t="shared"/>
        <v>0</v>
      </c>
      <c r="M74" s="21">
        <f si="3" t="shared"/>
        <v>0</v>
      </c>
    </row>
    <row r="75" spans="1:13" x14ac:dyDescent="0.4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176.05209350585938</v>
      </c>
      <c r="F75" s="21">
        <f si="1" t="shared"/>
        <v>4.5519057895064026E-4</v>
      </c>
      <c r="H75" s="447">
        <v>64</v>
      </c>
      <c r="I75" s="537" t="n">
        <v>0.0</v>
      </c>
      <c r="J75" s="627" t="n">
        <v>0.0</v>
      </c>
      <c r="K75" s="717" t="n">
        <v>0.0</v>
      </c>
      <c r="L75">
        <f si="2" t="shared"/>
        <v>0</v>
      </c>
      <c r="M75" s="21">
        <f si="3" t="shared"/>
        <v>0</v>
      </c>
    </row>
    <row r="76" spans="1:13" x14ac:dyDescent="0.45">
      <c r="A76">
        <v>65</v>
      </c>
      <c r="B76" s="8" t="n">
        <v>10000.0</v>
      </c>
      <c r="C76" s="8" t="n">
        <v>0.0</v>
      </c>
      <c r="D76" s="8" t="n">
        <v>0.0</v>
      </c>
      <c r="E76" s="8">
        <f ref="E76:E101" si="4" t="shared">SUM(B76:D76)</f>
        <v>180.99880218505859</v>
      </c>
      <c r="F76" s="21">
        <f ref="F76:F102" si="5" t="shared">E76/$E$102</f>
        <v>4.6798051596726485E-4</v>
      </c>
      <c r="H76" s="448">
        <v>65</v>
      </c>
      <c r="I76" s="538" t="n">
        <v>10000.0</v>
      </c>
      <c r="J76" s="628" t="n">
        <v>0.0</v>
      </c>
      <c r="K76" s="718" t="n">
        <v>0.0</v>
      </c>
      <c r="L76">
        <f ref="L76:L101" si="6" t="shared">SUM(I76:K76)</f>
        <v>1000</v>
      </c>
      <c r="M76" s="21">
        <f ref="M76:M102" si="7" t="shared">L76/$L$102</f>
        <v>2.5380710659898475E-3</v>
      </c>
    </row>
    <row r="77" spans="1:13" x14ac:dyDescent="0.4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161.285400390625</v>
      </c>
      <c r="F77" s="21">
        <f si="5" t="shared"/>
        <v>4.1701063201302399E-4</v>
      </c>
      <c r="H77" s="449">
        <v>66</v>
      </c>
      <c r="I77" s="539" t="n">
        <v>0.0</v>
      </c>
      <c r="J77" s="629" t="n">
        <v>0.0</v>
      </c>
      <c r="K77" s="719" t="n">
        <v>0.0</v>
      </c>
      <c r="L77">
        <f si="6" t="shared"/>
        <v>0</v>
      </c>
      <c r="M77" s="21">
        <f si="7" t="shared"/>
        <v>0</v>
      </c>
    </row>
    <row r="78" spans="1:13" x14ac:dyDescent="0.4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120.31650543212891</v>
      </c>
      <c r="F78" s="21">
        <f si="5" t="shared"/>
        <v>3.1108371774713292E-4</v>
      </c>
      <c r="H78" s="450">
        <v>67</v>
      </c>
      <c r="I78" s="540" t="n">
        <v>0.0</v>
      </c>
      <c r="J78" s="630" t="n">
        <v>0.0</v>
      </c>
      <c r="K78" s="720" t="n">
        <v>0.0</v>
      </c>
      <c r="L78">
        <f si="6" t="shared"/>
        <v>0</v>
      </c>
      <c r="M78" s="21">
        <f si="7" t="shared"/>
        <v>0</v>
      </c>
    </row>
    <row r="79" spans="1:13" x14ac:dyDescent="0.4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73.947906494140625</v>
      </c>
      <c r="F79" s="21">
        <f si="5" t="shared"/>
        <v>1.9119562681108016E-4</v>
      </c>
      <c r="H79" s="451">
        <v>68</v>
      </c>
      <c r="I79" s="541" t="n">
        <v>0.0</v>
      </c>
      <c r="J79" s="631" t="n">
        <v>0.0</v>
      </c>
      <c r="K79" s="721" t="n">
        <v>0.0</v>
      </c>
      <c r="L79">
        <f si="6" t="shared"/>
        <v>0</v>
      </c>
      <c r="M79" s="21">
        <f si="7" t="shared"/>
        <v>0</v>
      </c>
    </row>
    <row r="80" spans="1:13" x14ac:dyDescent="0.4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36.965370178222656</v>
      </c>
      <c r="F80" s="21">
        <f si="5" t="shared"/>
        <v>9.5575621496315179E-5</v>
      </c>
      <c r="H80" s="452">
        <v>69</v>
      </c>
      <c r="I80" s="542" t="n">
        <v>0.0</v>
      </c>
      <c r="J80" s="632" t="n">
        <v>0.0</v>
      </c>
      <c r="K80" s="722" t="n">
        <v>0.0</v>
      </c>
      <c r="L80">
        <f si="6" t="shared"/>
        <v>0</v>
      </c>
      <c r="M80" s="21">
        <f si="7" t="shared"/>
        <v>0</v>
      </c>
    </row>
    <row r="81" spans="1:13" x14ac:dyDescent="0.4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14.7857666015625</v>
      </c>
      <c r="F81" s="21">
        <f si="5" t="shared"/>
        <v>3.8229262291449407E-5</v>
      </c>
      <c r="H81" s="453">
        <v>70</v>
      </c>
      <c r="I81" s="543" t="n">
        <v>0.0</v>
      </c>
      <c r="J81" s="633" t="n">
        <v>0.0</v>
      </c>
      <c r="K81" s="723" t="n">
        <v>0.0</v>
      </c>
      <c r="L81">
        <f si="6" t="shared"/>
        <v>0</v>
      </c>
      <c r="M81" s="21">
        <f si="7" t="shared"/>
        <v>0</v>
      </c>
    </row>
    <row r="82" spans="1:13" x14ac:dyDescent="0.4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4.6205520629882813</v>
      </c>
      <c r="F82" s="21">
        <f si="5" t="shared"/>
        <v>1.194664446607794E-5</v>
      </c>
      <c r="H82" s="454">
        <v>71</v>
      </c>
      <c r="I82" s="544" t="n">
        <v>0.0</v>
      </c>
      <c r="J82" s="634" t="n">
        <v>0.0</v>
      </c>
      <c r="K82" s="724" t="n">
        <v>0.0</v>
      </c>
      <c r="L82">
        <f si="6" t="shared"/>
        <v>0</v>
      </c>
      <c r="M82" s="21">
        <f si="7" t="shared"/>
        <v>0</v>
      </c>
    </row>
    <row r="83" spans="1:13" x14ac:dyDescent="0.4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1.087188720703125</v>
      </c>
      <c r="F83" s="21">
        <f si="5" t="shared"/>
        <v>2.8109751684889269E-6</v>
      </c>
      <c r="H83" s="455">
        <v>72</v>
      </c>
      <c r="I83" s="545" t="n">
        <v>0.0</v>
      </c>
      <c r="J83" s="635" t="n">
        <v>0.0</v>
      </c>
      <c r="K83" s="725" t="n">
        <v>0.0</v>
      </c>
      <c r="L83">
        <f si="6" t="shared"/>
        <v>0</v>
      </c>
      <c r="M83" s="21">
        <f si="7" t="shared"/>
        <v>0</v>
      </c>
    </row>
    <row r="84" spans="1:13" x14ac:dyDescent="0.4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0.1811981201171875</v>
      </c>
      <c r="F84" s="21">
        <f si="5" t="shared"/>
        <v>4.6849586141482116E-7</v>
      </c>
      <c r="H84" s="456">
        <v>73</v>
      </c>
      <c r="I84" s="546" t="n">
        <v>0.0</v>
      </c>
      <c r="J84" s="636" t="n">
        <v>0.0</v>
      </c>
      <c r="K84" s="726" t="n">
        <v>0.0</v>
      </c>
      <c r="L84">
        <f si="6" t="shared"/>
        <v>0</v>
      </c>
      <c r="M84" s="21">
        <f si="7" t="shared"/>
        <v>0</v>
      </c>
    </row>
    <row r="85" spans="1:13" x14ac:dyDescent="0.4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1.9073486328125E-2</v>
      </c>
      <c r="F85" s="21">
        <f si="5" t="shared"/>
        <v>4.9315353833139071E-8</v>
      </c>
      <c r="H85" s="457">
        <v>74</v>
      </c>
      <c r="I85" s="547" t="n">
        <v>0.0</v>
      </c>
      <c r="J85" s="637" t="n">
        <v>0.0</v>
      </c>
      <c r="K85" s="727" t="n">
        <v>0.0</v>
      </c>
      <c r="L85">
        <f si="6" t="shared"/>
        <v>0</v>
      </c>
      <c r="M85" s="21">
        <f si="7" t="shared"/>
        <v>0</v>
      </c>
    </row>
    <row r="86" spans="1:13" x14ac:dyDescent="0.4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9.5367431640625E-4</v>
      </c>
      <c r="F86" s="21">
        <f si="5" t="shared"/>
        <v>2.4657676916569533E-9</v>
      </c>
      <c r="H86" s="458">
        <v>75</v>
      </c>
      <c r="I86" s="548" t="n">
        <v>0.0</v>
      </c>
      <c r="J86" s="638" t="n">
        <v>0.0</v>
      </c>
      <c r="K86" s="728" t="n">
        <v>0.0</v>
      </c>
      <c r="L86">
        <f si="6" t="shared"/>
        <v>0</v>
      </c>
      <c r="M86" s="21">
        <f si="7" t="shared"/>
        <v>0</v>
      </c>
    </row>
    <row r="87" spans="1:13" x14ac:dyDescent="0.4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459">
        <v>76</v>
      </c>
      <c r="I87" s="549" t="n">
        <v>0.0</v>
      </c>
      <c r="J87" s="639" t="n">
        <v>0.0</v>
      </c>
      <c r="K87" s="729" t="n">
        <v>0.0</v>
      </c>
      <c r="L87">
        <f si="6" t="shared"/>
        <v>0</v>
      </c>
      <c r="M87" s="21">
        <f si="7" t="shared"/>
        <v>0</v>
      </c>
    </row>
    <row r="88" spans="1:13" x14ac:dyDescent="0.4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460">
        <v>77</v>
      </c>
      <c r="I88" s="550" t="n">
        <v>0.0</v>
      </c>
      <c r="J88" s="640" t="n">
        <v>0.0</v>
      </c>
      <c r="K88" s="730" t="n">
        <v>0.0</v>
      </c>
      <c r="L88">
        <f si="6" t="shared"/>
        <v>0</v>
      </c>
      <c r="M88" s="21">
        <f si="7" t="shared"/>
        <v>0</v>
      </c>
    </row>
    <row r="89" spans="1:13" x14ac:dyDescent="0.4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461">
        <v>78</v>
      </c>
      <c r="I89" s="551" t="n">
        <v>0.0</v>
      </c>
      <c r="J89" s="641" t="n">
        <v>0.0</v>
      </c>
      <c r="K89" s="731" t="n">
        <v>0.0</v>
      </c>
      <c r="L89">
        <f si="6" t="shared"/>
        <v>0</v>
      </c>
      <c r="M89" s="21">
        <f si="7" t="shared"/>
        <v>0</v>
      </c>
    </row>
    <row r="90" spans="1:13" x14ac:dyDescent="0.4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462">
        <v>79</v>
      </c>
      <c r="I90" s="552" t="n">
        <v>0.0</v>
      </c>
      <c r="J90" s="642" t="n">
        <v>0.0</v>
      </c>
      <c r="K90" s="732" t="n">
        <v>0.0</v>
      </c>
      <c r="L90">
        <f si="6" t="shared"/>
        <v>0</v>
      </c>
      <c r="M90" s="21">
        <f si="7" t="shared"/>
        <v>0</v>
      </c>
    </row>
    <row r="91" spans="1:13" x14ac:dyDescent="0.4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9.5367431640625E-4</v>
      </c>
      <c r="F91" s="21">
        <f si="5" t="shared"/>
        <v>2.4657676916569533E-9</v>
      </c>
      <c r="H91" s="463">
        <v>80</v>
      </c>
      <c r="I91" s="553" t="n">
        <v>0.0</v>
      </c>
      <c r="J91" s="643" t="n">
        <v>0.0</v>
      </c>
      <c r="K91" s="733" t="n">
        <v>0.0</v>
      </c>
      <c r="L91">
        <f si="6" t="shared"/>
        <v>0</v>
      </c>
      <c r="M91" s="21">
        <f si="7" t="shared"/>
        <v>0</v>
      </c>
    </row>
    <row r="92" spans="1:13" x14ac:dyDescent="0.4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2.09808349609375E-2</v>
      </c>
      <c r="F92" s="21">
        <f si="5" t="shared"/>
        <v>5.4246889216452973E-8</v>
      </c>
      <c r="H92" s="464">
        <v>81</v>
      </c>
      <c r="I92" s="554" t="n">
        <v>0.0</v>
      </c>
      <c r="J92" s="644" t="n">
        <v>0.0</v>
      </c>
      <c r="K92" s="734" t="n">
        <v>0.0</v>
      </c>
      <c r="L92">
        <f si="6" t="shared"/>
        <v>0</v>
      </c>
      <c r="M92" s="21">
        <f si="7" t="shared"/>
        <v>0</v>
      </c>
    </row>
    <row r="93" spans="1:13" x14ac:dyDescent="0.4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0.22125244140625</v>
      </c>
      <c r="F93" s="21">
        <f si="5" t="shared"/>
        <v>5.7205810446441319E-7</v>
      </c>
      <c r="H93" s="465">
        <v>82</v>
      </c>
      <c r="I93" s="555" t="n">
        <v>0.0</v>
      </c>
      <c r="J93" s="645" t="n">
        <v>0.0</v>
      </c>
      <c r="K93" s="735" t="n">
        <v>0.0</v>
      </c>
      <c r="L93">
        <f si="6" t="shared"/>
        <v>0</v>
      </c>
      <c r="M93" s="21">
        <f si="7" t="shared"/>
        <v>0</v>
      </c>
    </row>
    <row r="94" spans="1:13" x14ac:dyDescent="0.4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1.4896392822265625</v>
      </c>
      <c r="F94" s="21">
        <f si="5" t="shared"/>
        <v>3.8515291343681615E-6</v>
      </c>
      <c r="H94" s="466">
        <v>83</v>
      </c>
      <c r="I94" s="556" t="n">
        <v>0.0</v>
      </c>
      <c r="J94" s="646" t="n">
        <v>0.0</v>
      </c>
      <c r="K94" s="736" t="n">
        <v>0.0</v>
      </c>
      <c r="L94">
        <f si="6" t="shared"/>
        <v>0</v>
      </c>
      <c r="M94" s="21">
        <f si="7" t="shared"/>
        <v>0</v>
      </c>
    </row>
    <row r="95" spans="1:13" x14ac:dyDescent="0.4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7.1973800659179688</v>
      </c>
      <c r="F95" s="21">
        <f si="5" t="shared"/>
        <v>1.8609148768935028E-5</v>
      </c>
      <c r="H95" s="467">
        <v>84</v>
      </c>
      <c r="I95" s="557" t="n">
        <v>0.0</v>
      </c>
      <c r="J95" s="647" t="n">
        <v>0.0</v>
      </c>
      <c r="K95" s="737" t="n">
        <v>0.0</v>
      </c>
      <c r="L95">
        <f si="6" t="shared"/>
        <v>0</v>
      </c>
      <c r="M95" s="21">
        <f si="7" t="shared"/>
        <v>0</v>
      </c>
    </row>
    <row r="96" spans="1:13" x14ac:dyDescent="0.4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26.60369873046875</v>
      </c>
      <c r="F96" s="21">
        <f si="5" t="shared"/>
        <v>6.8785055526462375E-5</v>
      </c>
      <c r="H96" s="468">
        <v>85</v>
      </c>
      <c r="I96" s="558" t="n">
        <v>0.0</v>
      </c>
      <c r="J96" s="648" t="n">
        <v>0.0</v>
      </c>
      <c r="K96" s="738" t="n">
        <v>0.0</v>
      </c>
      <c r="L96">
        <f si="6" t="shared"/>
        <v>0</v>
      </c>
      <c r="M96" s="21">
        <f si="7" t="shared"/>
        <v>0</v>
      </c>
    </row>
    <row r="97" spans="1:13" x14ac:dyDescent="0.4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78.3538818359375</v>
      </c>
      <c r="F97" s="21">
        <f si="5" t="shared"/>
        <v>2.0258747354653529E-4</v>
      </c>
      <c r="H97" s="469">
        <v>86</v>
      </c>
      <c r="I97" s="559" t="n">
        <v>0.0</v>
      </c>
      <c r="J97" s="649" t="n">
        <v>0.0</v>
      </c>
      <c r="K97" s="739" t="n">
        <v>0.0</v>
      </c>
      <c r="L97">
        <f si="6" t="shared"/>
        <v>0</v>
      </c>
      <c r="M97" s="21">
        <f si="7" t="shared"/>
        <v>0</v>
      </c>
    </row>
    <row r="98" spans="1:13" x14ac:dyDescent="0.4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189.24713134765625</v>
      </c>
      <c r="F98" s="21">
        <f si="5" t="shared"/>
        <v>4.8930694073240583E-4</v>
      </c>
      <c r="H98" s="470">
        <v>87</v>
      </c>
      <c r="I98" s="560" t="n">
        <v>0.0</v>
      </c>
      <c r="J98" s="650" t="n">
        <v>0.0</v>
      </c>
      <c r="K98" s="740" t="n">
        <v>0.0</v>
      </c>
      <c r="L98">
        <f si="6" t="shared"/>
        <v>0</v>
      </c>
      <c r="M98" s="21">
        <f si="7" t="shared"/>
        <v>0</v>
      </c>
    </row>
    <row r="99" spans="1:13" x14ac:dyDescent="0.4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383.31031799316406</v>
      </c>
      <c r="F99" s="21">
        <f si="5" t="shared"/>
        <v>9.9106600830767928E-4</v>
      </c>
      <c r="H99" s="471">
        <v>88</v>
      </c>
      <c r="I99" s="561" t="n">
        <v>0.0</v>
      </c>
      <c r="J99" s="651" t="n">
        <v>0.0</v>
      </c>
      <c r="K99" s="741" t="n">
        <v>0.0</v>
      </c>
      <c r="L99">
        <f si="6" t="shared"/>
        <v>0</v>
      </c>
      <c r="M99" s="21">
        <f si="7" t="shared"/>
        <v>0</v>
      </c>
    </row>
    <row r="100" spans="1:13" x14ac:dyDescent="0.4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663.62380981445313</v>
      </c>
      <c r="F100" s="21">
        <f si="5" t="shared"/>
        <v>1.7158291059164077E-3</v>
      </c>
      <c r="H100" s="472">
        <v>89</v>
      </c>
      <c r="I100" s="562" t="n">
        <v>0.0</v>
      </c>
      <c r="J100" s="652" t="n">
        <v>0.0</v>
      </c>
      <c r="K100" s="742" t="n">
        <v>0.0</v>
      </c>
      <c r="L100">
        <f si="6" t="shared"/>
        <v>0</v>
      </c>
      <c r="M100" s="21">
        <f si="7" t="shared"/>
        <v>0</v>
      </c>
    </row>
    <row ht="14.65" r="101" spans="1:13" thickBot="1" x14ac:dyDescent="0.5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1000</v>
      </c>
      <c r="F101" s="21">
        <f si="5" t="shared"/>
        <v>2.5855448230468815E-3</v>
      </c>
      <c r="H101" s="745">
        <v>90</v>
      </c>
      <c r="I101" s="745" t="n">
        <v>0.0</v>
      </c>
      <c r="J101" s="745" t="n">
        <v>0.0</v>
      </c>
      <c r="K101" s="745" t="n">
        <v>0.0</v>
      </c>
      <c r="L101" s="1">
        <f si="6" t="shared"/>
        <v>1000</v>
      </c>
      <c r="M101" s="21">
        <f si="7" t="shared"/>
        <v>2.5380710659898475E-3</v>
      </c>
    </row>
    <row r="102" spans="1:13" x14ac:dyDescent="0.45">
      <c r="E102" s="8">
        <f>SUM(E11:E101)</f>
        <v>386765.67935943604</v>
      </c>
      <c r="F102" s="21">
        <f si="5" t="shared"/>
        <v>1</v>
      </c>
      <c r="L102" s="22">
        <f>SUM(L11:L101)</f>
        <v>394000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H4" workbookViewId="0">
      <selection activeCell="L5" sqref="L5"/>
    </sheetView>
  </sheetViews>
  <sheetFormatPr defaultRowHeight="14.25" x14ac:dyDescent="0.45"/>
  <cols>
    <col min="4" max="4" bestFit="true" customWidth="true" width="12.265625" collapsed="true"/>
    <col min="15" max="15" bestFit="true" customWidth="true" width="12.2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49</v>
      </c>
    </row>
    <row r="3" spans="1:21" x14ac:dyDescent="0.45">
      <c r="A3" t="s">
        <v>19</v>
      </c>
    </row>
    <row ht="14.65" r="5" spans="1:21" thickBot="1" x14ac:dyDescent="0.5">
      <c r="A5" s="4" t="s">
        <v>56</v>
      </c>
      <c r="B5" s="1"/>
      <c r="C5" s="1"/>
      <c r="D5" s="1"/>
      <c r="E5" s="1"/>
      <c r="F5" s="1"/>
      <c r="G5" s="1"/>
      <c r="H5" s="1"/>
      <c r="I5" s="1"/>
      <c r="J5" s="1"/>
      <c r="L5" s="4" t="s">
        <v>52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17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18</v>
      </c>
      <c r="J6" s="3" t="s">
        <v>4</v>
      </c>
      <c r="L6" s="2" t="s">
        <v>17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18</v>
      </c>
      <c r="U6" s="3" t="s">
        <v>4</v>
      </c>
    </row>
    <row r="7" spans="1:21" x14ac:dyDescent="0.45">
      <c r="A7" s="747" t="s">
        <v>39</v>
      </c>
      <c r="B7" s="13" t="n">
        <v>420000.0</v>
      </c>
      <c r="C7" s="13" t="n">
        <v>0.0</v>
      </c>
      <c r="D7" s="13" t="n">
        <v>0.0</v>
      </c>
      <c r="E7" s="13" t="n">
        <v>0.0</v>
      </c>
      <c r="F7" s="13" t="n">
        <v>0.0</v>
      </c>
      <c r="G7" s="13" t="n">
        <v>0.0</v>
      </c>
      <c r="H7" s="13" t="n">
        <v>0.0</v>
      </c>
      <c r="I7" s="13"/>
      <c r="J7" s="13">
        <f>SUM(B7:I7)</f>
        <v>394000</v>
      </c>
      <c r="K7" s="13"/>
      <c r="L7" t="str">
        <f>$A$7</f>
        <v>Williamson</v>
      </c>
      <c r="M7" s="743" t="n">
        <v>420000.0</v>
      </c>
      <c r="N7" s="743" t="n">
        <v>0.0</v>
      </c>
      <c r="O7" s="743" t="n">
        <v>0.0</v>
      </c>
      <c r="P7" s="743" t="n">
        <v>0.0</v>
      </c>
      <c r="Q7" s="743" t="n">
        <v>0.0</v>
      </c>
      <c r="R7" s="743" t="n">
        <v>0.0</v>
      </c>
      <c r="S7" s="743" t="n">
        <v>0.0</v>
      </c>
      <c r="T7" s="743"/>
      <c r="U7" s="13">
        <f>SUM(M7:T7)</f>
        <v>394000</v>
      </c>
    </row>
    <row r="8" spans="1:21" x14ac:dyDescent="0.45">
      <c r="A8" t="s">
        <v>40</v>
      </c>
      <c r="B8" s="13" t="n">
        <v>0.0</v>
      </c>
      <c r="C8" s="13" t="n">
        <v>0.0</v>
      </c>
      <c r="D8" s="13" t="n">
        <v>0.0</v>
      </c>
      <c r="E8" s="13" t="n">
        <v>0.0</v>
      </c>
      <c r="F8" s="13" t="n">
        <v>0.0</v>
      </c>
      <c r="G8" s="13" t="n">
        <v>0.0</v>
      </c>
      <c r="H8" s="13" t="n">
        <v>0.0</v>
      </c>
      <c r="I8" s="13"/>
      <c r="J8" s="13">
        <f ref="J8:J14" si="0" t="shared">SUM(B8:I8)</f>
        <v>0</v>
      </c>
      <c r="K8" s="13"/>
      <c r="L8" t="str">
        <f>$A$8</f>
        <v>Rutherford</v>
      </c>
      <c r="M8" s="743" t="n">
        <v>0.0</v>
      </c>
      <c r="N8" s="743" t="n">
        <v>0.0</v>
      </c>
      <c r="O8" s="743" t="n">
        <v>0.0</v>
      </c>
      <c r="P8" s="743" t="n">
        <v>0.0</v>
      </c>
      <c r="Q8" s="743" t="n">
        <v>0.0</v>
      </c>
      <c r="R8" s="743" t="n">
        <v>0.0</v>
      </c>
      <c r="S8" s="743" t="n">
        <v>0.0</v>
      </c>
      <c r="T8" s="743"/>
      <c r="U8" s="13">
        <f ref="U8:U14" si="1" t="shared">SUM(M8:T8)</f>
        <v>0</v>
      </c>
    </row>
    <row r="9" spans="1:21" x14ac:dyDescent="0.45">
      <c r="A9" t="s">
        <v>41</v>
      </c>
      <c r="B9" s="13" t="n">
        <v>0.0</v>
      </c>
      <c r="C9" s="13" t="n">
        <v>0.0</v>
      </c>
      <c r="D9" s="13" t="n">
        <v>0.0</v>
      </c>
      <c r="E9" s="13" t="n">
        <v>0.0</v>
      </c>
      <c r="F9" s="13" t="n">
        <v>0.0</v>
      </c>
      <c r="G9" s="13" t="n">
        <v>0.0</v>
      </c>
      <c r="H9" s="13" t="n">
        <v>0.0</v>
      </c>
      <c r="I9" s="13"/>
      <c r="J9" s="13">
        <f si="0" t="shared"/>
        <v>0</v>
      </c>
      <c r="K9" s="14"/>
      <c r="L9" t="str">
        <f>$A$9</f>
        <v>Sumner</v>
      </c>
      <c r="M9" s="743" t="n">
        <v>0.0</v>
      </c>
      <c r="N9" s="743" t="n">
        <v>0.0</v>
      </c>
      <c r="O9" s="743" t="n">
        <v>0.0</v>
      </c>
      <c r="P9" s="743" t="n">
        <v>0.0</v>
      </c>
      <c r="Q9" s="743" t="n">
        <v>0.0</v>
      </c>
      <c r="R9" s="743" t="n">
        <v>0.0</v>
      </c>
      <c r="S9" s="743" t="n">
        <v>0.0</v>
      </c>
      <c r="T9" s="743"/>
      <c r="U9" s="13">
        <f si="1" t="shared"/>
        <v>0</v>
      </c>
    </row>
    <row r="10" spans="1:21" x14ac:dyDescent="0.45">
      <c r="A10" t="s">
        <v>42</v>
      </c>
      <c r="B10" s="13" t="n">
        <v>0.0</v>
      </c>
      <c r="C10" s="13" t="n">
        <v>0.0</v>
      </c>
      <c r="D10" s="13" t="n">
        <v>0.0</v>
      </c>
      <c r="E10" s="13" t="n">
        <v>0.0</v>
      </c>
      <c r="F10" s="13" t="n">
        <v>0.0</v>
      </c>
      <c r="G10" s="13" t="n">
        <v>0.0</v>
      </c>
      <c r="H10" s="13" t="n">
        <v>0.0</v>
      </c>
      <c r="I10" s="13"/>
      <c r="J10" s="13">
        <f si="0" t="shared"/>
        <v>0</v>
      </c>
      <c r="K10" s="14"/>
      <c r="L10" t="str">
        <f>$A$10</f>
        <v>Roberston</v>
      </c>
      <c r="M10" s="743" t="n">
        <v>0.0</v>
      </c>
      <c r="N10" s="743" t="n">
        <v>0.0</v>
      </c>
      <c r="O10" s="743" t="n">
        <v>0.0</v>
      </c>
      <c r="P10" s="743" t="n">
        <v>0.0</v>
      </c>
      <c r="Q10" s="743" t="n">
        <v>0.0</v>
      </c>
      <c r="R10" s="743" t="n">
        <v>0.0</v>
      </c>
      <c r="S10" s="743" t="n">
        <v>0.0</v>
      </c>
      <c r="T10" s="743"/>
      <c r="U10" s="13">
        <f si="1" t="shared"/>
        <v>0</v>
      </c>
    </row>
    <row r="11" spans="1:21" x14ac:dyDescent="0.45">
      <c r="A11" t="s">
        <v>43</v>
      </c>
      <c r="B11" s="13" t="n">
        <v>0.0</v>
      </c>
      <c r="C11" s="13" t="n">
        <v>0.0</v>
      </c>
      <c r="D11" s="13" t="n">
        <v>0.0</v>
      </c>
      <c r="E11" s="13" t="n">
        <v>0.0</v>
      </c>
      <c r="F11" s="13" t="n">
        <v>0.0</v>
      </c>
      <c r="G11" s="13" t="n">
        <v>0.0</v>
      </c>
      <c r="H11" s="13" t="n">
        <v>0.0</v>
      </c>
      <c r="I11" s="13"/>
      <c r="J11" s="13">
        <f si="0" t="shared"/>
        <v>0</v>
      </c>
      <c r="K11" s="14"/>
      <c r="L11" t="str">
        <f>$A$11</f>
        <v>Davidson</v>
      </c>
      <c r="M11" s="743" t="n">
        <v>0.0</v>
      </c>
      <c r="N11" s="743" t="n">
        <v>0.0</v>
      </c>
      <c r="O11" s="743" t="n">
        <v>0.0</v>
      </c>
      <c r="P11" s="743" t="n">
        <v>0.0</v>
      </c>
      <c r="Q11" s="743" t="n">
        <v>0.0</v>
      </c>
      <c r="R11" s="743" t="n">
        <v>0.0</v>
      </c>
      <c r="S11" s="743" t="n">
        <v>0.0</v>
      </c>
      <c r="T11" s="743"/>
      <c r="U11" s="13">
        <f si="1" t="shared"/>
        <v>0</v>
      </c>
    </row>
    <row r="12" spans="1:21" x14ac:dyDescent="0.45">
      <c r="A12" t="s">
        <v>44</v>
      </c>
      <c r="B12" s="13" t="n">
        <v>0.0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0.0</v>
      </c>
      <c r="H12" s="13" t="n">
        <v>0.0</v>
      </c>
      <c r="I12" s="13"/>
      <c r="J12" s="13">
        <f si="0" t="shared"/>
        <v>0</v>
      </c>
      <c r="K12" s="14"/>
      <c r="L12" t="str">
        <f>$A$12</f>
        <v>Maury</v>
      </c>
      <c r="M12" s="743" t="n">
        <v>0.0</v>
      </c>
      <c r="N12" s="743" t="n">
        <v>0.0</v>
      </c>
      <c r="O12" s="743" t="n">
        <v>0.0</v>
      </c>
      <c r="P12" s="743" t="n">
        <v>0.0</v>
      </c>
      <c r="Q12" s="743" t="n">
        <v>0.0</v>
      </c>
      <c r="R12" s="743" t="n">
        <v>0.0</v>
      </c>
      <c r="S12" s="743" t="n">
        <v>0.0</v>
      </c>
      <c r="T12" s="743"/>
      <c r="U12" s="13">
        <f si="1" t="shared"/>
        <v>0</v>
      </c>
    </row>
    <row r="13" spans="1:21" x14ac:dyDescent="0.45">
      <c r="A13" t="s">
        <v>45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0.0</v>
      </c>
      <c r="I13" s="13"/>
      <c r="J13" s="13">
        <f si="0" t="shared"/>
        <v>0</v>
      </c>
      <c r="K13" s="14"/>
      <c r="L13" t="str">
        <f>$A$13</f>
        <v>Wilson</v>
      </c>
      <c r="M13" s="743" t="n">
        <v>0.0</v>
      </c>
      <c r="N13" s="743" t="n">
        <v>0.0</v>
      </c>
      <c r="O13" s="743" t="n">
        <v>0.0</v>
      </c>
      <c r="P13" s="743" t="n">
        <v>0.0</v>
      </c>
      <c r="Q13" s="743" t="n">
        <v>0.0</v>
      </c>
      <c r="R13" s="743" t="n">
        <v>0.0</v>
      </c>
      <c r="S13" s="743" t="n">
        <v>0.0</v>
      </c>
      <c r="T13" s="743"/>
      <c r="U13" s="13">
        <f si="1" t="shared"/>
        <v>0</v>
      </c>
    </row>
    <row r="14" spans="1:21" x14ac:dyDescent="0.45">
      <c r="A14" t="s">
        <v>18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746" t="s">
        <v>18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4.65" r="15" spans="1:21" thickBot="1" x14ac:dyDescent="0.5">
      <c r="A15" s="1" t="s">
        <v>4</v>
      </c>
      <c r="B15" s="16">
        <f ref="B15:J15" si="2" t="shared">SUM(B7:B14)</f>
        <v>394000</v>
      </c>
      <c r="C15" s="16">
        <f si="2" t="shared"/>
        <v>0</v>
      </c>
      <c r="D15" s="16">
        <f si="2" t="shared"/>
        <v>0</v>
      </c>
      <c r="E15" s="16">
        <f si="2" t="shared"/>
        <v>0</v>
      </c>
      <c r="F15" s="16">
        <f si="2" t="shared"/>
        <v>0</v>
      </c>
      <c r="G15" s="16">
        <f si="2" t="shared"/>
        <v>0</v>
      </c>
      <c r="H15" s="16">
        <f si="2" t="shared"/>
        <v>0</v>
      </c>
      <c r="I15" s="16">
        <f si="2" t="shared"/>
        <v>0</v>
      </c>
      <c r="J15" s="16">
        <f si="2" t="shared"/>
        <v>394000</v>
      </c>
      <c r="K15" s="13"/>
      <c r="L15" s="16" t="s">
        <v>4</v>
      </c>
      <c r="M15" s="16">
        <f ref="M15:U15" si="3" t="shared">SUM(M7:M14)</f>
        <v>394000</v>
      </c>
      <c r="N15" s="16">
        <f si="3" t="shared"/>
        <v>0</v>
      </c>
      <c r="O15" s="16">
        <f si="3" t="shared"/>
        <v>0</v>
      </c>
      <c r="P15" s="16">
        <f si="3" t="shared"/>
        <v>0</v>
      </c>
      <c r="Q15" s="16">
        <f si="3" t="shared"/>
        <v>0</v>
      </c>
      <c r="R15" s="16">
        <f si="3" t="shared"/>
        <v>0</v>
      </c>
      <c r="S15" s="16">
        <f si="3" t="shared"/>
        <v>0</v>
      </c>
      <c r="T15" s="16">
        <f si="3" t="shared"/>
        <v>0</v>
      </c>
      <c r="U15" s="16">
        <f si="3" t="shared"/>
        <v>394000</v>
      </c>
    </row>
    <row ht="14.65" r="18" spans="1:32" thickBot="1" x14ac:dyDescent="0.5">
      <c r="A18" s="4" t="s">
        <v>57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17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18</v>
      </c>
      <c r="J19" s="3" t="s">
        <v>4</v>
      </c>
      <c r="L19" s="2" t="s">
        <v>17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18</v>
      </c>
      <c r="U19" s="3" t="s">
        <v>4</v>
      </c>
    </row>
    <row r="20" spans="1:32" x14ac:dyDescent="0.45">
      <c r="A20" t="str">
        <f>$A$7</f>
        <v>Williamson</v>
      </c>
      <c r="B20" s="13">
        <f ref="B20:H20" si="4" t="shared">($U7/$J7)*B7</f>
        <v>394000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0</v>
      </c>
      <c r="G20" s="13">
        <f si="4" t="shared"/>
        <v>0</v>
      </c>
      <c r="H20" s="13">
        <f si="4" t="shared"/>
        <v>0</v>
      </c>
      <c r="I20" s="13"/>
      <c r="J20" s="13">
        <f>SUM(B20:I20)</f>
        <v>394000</v>
      </c>
      <c r="K20" s="13"/>
      <c r="L20" t="str">
        <f>$A$7</f>
        <v>Williamson</v>
      </c>
      <c r="M20" s="13">
        <f ref="M20:M26" si="5" t="shared">M7</f>
        <v>394000</v>
      </c>
      <c r="N20" s="13">
        <f ref="N20:U20" si="6" t="shared">N7</f>
        <v>0</v>
      </c>
      <c r="O20" s="13">
        <f si="6" t="shared"/>
        <v>0</v>
      </c>
      <c r="P20" s="13">
        <f si="6" t="shared"/>
        <v>0</v>
      </c>
      <c r="Q20" s="13">
        <f si="6" t="shared"/>
        <v>0</v>
      </c>
      <c r="R20" s="13">
        <f si="6" t="shared"/>
        <v>0</v>
      </c>
      <c r="S20" s="13">
        <f si="6" t="shared"/>
        <v>0</v>
      </c>
      <c r="T20" s="13"/>
      <c r="U20" s="13">
        <f si="6" t="shared"/>
        <v>394000</v>
      </c>
    </row>
    <row r="21" spans="1:32" x14ac:dyDescent="0.45">
      <c r="A21" t="str">
        <f>$A$8</f>
        <v>Rutherford</v>
      </c>
      <c r="B21" s="13" t="e">
        <f ref="B21:G25" si="7" t="shared">($U8/$J8)*B8</f>
        <v>#DIV/0!</v>
      </c>
      <c r="C21" s="13" t="e">
        <f si="7" t="shared"/>
        <v>#DIV/0!</v>
      </c>
      <c r="D21" s="13" t="e">
        <f si="7" t="shared"/>
        <v>#DIV/0!</v>
      </c>
      <c r="E21" s="13" t="e">
        <f si="7" t="shared"/>
        <v>#DIV/0!</v>
      </c>
      <c r="F21" s="13" t="e">
        <f si="7" t="shared"/>
        <v>#DIV/0!</v>
      </c>
      <c r="G21" s="13" t="e">
        <f si="7" t="shared"/>
        <v>#DIV/0!</v>
      </c>
      <c r="H21" s="13" t="e">
        <f ref="H21:H26" si="8" t="shared">($U8/$J8)*H8</f>
        <v>#DIV/0!</v>
      </c>
      <c r="I21" s="13"/>
      <c r="J21" s="13" t="e">
        <f ref="J21:J27" si="9" t="shared">SUM(B21:I21)</f>
        <v>#DIV/0!</v>
      </c>
      <c r="K21" s="13"/>
      <c r="L21" t="str">
        <f>$A$8</f>
        <v>Rutherford</v>
      </c>
      <c r="M21" s="13">
        <f si="5" t="shared"/>
        <v>0</v>
      </c>
      <c r="N21" s="13">
        <f ref="N21:S25" si="10" t="shared">N8</f>
        <v>0</v>
      </c>
      <c r="O21" s="13">
        <f si="10" t="shared"/>
        <v>0</v>
      </c>
      <c r="P21" s="13">
        <f si="10" t="shared"/>
        <v>0</v>
      </c>
      <c r="Q21" s="13">
        <f si="10" t="shared"/>
        <v>0</v>
      </c>
      <c r="R21" s="13">
        <f si="10" t="shared"/>
        <v>0</v>
      </c>
      <c r="S21" s="13">
        <f si="10" t="shared"/>
        <v>0</v>
      </c>
      <c r="T21" s="13"/>
      <c r="U21" s="13">
        <f ref="U21:U26" si="11" t="shared">U8</f>
        <v>0</v>
      </c>
    </row>
    <row r="22" spans="1:32" x14ac:dyDescent="0.45">
      <c r="A22" t="str">
        <f>$A$9</f>
        <v>Sumner</v>
      </c>
      <c r="B22" s="13" t="e">
        <f si="7" t="shared"/>
        <v>#DIV/0!</v>
      </c>
      <c r="C22" s="13" t="e">
        <f si="7" t="shared"/>
        <v>#DIV/0!</v>
      </c>
      <c r="D22" s="13" t="e">
        <f si="7" t="shared"/>
        <v>#DIV/0!</v>
      </c>
      <c r="E22" s="13" t="e">
        <f si="7" t="shared"/>
        <v>#DIV/0!</v>
      </c>
      <c r="F22" s="13" t="e">
        <f si="7" t="shared"/>
        <v>#DIV/0!</v>
      </c>
      <c r="G22" s="13" t="e">
        <f si="7" t="shared"/>
        <v>#DIV/0!</v>
      </c>
      <c r="H22" s="13" t="e">
        <f si="8" t="shared"/>
        <v>#DIV/0!</v>
      </c>
      <c r="I22" s="13"/>
      <c r="J22" s="13" t="e">
        <f si="9" t="shared"/>
        <v>#DIV/0!</v>
      </c>
      <c r="K22" s="14"/>
      <c r="L22" t="str">
        <f>$A$9</f>
        <v>Sumner</v>
      </c>
      <c r="M22" s="13">
        <f si="5" t="shared"/>
        <v>0</v>
      </c>
      <c r="N22" s="13">
        <f si="10" t="shared"/>
        <v>0</v>
      </c>
      <c r="O22" s="13">
        <f si="10" t="shared"/>
        <v>0</v>
      </c>
      <c r="P22" s="13">
        <f si="10" t="shared"/>
        <v>0</v>
      </c>
      <c r="Q22" s="13">
        <f si="10" t="shared"/>
        <v>0</v>
      </c>
      <c r="R22" s="13">
        <f si="10" t="shared"/>
        <v>0</v>
      </c>
      <c r="S22" s="13">
        <f si="10" t="shared"/>
        <v>0</v>
      </c>
      <c r="T22" s="13"/>
      <c r="U22" s="13">
        <f si="11" t="shared"/>
        <v>0</v>
      </c>
    </row>
    <row r="23" spans="1:32" x14ac:dyDescent="0.45">
      <c r="A23" t="str">
        <f>$A$10</f>
        <v>Roberston</v>
      </c>
      <c r="B23" s="13" t="e">
        <f si="7" t="shared"/>
        <v>#DIV/0!</v>
      </c>
      <c r="C23" s="13" t="e">
        <f si="7" t="shared"/>
        <v>#DIV/0!</v>
      </c>
      <c r="D23" s="13" t="e">
        <f si="7" t="shared"/>
        <v>#DIV/0!</v>
      </c>
      <c r="E23" s="13" t="e">
        <f si="7" t="shared"/>
        <v>#DIV/0!</v>
      </c>
      <c r="F23" s="13" t="e">
        <f si="7" t="shared"/>
        <v>#DIV/0!</v>
      </c>
      <c r="G23" s="13" t="e">
        <f si="7" t="shared"/>
        <v>#DIV/0!</v>
      </c>
      <c r="H23" s="13" t="e">
        <f si="8" t="shared"/>
        <v>#DIV/0!</v>
      </c>
      <c r="I23" s="13"/>
      <c r="J23" s="13" t="e">
        <f>SUM(B23:I23)</f>
        <v>#DIV/0!</v>
      </c>
      <c r="K23" s="14"/>
      <c r="L23" t="str">
        <f>$A$10</f>
        <v>Roberston</v>
      </c>
      <c r="M23" s="13">
        <f si="5" t="shared"/>
        <v>0</v>
      </c>
      <c r="N23" s="13">
        <f si="10" t="shared"/>
        <v>0</v>
      </c>
      <c r="O23" s="13">
        <f si="10" t="shared"/>
        <v>0</v>
      </c>
      <c r="P23" s="13">
        <f si="10" t="shared"/>
        <v>0</v>
      </c>
      <c r="Q23" s="13">
        <f si="10" t="shared"/>
        <v>0</v>
      </c>
      <c r="R23" s="13">
        <f si="10" t="shared"/>
        <v>0</v>
      </c>
      <c r="S23" s="13">
        <f si="10" t="shared"/>
        <v>0</v>
      </c>
      <c r="T23" s="13"/>
      <c r="U23" s="13">
        <f si="11" t="shared"/>
        <v>0</v>
      </c>
    </row>
    <row r="24" spans="1:32" x14ac:dyDescent="0.45">
      <c r="A24" t="str">
        <f>$A$11</f>
        <v>Davidson</v>
      </c>
      <c r="B24" s="13" t="e">
        <f si="7" t="shared"/>
        <v>#DIV/0!</v>
      </c>
      <c r="C24" s="13" t="e">
        <f si="7" t="shared"/>
        <v>#DIV/0!</v>
      </c>
      <c r="D24" s="13" t="e">
        <f si="7" t="shared"/>
        <v>#DIV/0!</v>
      </c>
      <c r="E24" s="13" t="e">
        <f si="7" t="shared"/>
        <v>#DIV/0!</v>
      </c>
      <c r="F24" s="13" t="e">
        <f si="7" t="shared"/>
        <v>#DIV/0!</v>
      </c>
      <c r="G24" s="13" t="e">
        <f si="7" t="shared"/>
        <v>#DIV/0!</v>
      </c>
      <c r="H24" s="13" t="e">
        <f si="8" t="shared"/>
        <v>#DIV/0!</v>
      </c>
      <c r="I24" s="13"/>
      <c r="J24" s="13" t="e">
        <f si="9" t="shared"/>
        <v>#DIV/0!</v>
      </c>
      <c r="K24" s="14"/>
      <c r="L24" t="str">
        <f>$A$11</f>
        <v>Davidson</v>
      </c>
      <c r="M24" s="13">
        <f si="5" t="shared"/>
        <v>0</v>
      </c>
      <c r="N24" s="13">
        <f si="10" t="shared"/>
        <v>0</v>
      </c>
      <c r="O24" s="13">
        <f si="10" t="shared"/>
        <v>0</v>
      </c>
      <c r="P24" s="13">
        <f si="10" t="shared"/>
        <v>0</v>
      </c>
      <c r="Q24" s="13">
        <f si="10" t="shared"/>
        <v>0</v>
      </c>
      <c r="R24" s="13">
        <f si="10" t="shared"/>
        <v>0</v>
      </c>
      <c r="S24" s="13">
        <f si="10" t="shared"/>
        <v>0</v>
      </c>
      <c r="T24" s="13"/>
      <c r="U24" s="13">
        <f si="11" t="shared"/>
        <v>0</v>
      </c>
    </row>
    <row r="25" spans="1:32" x14ac:dyDescent="0.45">
      <c r="A25" t="str">
        <f>$A$12</f>
        <v>Maury</v>
      </c>
      <c r="B25" s="13" t="e">
        <f si="7" t="shared"/>
        <v>#DIV/0!</v>
      </c>
      <c r="C25" s="13" t="e">
        <f si="7" t="shared"/>
        <v>#DIV/0!</v>
      </c>
      <c r="D25" s="13" t="e">
        <f si="7" t="shared"/>
        <v>#DIV/0!</v>
      </c>
      <c r="E25" s="13" t="e">
        <f si="7" t="shared"/>
        <v>#DIV/0!</v>
      </c>
      <c r="F25" s="13" t="e">
        <f si="7" t="shared"/>
        <v>#DIV/0!</v>
      </c>
      <c r="G25" s="13" t="e">
        <f si="7" t="shared"/>
        <v>#DIV/0!</v>
      </c>
      <c r="H25" s="13" t="e">
        <f si="8" t="shared"/>
        <v>#DIV/0!</v>
      </c>
      <c r="I25" s="13"/>
      <c r="J25" s="13" t="e">
        <f si="9" t="shared"/>
        <v>#DIV/0!</v>
      </c>
      <c r="K25" s="14"/>
      <c r="L25" t="str">
        <f>$A$12</f>
        <v>Maury</v>
      </c>
      <c r="M25" s="13">
        <f si="5" t="shared"/>
        <v>0</v>
      </c>
      <c r="N25" s="13">
        <f si="10" t="shared"/>
        <v>0</v>
      </c>
      <c r="O25" s="13">
        <f si="10" t="shared"/>
        <v>0</v>
      </c>
      <c r="P25" s="13">
        <f si="10" t="shared"/>
        <v>0</v>
      </c>
      <c r="Q25" s="13">
        <f si="10" t="shared"/>
        <v>0</v>
      </c>
      <c r="R25" s="13">
        <f si="10" t="shared"/>
        <v>0</v>
      </c>
      <c r="S25" s="13">
        <f si="10" t="shared"/>
        <v>0</v>
      </c>
      <c r="T25" s="13"/>
      <c r="U25" s="13">
        <f si="11" t="shared"/>
        <v>0</v>
      </c>
    </row>
    <row r="26" spans="1:32" x14ac:dyDescent="0.45">
      <c r="A26" t="str">
        <f>$A$13</f>
        <v>Wilson</v>
      </c>
      <c r="B26" s="13" t="e">
        <f>($U13/$J13)*B13</f>
        <v>#DIV/0!</v>
      </c>
      <c r="C26" s="13" t="e">
        <f ref="C26:G26" si="12" t="shared">($U13/$J13)*C13</f>
        <v>#DIV/0!</v>
      </c>
      <c r="D26" s="13" t="e">
        <f si="12" t="shared"/>
        <v>#DIV/0!</v>
      </c>
      <c r="E26" s="13" t="e">
        <f si="12" t="shared"/>
        <v>#DIV/0!</v>
      </c>
      <c r="F26" s="13" t="e">
        <f si="12" t="shared"/>
        <v>#DIV/0!</v>
      </c>
      <c r="G26" s="13" t="e">
        <f si="12" t="shared"/>
        <v>#DIV/0!</v>
      </c>
      <c r="H26" s="13" t="e">
        <f si="8" t="shared"/>
        <v>#DIV/0!</v>
      </c>
      <c r="I26" s="13"/>
      <c r="J26" s="13" t="e">
        <f si="9" t="shared"/>
        <v>#DIV/0!</v>
      </c>
      <c r="K26" s="14"/>
      <c r="L26" t="str">
        <f>$A$13</f>
        <v>Wilson</v>
      </c>
      <c r="M26" s="13">
        <f si="5" t="shared"/>
        <v>0</v>
      </c>
      <c r="N26" s="13">
        <f ref="N26:S26" si="13" t="shared">N13</f>
        <v>0</v>
      </c>
      <c r="O26" s="13">
        <f si="13" t="shared"/>
        <v>0</v>
      </c>
      <c r="P26" s="13">
        <f si="13" t="shared"/>
        <v>0</v>
      </c>
      <c r="Q26" s="13">
        <f si="13" t="shared"/>
        <v>0</v>
      </c>
      <c r="R26" s="13">
        <f si="13" t="shared"/>
        <v>0</v>
      </c>
      <c r="S26" s="13">
        <f si="13" t="shared"/>
        <v>0</v>
      </c>
      <c r="T26" s="13"/>
      <c r="U26" s="13">
        <f si="11" t="shared"/>
        <v>0</v>
      </c>
    </row>
    <row r="27" spans="1:32" x14ac:dyDescent="0.45">
      <c r="A27" s="7" t="s">
        <v>18</v>
      </c>
      <c r="B27" s="15"/>
      <c r="C27" s="15"/>
      <c r="D27" s="15"/>
      <c r="E27" s="15"/>
      <c r="F27" s="15"/>
      <c r="G27" s="15"/>
      <c r="H27" s="15"/>
      <c r="I27" s="15"/>
      <c r="J27" s="15">
        <f si="9" t="shared"/>
        <v>0</v>
      </c>
      <c r="K27" s="13"/>
      <c r="L27" s="746" t="s">
        <v>18</v>
      </c>
      <c r="M27" s="15"/>
      <c r="N27" s="15"/>
      <c r="O27" s="15"/>
      <c r="P27" s="15"/>
      <c r="Q27" s="15"/>
      <c r="R27" s="15"/>
      <c r="S27" s="15"/>
      <c r="T27" s="15"/>
      <c r="U27" s="15"/>
    </row>
    <row ht="14.65" r="28" spans="1:32" thickBot="1" x14ac:dyDescent="0.5">
      <c r="A28" s="1" t="s">
        <v>4</v>
      </c>
      <c r="B28" s="16" t="e">
        <f ref="B28:J28" si="14" t="shared">SUM(B20:B27)</f>
        <v>#DIV/0!</v>
      </c>
      <c r="C28" s="16" t="e">
        <f si="14" t="shared"/>
        <v>#DIV/0!</v>
      </c>
      <c r="D28" s="16" t="e">
        <f si="14" t="shared"/>
        <v>#DIV/0!</v>
      </c>
      <c r="E28" s="16" t="e">
        <f si="14" t="shared"/>
        <v>#DIV/0!</v>
      </c>
      <c r="F28" s="16" t="e">
        <f si="14" t="shared"/>
        <v>#DIV/0!</v>
      </c>
      <c r="G28" s="16" t="e">
        <f si="14" t="shared"/>
        <v>#DIV/0!</v>
      </c>
      <c r="H28" s="16" t="e">
        <f si="14" t="shared"/>
        <v>#DIV/0!</v>
      </c>
      <c r="I28" s="16">
        <f si="14" t="shared"/>
        <v>0</v>
      </c>
      <c r="J28" s="16" t="e">
        <f si="14" t="shared"/>
        <v>#DIV/0!</v>
      </c>
      <c r="K28" s="13"/>
      <c r="L28" s="16" t="s">
        <v>4</v>
      </c>
      <c r="M28" s="16">
        <f ref="M28:U28" si="15" t="shared">M15</f>
        <v>394000</v>
      </c>
      <c r="N28" s="16">
        <f si="15" t="shared"/>
        <v>0</v>
      </c>
      <c r="O28" s="16">
        <f si="15" t="shared"/>
        <v>0</v>
      </c>
      <c r="P28" s="16">
        <f si="15" t="shared"/>
        <v>0</v>
      </c>
      <c r="Q28" s="16">
        <f si="15" t="shared"/>
        <v>0</v>
      </c>
      <c r="R28" s="16">
        <f si="15" t="shared"/>
        <v>0</v>
      </c>
      <c r="S28" s="16">
        <f si="15" t="shared"/>
        <v>0</v>
      </c>
      <c r="T28" s="16"/>
      <c r="U28" s="16">
        <f si="15" t="shared"/>
        <v>394000</v>
      </c>
    </row>
    <row ht="14.65" r="31" spans="1:32" thickBot="1" x14ac:dyDescent="0.5">
      <c r="A31" s="4" t="s">
        <v>58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52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17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18</v>
      </c>
      <c r="J32" s="3" t="s">
        <v>4</v>
      </c>
      <c r="L32" s="2" t="s">
        <v>17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18</v>
      </c>
      <c r="U32" s="3" t="s">
        <v>4</v>
      </c>
      <c r="W32" s="2" t="s">
        <v>17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18</v>
      </c>
      <c r="AF32" s="3" t="s">
        <v>4</v>
      </c>
    </row>
    <row r="33" spans="1:32" x14ac:dyDescent="0.45">
      <c r="A33" t="str">
        <f>$A$7</f>
        <v>Williamson</v>
      </c>
      <c r="B33" s="17" t="e">
        <f ref="B33:H33" si="16" t="shared">B20/$J$28</f>
        <v>#DIV/0!</v>
      </c>
      <c r="C33" s="17" t="e">
        <f si="16" t="shared"/>
        <v>#DIV/0!</v>
      </c>
      <c r="D33" s="17" t="e">
        <f si="16" t="shared"/>
        <v>#DIV/0!</v>
      </c>
      <c r="E33" s="17" t="e">
        <f si="16" t="shared"/>
        <v>#DIV/0!</v>
      </c>
      <c r="F33" s="17" t="e">
        <f si="16" t="shared"/>
        <v>#DIV/0!</v>
      </c>
      <c r="G33" s="17" t="e">
        <f si="16" t="shared"/>
        <v>#DIV/0!</v>
      </c>
      <c r="H33" s="17" t="e">
        <f si="16" t="shared"/>
        <v>#DIV/0!</v>
      </c>
      <c r="I33" s="13"/>
      <c r="J33" s="17" t="e">
        <f ref="J33:J39" si="17" t="shared">J20/$J$28</f>
        <v>#DIV/0!</v>
      </c>
      <c r="K33" s="13"/>
      <c r="L33" t="str">
        <f>$A$7</f>
        <v>Williamson</v>
      </c>
      <c r="M33" s="17">
        <f ref="M33:S33" si="18" t="shared">M20/$U$28</f>
        <v>1</v>
      </c>
      <c r="N33" s="17">
        <f si="18" t="shared"/>
        <v>0</v>
      </c>
      <c r="O33" s="17">
        <f si="18" t="shared"/>
        <v>0</v>
      </c>
      <c r="P33" s="17">
        <f si="18" t="shared"/>
        <v>0</v>
      </c>
      <c r="Q33" s="17">
        <f si="18" t="shared"/>
        <v>0</v>
      </c>
      <c r="R33" s="17">
        <f si="18" t="shared"/>
        <v>0</v>
      </c>
      <c r="S33" s="17">
        <f si="18" t="shared"/>
        <v>0</v>
      </c>
      <c r="T33" s="17"/>
      <c r="U33" s="17">
        <f ref="U33:U39" si="19" t="shared">U20/$U$28</f>
        <v>1</v>
      </c>
      <c r="W33" t="str">
        <f>$A$7</f>
        <v>Williamson</v>
      </c>
      <c r="X33" s="17" t="e">
        <f ref="X33:AD39" si="20" t="shared">M33-B33</f>
        <v>#DIV/0!</v>
      </c>
      <c r="Y33" s="17" t="e">
        <f si="20" t="shared"/>
        <v>#DIV/0!</v>
      </c>
      <c r="Z33" s="17" t="e">
        <f si="20" t="shared"/>
        <v>#DIV/0!</v>
      </c>
      <c r="AA33" s="17" t="e">
        <f si="20" t="shared"/>
        <v>#DIV/0!</v>
      </c>
      <c r="AB33" s="17" t="e">
        <f si="20" t="shared"/>
        <v>#DIV/0!</v>
      </c>
      <c r="AC33" s="17" t="e">
        <f si="20" t="shared"/>
        <v>#DIV/0!</v>
      </c>
      <c r="AD33" s="17" t="e">
        <f si="20" t="shared"/>
        <v>#DIV/0!</v>
      </c>
      <c r="AE33" s="17"/>
      <c r="AF33" s="17" t="e">
        <f ref="AF33:AF39" si="21" t="shared">U33-J33</f>
        <v>#DIV/0!</v>
      </c>
    </row>
    <row r="34" spans="1:32" x14ac:dyDescent="0.45">
      <c r="A34" t="str">
        <f>$A$8</f>
        <v>Rutherford</v>
      </c>
      <c r="B34" s="17" t="e">
        <f ref="B34:G38" si="22" t="shared">B21/$J$28</f>
        <v>#DIV/0!</v>
      </c>
      <c r="C34" s="17" t="e">
        <f si="22" t="shared"/>
        <v>#DIV/0!</v>
      </c>
      <c r="D34" s="17" t="e">
        <f si="22" t="shared"/>
        <v>#DIV/0!</v>
      </c>
      <c r="E34" s="17" t="e">
        <f si="22" t="shared"/>
        <v>#DIV/0!</v>
      </c>
      <c r="F34" s="17" t="e">
        <f si="22" t="shared"/>
        <v>#DIV/0!</v>
      </c>
      <c r="G34" s="17" t="e">
        <f si="22" t="shared"/>
        <v>#DIV/0!</v>
      </c>
      <c r="H34" s="17" t="e">
        <f ref="H34:H39" si="23" t="shared">H21/$J$28</f>
        <v>#DIV/0!</v>
      </c>
      <c r="I34" s="13"/>
      <c r="J34" s="17" t="e">
        <f si="17" t="shared"/>
        <v>#DIV/0!</v>
      </c>
      <c r="K34" s="13"/>
      <c r="L34" t="str">
        <f>$A$8</f>
        <v>Rutherford</v>
      </c>
      <c r="M34" s="17">
        <f ref="M34:R38" si="24" t="shared">M21/$U$28</f>
        <v>0</v>
      </c>
      <c r="N34" s="17">
        <f si="24" t="shared"/>
        <v>0</v>
      </c>
      <c r="O34" s="17">
        <f si="24" t="shared"/>
        <v>0</v>
      </c>
      <c r="P34" s="17">
        <f si="24" t="shared"/>
        <v>0</v>
      </c>
      <c r="Q34" s="17">
        <f si="24" t="shared"/>
        <v>0</v>
      </c>
      <c r="R34" s="17">
        <f si="24" t="shared"/>
        <v>0</v>
      </c>
      <c r="S34" s="17">
        <f ref="S34:S39" si="25" t="shared">S21/$U$28</f>
        <v>0</v>
      </c>
      <c r="T34" s="17"/>
      <c r="U34" s="17">
        <f si="19" t="shared"/>
        <v>0</v>
      </c>
      <c r="W34" t="str">
        <f>$A$8</f>
        <v>Rutherford</v>
      </c>
      <c r="X34" s="17" t="e">
        <f ref="X34:X39" si="26" t="shared">M34-B34</f>
        <v>#DIV/0!</v>
      </c>
      <c r="Y34" s="17" t="e">
        <f ref="Y34:AC39" si="27" t="shared">N34-C34</f>
        <v>#DIV/0!</v>
      </c>
      <c r="Z34" s="17" t="e">
        <f si="27" t="shared"/>
        <v>#DIV/0!</v>
      </c>
      <c r="AA34" s="17" t="e">
        <f si="27" t="shared"/>
        <v>#DIV/0!</v>
      </c>
      <c r="AB34" s="17" t="e">
        <f si="27" t="shared"/>
        <v>#DIV/0!</v>
      </c>
      <c r="AC34" s="17" t="e">
        <f si="27" t="shared"/>
        <v>#DIV/0!</v>
      </c>
      <c r="AD34" s="17" t="e">
        <f si="20" t="shared"/>
        <v>#DIV/0!</v>
      </c>
      <c r="AE34" s="17"/>
      <c r="AF34" s="17" t="e">
        <f si="21" t="shared"/>
        <v>#DIV/0!</v>
      </c>
    </row>
    <row r="35" spans="1:32" x14ac:dyDescent="0.45">
      <c r="A35" t="str">
        <f>$A$9</f>
        <v>Sumner</v>
      </c>
      <c r="B35" s="17" t="e">
        <f si="22" t="shared"/>
        <v>#DIV/0!</v>
      </c>
      <c r="C35" s="17" t="e">
        <f si="22" t="shared"/>
        <v>#DIV/0!</v>
      </c>
      <c r="D35" s="17" t="e">
        <f si="22" t="shared"/>
        <v>#DIV/0!</v>
      </c>
      <c r="E35" s="17" t="e">
        <f si="22" t="shared"/>
        <v>#DIV/0!</v>
      </c>
      <c r="F35" s="17" t="e">
        <f si="22" t="shared"/>
        <v>#DIV/0!</v>
      </c>
      <c r="G35" s="17" t="e">
        <f si="22" t="shared"/>
        <v>#DIV/0!</v>
      </c>
      <c r="H35" s="17" t="e">
        <f si="23" t="shared"/>
        <v>#DIV/0!</v>
      </c>
      <c r="I35" s="13"/>
      <c r="J35" s="17" t="e">
        <f si="17" t="shared"/>
        <v>#DIV/0!</v>
      </c>
      <c r="K35" s="14"/>
      <c r="L35" t="str">
        <f>$A$9</f>
        <v>Sumner</v>
      </c>
      <c r="M35" s="17">
        <f si="24" t="shared"/>
        <v>0</v>
      </c>
      <c r="N35" s="17">
        <f si="24" t="shared"/>
        <v>0</v>
      </c>
      <c r="O35" s="17">
        <f si="24" t="shared"/>
        <v>0</v>
      </c>
      <c r="P35" s="17">
        <f si="24" t="shared"/>
        <v>0</v>
      </c>
      <c r="Q35" s="17">
        <f si="24" t="shared"/>
        <v>0</v>
      </c>
      <c r="R35" s="17">
        <f si="24" t="shared"/>
        <v>0</v>
      </c>
      <c r="S35" s="17">
        <f si="25" t="shared"/>
        <v>0</v>
      </c>
      <c r="T35" s="17"/>
      <c r="U35" s="17">
        <f si="19" t="shared"/>
        <v>0</v>
      </c>
      <c r="W35" t="str">
        <f>$A$9</f>
        <v>Sumner</v>
      </c>
      <c r="X35" s="17" t="e">
        <f si="26" t="shared"/>
        <v>#DIV/0!</v>
      </c>
      <c r="Y35" s="17" t="e">
        <f si="27" t="shared"/>
        <v>#DIV/0!</v>
      </c>
      <c r="Z35" s="17" t="e">
        <f si="27" t="shared"/>
        <v>#DIV/0!</v>
      </c>
      <c r="AA35" s="17" t="e">
        <f si="27" t="shared"/>
        <v>#DIV/0!</v>
      </c>
      <c r="AB35" s="17" t="e">
        <f si="27" t="shared"/>
        <v>#DIV/0!</v>
      </c>
      <c r="AC35" s="17" t="e">
        <f si="27" t="shared"/>
        <v>#DIV/0!</v>
      </c>
      <c r="AD35" s="17" t="e">
        <f si="20" t="shared"/>
        <v>#DIV/0!</v>
      </c>
      <c r="AE35" s="17"/>
      <c r="AF35" s="17" t="e">
        <f si="21" t="shared"/>
        <v>#DIV/0!</v>
      </c>
    </row>
    <row r="36" spans="1:32" x14ac:dyDescent="0.45">
      <c r="A36" t="str">
        <f>$A$10</f>
        <v>Roberston</v>
      </c>
      <c r="B36" s="17" t="e">
        <f si="22" t="shared"/>
        <v>#DIV/0!</v>
      </c>
      <c r="C36" s="17" t="e">
        <f si="22" t="shared"/>
        <v>#DIV/0!</v>
      </c>
      <c r="D36" s="17" t="e">
        <f si="22" t="shared"/>
        <v>#DIV/0!</v>
      </c>
      <c r="E36" s="17" t="e">
        <f si="22" t="shared"/>
        <v>#DIV/0!</v>
      </c>
      <c r="F36" s="17" t="e">
        <f si="22" t="shared"/>
        <v>#DIV/0!</v>
      </c>
      <c r="G36" s="17" t="e">
        <f si="22" t="shared"/>
        <v>#DIV/0!</v>
      </c>
      <c r="H36" s="17" t="e">
        <f si="23" t="shared"/>
        <v>#DIV/0!</v>
      </c>
      <c r="I36" s="13"/>
      <c r="J36" s="17" t="e">
        <f si="17" t="shared"/>
        <v>#DIV/0!</v>
      </c>
      <c r="K36" s="14"/>
      <c r="L36" t="str">
        <f>$A$10</f>
        <v>Roberston</v>
      </c>
      <c r="M36" s="17">
        <f si="24" t="shared"/>
        <v>0</v>
      </c>
      <c r="N36" s="17">
        <f si="24" t="shared"/>
        <v>0</v>
      </c>
      <c r="O36" s="17">
        <f si="24" t="shared"/>
        <v>0</v>
      </c>
      <c r="P36" s="17">
        <f si="24" t="shared"/>
        <v>0</v>
      </c>
      <c r="Q36" s="17">
        <f si="24" t="shared"/>
        <v>0</v>
      </c>
      <c r="R36" s="17">
        <f si="24" t="shared"/>
        <v>0</v>
      </c>
      <c r="S36" s="17">
        <f si="25" t="shared"/>
        <v>0</v>
      </c>
      <c r="T36" s="17"/>
      <c r="U36" s="17">
        <f si="19" t="shared"/>
        <v>0</v>
      </c>
      <c r="W36" t="str">
        <f>$A$10</f>
        <v>Roberston</v>
      </c>
      <c r="X36" s="17" t="e">
        <f si="26" t="shared"/>
        <v>#DIV/0!</v>
      </c>
      <c r="Y36" s="17" t="e">
        <f si="27" t="shared"/>
        <v>#DIV/0!</v>
      </c>
      <c r="Z36" s="17" t="e">
        <f si="27" t="shared"/>
        <v>#DIV/0!</v>
      </c>
      <c r="AA36" s="17" t="e">
        <f si="27" t="shared"/>
        <v>#DIV/0!</v>
      </c>
      <c r="AB36" s="17" t="e">
        <f si="27" t="shared"/>
        <v>#DIV/0!</v>
      </c>
      <c r="AC36" s="17" t="e">
        <f si="27" t="shared"/>
        <v>#DIV/0!</v>
      </c>
      <c r="AD36" s="17" t="e">
        <f si="20" t="shared"/>
        <v>#DIV/0!</v>
      </c>
      <c r="AE36" s="17"/>
      <c r="AF36" s="17" t="e">
        <f si="21" t="shared"/>
        <v>#DIV/0!</v>
      </c>
    </row>
    <row r="37" spans="1:32" x14ac:dyDescent="0.45">
      <c r="A37" t="str">
        <f>$A$11</f>
        <v>Davidson</v>
      </c>
      <c r="B37" s="17" t="e">
        <f si="22" t="shared"/>
        <v>#DIV/0!</v>
      </c>
      <c r="C37" s="17" t="e">
        <f si="22" t="shared"/>
        <v>#DIV/0!</v>
      </c>
      <c r="D37" s="17" t="e">
        <f si="22" t="shared"/>
        <v>#DIV/0!</v>
      </c>
      <c r="E37" s="17" t="e">
        <f si="22" t="shared"/>
        <v>#DIV/0!</v>
      </c>
      <c r="F37" s="17" t="e">
        <f si="22" t="shared"/>
        <v>#DIV/0!</v>
      </c>
      <c r="G37" s="17" t="e">
        <f si="22" t="shared"/>
        <v>#DIV/0!</v>
      </c>
      <c r="H37" s="17" t="e">
        <f si="23" t="shared"/>
        <v>#DIV/0!</v>
      </c>
      <c r="I37" s="13"/>
      <c r="J37" s="17" t="e">
        <f si="17" t="shared"/>
        <v>#DIV/0!</v>
      </c>
      <c r="K37" s="14"/>
      <c r="L37" t="str">
        <f>$A$11</f>
        <v>Davidson</v>
      </c>
      <c r="M37" s="17">
        <f si="24" t="shared"/>
        <v>0</v>
      </c>
      <c r="N37" s="17">
        <f si="24" t="shared"/>
        <v>0</v>
      </c>
      <c r="O37" s="17">
        <f si="24" t="shared"/>
        <v>0</v>
      </c>
      <c r="P37" s="17">
        <f si="24" t="shared"/>
        <v>0</v>
      </c>
      <c r="Q37" s="17">
        <f si="24" t="shared"/>
        <v>0</v>
      </c>
      <c r="R37" s="17">
        <f si="24" t="shared"/>
        <v>0</v>
      </c>
      <c r="S37" s="17">
        <f si="25" t="shared"/>
        <v>0</v>
      </c>
      <c r="T37" s="17"/>
      <c r="U37" s="17">
        <f si="19" t="shared"/>
        <v>0</v>
      </c>
      <c r="W37" t="str">
        <f>$A$11</f>
        <v>Davidson</v>
      </c>
      <c r="X37" s="17" t="e">
        <f si="26" t="shared"/>
        <v>#DIV/0!</v>
      </c>
      <c r="Y37" s="17" t="e">
        <f si="27" t="shared"/>
        <v>#DIV/0!</v>
      </c>
      <c r="Z37" s="17" t="e">
        <f si="27" t="shared"/>
        <v>#DIV/0!</v>
      </c>
      <c r="AA37" s="17" t="e">
        <f si="27" t="shared"/>
        <v>#DIV/0!</v>
      </c>
      <c r="AB37" s="17" t="e">
        <f si="27" t="shared"/>
        <v>#DIV/0!</v>
      </c>
      <c r="AC37" s="17" t="e">
        <f si="27" t="shared"/>
        <v>#DIV/0!</v>
      </c>
      <c r="AD37" s="17" t="e">
        <f si="20" t="shared"/>
        <v>#DIV/0!</v>
      </c>
      <c r="AE37" s="17"/>
      <c r="AF37" s="17" t="e">
        <f si="21" t="shared"/>
        <v>#DIV/0!</v>
      </c>
    </row>
    <row r="38" spans="1:32" x14ac:dyDescent="0.45">
      <c r="A38" t="str">
        <f>$A$12</f>
        <v>Maury</v>
      </c>
      <c r="B38" s="17" t="e">
        <f si="22" t="shared"/>
        <v>#DIV/0!</v>
      </c>
      <c r="C38" s="17" t="e">
        <f si="22" t="shared"/>
        <v>#DIV/0!</v>
      </c>
      <c r="D38" s="17" t="e">
        <f si="22" t="shared"/>
        <v>#DIV/0!</v>
      </c>
      <c r="E38" s="17" t="e">
        <f si="22" t="shared"/>
        <v>#DIV/0!</v>
      </c>
      <c r="F38" s="17" t="e">
        <f si="22" t="shared"/>
        <v>#DIV/0!</v>
      </c>
      <c r="G38" s="17" t="e">
        <f si="22" t="shared"/>
        <v>#DIV/0!</v>
      </c>
      <c r="H38" s="17" t="e">
        <f si="23" t="shared"/>
        <v>#DIV/0!</v>
      </c>
      <c r="I38" s="13"/>
      <c r="J38" s="17" t="e">
        <f si="17" t="shared"/>
        <v>#DIV/0!</v>
      </c>
      <c r="K38" s="14"/>
      <c r="L38" t="str">
        <f>$A$12</f>
        <v>Maury</v>
      </c>
      <c r="M38" s="17">
        <f si="24" t="shared"/>
        <v>0</v>
      </c>
      <c r="N38" s="17">
        <f si="24" t="shared"/>
        <v>0</v>
      </c>
      <c r="O38" s="17">
        <f si="24" t="shared"/>
        <v>0</v>
      </c>
      <c r="P38" s="17">
        <f si="24" t="shared"/>
        <v>0</v>
      </c>
      <c r="Q38" s="17">
        <f si="24" t="shared"/>
        <v>0</v>
      </c>
      <c r="R38" s="17">
        <f si="24" t="shared"/>
        <v>0</v>
      </c>
      <c r="S38" s="17">
        <f si="25" t="shared"/>
        <v>0</v>
      </c>
      <c r="T38" s="17"/>
      <c r="U38" s="17">
        <f si="19" t="shared"/>
        <v>0</v>
      </c>
      <c r="W38" t="str">
        <f>$A$12</f>
        <v>Maury</v>
      </c>
      <c r="X38" s="17" t="e">
        <f si="26" t="shared"/>
        <v>#DIV/0!</v>
      </c>
      <c r="Y38" s="17" t="e">
        <f si="27" t="shared"/>
        <v>#DIV/0!</v>
      </c>
      <c r="Z38" s="17" t="e">
        <f si="27" t="shared"/>
        <v>#DIV/0!</v>
      </c>
      <c r="AA38" s="17" t="e">
        <f si="27" t="shared"/>
        <v>#DIV/0!</v>
      </c>
      <c r="AB38" s="17" t="e">
        <f si="27" t="shared"/>
        <v>#DIV/0!</v>
      </c>
      <c r="AC38" s="17" t="e">
        <f si="27" t="shared"/>
        <v>#DIV/0!</v>
      </c>
      <c r="AD38" s="17" t="e">
        <f si="20" t="shared"/>
        <v>#DIV/0!</v>
      </c>
      <c r="AE38" s="17"/>
      <c r="AF38" s="17" t="e">
        <f si="21" t="shared"/>
        <v>#DIV/0!</v>
      </c>
    </row>
    <row r="39" spans="1:32" x14ac:dyDescent="0.45">
      <c r="A39" t="str">
        <f>$A$13</f>
        <v>Wilson</v>
      </c>
      <c r="B39" s="17" t="e">
        <f>B26/$J$28</f>
        <v>#DIV/0!</v>
      </c>
      <c r="C39" s="17" t="e">
        <f ref="C39:G39" si="28" t="shared">C26/$J$28</f>
        <v>#DIV/0!</v>
      </c>
      <c r="D39" s="17" t="e">
        <f si="28" t="shared"/>
        <v>#DIV/0!</v>
      </c>
      <c r="E39" s="17" t="e">
        <f si="28" t="shared"/>
        <v>#DIV/0!</v>
      </c>
      <c r="F39" s="17" t="e">
        <f si="28" t="shared"/>
        <v>#DIV/0!</v>
      </c>
      <c r="G39" s="17" t="e">
        <f si="28" t="shared"/>
        <v>#DIV/0!</v>
      </c>
      <c r="H39" s="17" t="e">
        <f si="23" t="shared"/>
        <v>#DIV/0!</v>
      </c>
      <c r="I39" s="13"/>
      <c r="J39" s="17" t="e">
        <f si="17" t="shared"/>
        <v>#DIV/0!</v>
      </c>
      <c r="K39" s="14"/>
      <c r="L39" t="str">
        <f>$A$13</f>
        <v>Wilson</v>
      </c>
      <c r="M39" s="17">
        <f>M26/$U$28</f>
        <v>0</v>
      </c>
      <c r="N39" s="17">
        <f ref="N39:R39" si="29" t="shared">N26/$U$28</f>
        <v>0</v>
      </c>
      <c r="O39" s="17">
        <f si="29" t="shared"/>
        <v>0</v>
      </c>
      <c r="P39" s="17">
        <f si="29" t="shared"/>
        <v>0</v>
      </c>
      <c r="Q39" s="17">
        <f si="29" t="shared"/>
        <v>0</v>
      </c>
      <c r="R39" s="17">
        <f si="29" t="shared"/>
        <v>0</v>
      </c>
      <c r="S39" s="17">
        <f si="25" t="shared"/>
        <v>0</v>
      </c>
      <c r="T39" s="17"/>
      <c r="U39" s="17">
        <f si="19" t="shared"/>
        <v>0</v>
      </c>
      <c r="W39" t="str">
        <f>$A$13</f>
        <v>Wilson</v>
      </c>
      <c r="X39" s="17" t="e">
        <f si="26" t="shared"/>
        <v>#DIV/0!</v>
      </c>
      <c r="Y39" s="17" t="e">
        <f si="27" t="shared"/>
        <v>#DIV/0!</v>
      </c>
      <c r="Z39" s="17" t="e">
        <f si="27" t="shared"/>
        <v>#DIV/0!</v>
      </c>
      <c r="AA39" s="17" t="e">
        <f si="27" t="shared"/>
        <v>#DIV/0!</v>
      </c>
      <c r="AB39" s="17" t="e">
        <f si="27" t="shared"/>
        <v>#DIV/0!</v>
      </c>
      <c r="AC39" s="17" t="e">
        <f si="27" t="shared"/>
        <v>#DIV/0!</v>
      </c>
      <c r="AD39" s="17" t="e">
        <f si="20" t="shared"/>
        <v>#DIV/0!</v>
      </c>
      <c r="AE39" s="17"/>
      <c r="AF39" s="17" t="e">
        <f si="21" t="shared"/>
        <v>#DIV/0!</v>
      </c>
    </row>
    <row r="40" spans="1:32" x14ac:dyDescent="0.45">
      <c r="A40" s="7" t="s">
        <v>18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18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18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4.65" r="41" spans="1:32" thickBot="1" x14ac:dyDescent="0.5">
      <c r="A41" s="1" t="s">
        <v>4</v>
      </c>
      <c r="B41" s="19" t="e">
        <f ref="B41:G41" si="30" t="shared">B28/$J$28</f>
        <v>#DIV/0!</v>
      </c>
      <c r="C41" s="19" t="e">
        <f si="30" t="shared"/>
        <v>#DIV/0!</v>
      </c>
      <c r="D41" s="19" t="e">
        <f si="30" t="shared"/>
        <v>#DIV/0!</v>
      </c>
      <c r="E41" s="19" t="e">
        <f si="30" t="shared"/>
        <v>#DIV/0!</v>
      </c>
      <c r="F41" s="19" t="e">
        <f si="30" t="shared"/>
        <v>#DIV/0!</v>
      </c>
      <c r="G41" s="19" t="e">
        <f si="30" t="shared"/>
        <v>#DIV/0!</v>
      </c>
      <c r="H41" s="19"/>
      <c r="I41" s="19" t="e">
        <f>I28/$J$28</f>
        <v>#DIV/0!</v>
      </c>
      <c r="J41" s="19" t="e">
        <f>J28/$J$28</f>
        <v>#DIV/0!</v>
      </c>
      <c r="K41" s="13"/>
      <c r="L41" s="16" t="s">
        <v>4</v>
      </c>
      <c r="M41" s="19">
        <f>M28/$U$28</f>
        <v>1</v>
      </c>
      <c r="N41" s="19">
        <f>N28/$U$28</f>
        <v>0</v>
      </c>
      <c r="O41" s="19">
        <f>O28/$U$28</f>
        <v>0</v>
      </c>
      <c r="P41" s="19">
        <f>P28/$U$28</f>
        <v>0</v>
      </c>
      <c r="Q41" s="19">
        <f ref="Q41:S41" si="31" t="shared">Q28/$U$28</f>
        <v>0</v>
      </c>
      <c r="R41" s="19">
        <f si="31" t="shared"/>
        <v>0</v>
      </c>
      <c r="S41" s="19">
        <f si="31" t="shared"/>
        <v>0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D41" si="32" t="shared">M41-B41</f>
        <v>#DIV/0!</v>
      </c>
      <c r="Y41" s="19" t="e">
        <f si="32" t="shared"/>
        <v>#DIV/0!</v>
      </c>
      <c r="Z41" s="19" t="e">
        <f si="32" t="shared"/>
        <v>#DIV/0!</v>
      </c>
      <c r="AA41" s="19" t="e">
        <f si="32" t="shared"/>
        <v>#DIV/0!</v>
      </c>
      <c r="AB41" s="19" t="e">
        <f si="32" t="shared"/>
        <v>#DIV/0!</v>
      </c>
      <c r="AC41" s="19" t="e">
        <f si="32" t="shared"/>
        <v>#DIV/0!</v>
      </c>
      <c r="AD41" s="19">
        <f si="32" t="shared"/>
        <v>0</v>
      </c>
      <c r="AE41" s="19"/>
      <c r="AF41" s="19" t="e">
        <f>U41-J41</f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4.25" x14ac:dyDescent="0.45"/>
  <sheetData>
    <row r="1" spans="1:3" x14ac:dyDescent="0.45">
      <c r="A1" s="10" t="s">
        <v>24</v>
      </c>
    </row>
    <row r="2" spans="1:3" x14ac:dyDescent="0.45">
      <c r="A2">
        <v>1</v>
      </c>
      <c r="B2" t="s">
        <v>25</v>
      </c>
    </row>
    <row r="3" spans="1:3" x14ac:dyDescent="0.45">
      <c r="B3" t="s">
        <v>26</v>
      </c>
      <c r="C3" t="s">
        <v>27</v>
      </c>
    </row>
    <row r="4" spans="1:3" x14ac:dyDescent="0.45">
      <c r="B4" t="s">
        <v>28</v>
      </c>
      <c r="C4" t="s">
        <v>29</v>
      </c>
    </row>
    <row r="5" spans="1:3" x14ac:dyDescent="0.45">
      <c r="B5" t="s">
        <v>30</v>
      </c>
      <c r="C5" t="s">
        <v>31</v>
      </c>
    </row>
    <row r="6" spans="1:3" x14ac:dyDescent="0.45">
      <c r="B6" t="s">
        <v>32</v>
      </c>
      <c r="C6" t="s">
        <v>33</v>
      </c>
    </row>
    <row r="8" spans="1:3" x14ac:dyDescent="0.45">
      <c r="A8">
        <v>2</v>
      </c>
      <c r="B8" t="s">
        <v>34</v>
      </c>
    </row>
    <row r="10" spans="1:3" x14ac:dyDescent="0.45">
      <c r="A10">
        <v>3</v>
      </c>
      <c r="B10" t="s">
        <v>35</v>
      </c>
    </row>
    <row r="12" spans="1:3" x14ac:dyDescent="0.45">
      <c r="A12">
        <v>4</v>
      </c>
      <c r="B12" t="s">
        <v>36</v>
      </c>
    </row>
    <row r="14" spans="1:3" x14ac:dyDescent="0.45">
      <c r="A14">
        <v>5</v>
      </c>
      <c r="B14" t="s">
        <v>37</v>
      </c>
    </row>
    <row r="15" spans="1:3" x14ac:dyDescent="0.45">
      <c r="B15" t="s">
        <v>38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2016-07-01T21:09:29Z</dcterms:modified>
</cp:coreProperties>
</file>