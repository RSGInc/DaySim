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1205" windowWidth="24795" xWindow="240" yWindow="3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71027"/>
</workbook>
</file>

<file path=xl/calcChain.xml><?xml version="1.0" encoding="utf-8"?>
<calcChain xmlns="http://schemas.openxmlformats.org/spreadsheetml/2006/main">
  <c i="11" l="1" r="O15"/>
  <c i="11" r="O8"/>
  <c i="11" r="O9"/>
  <c i="11" r="O10"/>
  <c i="11" r="O11"/>
  <c i="11" r="O12"/>
  <c i="11" r="O13"/>
  <c i="11" r="O14"/>
  <c i="11" r="O7"/>
  <c i="7" l="1" r="R12"/>
  <c i="7" r="Q12"/>
  <c i="7" r="P12"/>
  <c i="7" r="O12"/>
  <c i="7" r="N12"/>
  <c i="7" r="M12"/>
  <c i="7" r="L12"/>
  <c i="1" r="H12"/>
  <c i="1" r="G12"/>
  <c i="5" r="H12"/>
  <c i="5" r="G12"/>
  <c i="5" r="I12" s="1"/>
  <c i="10" r="H12"/>
  <c i="10" r="G12"/>
  <c i="8" r="H12"/>
  <c i="8" r="G12"/>
  <c i="8" r="I12" s="1"/>
  <c i="6" r="H12"/>
  <c i="6" r="G12"/>
  <c i="9" r="H12"/>
  <c i="9" r="G12"/>
  <c i="4" r="H12"/>
  <c i="4" r="G12"/>
  <c i="10" l="1" r="I12"/>
  <c i="9" r="I12"/>
  <c i="6" r="I12"/>
  <c i="4" r="I12"/>
  <c i="7" r="S11"/>
  <c i="7" r="S10"/>
  <c i="7" r="S9"/>
  <c i="7" r="S8"/>
  <c i="7" r="S7"/>
  <c i="7" r="S6"/>
  <c i="7" r="S5"/>
  <c i="7" l="1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4" r="D10"/>
  <c i="4" r="D9"/>
  <c i="4" r="D8"/>
  <c i="4" r="D7"/>
  <c i="4" r="D6"/>
  <c i="4" r="D5"/>
  <c i="4" r="D4"/>
  <c i="4" r="I11"/>
  <c i="4" r="I10"/>
  <c i="4" r="I9"/>
  <c i="4" r="I8"/>
  <c i="4" r="I7"/>
  <c i="4" r="I6"/>
  <c i="4" r="I5"/>
  <c i="4" r="I4"/>
  <c i="5" r="I11"/>
  <c i="5" r="I10"/>
  <c i="5" r="I9"/>
  <c i="5" r="I8"/>
  <c i="5" r="I7"/>
  <c i="5" r="I6"/>
  <c i="5" r="I5"/>
  <c i="5" r="I4"/>
  <c i="5" r="D11"/>
  <c i="5" r="D10"/>
  <c i="5" r="D9"/>
  <c i="5" r="D8"/>
  <c i="5" r="D7"/>
  <c i="5" r="D6"/>
  <c i="5" r="D5"/>
  <c i="5" r="D4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7" r="I10"/>
  <c i="7" r="I9"/>
  <c i="7" r="I8"/>
  <c i="7" r="I7"/>
  <c i="7" r="I6"/>
  <c i="7" r="I5"/>
  <c i="7" r="H12"/>
  <c i="7" r="G12"/>
  <c i="7" r="F12"/>
  <c i="7" r="E12"/>
  <c i="7" r="D12"/>
  <c i="7" r="C12"/>
  <c i="7" r="B12"/>
  <c i="1" r="I11"/>
  <c i="11" r="E11" s="1"/>
  <c i="11" r="Q14" s="1"/>
  <c i="1" r="I10"/>
  <c i="1" r="I9"/>
  <c i="1" r="I8"/>
  <c i="1" r="I7"/>
  <c i="1" r="I6"/>
  <c i="1" r="I5"/>
  <c i="1" r="I4"/>
  <c i="1" r="D11"/>
  <c i="1" r="D10"/>
  <c i="1" r="D9"/>
  <c i="1" r="D8"/>
  <c i="1" r="D7"/>
  <c i="1" r="D6"/>
  <c i="1" r="D5"/>
  <c i="1" r="D4"/>
  <c i="1" r="C12"/>
  <c i="1" r="B12"/>
  <c i="11" l="1" r="E9"/>
  <c i="11" r="Q12" s="1"/>
  <c i="1" r="I12"/>
  <c i="11" r="E5"/>
  <c i="11" r="Q8" s="1"/>
  <c i="11" r="E10"/>
  <c i="11" r="Q13" s="1"/>
  <c i="11" r="E6"/>
  <c i="11" r="Q9" s="1"/>
  <c i="11" r="E8"/>
  <c i="11" r="Q11" s="1"/>
  <c i="11" r="E7"/>
  <c i="11" r="Q10" s="1"/>
  <c i="11" r="B11"/>
  <c i="11" r="P14" s="1"/>
  <c i="11" r="B10"/>
  <c i="11" r="P13" s="1"/>
  <c i="4" r="D12"/>
  <c i="4" r="B17" s="1"/>
  <c i="11" r="B5"/>
  <c i="11" r="P8" s="1"/>
  <c i="11" r="B7"/>
  <c i="11" r="P10" s="1"/>
  <c i="11" r="B9"/>
  <c i="11" r="P12" s="1"/>
  <c i="11" r="B4"/>
  <c i="11" r="P7" s="1"/>
  <c i="11" r="B6"/>
  <c i="11" r="P9" s="1"/>
  <c i="11" r="B8"/>
  <c i="11" r="P11" s="1"/>
  <c i="6" r="H24"/>
  <c i="9" r="D12"/>
  <c i="9" r="C19" s="1"/>
  <c i="10" r="D12"/>
  <c i="10" r="C23" s="1"/>
  <c i="6" r="D12"/>
  <c i="6" r="B25" s="1"/>
  <c i="5" r="D12"/>
  <c i="5" r="D23" s="1"/>
  <c i="11" r="E4"/>
  <c i="11" r="Q7" s="1"/>
  <c i="8" r="I18"/>
  <c i="8" r="M31" s="1"/>
  <c i="7" r="I12"/>
  <c i="7" r="I22" s="1"/>
  <c i="8" r="D12"/>
  <c i="8" r="D24" s="1"/>
  <c i="10" r="C17"/>
  <c i="1" r="D12"/>
  <c i="1" r="B25" s="1"/>
  <c i="6" l="1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9" r="H38" s="1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30" s="1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N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G35" s="1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6" r="N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Q15" s="1"/>
  <c i="11" r="B12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G34" s="1"/>
  <c i="5" r="H19"/>
  <c i="5" r="H32" s="1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N35" s="1"/>
  <c i="9" r="G18"/>
  <c i="9" r="G25"/>
  <c i="9" r="I21"/>
  <c i="9" r="H21"/>
  <c i="9" r="G21"/>
  <c i="9" r="I19"/>
  <c i="9" r="I24"/>
  <c i="9" r="G23"/>
  <c i="9" r="G22"/>
  <c i="9" r="G35" s="1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N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7" r="S36" s="1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11" l="1" r="B18"/>
  <c i="11" r="R8" s="1"/>
  <c i="11" r="P15"/>
  <c i="6" r="G35"/>
  <c i="9" r="H36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11" r="S7" s="1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1" r="R9" s="1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11" r="R10" s="1"/>
  <c i="5" r="N38"/>
  <c i="1" r="H36"/>
  <c i="1" r="H33"/>
  <c i="1" r="H34"/>
  <c i="1" r="G35"/>
  <c i="1" r="H38"/>
  <c i="1" r="G33"/>
  <c i="1" r="H37"/>
  <c i="11" r="E20"/>
  <c i="11" r="S10" s="1"/>
  <c i="11" r="E18"/>
  <c i="11" r="E25"/>
  <c i="11" r="S15" s="1"/>
  <c i="11" r="E23"/>
  <c i="11" r="S13" s="1"/>
  <c i="11" r="E24"/>
  <c i="11" r="S14" s="1"/>
  <c i="11" r="E21"/>
  <c i="11" r="S11" s="1"/>
  <c i="11" r="E22"/>
  <c i="11" r="S12" s="1"/>
  <c i="11" r="E19"/>
  <c i="11" r="S9" s="1"/>
  <c i="11" r="B21"/>
  <c i="11" r="R11" s="1"/>
  <c i="11" r="B24"/>
  <c i="11" r="R14" s="1"/>
  <c i="11" r="B17"/>
  <c i="11" r="R7" s="1"/>
  <c i="11" r="B22"/>
  <c i="11" r="R12" s="1"/>
  <c i="11" r="B23"/>
  <c i="11" r="R13" s="1"/>
  <c i="11" r="B25"/>
  <c i="11" r="R15" s="1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1" l="1" r="E31"/>
  <c i="11" r="S8"/>
  <c i="11" r="E33"/>
  <c i="11" r="E36"/>
  <c i="11" r="E34"/>
  <c i="11" r="E32"/>
  <c i="11" r="E35"/>
  <c i="11" r="E30"/>
  <c i="11" r="E38"/>
  <c i="11" r="E37"/>
</calcChain>
</file>

<file path=xl/sharedStrings.xml><?xml version="1.0" encoding="utf-8"?>
<sst xmlns="http://schemas.openxmlformats.org/spreadsheetml/2006/main" count="751" uniqueCount="60">
  <si>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</si>
  <si>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</si>
  <si>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</si>
  <si>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</si>
  <si>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</si>
  <si>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</si>
  <si>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</si>
  <si>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</si>
  <si>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</si>
  <si>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</si>
  <si>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</si>
  <si>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Work Tour Mode</t>
  </si>
  <si>
    <t>Total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</si>
  <si>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</si>
  <si>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</si>
  <si>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</si>
  <si>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</si>
  <si>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</si>
  <si>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</si>
  <si>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</si>
  <si>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</si>
  <si>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</si>
  <si>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</si>
  <si>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</si>
  <si>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Survey</t>
  </si>
  <si>
    <t>Count</t>
  </si>
  <si>
    <t>Share</t>
  </si>
  <si>
    <t>Table X. New Tour Modes All Purposes:New</t>
  </si>
  <si>
    <t>Table X. New Tour Mode Shares All Purposes:New</t>
  </si>
  <si>
    <t>Table X. New Work Tour Modes:New</t>
  </si>
  <si>
    <t>Table X. New School Tour Modes:New</t>
  </si>
  <si>
    <t>Table X. New Escort Tour Modes:New</t>
  </si>
  <si>
    <t>Table X. New Personal Business Tour Modes:New</t>
  </si>
  <si>
    <t>Table X. New Personal Busines Tour Modes:New</t>
  </si>
  <si>
    <t>Table X. New Shop Tour Modes:New</t>
  </si>
  <si>
    <t>Table X. New Meal Tour Modes:New</t>
  </si>
  <si>
    <t>Table X. New Social/Recreational Tour Modes:New</t>
  </si>
  <si>
    <t>Table X. New SocRec Tour Modes:New</t>
  </si>
  <si>
    <t>Table X. New-New Different Tour Mode Shares</t>
  </si>
  <si>
    <t>Table X. New-New Different Work Tour Modes</t>
  </si>
  <si>
    <t>Table X. New-New Different School Tour Modes</t>
  </si>
  <si>
    <t>Table X. New-New Different Escort Tour Modes</t>
  </si>
  <si>
    <t>Table X. New-New Different Personal Busines Tour Modes</t>
  </si>
  <si>
    <t>Table X. New-New Different Shop Tour Modes</t>
  </si>
  <si>
    <t>Table X. New-New Different Meal Tour Modes</t>
  </si>
  <si>
    <t>Table X. New-New Different SocRec Tour Modes</t>
  </si>
  <si>
    <t>Table X. New-New Workbased Tour Mode Share Difference</t>
  </si>
  <si>
    <t>Table X. Tour Modes All Purposes: New</t>
  </si>
  <si>
    <t>Table X. New Tour Mode Shares All Purposes: New</t>
  </si>
  <si>
    <t>Table X. New Work Tour Modes: New</t>
  </si>
  <si>
    <t>Table X. New School Tour Modes: New</t>
  </si>
  <si>
    <t>Table X. New Escort Tour Modes: New</t>
  </si>
  <si>
    <t>Table X. New Personal Business Tour Modes: New</t>
  </si>
  <si>
    <t>Table X. New Personal Busines Tour Modes: New</t>
  </si>
  <si>
    <t>Table X. New Shop Tour Modes: New</t>
  </si>
  <si>
    <t>Table X. New Meal Tour Modes: New</t>
  </si>
  <si>
    <t>Table X. New Social/Recreational Tour Modes: New</t>
  </si>
  <si>
    <t>Table X. New SocRecTour Modes: New</t>
  </si>
  <si>
    <t>Table X. New Workbased Tour Modes: New</t>
  </si>
  <si>
    <t>Table X. New Workbased Tour Mode Shares: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</si>
</sst>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37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AllPurposes!$B$17:$B$24</c:f>
              <c:numCache>
                <c:formatCode>0.0%</c:formatCode>
                <c:ptCount val="8"/>
                <c:pt idx="0">
                  <c:v>0.44138655462184873</c:v>
                </c:pt>
                <c:pt idx="1">
                  <c:v>0.23697478991596638</c:v>
                </c:pt>
                <c:pt idx="2">
                  <c:v>0.19411764705882353</c:v>
                </c:pt>
                <c:pt idx="3">
                  <c:v>6.7226890756302525E-3</c:v>
                </c:pt>
                <c:pt idx="4">
                  <c:v>2.0378151260504202E-2</c:v>
                </c:pt>
                <c:pt idx="5">
                  <c:v>4.4117647058823529E-3</c:v>
                </c:pt>
                <c:pt idx="6">
                  <c:v>3.802521008403361E-2</c:v>
                </c:pt>
                <c:pt idx="7">
                  <c:v>5.7983193277310927E-2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6-45A0-851D-E1CFD7D9B2CD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AllPurposes!$E$17:$E$24</c:f>
              <c:numCache>
                <c:formatCode>0.0%</c:formatCode>
                <c:ptCount val="8"/>
                <c:pt idx="0">
                  <c:v>0.44138655462184873</c:v>
                </c:pt>
                <c:pt idx="1">
                  <c:v>0.23697478991596638</c:v>
                </c:pt>
                <c:pt idx="2">
                  <c:v>0.19411764705882353</c:v>
                </c:pt>
                <c:pt idx="3">
                  <c:v>6.7226890756302525E-3</c:v>
                </c:pt>
                <c:pt idx="4">
                  <c:v>2.0378151260504202E-2</c:v>
                </c:pt>
                <c:pt idx="5">
                  <c:v>4.4117647058823529E-3</c:v>
                </c:pt>
                <c:pt idx="6">
                  <c:v>3.802521008403361E-2</c:v>
                </c:pt>
                <c:pt idx="7">
                  <c:v>5.7983193277310927E-2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C6-45A0-851D-E1CFD7D9B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36864"/>
        <c:axId val="160734528"/>
      </c:barChart>
      <c:catAx>
        <c:axId val="195236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0734528"/>
        <c:crosses val="autoZero"/>
        <c:auto val="1"/>
        <c:lblAlgn val="ctr"/>
        <c:lblOffset val="100"/>
        <c:noMultiLvlLbl val="0"/>
      </c:catAx>
      <c:valAx>
        <c:axId val="16073452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95236864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Work!$D$17:$D$24</c:f>
              <c:numCache>
                <c:formatCode>0.0%</c:formatCode>
                <c:ptCount val="8"/>
                <c:pt idx="0">
                  <c:v>0.72393538913362698</c:v>
                </c:pt>
                <c:pt idx="1">
                  <c:v>0.13876651982378854</c:v>
                </c:pt>
                <c:pt idx="2">
                  <c:v>6.0205580029368579E-2</c:v>
                </c:pt>
                <c:pt idx="3">
                  <c:v>2.3494860499265784E-2</c:v>
                </c:pt>
                <c:pt idx="4">
                  <c:v>4.405286343612335E-2</c:v>
                </c:pt>
                <c:pt idx="5">
                  <c:v>2.2026431718061676E-3</c:v>
                </c:pt>
                <c:pt idx="6">
                  <c:v>7.3421439060205578E-3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B-4091-85B6-F77A88BB3773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Work!$I$17:$I$24</c:f>
              <c:numCache>
                <c:formatCode>0.0%</c:formatCode>
                <c:ptCount val="8"/>
                <c:pt idx="0">
                  <c:v>0.72393538913362698</c:v>
                </c:pt>
                <c:pt idx="1">
                  <c:v>0.13876651982378854</c:v>
                </c:pt>
                <c:pt idx="2">
                  <c:v>6.0205580029368579E-2</c:v>
                </c:pt>
                <c:pt idx="3">
                  <c:v>2.3494860499265784E-2</c:v>
                </c:pt>
                <c:pt idx="4">
                  <c:v>4.405286343612335E-2</c:v>
                </c:pt>
                <c:pt idx="5">
                  <c:v>2.2026431718061676E-3</c:v>
                </c:pt>
                <c:pt idx="6">
                  <c:v>7.3421439060205578E-3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DB-4091-85B6-F77A88BB3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123520"/>
        <c:axId val="193422464"/>
      </c:barChart>
      <c:catAx>
        <c:axId val="214123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3422464"/>
        <c:crosses val="autoZero"/>
        <c:auto val="1"/>
        <c:lblAlgn val="ctr"/>
        <c:lblOffset val="100"/>
        <c:noMultiLvlLbl val="0"/>
      </c:catAx>
      <c:valAx>
        <c:axId val="1934224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1412352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School!$D$17:$D$24</c:f>
              <c:numCache>
                <c:formatCode>0.0%</c:formatCode>
                <c:ptCount val="8"/>
                <c:pt idx="0">
                  <c:v>0.11053984575835475</c:v>
                </c:pt>
                <c:pt idx="1">
                  <c:v>0.15424164524421594</c:v>
                </c:pt>
                <c:pt idx="2">
                  <c:v>0.29305912596401029</c:v>
                </c:pt>
                <c:pt idx="3">
                  <c:v>0</c:v>
                </c:pt>
                <c:pt idx="4">
                  <c:v>3.0848329048843187E-2</c:v>
                </c:pt>
                <c:pt idx="5">
                  <c:v>1.0282776349614395E-2</c:v>
                </c:pt>
                <c:pt idx="6">
                  <c:v>4.6272493573264781E-2</c:v>
                </c:pt>
                <c:pt idx="7">
                  <c:v>0.35475578406169667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2-46BF-A9FF-FEE4E0559D04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School!$I$17:$I$24</c:f>
              <c:numCache>
                <c:formatCode>0.0%</c:formatCode>
                <c:ptCount val="8"/>
                <c:pt idx="0">
                  <c:v>0.11053984575835475</c:v>
                </c:pt>
                <c:pt idx="1">
                  <c:v>0.15424164524421594</c:v>
                </c:pt>
                <c:pt idx="2">
                  <c:v>0.29305912596401029</c:v>
                </c:pt>
                <c:pt idx="3">
                  <c:v>0</c:v>
                </c:pt>
                <c:pt idx="4">
                  <c:v>3.0848329048843187E-2</c:v>
                </c:pt>
                <c:pt idx="5">
                  <c:v>1.0282776349614395E-2</c:v>
                </c:pt>
                <c:pt idx="6">
                  <c:v>4.6272493573264781E-2</c:v>
                </c:pt>
                <c:pt idx="7">
                  <c:v>0.35475578406169667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62-46BF-A9FF-FEE4E0559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576256"/>
        <c:axId val="193424192"/>
      </c:barChart>
      <c:catAx>
        <c:axId val="220576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3424192"/>
        <c:crosses val="autoZero"/>
        <c:auto val="1"/>
        <c:lblAlgn val="ctr"/>
        <c:lblOffset val="100"/>
        <c:noMultiLvlLbl val="0"/>
      </c:catAx>
      <c:valAx>
        <c:axId val="19342419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20576256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Escort!$D$17:$D$24</c:f>
              <c:numCache>
                <c:formatCode>0.0%</c:formatCode>
                <c:ptCount val="8"/>
                <c:pt idx="0">
                  <c:v>1.7331022530329288E-3</c:v>
                </c:pt>
                <c:pt idx="1">
                  <c:v>0.42807625649913345</c:v>
                </c:pt>
                <c:pt idx="2">
                  <c:v>0.5493934142114385</c:v>
                </c:pt>
                <c:pt idx="3">
                  <c:v>0</c:v>
                </c:pt>
                <c:pt idx="4">
                  <c:v>0</c:v>
                </c:pt>
                <c:pt idx="5">
                  <c:v>1.7331022530329288E-3</c:v>
                </c:pt>
                <c:pt idx="6">
                  <c:v>1.9064124783362217E-2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2F-41DD-AF77-D713F40F7B63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Escort!$I$17:$I$24</c:f>
              <c:numCache>
                <c:formatCode>0.0%</c:formatCode>
                <c:ptCount val="8"/>
                <c:pt idx="0">
                  <c:v>1.7331022530329288E-3</c:v>
                </c:pt>
                <c:pt idx="1">
                  <c:v>0.42807625649913345</c:v>
                </c:pt>
                <c:pt idx="2">
                  <c:v>0.5493934142114385</c:v>
                </c:pt>
                <c:pt idx="3">
                  <c:v>0</c:v>
                </c:pt>
                <c:pt idx="4">
                  <c:v>0</c:v>
                </c:pt>
                <c:pt idx="5">
                  <c:v>1.7331022530329288E-3</c:v>
                </c:pt>
                <c:pt idx="6">
                  <c:v>1.9064124783362217E-2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2F-41DD-AF77-D713F40F7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321472"/>
        <c:axId val="193426496"/>
      </c:barChart>
      <c:catAx>
        <c:axId val="249321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3426496"/>
        <c:crosses val="autoZero"/>
        <c:auto val="1"/>
        <c:lblAlgn val="ctr"/>
        <c:lblOffset val="100"/>
        <c:noMultiLvlLbl val="0"/>
      </c:catAx>
      <c:valAx>
        <c:axId val="19342649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4932147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Personal_Business!$D$17:$D$24</c:f>
              <c:numCache>
                <c:formatCode>0.0%</c:formatCode>
                <c:ptCount val="8"/>
                <c:pt idx="0">
                  <c:v>0.59904534606205251</c:v>
                </c:pt>
                <c:pt idx="1">
                  <c:v>0.21241050119331742</c:v>
                </c:pt>
                <c:pt idx="2">
                  <c:v>0.13603818615751789</c:v>
                </c:pt>
                <c:pt idx="3">
                  <c:v>0</c:v>
                </c:pt>
                <c:pt idx="4">
                  <c:v>1.1933174224343675E-2</c:v>
                </c:pt>
                <c:pt idx="5">
                  <c:v>7.1599045346062056E-3</c:v>
                </c:pt>
                <c:pt idx="6">
                  <c:v>3.3412887828162291E-2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0A-43F2-83AC-95B36B0034E4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Personal_Business!$I$17:$I$24</c:f>
              <c:numCache>
                <c:formatCode>0.0%</c:formatCode>
                <c:ptCount val="8"/>
                <c:pt idx="0">
                  <c:v>0.59904534606205251</c:v>
                </c:pt>
                <c:pt idx="1">
                  <c:v>0.21241050119331742</c:v>
                </c:pt>
                <c:pt idx="2">
                  <c:v>0.13603818615751789</c:v>
                </c:pt>
                <c:pt idx="3">
                  <c:v>0</c:v>
                </c:pt>
                <c:pt idx="4">
                  <c:v>1.1933174224343675E-2</c:v>
                </c:pt>
                <c:pt idx="5">
                  <c:v>7.1599045346062056E-3</c:v>
                </c:pt>
                <c:pt idx="6">
                  <c:v>3.3412887828162291E-2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0A-43F2-83AC-95B36B003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3248"/>
        <c:axId val="193428224"/>
      </c:barChart>
      <c:catAx>
        <c:axId val="289333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3428224"/>
        <c:crosses val="autoZero"/>
        <c:auto val="1"/>
        <c:lblAlgn val="ctr"/>
        <c:lblOffset val="100"/>
        <c:noMultiLvlLbl val="0"/>
      </c:catAx>
      <c:valAx>
        <c:axId val="19342822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324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Shop!$D$17:$D$24</c:f>
              <c:numCache>
                <c:formatCode>0.0%</c:formatCode>
                <c:ptCount val="8"/>
                <c:pt idx="0">
                  <c:v>0.62043795620437958</c:v>
                </c:pt>
                <c:pt idx="1">
                  <c:v>0.26277372262773724</c:v>
                </c:pt>
                <c:pt idx="2">
                  <c:v>9.4890510948905105E-2</c:v>
                </c:pt>
                <c:pt idx="3">
                  <c:v>0</c:v>
                </c:pt>
                <c:pt idx="4">
                  <c:v>7.2992700729927005E-3</c:v>
                </c:pt>
                <c:pt idx="5">
                  <c:v>7.2992700729927005E-3</c:v>
                </c:pt>
                <c:pt idx="6">
                  <c:v>7.2992700729927005E-3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58-4F6B-96BB-BD1290868D47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Shop!$I$17:$I$24</c:f>
              <c:numCache>
                <c:formatCode>0.0%</c:formatCode>
                <c:ptCount val="8"/>
                <c:pt idx="0">
                  <c:v>0.62043795620437958</c:v>
                </c:pt>
                <c:pt idx="1">
                  <c:v>0.26277372262773724</c:v>
                </c:pt>
                <c:pt idx="2">
                  <c:v>9.4890510948905105E-2</c:v>
                </c:pt>
                <c:pt idx="3">
                  <c:v>0</c:v>
                </c:pt>
                <c:pt idx="4">
                  <c:v>7.2992700729927005E-3</c:v>
                </c:pt>
                <c:pt idx="5">
                  <c:v>7.2992700729927005E-3</c:v>
                </c:pt>
                <c:pt idx="6">
                  <c:v>7.2992700729927005E-3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58-4F6B-96BB-BD1290868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5808"/>
        <c:axId val="160733952"/>
      </c:barChart>
      <c:catAx>
        <c:axId val="289335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0733952"/>
        <c:crosses val="autoZero"/>
        <c:auto val="1"/>
        <c:lblAlgn val="ctr"/>
        <c:lblOffset val="100"/>
        <c:noMultiLvlLbl val="0"/>
      </c:catAx>
      <c:valAx>
        <c:axId val="16073395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580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Meal!$D$17:$D$24</c:f>
              <c:numCache>
                <c:formatCode>0.0%</c:formatCode>
                <c:ptCount val="8"/>
                <c:pt idx="0">
                  <c:v>0.31379310344827588</c:v>
                </c:pt>
                <c:pt idx="1">
                  <c:v>0.4</c:v>
                </c:pt>
                <c:pt idx="2">
                  <c:v>0.20689655172413793</c:v>
                </c:pt>
                <c:pt idx="3">
                  <c:v>0</c:v>
                </c:pt>
                <c:pt idx="4">
                  <c:v>3.4482758620689655E-3</c:v>
                </c:pt>
                <c:pt idx="5">
                  <c:v>0</c:v>
                </c:pt>
                <c:pt idx="6">
                  <c:v>7.586206896551724E-2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4C-4D0A-AF24-5A8311B5AF41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Meal!$I$17:$I$24</c:f>
              <c:numCache>
                <c:formatCode>0.0%</c:formatCode>
                <c:ptCount val="8"/>
                <c:pt idx="0">
                  <c:v>0.31379310344827588</c:v>
                </c:pt>
                <c:pt idx="1">
                  <c:v>0.4</c:v>
                </c:pt>
                <c:pt idx="2">
                  <c:v>0.20689655172413793</c:v>
                </c:pt>
                <c:pt idx="3">
                  <c:v>0</c:v>
                </c:pt>
                <c:pt idx="4">
                  <c:v>3.4482758620689655E-3</c:v>
                </c:pt>
                <c:pt idx="5">
                  <c:v>0</c:v>
                </c:pt>
                <c:pt idx="6">
                  <c:v>7.586206896551724E-2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4C-4D0A-AF24-5A8311B5A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7904"/>
        <c:axId val="216935232"/>
      </c:barChart>
      <c:catAx>
        <c:axId val="308347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6935232"/>
        <c:crosses val="autoZero"/>
        <c:auto val="1"/>
        <c:lblAlgn val="ctr"/>
        <c:lblOffset val="100"/>
        <c:noMultiLvlLbl val="0"/>
      </c:catAx>
      <c:valAx>
        <c:axId val="21693523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7904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SocRec!$D$17:$D$24</c:f>
              <c:numCache>
                <c:formatCode>0.0%</c:formatCode>
                <c:ptCount val="8"/>
                <c:pt idx="0">
                  <c:v>0.46326276463262767</c:v>
                </c:pt>
                <c:pt idx="1">
                  <c:v>0.30635118306351183</c:v>
                </c:pt>
                <c:pt idx="2">
                  <c:v>0.16811955168119552</c:v>
                </c:pt>
                <c:pt idx="3">
                  <c:v>0</c:v>
                </c:pt>
                <c:pt idx="4">
                  <c:v>6.2266500622665004E-3</c:v>
                </c:pt>
                <c:pt idx="5">
                  <c:v>2.4906600249066002E-3</c:v>
                </c:pt>
                <c:pt idx="6">
                  <c:v>5.3549190535491904E-2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9-4B66-97AE-079F781CE709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SocRec!$I$17:$I$24</c:f>
              <c:numCache>
                <c:formatCode>0.0%</c:formatCode>
                <c:ptCount val="8"/>
                <c:pt idx="0">
                  <c:v>0.46326276463262767</c:v>
                </c:pt>
                <c:pt idx="1">
                  <c:v>0.30635118306351183</c:v>
                </c:pt>
                <c:pt idx="2">
                  <c:v>0.16811955168119552</c:v>
                </c:pt>
                <c:pt idx="3">
                  <c:v>0</c:v>
                </c:pt>
                <c:pt idx="4">
                  <c:v>6.2266500622665004E-3</c:v>
                </c:pt>
                <c:pt idx="5">
                  <c:v>2.4906600249066002E-3</c:v>
                </c:pt>
                <c:pt idx="6">
                  <c:v>5.3549190535491904E-2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B9-4B66-97AE-079F781CE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9952"/>
        <c:axId val="160727616"/>
      </c:barChart>
      <c:catAx>
        <c:axId val="308349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0727616"/>
        <c:crosses val="autoZero"/>
        <c:auto val="1"/>
        <c:lblAlgn val="ctr"/>
        <c:lblOffset val="100"/>
        <c:noMultiLvlLbl val="0"/>
      </c:catAx>
      <c:valAx>
        <c:axId val="16072761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995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Workbased!$I$18:$I$24</c:f>
              <c:numCache>
                <c:formatCode>0.0%</c:formatCode>
                <c:ptCount val="7"/>
                <c:pt idx="0">
                  <c:v>0.58121827411167515</c:v>
                </c:pt>
                <c:pt idx="1">
                  <c:v>0.21573604060913706</c:v>
                </c:pt>
                <c:pt idx="2">
                  <c:v>8.1218274111675121E-2</c:v>
                </c:pt>
                <c:pt idx="3">
                  <c:v>0</c:v>
                </c:pt>
                <c:pt idx="4">
                  <c:v>2.5380710659898475E-3</c:v>
                </c:pt>
                <c:pt idx="5">
                  <c:v>7.6142131979695434E-3</c:v>
                </c:pt>
                <c:pt idx="6">
                  <c:v>0.1116751269035533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D1-48F5-94BA-4ADB3BAA82B6}"/>
            </c:ext>
          </c:extLst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Workbased!$S$18:$S$24</c:f>
              <c:numCache>
                <c:formatCode>0.0%</c:formatCode>
                <c:ptCount val="7"/>
                <c:pt idx="0">
                  <c:v>0.58121827411167515</c:v>
                </c:pt>
                <c:pt idx="1">
                  <c:v>0.21573604060913706</c:v>
                </c:pt>
                <c:pt idx="2">
                  <c:v>8.1218274111675121E-2</c:v>
                </c:pt>
                <c:pt idx="3">
                  <c:v>0</c:v>
                </c:pt>
                <c:pt idx="4">
                  <c:v>2.5380710659898475E-3</c:v>
                </c:pt>
                <c:pt idx="5">
                  <c:v>7.6142131979695434E-3</c:v>
                </c:pt>
                <c:pt idx="6">
                  <c:v>0.1116751269035533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D1-48F5-94BA-4ADB3BAA8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864000"/>
        <c:axId val="216936960"/>
      </c:barChart>
      <c:catAx>
        <c:axId val="308864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6936960"/>
        <c:crosses val="autoZero"/>
        <c:auto val="1"/>
        <c:lblAlgn val="ctr"/>
        <c:lblOffset val="100"/>
        <c:noMultiLvlLbl val="0"/>
      </c:catAx>
      <c:valAx>
        <c:axId val="21693696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86400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6</xdr:col>
      <xdr:colOff>38100</xdr:colOff>
      <xdr:row>11</xdr:row>
      <xdr:rowOff>14287</xdr:rowOff>
    </xdr:from>
    <xdr:to>
      <xdr:col>13</xdr:col>
      <xdr:colOff>342900</xdr:colOff>
      <xdr:row>25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0</xdr:colOff>
      <xdr:row>12</xdr:row>
      <xdr:rowOff>0</xdr:rowOff>
    </xdr:from>
    <xdr:to>
      <xdr:col>17</xdr:col>
      <xdr:colOff>371475</xdr:colOff>
      <xdr:row>26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104775</xdr:colOff>
      <xdr:row>9</xdr:row>
      <xdr:rowOff>19050</xdr:rowOff>
    </xdr:from>
    <xdr:to>
      <xdr:col>15</xdr:col>
      <xdr:colOff>581025</xdr:colOff>
      <xdr:row>23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5</xdr:row>
      <xdr:rowOff>0</xdr:rowOff>
    </xdr:from>
    <xdr:to>
      <xdr:col>15</xdr:col>
      <xdr:colOff>476250</xdr:colOff>
      <xdr:row>19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8</xdr:row>
      <xdr:rowOff>0</xdr:rowOff>
    </xdr:from>
    <xdr:to>
      <xdr:col>15</xdr:col>
      <xdr:colOff>476250</xdr:colOff>
      <xdr:row>22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11</xdr:row>
      <xdr:rowOff>0</xdr:rowOff>
    </xdr:from>
    <xdr:to>
      <xdr:col>15</xdr:col>
      <xdr:colOff>476250</xdr:colOff>
      <xdr:row>25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10</xdr:row>
      <xdr:rowOff>0</xdr:rowOff>
    </xdr:from>
    <xdr:to>
      <xdr:col>15</xdr:col>
      <xdr:colOff>476250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10</xdr:col>
      <xdr:colOff>0</xdr:colOff>
      <xdr:row>9</xdr:row>
      <xdr:rowOff>0</xdr:rowOff>
    </xdr:from>
    <xdr:to>
      <xdr:col>15</xdr:col>
      <xdr:colOff>476250</xdr:colOff>
      <xdr:row>23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0</xdr:colOff>
      <xdr:row>10</xdr:row>
      <xdr:rowOff>0</xdr:rowOff>
    </xdr:from>
    <xdr:to>
      <xdr:col>27</xdr:col>
      <xdr:colOff>304800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S38"/>
  <sheetViews>
    <sheetView tabSelected="1" workbookViewId="0">
      <selection activeCell="A2" sqref="A2"/>
    </sheetView>
  </sheetViews>
  <sheetFormatPr defaultRowHeight="14.25" x14ac:dyDescent="0.45"/>
  <cols>
    <col min="1" max="2" customWidth="true" width="16.73046875" collapsed="true"/>
    <col min="4" max="5" customWidth="true" width="16.73046875" collapsed="true"/>
    <col min="15" max="15" bestFit="true" customWidth="true" width="14.1328125" collapsed="true"/>
  </cols>
  <sheetData>
    <row ht="14.65" r="2" spans="1:19" thickBot="1" x14ac:dyDescent="0.5">
      <c r="A2" s="1" t="s">
        <v>47</v>
      </c>
      <c r="B2" s="3"/>
      <c r="D2" s="1" t="s">
        <v>27</v>
      </c>
      <c r="E2" s="3"/>
    </row>
    <row r="3" spans="1:19" x14ac:dyDescent="0.45">
      <c r="A3" s="2" t="s">
        <v>0</v>
      </c>
      <c r="B3" s="7" t="s">
        <v>12</v>
      </c>
      <c r="D3" s="2" t="s">
        <v>0</v>
      </c>
      <c r="E3" s="7" t="s">
        <v>12</v>
      </c>
    </row>
    <row r="4" spans="1:19" x14ac:dyDescent="0.45">
      <c r="A4" s="9" t="s">
        <v>1</v>
      </c>
      <c r="B4" s="9">
        <f>SUM(Work!D4,Workbased!I5,School!D4,Escort!D4,Personal_Business!D4,Shop!D4,Meal!D4,SocRec!D4)</f>
        <v>2101000</v>
      </c>
      <c r="D4" s="9" t="s">
        <v>1</v>
      </c>
      <c r="E4" s="9">
        <f>SUM(Work!I4,Workbased!S5,School!I4,Escort!I4,Personal_Business!I4,Shop!I4,Meal!I4,SocRec!I4)</f>
        <v>2101000</v>
      </c>
    </row>
    <row r="5" spans="1:19" x14ac:dyDescent="0.45">
      <c r="A5" s="9" t="s">
        <v>2</v>
      </c>
      <c r="B5" s="9">
        <f>SUM(Work!D5,Workbased!I6,School!D5,Escort!D5,Personal_Business!D5,Shop!D5,Meal!D5,SocRec!D5)</f>
        <v>1128000</v>
      </c>
      <c r="D5" s="9" t="s">
        <v>2</v>
      </c>
      <c r="E5" s="9">
        <f>SUM(Work!I5,Workbased!S6,School!I5,Escort!I5,Personal_Business!I5,Shop!I5,Meal!I5,SocRec!I5)</f>
        <v>1128000</v>
      </c>
      <c r="P5" s="34" t="s">
        <v>25</v>
      </c>
      <c r="Q5" s="34"/>
      <c r="R5" s="34" t="s">
        <v>26</v>
      </c>
      <c r="S5" s="34"/>
    </row>
    <row r="6" spans="1:19" x14ac:dyDescent="0.45">
      <c r="A6" s="9" t="s">
        <v>3</v>
      </c>
      <c r="B6" s="9">
        <f>SUM(Work!D6,Workbased!I7,School!D6,Escort!D6,Personal_Business!D6,Shop!D6,Meal!D6,SocRec!D6)</f>
        <v>924000</v>
      </c>
      <c r="D6" s="9" t="s">
        <v>3</v>
      </c>
      <c r="E6" s="9">
        <f>SUM(Work!I6,Workbased!S7,School!I6,Escort!I6,Personal_Business!I6,Shop!I6,Meal!I6,SocRec!I6)</f>
        <v>924000</v>
      </c>
      <c r="P6" t="s">
        <v>24</v>
      </c>
      <c r="Q6" t="s">
        <v>13</v>
      </c>
      <c r="R6" t="s">
        <v>24</v>
      </c>
      <c r="S6" t="s">
        <v>13</v>
      </c>
    </row>
    <row r="7" spans="1:19" x14ac:dyDescent="0.45">
      <c r="A7" s="9" t="s">
        <v>4</v>
      </c>
      <c r="B7" s="9">
        <f>SUM(Work!D7,Workbased!I8,School!D7,Escort!D7,Personal_Business!D7,Shop!D7,Meal!D7,SocRec!D7)</f>
        <v>32000</v>
      </c>
      <c r="D7" s="9" t="s">
        <v>4</v>
      </c>
      <c r="E7" s="9">
        <f>SUM(Work!I7,Workbased!S8,School!I7,Escort!I7,Personal_Business!I7,Shop!I7,Meal!I7,SocRec!I7)</f>
        <v>32000</v>
      </c>
      <c r="O7" s="9" t="str">
        <f>A4</f>
        <v>Drive Alone</v>
      </c>
      <c r="P7" s="9">
        <f>B4</f>
        <v>2101000</v>
      </c>
      <c r="Q7" s="9">
        <f>E4</f>
        <v>2101000</v>
      </c>
      <c r="R7" s="16">
        <f>B17</f>
        <v>0.44138655462184873</v>
      </c>
      <c r="S7" s="16">
        <f>E17</f>
        <v>0.44138655462184873</v>
      </c>
    </row>
    <row r="8" spans="1:19" x14ac:dyDescent="0.45">
      <c r="A8" s="9" t="s">
        <v>5</v>
      </c>
      <c r="B8" s="9">
        <f>SUM(Work!D8,Workbased!I9,School!D8,Escort!D8,Personal_Business!D8,Shop!D8,Meal!D8,SocRec!D8)</f>
        <v>97000</v>
      </c>
      <c r="D8" s="9" t="s">
        <v>5</v>
      </c>
      <c r="E8" s="9">
        <f>SUM(Work!I8,Workbased!S9,School!I8,Escort!I8,Personal_Business!I8,Shop!I8,Meal!I8,SocRec!I8)</f>
        <v>97000</v>
      </c>
      <c r="O8" s="9" t="str">
        <f ref="O8:O14" si="0" t="shared">A5</f>
        <v>Shared Ride 2</v>
      </c>
      <c r="P8" s="9">
        <f ref="P8:P15" si="1" t="shared">B5</f>
        <v>1128000</v>
      </c>
      <c r="Q8" s="9">
        <f ref="Q8:Q15" si="2" t="shared">E5</f>
        <v>1128000</v>
      </c>
      <c r="R8" s="16">
        <f ref="R8:R15" si="3" t="shared">B18</f>
        <v>0.23697478991596638</v>
      </c>
      <c r="S8" s="16">
        <f ref="S8:S15" si="4" t="shared">E18</f>
        <v>0.23697478991596638</v>
      </c>
    </row>
    <row r="9" spans="1:19" x14ac:dyDescent="0.45">
      <c r="A9" s="9" t="s">
        <v>6</v>
      </c>
      <c r="B9" s="9">
        <f>SUM(Work!D9,Workbased!I10,School!D9,Escort!D9,Personal_Business!D9,Shop!D9,Meal!D9,SocRec!D9)</f>
        <v>21000</v>
      </c>
      <c r="D9" s="9" t="s">
        <v>6</v>
      </c>
      <c r="E9" s="9">
        <f>SUM(Work!I9,Workbased!S10,School!I9,Escort!I9,Personal_Business!I9,Shop!I9,Meal!I9,SocRec!I9)</f>
        <v>21000</v>
      </c>
      <c r="O9" s="9" t="str">
        <f si="0" t="shared"/>
        <v>Shared Ride 3+</v>
      </c>
      <c r="P9" s="9">
        <f si="1" t="shared"/>
        <v>924000</v>
      </c>
      <c r="Q9" s="9">
        <f si="2" t="shared"/>
        <v>924000</v>
      </c>
      <c r="R9" s="16">
        <f si="3" t="shared"/>
        <v>0.19411764705882353</v>
      </c>
      <c r="S9" s="16">
        <f si="4" t="shared"/>
        <v>0.19411764705882353</v>
      </c>
    </row>
    <row r="10" spans="1:19" x14ac:dyDescent="0.45">
      <c r="A10" s="9" t="s">
        <v>7</v>
      </c>
      <c r="B10" s="9">
        <f>SUM(Work!D10,Workbased!I11,School!D10,Escort!D10,Personal_Business!D10,Shop!D10,Meal!D10,SocRec!D10)</f>
        <v>181000</v>
      </c>
      <c r="D10" s="9" t="s">
        <v>7</v>
      </c>
      <c r="E10" s="9">
        <f>SUM(Work!I10,Workbased!S11,School!I10,Escort!I10,Personal_Business!I10,Shop!I10,Meal!I10,SocRec!I10)</f>
        <v>181000</v>
      </c>
      <c r="O10" s="9" t="str">
        <f si="0" t="shared"/>
        <v>Drive-Transit</v>
      </c>
      <c r="P10" s="9">
        <f si="1" t="shared"/>
        <v>32000</v>
      </c>
      <c r="Q10" s="9">
        <f si="2" t="shared"/>
        <v>32000</v>
      </c>
      <c r="R10" s="16">
        <f si="3" t="shared"/>
        <v>6.7226890756302525E-3</v>
      </c>
      <c r="S10" s="16">
        <f si="4" t="shared"/>
        <v>6.7226890756302525E-3</v>
      </c>
    </row>
    <row r="11" spans="1:19" x14ac:dyDescent="0.45">
      <c r="A11" s="14" t="s">
        <v>8</v>
      </c>
      <c r="B11" s="14">
        <f>SUM(Work!D11,School!D11,Escort!D11,Personal_Business!D11,Shop!D11,Meal!D11,SocRec!D11)</f>
        <v>276000</v>
      </c>
      <c r="D11" s="14" t="s">
        <v>8</v>
      </c>
      <c r="E11" s="14">
        <f>SUM(Work!I11,School!I11,Escort!I11,Personal_Business!I11,Shop!I11,Meal!I11,SocRec!I11)</f>
        <v>276000</v>
      </c>
      <c r="O11" s="9" t="str">
        <f si="0" t="shared"/>
        <v>Walk-Transit</v>
      </c>
      <c r="P11" s="9">
        <f si="1" t="shared"/>
        <v>97000</v>
      </c>
      <c r="Q11" s="9">
        <f si="2" t="shared"/>
        <v>97000</v>
      </c>
      <c r="R11" s="16">
        <f si="3" t="shared"/>
        <v>2.0378151260504202E-2</v>
      </c>
      <c r="S11" s="16">
        <f si="4" t="shared"/>
        <v>2.0378151260504202E-2</v>
      </c>
    </row>
    <row ht="14.65" r="12" spans="1:19" thickBot="1" x14ac:dyDescent="0.5">
      <c r="A12" s="13" t="s">
        <v>12</v>
      </c>
      <c r="B12" s="10">
        <f>SUM(B4:B11)</f>
        <v>4760000</v>
      </c>
      <c r="D12" s="13" t="s">
        <v>12</v>
      </c>
      <c r="E12" s="10">
        <f>SUM(E4:E11)</f>
        <v>4760000</v>
      </c>
      <c r="O12" s="9" t="str">
        <f si="0" t="shared"/>
        <v>Bike</v>
      </c>
      <c r="P12" s="9">
        <f si="1" t="shared"/>
        <v>21000</v>
      </c>
      <c r="Q12" s="9">
        <f si="2" t="shared"/>
        <v>21000</v>
      </c>
      <c r="R12" s="16">
        <f si="3" t="shared"/>
        <v>4.4117647058823529E-3</v>
      </c>
      <c r="S12" s="16">
        <f si="4" t="shared"/>
        <v>4.4117647058823529E-3</v>
      </c>
    </row>
    <row r="13" spans="1:19" x14ac:dyDescent="0.45">
      <c r="O13" s="9" t="str">
        <f si="0" t="shared"/>
        <v>Walk</v>
      </c>
      <c r="P13" s="9">
        <f si="1" t="shared"/>
        <v>181000</v>
      </c>
      <c r="Q13" s="9">
        <f si="2" t="shared"/>
        <v>181000</v>
      </c>
      <c r="R13" s="16">
        <f si="3" t="shared"/>
        <v>3.802521008403361E-2</v>
      </c>
      <c r="S13" s="16">
        <f si="4" t="shared"/>
        <v>3.802521008403361E-2</v>
      </c>
    </row>
    <row r="14" spans="1:19" x14ac:dyDescent="0.45">
      <c r="E14" s="8"/>
      <c r="O14" s="9" t="str">
        <f si="0" t="shared"/>
        <v>School Bus</v>
      </c>
      <c r="P14" s="9">
        <f si="1" t="shared"/>
        <v>276000</v>
      </c>
      <c r="Q14" s="9">
        <f si="2" t="shared"/>
        <v>276000</v>
      </c>
      <c r="R14" s="16">
        <f si="3" t="shared"/>
        <v>5.7983193277310927E-2</v>
      </c>
      <c r="S14" s="16">
        <f si="4" t="shared"/>
        <v>5.7983193277310927E-2</v>
      </c>
    </row>
    <row ht="14.65" r="15" spans="1:19" thickBot="1" x14ac:dyDescent="0.5">
      <c r="A15" s="1" t="s">
        <v>48</v>
      </c>
      <c r="B15" s="3"/>
      <c r="D15" s="1" t="s">
        <v>28</v>
      </c>
      <c r="E15" s="3"/>
      <c r="O15" s="9" t="str">
        <f>A12</f>
        <v>Total</v>
      </c>
      <c r="P15" s="9">
        <f si="1" t="shared"/>
        <v>4760000</v>
      </c>
      <c r="Q15" s="9">
        <f si="2" t="shared"/>
        <v>4760000</v>
      </c>
      <c r="R15" s="16">
        <f si="3" t="shared"/>
        <v>1</v>
      </c>
      <c r="S15" s="16">
        <f si="4" t="shared"/>
        <v>1</v>
      </c>
    </row>
    <row r="16" spans="1:19" x14ac:dyDescent="0.45">
      <c r="A16" s="2" t="s">
        <v>0</v>
      </c>
      <c r="B16" s="7" t="s">
        <v>12</v>
      </c>
      <c r="D16" s="2" t="s">
        <v>0</v>
      </c>
      <c r="E16" s="7" t="s">
        <v>12</v>
      </c>
    </row>
    <row r="17" spans="1:5" x14ac:dyDescent="0.45">
      <c r="A17" s="9" t="s">
        <v>1</v>
      </c>
      <c r="B17" s="16">
        <f ref="B17:B25" si="5" t="shared">B4/$B$12</f>
        <v>0.44138655462184873</v>
      </c>
      <c r="D17" s="9" t="s">
        <v>1</v>
      </c>
      <c r="E17" s="16">
        <f ref="E17:E25" si="6" t="shared">E4/$E$12</f>
        <v>0.44138655462184873</v>
      </c>
    </row>
    <row r="18" spans="1:5" x14ac:dyDescent="0.45">
      <c r="A18" s="9" t="s">
        <v>2</v>
      </c>
      <c r="B18" s="16">
        <f si="5" t="shared"/>
        <v>0.23697478991596638</v>
      </c>
      <c r="D18" s="9" t="s">
        <v>2</v>
      </c>
      <c r="E18" s="16">
        <f si="6" t="shared"/>
        <v>0.23697478991596638</v>
      </c>
    </row>
    <row r="19" spans="1:5" x14ac:dyDescent="0.45">
      <c r="A19" s="9" t="s">
        <v>3</v>
      </c>
      <c r="B19" s="16">
        <f si="5" t="shared"/>
        <v>0.19411764705882353</v>
      </c>
      <c r="D19" s="9" t="s">
        <v>3</v>
      </c>
      <c r="E19" s="16">
        <f si="6" t="shared"/>
        <v>0.19411764705882353</v>
      </c>
    </row>
    <row r="20" spans="1:5" x14ac:dyDescent="0.45">
      <c r="A20" s="9" t="s">
        <v>4</v>
      </c>
      <c r="B20" s="16">
        <f si="5" t="shared"/>
        <v>6.7226890756302525E-3</v>
      </c>
      <c r="D20" s="9" t="s">
        <v>4</v>
      </c>
      <c r="E20" s="16">
        <f si="6" t="shared"/>
        <v>6.7226890756302525E-3</v>
      </c>
    </row>
    <row r="21" spans="1:5" x14ac:dyDescent="0.45">
      <c r="A21" s="9" t="s">
        <v>5</v>
      </c>
      <c r="B21" s="16">
        <f si="5" t="shared"/>
        <v>2.0378151260504202E-2</v>
      </c>
      <c r="D21" s="9" t="s">
        <v>5</v>
      </c>
      <c r="E21" s="16">
        <f si="6" t="shared"/>
        <v>2.0378151260504202E-2</v>
      </c>
    </row>
    <row r="22" spans="1:5" x14ac:dyDescent="0.45">
      <c r="A22" s="9" t="s">
        <v>6</v>
      </c>
      <c r="B22" s="16">
        <f si="5" t="shared"/>
        <v>4.4117647058823529E-3</v>
      </c>
      <c r="D22" s="9" t="s">
        <v>6</v>
      </c>
      <c r="E22" s="16">
        <f si="6" t="shared"/>
        <v>4.4117647058823529E-3</v>
      </c>
    </row>
    <row r="23" spans="1:5" x14ac:dyDescent="0.45">
      <c r="A23" s="9" t="s">
        <v>7</v>
      </c>
      <c r="B23" s="16">
        <f si="5" t="shared"/>
        <v>3.802521008403361E-2</v>
      </c>
      <c r="D23" s="9" t="s">
        <v>7</v>
      </c>
      <c r="E23" s="16">
        <f si="6" t="shared"/>
        <v>3.802521008403361E-2</v>
      </c>
    </row>
    <row r="24" spans="1:5" x14ac:dyDescent="0.45">
      <c r="A24" s="14" t="s">
        <v>8</v>
      </c>
      <c r="B24" s="17">
        <f si="5" t="shared"/>
        <v>5.7983193277310927E-2</v>
      </c>
      <c r="D24" s="14" t="s">
        <v>8</v>
      </c>
      <c r="E24" s="17">
        <f si="6" t="shared"/>
        <v>5.7983193277310927E-2</v>
      </c>
    </row>
    <row ht="14.65" r="25" spans="1:5" thickBot="1" x14ac:dyDescent="0.5">
      <c r="A25" s="13" t="s">
        <v>12</v>
      </c>
      <c r="B25" s="18">
        <f si="5" t="shared"/>
        <v>1</v>
      </c>
      <c r="D25" s="13" t="s">
        <v>12</v>
      </c>
      <c r="E25" s="18">
        <f si="6" t="shared"/>
        <v>1</v>
      </c>
    </row>
    <row ht="14.65" r="28" spans="1:5" thickBot="1" x14ac:dyDescent="0.5">
      <c r="D28" s="1" t="s">
        <v>38</v>
      </c>
      <c r="E28" s="3"/>
    </row>
    <row r="29" spans="1:5" x14ac:dyDescent="0.45">
      <c r="D29" s="2" t="s">
        <v>0</v>
      </c>
      <c r="E29" s="7" t="s">
        <v>12</v>
      </c>
    </row>
    <row r="30" spans="1:5" x14ac:dyDescent="0.45">
      <c r="D30" s="9" t="s">
        <v>1</v>
      </c>
      <c r="E30" s="16">
        <f>E17-B17</f>
        <v>0</v>
      </c>
    </row>
    <row r="31" spans="1:5" x14ac:dyDescent="0.45">
      <c r="D31" s="9" t="s">
        <v>2</v>
      </c>
      <c r="E31" s="16">
        <f ref="E31:E36" si="7" t="shared">E18-B18</f>
        <v>0</v>
      </c>
    </row>
    <row r="32" spans="1:5" x14ac:dyDescent="0.45">
      <c r="D32" s="9" t="s">
        <v>3</v>
      </c>
      <c r="E32" s="16">
        <f si="7" t="shared"/>
        <v>0</v>
      </c>
    </row>
    <row r="33" spans="4:5" x14ac:dyDescent="0.45">
      <c r="D33" s="9" t="s">
        <v>4</v>
      </c>
      <c r="E33" s="16">
        <f si="7" t="shared"/>
        <v>0</v>
      </c>
    </row>
    <row r="34" spans="4:5" x14ac:dyDescent="0.45">
      <c r="D34" s="9" t="s">
        <v>5</v>
      </c>
      <c r="E34" s="16">
        <f si="7" t="shared"/>
        <v>0</v>
      </c>
    </row>
    <row r="35" spans="4:5" x14ac:dyDescent="0.45">
      <c r="D35" s="9" t="s">
        <v>6</v>
      </c>
      <c r="E35" s="16">
        <f si="7" t="shared"/>
        <v>0</v>
      </c>
    </row>
    <row r="36" spans="4:5" x14ac:dyDescent="0.45">
      <c r="D36" s="9" t="s">
        <v>7</v>
      </c>
      <c r="E36" s="16">
        <f si="7" t="shared"/>
        <v>0</v>
      </c>
    </row>
    <row r="37" spans="4:5" x14ac:dyDescent="0.45">
      <c r="D37" s="14" t="s">
        <v>8</v>
      </c>
      <c r="E37" s="17">
        <f>E24-B24</f>
        <v>0</v>
      </c>
    </row>
    <row ht="14.65" r="38" spans="4:5" thickBot="1" x14ac:dyDescent="0.5">
      <c r="D38" s="13" t="s">
        <v>12</v>
      </c>
      <c r="E38" s="18">
        <f>E25-B25</f>
        <v>0</v>
      </c>
    </row>
  </sheetData>
  <mergeCells count="2">
    <mergeCell ref="P5:Q5"/>
    <mergeCell ref="R5:S5"/>
  </mergeCells>
  <pageMargins bottom="0.75" footer="0.3" header="0.3" left="0.7" right="0.7" top="0.75"/>
  <pageSetup orientation="portrait" r:id="rId1" verticalDpi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N38"/>
  <sheetViews>
    <sheetView topLeftCell="D1" workbookViewId="0">
      <selection activeCell="T16" sqref="T16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ht="14.65" r="2" spans="1:9" thickBot="1" x14ac:dyDescent="0.5">
      <c r="A2" s="1" t="s">
        <v>49</v>
      </c>
      <c r="B2" s="1"/>
      <c r="C2" s="3"/>
      <c r="D2" s="3"/>
      <c r="F2" s="1" t="s">
        <v>29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12</v>
      </c>
      <c r="F3" s="2" t="s">
        <v>0</v>
      </c>
      <c r="G3" s="4" t="s">
        <v>9</v>
      </c>
      <c r="H3" s="4" t="s">
        <v>10</v>
      </c>
      <c r="I3" s="7" t="s">
        <v>12</v>
      </c>
    </row>
    <row r="4" spans="1:9" x14ac:dyDescent="0.45">
      <c r="A4" s="9" t="s">
        <v>1</v>
      </c>
      <c r="B4" s="9" t="n">
        <v>0.0</v>
      </c>
      <c r="C4" s="9" t="n">
        <v>1000000.0</v>
      </c>
      <c r="D4" s="9">
        <f>SUM(B4:C4)</f>
        <v>986000</v>
      </c>
      <c r="F4" s="9" t="s">
        <v>1</v>
      </c>
      <c r="G4" s="9" t="n">
        <v>0.0</v>
      </c>
      <c r="H4" s="9" t="n">
        <v>1000000.0</v>
      </c>
      <c r="I4" s="9">
        <f>SUM(G4:H4)</f>
        <v>986000</v>
      </c>
    </row>
    <row r="5" spans="1:9" x14ac:dyDescent="0.45">
      <c r="A5" s="9" t="s">
        <v>2</v>
      </c>
      <c r="B5" s="9" t="n">
        <v>0.0</v>
      </c>
      <c r="C5" s="9" t="n">
        <v>240000.0</v>
      </c>
      <c r="D5" s="9">
        <f ref="D5:D11" si="0" t="shared">SUM(B5:C5)</f>
        <v>189000</v>
      </c>
      <c r="F5" s="9" t="s">
        <v>2</v>
      </c>
      <c r="G5" s="9" t="n">
        <v>0.0</v>
      </c>
      <c r="H5" s="9" t="n">
        <v>240000.0</v>
      </c>
      <c r="I5" s="9">
        <f ref="I5:I11" si="1" t="shared">SUM(G5:H5)</f>
        <v>189000</v>
      </c>
    </row>
    <row r="6" spans="1:9" x14ac:dyDescent="0.45">
      <c r="A6" s="9" t="s">
        <v>3</v>
      </c>
      <c r="B6" s="9" t="n">
        <v>0.0</v>
      </c>
      <c r="C6" s="9" t="n">
        <v>70000.0</v>
      </c>
      <c r="D6" s="9">
        <f si="0" t="shared"/>
        <v>82000</v>
      </c>
      <c r="F6" s="9" t="s">
        <v>3</v>
      </c>
      <c r="G6" s="9" t="n">
        <v>0.0</v>
      </c>
      <c r="H6" s="9" t="n">
        <v>70000.0</v>
      </c>
      <c r="I6" s="9">
        <f si="1" t="shared"/>
        <v>82000</v>
      </c>
    </row>
    <row r="7" spans="1:9" x14ac:dyDescent="0.45">
      <c r="A7" s="9" t="s">
        <v>4</v>
      </c>
      <c r="B7" s="9" t="n">
        <v>0.0</v>
      </c>
      <c r="C7" s="9" t="n">
        <v>40000.0</v>
      </c>
      <c r="D7" s="9">
        <f si="0" t="shared"/>
        <v>32000</v>
      </c>
      <c r="F7" s="9" t="s">
        <v>4</v>
      </c>
      <c r="G7" s="9" t="n">
        <v>0.0</v>
      </c>
      <c r="H7" s="9" t="n">
        <v>40000.0</v>
      </c>
      <c r="I7" s="9">
        <f si="1" t="shared"/>
        <v>32000</v>
      </c>
    </row>
    <row r="8" spans="1:9" x14ac:dyDescent="0.45">
      <c r="A8" s="9" t="s">
        <v>5</v>
      </c>
      <c r="B8" s="9" t="n">
        <v>0.0</v>
      </c>
      <c r="C8" s="9" t="n">
        <v>80000.0</v>
      </c>
      <c r="D8" s="9">
        <f si="0" t="shared"/>
        <v>60000</v>
      </c>
      <c r="F8" s="9" t="s">
        <v>5</v>
      </c>
      <c r="G8" s="9" t="n">
        <v>0.0</v>
      </c>
      <c r="H8" s="9" t="n">
        <v>80000.0</v>
      </c>
      <c r="I8" s="9">
        <f si="1" t="shared"/>
        <v>60000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si="0" t="shared"/>
        <v>3000</v>
      </c>
      <c r="F9" s="9" t="s">
        <v>6</v>
      </c>
      <c r="G9" s="9" t="n">
        <v>0.0</v>
      </c>
      <c r="H9" s="9" t="n">
        <v>0.0</v>
      </c>
      <c r="I9" s="9">
        <f si="1" t="shared"/>
        <v>3000</v>
      </c>
    </row>
    <row r="10" spans="1:9" x14ac:dyDescent="0.45">
      <c r="A10" s="9" t="s">
        <v>7</v>
      </c>
      <c r="B10" s="9" t="n">
        <v>0.0</v>
      </c>
      <c r="C10" s="9" t="n">
        <v>10000.0</v>
      </c>
      <c r="D10" s="9">
        <f si="0" t="shared"/>
        <v>10000</v>
      </c>
      <c r="F10" s="9" t="s">
        <v>7</v>
      </c>
      <c r="G10" s="9" t="n">
        <v>0.0</v>
      </c>
      <c r="H10" s="9" t="n">
        <v>10000.0</v>
      </c>
      <c r="I10" s="9">
        <f si="1" t="shared"/>
        <v>10000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4.65" r="12" spans="1:9" thickBot="1" x14ac:dyDescent="0.5">
      <c r="A12" s="13" t="s">
        <v>12</v>
      </c>
      <c r="B12" s="10">
        <f>SUM(B4:B11)</f>
        <v>2000</v>
      </c>
      <c r="C12" s="10">
        <f>SUM(C4:C11)</f>
        <v>1360000</v>
      </c>
      <c r="D12" s="10">
        <f>SUM(D4:D11)</f>
        <v>1362000</v>
      </c>
      <c r="F12" s="13" t="s">
        <v>12</v>
      </c>
      <c r="G12" s="10">
        <f>SUM(G4:G11)</f>
        <v>2000</v>
      </c>
      <c r="H12" s="10">
        <f>SUM(H4:H11)</f>
        <v>1360000</v>
      </c>
      <c r="I12" s="10">
        <f>SUM(I4:I11)</f>
        <v>1362000</v>
      </c>
    </row>
    <row r="14" spans="1:9" x14ac:dyDescent="0.45">
      <c r="G14" s="8"/>
      <c r="H14" s="8"/>
      <c r="I14" s="8"/>
    </row>
    <row ht="14.65" r="15" spans="1:9" thickBot="1" x14ac:dyDescent="0.5">
      <c r="A15" s="1" t="s">
        <v>49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12</v>
      </c>
      <c r="F16" s="2" t="s">
        <v>0</v>
      </c>
      <c r="G16" s="4" t="s">
        <v>9</v>
      </c>
      <c r="H16" s="4" t="s">
        <v>10</v>
      </c>
      <c r="I16" s="7" t="s">
        <v>12</v>
      </c>
    </row>
    <row r="17" spans="1:14" x14ac:dyDescent="0.45">
      <c r="A17" s="9" t="s">
        <v>1</v>
      </c>
      <c r="B17" s="16">
        <f>B4/$D$12</f>
        <v>0</v>
      </c>
      <c r="C17" s="16">
        <f ref="C17:D17" si="2" t="shared">C4/$D$12</f>
        <v>0.72393538913362698</v>
      </c>
      <c r="D17" s="16">
        <f si="2" t="shared"/>
        <v>0.72393538913362698</v>
      </c>
      <c r="F17" s="9" t="s">
        <v>1</v>
      </c>
      <c r="G17" s="16">
        <f ref="G17:I25" si="3" t="shared">G4/$I$12</f>
        <v>0</v>
      </c>
      <c r="H17" s="16">
        <f si="3" t="shared"/>
        <v>0.72393538913362698</v>
      </c>
      <c r="I17" s="16">
        <f si="3" t="shared"/>
        <v>0.72393538913362698</v>
      </c>
    </row>
    <row r="18" spans="1:14" x14ac:dyDescent="0.45">
      <c r="A18" s="9" t="s">
        <v>2</v>
      </c>
      <c r="B18" s="16">
        <f ref="B18:D18" si="4" t="shared">B5/$D$12</f>
        <v>0</v>
      </c>
      <c r="C18" s="16">
        <f si="4" t="shared"/>
        <v>0.13876651982378854</v>
      </c>
      <c r="D18" s="16">
        <f si="4" t="shared"/>
        <v>0.13876651982378854</v>
      </c>
      <c r="F18" s="9" t="s">
        <v>2</v>
      </c>
      <c r="G18" s="16">
        <f si="3" t="shared"/>
        <v>0</v>
      </c>
      <c r="H18" s="16">
        <f si="3" t="shared"/>
        <v>0.13876651982378854</v>
      </c>
      <c r="I18" s="16">
        <f si="3" t="shared"/>
        <v>0.13876651982378854</v>
      </c>
    </row>
    <row r="19" spans="1:14" x14ac:dyDescent="0.45">
      <c r="A19" s="9" t="s">
        <v>3</v>
      </c>
      <c r="B19" s="16">
        <f ref="B19:D19" si="5" t="shared">B6/$D$12</f>
        <v>0</v>
      </c>
      <c r="C19" s="16">
        <f si="5" t="shared"/>
        <v>6.0205580029368579E-2</v>
      </c>
      <c r="D19" s="16">
        <f si="5" t="shared"/>
        <v>6.0205580029368579E-2</v>
      </c>
      <c r="F19" s="9" t="s">
        <v>3</v>
      </c>
      <c r="G19" s="16">
        <f si="3" t="shared"/>
        <v>0</v>
      </c>
      <c r="H19" s="16">
        <f si="3" t="shared"/>
        <v>6.0205580029368579E-2</v>
      </c>
      <c r="I19" s="16">
        <f si="3" t="shared"/>
        <v>6.0205580029368579E-2</v>
      </c>
    </row>
    <row r="20" spans="1:14" x14ac:dyDescent="0.45">
      <c r="A20" s="9" t="s">
        <v>4</v>
      </c>
      <c r="B20" s="16">
        <f ref="B20:D20" si="6" t="shared">B7/$D$12</f>
        <v>0</v>
      </c>
      <c r="C20" s="16">
        <f si="6" t="shared"/>
        <v>2.3494860499265784E-2</v>
      </c>
      <c r="D20" s="16">
        <f si="6" t="shared"/>
        <v>2.3494860499265784E-2</v>
      </c>
      <c r="F20" s="9" t="s">
        <v>4</v>
      </c>
      <c r="G20" s="16">
        <f si="3" t="shared"/>
        <v>0</v>
      </c>
      <c r="H20" s="16">
        <f si="3" t="shared"/>
        <v>2.3494860499265784E-2</v>
      </c>
      <c r="I20" s="16">
        <f si="3" t="shared"/>
        <v>2.3494860499265784E-2</v>
      </c>
    </row>
    <row r="21" spans="1:14" x14ac:dyDescent="0.45">
      <c r="A21" s="9" t="s">
        <v>5</v>
      </c>
      <c r="B21" s="16">
        <f ref="B21:D21" si="7" t="shared">B8/$D$12</f>
        <v>0</v>
      </c>
      <c r="C21" s="16">
        <f si="7" t="shared"/>
        <v>4.405286343612335E-2</v>
      </c>
      <c r="D21" s="16">
        <f si="7" t="shared"/>
        <v>4.405286343612335E-2</v>
      </c>
      <c r="F21" s="9" t="s">
        <v>5</v>
      </c>
      <c r="G21" s="16">
        <f si="3" t="shared"/>
        <v>0</v>
      </c>
      <c r="H21" s="16">
        <f si="3" t="shared"/>
        <v>4.405286343612335E-2</v>
      </c>
      <c r="I21" s="16">
        <f si="3" t="shared"/>
        <v>4.405286343612335E-2</v>
      </c>
    </row>
    <row r="22" spans="1:14" x14ac:dyDescent="0.45">
      <c r="A22" s="9" t="s">
        <v>6</v>
      </c>
      <c r="B22" s="16">
        <f ref="B22:D22" si="8" t="shared">B9/$D$12</f>
        <v>7.3421439060205576E-4</v>
      </c>
      <c r="C22" s="16">
        <f si="8" t="shared"/>
        <v>1.4684287812041115E-3</v>
      </c>
      <c r="D22" s="16">
        <f si="8" t="shared"/>
        <v>2.2026431718061676E-3</v>
      </c>
      <c r="F22" s="9" t="s">
        <v>6</v>
      </c>
      <c r="G22" s="16">
        <f si="3" t="shared"/>
        <v>7.3421439060205576E-4</v>
      </c>
      <c r="H22" s="16">
        <f si="3" t="shared"/>
        <v>1.4684287812041115E-3</v>
      </c>
      <c r="I22" s="16">
        <f si="3" t="shared"/>
        <v>2.2026431718061676E-3</v>
      </c>
    </row>
    <row r="23" spans="1:14" x14ac:dyDescent="0.45">
      <c r="A23" s="9" t="s">
        <v>7</v>
      </c>
      <c r="B23" s="16">
        <f ref="B23:D23" si="9" t="shared">B10/$D$12</f>
        <v>7.3421439060205576E-4</v>
      </c>
      <c r="C23" s="16">
        <f si="9" t="shared"/>
        <v>6.6079295154185024E-3</v>
      </c>
      <c r="D23" s="16">
        <f si="9" t="shared"/>
        <v>7.3421439060205578E-3</v>
      </c>
      <c r="F23" s="9" t="s">
        <v>7</v>
      </c>
      <c r="G23" s="16">
        <f si="3" t="shared"/>
        <v>7.3421439060205576E-4</v>
      </c>
      <c r="H23" s="16">
        <f si="3" t="shared"/>
        <v>6.6079295154185024E-3</v>
      </c>
      <c r="I23" s="16">
        <f si="3" t="shared"/>
        <v>7.3421439060205578E-3</v>
      </c>
    </row>
    <row r="24" spans="1:14" x14ac:dyDescent="0.45">
      <c r="A24" s="14" t="s">
        <v>8</v>
      </c>
      <c r="B24" s="17">
        <f ref="B24:D24" si="10" t="shared">B11/$D$12</f>
        <v>0</v>
      </c>
      <c r="C24" s="17">
        <f si="10" t="shared"/>
        <v>0</v>
      </c>
      <c r="D24" s="17">
        <f si="10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4.65" r="25" spans="1:14" thickBot="1" x14ac:dyDescent="0.5">
      <c r="A25" s="13" t="s">
        <v>12</v>
      </c>
      <c r="B25" s="18">
        <f ref="B25:D25" si="11" t="shared">B12/$D$12</f>
        <v>1.4684287812041115E-3</v>
      </c>
      <c r="C25" s="18">
        <f si="11" t="shared"/>
        <v>0.99853157121879588</v>
      </c>
      <c r="D25" s="18">
        <f si="11" t="shared"/>
        <v>1</v>
      </c>
      <c r="F25" s="13" t="s">
        <v>12</v>
      </c>
      <c r="G25" s="18">
        <f si="3" t="shared"/>
        <v>1.4684287812041115E-3</v>
      </c>
      <c r="H25" s="18">
        <f si="3" t="shared"/>
        <v>0.99853157121879588</v>
      </c>
      <c r="I25" s="18">
        <f si="3" t="shared"/>
        <v>1</v>
      </c>
    </row>
    <row ht="14.65" r="28" spans="1:14" thickBot="1" x14ac:dyDescent="0.5">
      <c r="F28" s="1" t="s">
        <v>39</v>
      </c>
      <c r="G28" s="1"/>
      <c r="H28" s="3"/>
      <c r="I28" s="3"/>
      <c r="K28" s="21" t="s">
        <v>15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12</v>
      </c>
      <c r="K29" s="27" t="s">
        <v>0</v>
      </c>
      <c r="L29" s="28" t="s">
        <v>24</v>
      </c>
      <c r="M29" s="28" t="s">
        <v>13</v>
      </c>
      <c r="N29" s="29" t="s">
        <v>14</v>
      </c>
    </row>
    <row r="30" spans="1:14" x14ac:dyDescent="0.45">
      <c r="F30" s="9" t="s">
        <v>1</v>
      </c>
      <c r="G30" s="16">
        <f ref="G30:G38" si="12" t="shared">G17-B17</f>
        <v>0</v>
      </c>
      <c r="H30" s="16">
        <f ref="H30:H38" si="13" t="shared">H17-C17</f>
        <v>0</v>
      </c>
      <c r="I30" s="16">
        <f ref="I30:I38" si="14" t="shared">I17-D17</f>
        <v>0</v>
      </c>
      <c r="K30" s="23" t="s">
        <v>1</v>
      </c>
      <c r="L30" s="24">
        <f>D17</f>
        <v>0.72393538913362698</v>
      </c>
      <c r="M30" s="24">
        <f ref="M30:M38" si="15" t="shared">I17</f>
        <v>0.72393538913362698</v>
      </c>
      <c r="N30" s="24">
        <f>M30-L30</f>
        <v>0</v>
      </c>
    </row>
    <row r="31" spans="1:14" x14ac:dyDescent="0.45">
      <c r="F31" s="9" t="s">
        <v>2</v>
      </c>
      <c r="G31" s="16">
        <f si="12" t="shared"/>
        <v>0</v>
      </c>
      <c r="H31" s="16">
        <f si="13" t="shared"/>
        <v>0</v>
      </c>
      <c r="I31" s="16">
        <f si="14" t="shared"/>
        <v>0</v>
      </c>
      <c r="K31" s="30" t="s">
        <v>2</v>
      </c>
      <c r="L31" s="31">
        <f ref="L31:L38" si="16" t="shared">D18</f>
        <v>0.13876651982378854</v>
      </c>
      <c r="M31" s="31">
        <f si="15" t="shared"/>
        <v>0.13876651982378854</v>
      </c>
      <c r="N31" s="31">
        <f ref="N31:N38" si="17" t="shared">M31-L31</f>
        <v>0</v>
      </c>
    </row>
    <row r="32" spans="1:14" x14ac:dyDescent="0.45">
      <c r="F32" s="9" t="s">
        <v>3</v>
      </c>
      <c r="G32" s="16">
        <f si="12" t="shared"/>
        <v>0</v>
      </c>
      <c r="H32" s="16">
        <f si="13" t="shared"/>
        <v>0</v>
      </c>
      <c r="I32" s="16">
        <f si="14" t="shared"/>
        <v>0</v>
      </c>
      <c r="K32" s="23" t="s">
        <v>3</v>
      </c>
      <c r="L32" s="24">
        <f si="16" t="shared"/>
        <v>6.0205580029368579E-2</v>
      </c>
      <c r="M32" s="24">
        <f si="15" t="shared"/>
        <v>6.0205580029368579E-2</v>
      </c>
      <c r="N32" s="24">
        <f si="17" t="shared"/>
        <v>0</v>
      </c>
    </row>
    <row r="33" spans="6:14" x14ac:dyDescent="0.45">
      <c r="F33" s="9" t="s">
        <v>4</v>
      </c>
      <c r="G33" s="16">
        <f si="12" t="shared"/>
        <v>0</v>
      </c>
      <c r="H33" s="16">
        <f si="13" t="shared"/>
        <v>0</v>
      </c>
      <c r="I33" s="16">
        <f si="14" t="shared"/>
        <v>0</v>
      </c>
      <c r="K33" s="30" t="s">
        <v>4</v>
      </c>
      <c r="L33" s="31">
        <f si="16" t="shared"/>
        <v>2.3494860499265784E-2</v>
      </c>
      <c r="M33" s="31">
        <f si="15" t="shared"/>
        <v>2.3494860499265784E-2</v>
      </c>
      <c r="N33" s="31">
        <f si="17" t="shared"/>
        <v>0</v>
      </c>
    </row>
    <row r="34" spans="6:14" x14ac:dyDescent="0.45">
      <c r="F34" s="9" t="s">
        <v>5</v>
      </c>
      <c r="G34" s="16">
        <f si="12" t="shared"/>
        <v>0</v>
      </c>
      <c r="H34" s="16">
        <f si="13" t="shared"/>
        <v>0</v>
      </c>
      <c r="I34" s="16">
        <f si="14" t="shared"/>
        <v>0</v>
      </c>
      <c r="K34" s="23" t="s">
        <v>5</v>
      </c>
      <c r="L34" s="24">
        <f si="16" t="shared"/>
        <v>4.405286343612335E-2</v>
      </c>
      <c r="M34" s="24">
        <f si="15" t="shared"/>
        <v>4.405286343612335E-2</v>
      </c>
      <c r="N34" s="24">
        <f si="17" t="shared"/>
        <v>0</v>
      </c>
    </row>
    <row r="35" spans="6:14" x14ac:dyDescent="0.45">
      <c r="F35" s="9" t="s">
        <v>6</v>
      </c>
      <c r="G35" s="16">
        <f si="12" t="shared"/>
        <v>0</v>
      </c>
      <c r="H35" s="16">
        <f si="13" t="shared"/>
        <v>0</v>
      </c>
      <c r="I35" s="16">
        <f si="14" t="shared"/>
        <v>0</v>
      </c>
      <c r="K35" s="30" t="s">
        <v>6</v>
      </c>
      <c r="L35" s="31">
        <f si="16" t="shared"/>
        <v>2.2026431718061676E-3</v>
      </c>
      <c r="M35" s="31">
        <f si="15" t="shared"/>
        <v>2.2026431718061676E-3</v>
      </c>
      <c r="N35" s="31">
        <f si="17" t="shared"/>
        <v>0</v>
      </c>
    </row>
    <row r="36" spans="6:14" x14ac:dyDescent="0.45">
      <c r="F36" s="9" t="s">
        <v>7</v>
      </c>
      <c r="G36" s="16">
        <f si="12" t="shared"/>
        <v>0</v>
      </c>
      <c r="H36" s="16">
        <f si="13" t="shared"/>
        <v>0</v>
      </c>
      <c r="I36" s="16">
        <f si="14" t="shared"/>
        <v>0</v>
      </c>
      <c r="K36" s="23" t="s">
        <v>7</v>
      </c>
      <c r="L36" s="24">
        <f si="16" t="shared"/>
        <v>7.3421439060205578E-3</v>
      </c>
      <c r="M36" s="24">
        <f si="15" t="shared"/>
        <v>7.3421439060205578E-3</v>
      </c>
      <c r="N36" s="24">
        <f si="17" t="shared"/>
        <v>0</v>
      </c>
    </row>
    <row r="37" spans="6:14" x14ac:dyDescent="0.45">
      <c r="F37" s="14" t="s">
        <v>8</v>
      </c>
      <c r="G37" s="17">
        <f si="12" t="shared"/>
        <v>0</v>
      </c>
      <c r="H37" s="17">
        <f si="13" t="shared"/>
        <v>0</v>
      </c>
      <c r="I37" s="17">
        <f si="14" t="shared"/>
        <v>0</v>
      </c>
      <c r="K37" s="32" t="s">
        <v>8</v>
      </c>
      <c r="L37" s="33">
        <f si="16" t="shared"/>
        <v>0</v>
      </c>
      <c r="M37" s="33">
        <f si="15" t="shared"/>
        <v>0</v>
      </c>
      <c r="N37" s="33">
        <f si="17" t="shared"/>
        <v>0</v>
      </c>
    </row>
    <row ht="14.65" r="38" spans="6:14" thickBot="1" x14ac:dyDescent="0.5">
      <c r="F38" s="13" t="s">
        <v>12</v>
      </c>
      <c r="G38" s="18">
        <f si="12" t="shared"/>
        <v>0</v>
      </c>
      <c r="H38" s="18">
        <f si="13" t="shared"/>
        <v>0</v>
      </c>
      <c r="I38" s="18">
        <f si="14" t="shared"/>
        <v>0</v>
      </c>
      <c r="K38" s="25" t="s">
        <v>12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N38"/>
  <sheetViews>
    <sheetView workbookViewId="0">
      <selection activeCell="L7" sqref="L7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ht="14.65" r="2" spans="1:9" thickBot="1" x14ac:dyDescent="0.5">
      <c r="A2" s="1" t="s">
        <v>50</v>
      </c>
      <c r="B2" s="1"/>
      <c r="C2" s="3"/>
      <c r="D2" s="3"/>
      <c r="F2" s="1" t="s">
        <v>30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12</v>
      </c>
      <c r="F3" s="2" t="s">
        <v>0</v>
      </c>
      <c r="G3" s="4" t="s">
        <v>9</v>
      </c>
      <c r="H3" s="4" t="s">
        <v>10</v>
      </c>
      <c r="I3" s="7" t="s">
        <v>12</v>
      </c>
    </row>
    <row r="4" spans="1:9" x14ac:dyDescent="0.45">
      <c r="A4" s="9" t="s">
        <v>1</v>
      </c>
      <c r="B4" s="9" t="n">
        <v>0.0</v>
      </c>
      <c r="C4" s="9" t="n">
        <v>90000.0</v>
      </c>
      <c r="D4" s="9">
        <f>SUM(B4:C4)</f>
        <v>86000</v>
      </c>
      <c r="E4" s="9"/>
      <c r="F4" s="9" t="s">
        <v>1</v>
      </c>
      <c r="G4" s="9" t="n">
        <v>0.0</v>
      </c>
      <c r="H4" s="9" t="n">
        <v>90000.0</v>
      </c>
      <c r="I4" s="9">
        <f>SUM(G4:H4)</f>
        <v>86000</v>
      </c>
    </row>
    <row r="5" spans="1:9" x14ac:dyDescent="0.45">
      <c r="A5" s="9" t="s">
        <v>2</v>
      </c>
      <c r="B5" s="9" t="n">
        <v>0.0</v>
      </c>
      <c r="C5" s="9" t="n">
        <v>150000.0</v>
      </c>
      <c r="D5" s="9">
        <f ref="D5:D12" si="0" t="shared">SUM(B5:C5)</f>
        <v>120000</v>
      </c>
      <c r="E5" s="9"/>
      <c r="F5" s="9" t="s">
        <v>2</v>
      </c>
      <c r="G5" s="9" t="n">
        <v>0.0</v>
      </c>
      <c r="H5" s="9" t="n">
        <v>150000.0</v>
      </c>
      <c r="I5" s="9">
        <f ref="I5:I12" si="1" t="shared">SUM(G5:H5)</f>
        <v>120000</v>
      </c>
    </row>
    <row r="6" spans="1:9" x14ac:dyDescent="0.45">
      <c r="A6" s="9" t="s">
        <v>3</v>
      </c>
      <c r="B6" s="9" t="n">
        <v>0.0</v>
      </c>
      <c r="C6" s="9" t="n">
        <v>210000.0</v>
      </c>
      <c r="D6" s="9">
        <f si="0" t="shared"/>
        <v>228000</v>
      </c>
      <c r="E6" s="9"/>
      <c r="F6" s="9" t="s">
        <v>3</v>
      </c>
      <c r="G6" s="9" t="n">
        <v>0.0</v>
      </c>
      <c r="H6" s="9" t="n">
        <v>210000.0</v>
      </c>
      <c r="I6" s="9">
        <f si="1" t="shared"/>
        <v>228000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45">
      <c r="A8" s="9" t="s">
        <v>5</v>
      </c>
      <c r="B8" s="9" t="n">
        <v>20000.0</v>
      </c>
      <c r="C8" s="9" t="n">
        <v>10000.0</v>
      </c>
      <c r="D8" s="9">
        <f si="0" t="shared"/>
        <v>24000</v>
      </c>
      <c r="E8" s="9"/>
      <c r="F8" s="9" t="s">
        <v>5</v>
      </c>
      <c r="G8" s="9" t="n">
        <v>20000.0</v>
      </c>
      <c r="H8" s="9" t="n">
        <v>10000.0</v>
      </c>
      <c r="I8" s="9">
        <f si="1" t="shared"/>
        <v>24000</v>
      </c>
    </row>
    <row r="9" spans="1:9" x14ac:dyDescent="0.45">
      <c r="A9" s="9" t="s">
        <v>6</v>
      </c>
      <c r="B9" s="9" t="n">
        <v>10000.0</v>
      </c>
      <c r="C9" s="9" t="n">
        <v>0.0</v>
      </c>
      <c r="D9" s="9">
        <f si="0" t="shared"/>
        <v>8000</v>
      </c>
      <c r="E9" s="9"/>
      <c r="F9" s="9" t="s">
        <v>6</v>
      </c>
      <c r="G9" s="9" t="n">
        <v>10000.0</v>
      </c>
      <c r="H9" s="9" t="n">
        <v>0.0</v>
      </c>
      <c r="I9" s="9">
        <f si="1" t="shared"/>
        <v>8000</v>
      </c>
    </row>
    <row r="10" spans="1:9" x14ac:dyDescent="0.45">
      <c r="A10" s="9" t="s">
        <v>7</v>
      </c>
      <c r="B10" s="9" t="n">
        <v>0.0</v>
      </c>
      <c r="C10" s="9" t="n">
        <v>10000.0</v>
      </c>
      <c r="D10" s="9">
        <f si="0" t="shared"/>
        <v>36000</v>
      </c>
      <c r="E10" s="9"/>
      <c r="F10" s="9" t="s">
        <v>7</v>
      </c>
      <c r="G10" s="9" t="n">
        <v>0.0</v>
      </c>
      <c r="H10" s="9" t="n">
        <v>10000.0</v>
      </c>
      <c r="I10" s="9">
        <f si="1" t="shared"/>
        <v>36000</v>
      </c>
    </row>
    <row r="11" spans="1:9" x14ac:dyDescent="0.45">
      <c r="A11" s="14" t="s">
        <v>8</v>
      </c>
      <c r="B11" s="14" t="n">
        <v>0.0</v>
      </c>
      <c r="C11" s="14" t="n">
        <v>150000.0</v>
      </c>
      <c r="D11" s="14">
        <f si="0" t="shared"/>
        <v>276000</v>
      </c>
      <c r="E11" s="9"/>
      <c r="F11" s="14" t="s">
        <v>8</v>
      </c>
      <c r="G11" s="14" t="n">
        <v>0.0</v>
      </c>
      <c r="H11" s="14" t="n">
        <v>150000.0</v>
      </c>
      <c r="I11" s="14">
        <f si="1" t="shared"/>
        <v>276000</v>
      </c>
    </row>
    <row ht="14.65" r="12" spans="1:9" thickBot="1" x14ac:dyDescent="0.5">
      <c r="A12" s="13" t="s">
        <v>12</v>
      </c>
      <c r="B12" s="10">
        <f>SUM(B4:B11)</f>
        <v>5000</v>
      </c>
      <c r="C12" s="10">
        <f>SUM(C4:C11)</f>
        <v>773000</v>
      </c>
      <c r="D12" s="10">
        <f si="0" t="shared"/>
        <v>778000</v>
      </c>
      <c r="E12" s="9"/>
      <c r="F12" s="13" t="s">
        <v>12</v>
      </c>
      <c r="G12" s="10">
        <f>SUM(G4:G11)</f>
        <v>5000</v>
      </c>
      <c r="H12" s="10">
        <f>SUM(H4:H11)</f>
        <v>773000</v>
      </c>
      <c r="I12" s="10">
        <f si="1" t="shared"/>
        <v>778000</v>
      </c>
    </row>
    <row ht="14.65" r="15" spans="1:9" thickBot="1" x14ac:dyDescent="0.5">
      <c r="A15" s="1" t="s">
        <v>50</v>
      </c>
      <c r="B15" s="1"/>
      <c r="C15" s="3"/>
      <c r="D15" s="3"/>
      <c r="F15" s="1" t="s">
        <v>30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12</v>
      </c>
      <c r="F16" s="2" t="s">
        <v>0</v>
      </c>
      <c r="G16" s="4" t="s">
        <v>9</v>
      </c>
      <c r="H16" s="4" t="s">
        <v>10</v>
      </c>
      <c r="I16" s="7" t="s">
        <v>12</v>
      </c>
    </row>
    <row r="17" spans="1:14" x14ac:dyDescent="0.45">
      <c r="A17" s="9" t="s">
        <v>1</v>
      </c>
      <c r="B17" s="16">
        <f>B4/$D$12</f>
        <v>0</v>
      </c>
      <c r="C17" s="16">
        <f ref="C17:D17" si="2" t="shared">C4/$D$12</f>
        <v>0.11053984575835475</v>
      </c>
      <c r="D17" s="16">
        <f si="2" t="shared"/>
        <v>0.11053984575835475</v>
      </c>
      <c r="F17" s="9" t="s">
        <v>1</v>
      </c>
      <c r="G17" s="16">
        <f ref="G17:I25" si="3" t="shared">G4/$I$12</f>
        <v>0</v>
      </c>
      <c r="H17" s="16">
        <f si="3" t="shared"/>
        <v>0.11053984575835475</v>
      </c>
      <c r="I17" s="16">
        <f si="3" t="shared"/>
        <v>0.11053984575835475</v>
      </c>
    </row>
    <row r="18" spans="1:14" x14ac:dyDescent="0.45">
      <c r="A18" s="9" t="s">
        <v>2</v>
      </c>
      <c r="B18" s="16">
        <f ref="B18:D25" si="4" t="shared">B5/$D$12</f>
        <v>0</v>
      </c>
      <c r="C18" s="16">
        <f si="4" t="shared"/>
        <v>0.15424164524421594</v>
      </c>
      <c r="D18" s="16">
        <f si="4" t="shared"/>
        <v>0.15424164524421594</v>
      </c>
      <c r="F18" s="9" t="s">
        <v>2</v>
      </c>
      <c r="G18" s="16">
        <f si="3" t="shared"/>
        <v>0</v>
      </c>
      <c r="H18" s="16">
        <f si="3" t="shared"/>
        <v>0.15424164524421594</v>
      </c>
      <c r="I18" s="16">
        <f si="3" t="shared"/>
        <v>0.15424164524421594</v>
      </c>
    </row>
    <row r="19" spans="1:14" x14ac:dyDescent="0.45">
      <c r="A19" s="9" t="s">
        <v>3</v>
      </c>
      <c r="B19" s="16">
        <f si="4" t="shared"/>
        <v>0</v>
      </c>
      <c r="C19" s="16">
        <f si="4" t="shared"/>
        <v>0.29305912596401029</v>
      </c>
      <c r="D19" s="16">
        <f si="4" t="shared"/>
        <v>0.29305912596401029</v>
      </c>
      <c r="F19" s="9" t="s">
        <v>3</v>
      </c>
      <c r="G19" s="16">
        <f si="3" t="shared"/>
        <v>0</v>
      </c>
      <c r="H19" s="16">
        <f si="3" t="shared"/>
        <v>0.29305912596401029</v>
      </c>
      <c r="I19" s="16">
        <f si="3" t="shared"/>
        <v>0.29305912596401029</v>
      </c>
    </row>
    <row r="20" spans="1:14" x14ac:dyDescent="0.4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45">
      <c r="A21" s="9" t="s">
        <v>5</v>
      </c>
      <c r="B21" s="16">
        <f si="4" t="shared"/>
        <v>2.5706940874035988E-3</v>
      </c>
      <c r="C21" s="16">
        <f si="4" t="shared"/>
        <v>2.8277634961439587E-2</v>
      </c>
      <c r="D21" s="16">
        <f si="4" t="shared"/>
        <v>3.0848329048843187E-2</v>
      </c>
      <c r="F21" s="9" t="s">
        <v>5</v>
      </c>
      <c r="G21" s="16">
        <f si="3" t="shared"/>
        <v>2.5706940874035988E-3</v>
      </c>
      <c r="H21" s="16">
        <f si="3" t="shared"/>
        <v>2.8277634961439587E-2</v>
      </c>
      <c r="I21" s="16">
        <f si="3" t="shared"/>
        <v>3.0848329048843187E-2</v>
      </c>
    </row>
    <row r="22" spans="1:14" x14ac:dyDescent="0.45">
      <c r="A22" s="9" t="s">
        <v>6</v>
      </c>
      <c r="B22" s="16">
        <f si="4" t="shared"/>
        <v>2.5706940874035988E-3</v>
      </c>
      <c r="C22" s="16">
        <f si="4" t="shared"/>
        <v>7.7120822622107968E-3</v>
      </c>
      <c r="D22" s="16">
        <f si="4" t="shared"/>
        <v>1.0282776349614395E-2</v>
      </c>
      <c r="F22" s="9" t="s">
        <v>6</v>
      </c>
      <c r="G22" s="16">
        <f si="3" t="shared"/>
        <v>2.5706940874035988E-3</v>
      </c>
      <c r="H22" s="16">
        <f si="3" t="shared"/>
        <v>7.7120822622107968E-3</v>
      </c>
      <c r="I22" s="16">
        <f si="3" t="shared"/>
        <v>1.0282776349614395E-2</v>
      </c>
    </row>
    <row r="23" spans="1:14" x14ac:dyDescent="0.45">
      <c r="A23" s="9" t="s">
        <v>7</v>
      </c>
      <c r="B23" s="16">
        <f si="4" t="shared"/>
        <v>0</v>
      </c>
      <c r="C23" s="16">
        <f si="4" t="shared"/>
        <v>4.6272493573264781E-2</v>
      </c>
      <c r="D23" s="16">
        <f si="4" t="shared"/>
        <v>4.6272493573264781E-2</v>
      </c>
      <c r="F23" s="9" t="s">
        <v>7</v>
      </c>
      <c r="G23" s="16">
        <f si="3" t="shared"/>
        <v>0</v>
      </c>
      <c r="H23" s="16">
        <f si="3" t="shared"/>
        <v>4.6272493573264781E-2</v>
      </c>
      <c r="I23" s="16">
        <f si="3" t="shared"/>
        <v>4.6272493573264781E-2</v>
      </c>
    </row>
    <row r="24" spans="1:14" x14ac:dyDescent="0.45">
      <c r="A24" s="14" t="s">
        <v>8</v>
      </c>
      <c r="B24" s="17">
        <f si="4" t="shared"/>
        <v>1.2853470437017994E-3</v>
      </c>
      <c r="C24" s="17">
        <f si="4" t="shared"/>
        <v>0.35347043701799485</v>
      </c>
      <c r="D24" s="17">
        <f si="4" t="shared"/>
        <v>0.35475578406169667</v>
      </c>
      <c r="F24" s="14" t="s">
        <v>8</v>
      </c>
      <c r="G24" s="17">
        <f si="3" t="shared"/>
        <v>1.2853470437017994E-3</v>
      </c>
      <c r="H24" s="17">
        <f si="3" t="shared"/>
        <v>0.35347043701799485</v>
      </c>
      <c r="I24" s="17">
        <f si="3" t="shared"/>
        <v>0.35475578406169667</v>
      </c>
    </row>
    <row ht="14.65" r="25" spans="1:14" thickBot="1" x14ac:dyDescent="0.5">
      <c r="A25" s="13" t="s">
        <v>12</v>
      </c>
      <c r="B25" s="18">
        <f si="4" t="shared"/>
        <v>6.4267352185089976E-3</v>
      </c>
      <c r="C25" s="18">
        <f si="4" t="shared"/>
        <v>0.99357326478149099</v>
      </c>
      <c r="D25" s="18">
        <f si="4" t="shared"/>
        <v>1</v>
      </c>
      <c r="F25" s="13" t="s">
        <v>12</v>
      </c>
      <c r="G25" s="18">
        <f si="3" t="shared"/>
        <v>6.4267352185089976E-3</v>
      </c>
      <c r="H25" s="18">
        <f si="3" t="shared"/>
        <v>0.99357326478149099</v>
      </c>
      <c r="I25" s="18">
        <f si="3" t="shared"/>
        <v>1</v>
      </c>
    </row>
    <row ht="14.65" r="28" spans="1:14" thickBot="1" x14ac:dyDescent="0.5">
      <c r="F28" s="1" t="s">
        <v>40</v>
      </c>
      <c r="G28" s="1"/>
      <c r="H28" s="3"/>
      <c r="I28" s="3"/>
      <c r="K28" s="21" t="s">
        <v>16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12</v>
      </c>
      <c r="K29" s="27" t="s">
        <v>0</v>
      </c>
      <c r="L29" s="28" t="s">
        <v>24</v>
      </c>
      <c r="M29" s="28" t="s">
        <v>13</v>
      </c>
      <c r="N29" s="29" t="s">
        <v>14</v>
      </c>
    </row>
    <row r="30" spans="1:14" x14ac:dyDescent="0.45">
      <c r="F30" s="9" t="s">
        <v>1</v>
      </c>
      <c r="G30" s="16">
        <f ref="G30:G38" si="5" t="shared">G17-B17</f>
        <v>0</v>
      </c>
      <c r="H30" s="16">
        <f ref="H30:H38" si="6" t="shared">H17-C17</f>
        <v>0</v>
      </c>
      <c r="I30" s="16">
        <f ref="I30:I38" si="7" t="shared">I17-D17</f>
        <v>0</v>
      </c>
      <c r="K30" s="23" t="s">
        <v>1</v>
      </c>
      <c r="L30" s="24">
        <f>D17</f>
        <v>0.11053984575835475</v>
      </c>
      <c r="M30" s="24">
        <f ref="M30:M38" si="8" t="shared">I17</f>
        <v>0.11053984575835475</v>
      </c>
      <c r="N30" s="24">
        <f>M30-L30</f>
        <v>0</v>
      </c>
    </row>
    <row r="31" spans="1:14" x14ac:dyDescent="0.45">
      <c r="F31" s="9" t="s">
        <v>2</v>
      </c>
      <c r="G31" s="16">
        <f si="5" t="shared"/>
        <v>0</v>
      </c>
      <c r="H31" s="16">
        <f si="6" t="shared"/>
        <v>0</v>
      </c>
      <c r="I31" s="16">
        <f si="7" t="shared"/>
        <v>0</v>
      </c>
      <c r="K31" s="30" t="s">
        <v>2</v>
      </c>
      <c r="L31" s="31">
        <f ref="L31:L38" si="9" t="shared">D18</f>
        <v>0.15424164524421594</v>
      </c>
      <c r="M31" s="31">
        <f si="8" t="shared"/>
        <v>0.15424164524421594</v>
      </c>
      <c r="N31" s="31">
        <f ref="N31:N38" si="10" t="shared">M31-L31</f>
        <v>0</v>
      </c>
    </row>
    <row r="32" spans="1:14" x14ac:dyDescent="0.45">
      <c r="F32" s="9" t="s">
        <v>3</v>
      </c>
      <c r="G32" s="16">
        <f si="5" t="shared"/>
        <v>0</v>
      </c>
      <c r="H32" s="16">
        <f si="6" t="shared"/>
        <v>0</v>
      </c>
      <c r="I32" s="16">
        <f si="7" t="shared"/>
        <v>0</v>
      </c>
      <c r="K32" s="23" t="s">
        <v>3</v>
      </c>
      <c r="L32" s="24">
        <f si="9" t="shared"/>
        <v>0.29305912596401029</v>
      </c>
      <c r="M32" s="24">
        <f si="8" t="shared"/>
        <v>0.29305912596401029</v>
      </c>
      <c r="N32" s="24">
        <f si="10" t="shared"/>
        <v>0</v>
      </c>
    </row>
    <row r="33" spans="6:14" x14ac:dyDescent="0.4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45">
      <c r="F34" s="9" t="s">
        <v>5</v>
      </c>
      <c r="G34" s="16">
        <f si="5" t="shared"/>
        <v>0</v>
      </c>
      <c r="H34" s="16">
        <f si="6" t="shared"/>
        <v>0</v>
      </c>
      <c r="I34" s="16">
        <f si="7" t="shared"/>
        <v>0</v>
      </c>
      <c r="K34" s="23" t="s">
        <v>5</v>
      </c>
      <c r="L34" s="24">
        <f si="9" t="shared"/>
        <v>3.0848329048843187E-2</v>
      </c>
      <c r="M34" s="24">
        <f si="8" t="shared"/>
        <v>3.0848329048843187E-2</v>
      </c>
      <c r="N34" s="24">
        <f si="10" t="shared"/>
        <v>0</v>
      </c>
    </row>
    <row r="35" spans="6:14" x14ac:dyDescent="0.45">
      <c r="F35" s="9" t="s">
        <v>6</v>
      </c>
      <c r="G35" s="16">
        <f si="5" t="shared"/>
        <v>0</v>
      </c>
      <c r="H35" s="16">
        <f si="6" t="shared"/>
        <v>0</v>
      </c>
      <c r="I35" s="16">
        <f si="7" t="shared"/>
        <v>0</v>
      </c>
      <c r="K35" s="30" t="s">
        <v>6</v>
      </c>
      <c r="L35" s="31">
        <f si="9" t="shared"/>
        <v>1.0282776349614395E-2</v>
      </c>
      <c r="M35" s="31">
        <f si="8" t="shared"/>
        <v>1.0282776349614395E-2</v>
      </c>
      <c r="N35" s="31">
        <f si="10" t="shared"/>
        <v>0</v>
      </c>
    </row>
    <row r="36" spans="6:14" x14ac:dyDescent="0.45">
      <c r="F36" s="9" t="s">
        <v>7</v>
      </c>
      <c r="G36" s="16">
        <f si="5" t="shared"/>
        <v>0</v>
      </c>
      <c r="H36" s="16">
        <f si="6" t="shared"/>
        <v>0</v>
      </c>
      <c r="I36" s="16">
        <f si="7" t="shared"/>
        <v>0</v>
      </c>
      <c r="K36" s="23" t="s">
        <v>7</v>
      </c>
      <c r="L36" s="24">
        <f si="9" t="shared"/>
        <v>4.6272493573264781E-2</v>
      </c>
      <c r="M36" s="24">
        <f si="8" t="shared"/>
        <v>4.6272493573264781E-2</v>
      </c>
      <c r="N36" s="24">
        <f si="10" t="shared"/>
        <v>0</v>
      </c>
    </row>
    <row r="37" spans="6:14" x14ac:dyDescent="0.4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0.35475578406169667</v>
      </c>
      <c r="M37" s="33">
        <f si="8" t="shared"/>
        <v>0.35475578406169667</v>
      </c>
      <c r="N37" s="33">
        <f si="10" t="shared"/>
        <v>0</v>
      </c>
    </row>
    <row ht="14.65" r="38" spans="6:14" thickBot="1" x14ac:dyDescent="0.5">
      <c r="F38" s="13" t="s">
        <v>12</v>
      </c>
      <c r="G38" s="18">
        <f si="5" t="shared"/>
        <v>0</v>
      </c>
      <c r="H38" s="18">
        <f si="6" t="shared"/>
        <v>0</v>
      </c>
      <c r="I38" s="18">
        <f si="7" t="shared"/>
        <v>0</v>
      </c>
      <c r="K38" s="25" t="s">
        <v>12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N38"/>
  <sheetViews>
    <sheetView workbookViewId="0">
      <selection activeCell="N24" sqref="N24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ht="14.65" r="2" spans="1:9" thickBot="1" x14ac:dyDescent="0.5">
      <c r="A2" s="1" t="s">
        <v>51</v>
      </c>
      <c r="B2" s="1"/>
      <c r="C2" s="3"/>
      <c r="D2" s="3"/>
      <c r="F2" s="1" t="s">
        <v>31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12</v>
      </c>
      <c r="F3" s="2" t="s">
        <v>0</v>
      </c>
      <c r="G3" s="4" t="s">
        <v>9</v>
      </c>
      <c r="H3" s="4" t="s">
        <v>10</v>
      </c>
      <c r="I3" s="7" t="s">
        <v>12</v>
      </c>
    </row>
    <row r="4" spans="1:9" x14ac:dyDescent="0.45">
      <c r="A4" s="9" t="s">
        <v>1</v>
      </c>
      <c r="B4" s="9" t="n">
        <v>0.0</v>
      </c>
      <c r="C4" s="9" t="n">
        <v>0.0</v>
      </c>
      <c r="D4" s="9">
        <f>SUM(B4:C4)</f>
        <v>1000</v>
      </c>
      <c r="F4" s="9" t="s">
        <v>1</v>
      </c>
      <c r="G4" s="9" t="n">
        <v>0.0</v>
      </c>
      <c r="H4" s="9" t="n">
        <v>0.0</v>
      </c>
      <c r="I4" s="9">
        <f>SUM(G4:H4)</f>
        <v>1000</v>
      </c>
    </row>
    <row r="5" spans="1:9" x14ac:dyDescent="0.45">
      <c r="A5" s="9" t="s">
        <v>2</v>
      </c>
      <c r="B5" s="9" t="n">
        <v>10000.0</v>
      </c>
      <c r="C5" s="9" t="n">
        <v>230000.0</v>
      </c>
      <c r="D5" s="9">
        <f ref="D5:D12" si="0" t="shared">SUM(B5:C5)</f>
        <v>247000</v>
      </c>
      <c r="F5" s="9" t="s">
        <v>2</v>
      </c>
      <c r="G5" s="9" t="n">
        <v>10000.0</v>
      </c>
      <c r="H5" s="9" t="n">
        <v>230000.0</v>
      </c>
      <c r="I5" s="9">
        <f ref="I5:I12" si="1" t="shared">SUM(G5:H5)</f>
        <v>247000</v>
      </c>
    </row>
    <row r="6" spans="1:9" x14ac:dyDescent="0.45">
      <c r="A6" s="9" t="s">
        <v>3</v>
      </c>
      <c r="B6" s="9" t="n">
        <v>0.0</v>
      </c>
      <c r="C6" s="9" t="n">
        <v>260000.0</v>
      </c>
      <c r="D6" s="9">
        <f si="0" t="shared"/>
        <v>317000</v>
      </c>
      <c r="F6" s="9" t="s">
        <v>3</v>
      </c>
      <c r="G6" s="9" t="n">
        <v>0.0</v>
      </c>
      <c r="H6" s="9" t="n">
        <v>260000.0</v>
      </c>
      <c r="I6" s="9">
        <f si="1" t="shared"/>
        <v>317000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si="0" t="shared"/>
        <v>0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45">
      <c r="A8" s="9" t="s">
        <v>5</v>
      </c>
      <c r="B8" s="9" t="n">
        <v>0.0</v>
      </c>
      <c r="C8" s="9" t="n">
        <v>0.0</v>
      </c>
      <c r="D8" s="9">
        <f si="0" t="shared"/>
        <v>0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si="0" t="shared"/>
        <v>1000</v>
      </c>
      <c r="F9" s="9" t="s">
        <v>6</v>
      </c>
      <c r="G9" s="9" t="n">
        <v>0.0</v>
      </c>
      <c r="H9" s="9" t="n">
        <v>0.0</v>
      </c>
      <c r="I9" s="9">
        <f si="1" t="shared"/>
        <v>1000</v>
      </c>
    </row>
    <row r="10" spans="1:9" x14ac:dyDescent="0.45">
      <c r="A10" s="9" t="s">
        <v>7</v>
      </c>
      <c r="B10" s="9" t="n">
        <v>10000.0</v>
      </c>
      <c r="C10" s="9" t="n">
        <v>0.0</v>
      </c>
      <c r="D10" s="9">
        <f si="0" t="shared"/>
        <v>11000</v>
      </c>
      <c r="F10" s="9" t="s">
        <v>7</v>
      </c>
      <c r="G10" s="9" t="n">
        <v>10000.0</v>
      </c>
      <c r="H10" s="9" t="n">
        <v>0.0</v>
      </c>
      <c r="I10" s="9">
        <f si="1" t="shared"/>
        <v>11000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4.65" r="12" spans="1:9" thickBot="1" x14ac:dyDescent="0.5">
      <c r="A12" s="13" t="s">
        <v>12</v>
      </c>
      <c r="B12" s="10">
        <f>SUM(B4:B11)</f>
        <v>6000</v>
      </c>
      <c r="C12" s="10">
        <f>SUM(C4:C11)</f>
        <v>571000</v>
      </c>
      <c r="D12" s="10">
        <f si="0" t="shared"/>
        <v>577000</v>
      </c>
      <c r="F12" s="13" t="s">
        <v>12</v>
      </c>
      <c r="G12" s="10">
        <f>SUM(G4:G11)</f>
        <v>6000</v>
      </c>
      <c r="H12" s="10">
        <f>SUM(H4:H11)</f>
        <v>571000</v>
      </c>
      <c r="I12" s="10">
        <f si="1" t="shared"/>
        <v>577000</v>
      </c>
    </row>
    <row ht="14.65" r="15" spans="1:9" thickBot="1" x14ac:dyDescent="0.5">
      <c r="A15" s="1" t="s">
        <v>51</v>
      </c>
      <c r="B15" s="1"/>
      <c r="C15" s="3"/>
      <c r="D15" s="3"/>
      <c r="F15" s="1" t="s">
        <v>31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12</v>
      </c>
      <c r="F16" s="2" t="s">
        <v>0</v>
      </c>
      <c r="G16" s="4" t="s">
        <v>9</v>
      </c>
      <c r="H16" s="4" t="s">
        <v>10</v>
      </c>
      <c r="I16" s="7" t="s">
        <v>12</v>
      </c>
    </row>
    <row r="17" spans="1:14" x14ac:dyDescent="0.45">
      <c r="A17" s="9" t="s">
        <v>1</v>
      </c>
      <c r="B17" s="16">
        <f>B4/$D$12</f>
        <v>0</v>
      </c>
      <c r="C17" s="16">
        <f ref="C17:D17" si="2" t="shared">C4/$D$12</f>
        <v>1.7331022530329288E-3</v>
      </c>
      <c r="D17" s="16">
        <f si="2" t="shared"/>
        <v>1.7331022530329288E-3</v>
      </c>
      <c r="F17" s="9" t="s">
        <v>1</v>
      </c>
      <c r="G17" s="16">
        <f ref="G17:I25" si="3" t="shared">G4/$I$12</f>
        <v>0</v>
      </c>
      <c r="H17" s="16">
        <f si="3" t="shared"/>
        <v>1.7331022530329288E-3</v>
      </c>
      <c r="I17" s="16">
        <f si="3" t="shared"/>
        <v>1.7331022530329288E-3</v>
      </c>
    </row>
    <row r="18" spans="1:14" x14ac:dyDescent="0.45">
      <c r="A18" s="9" t="s">
        <v>2</v>
      </c>
      <c r="B18" s="16">
        <f ref="B18:D25" si="4" t="shared">B5/$D$12</f>
        <v>5.1993067590987872E-3</v>
      </c>
      <c r="C18" s="16">
        <f si="4" t="shared"/>
        <v>0.42287694974003465</v>
      </c>
      <c r="D18" s="16">
        <f si="4" t="shared"/>
        <v>0.42807625649913345</v>
      </c>
      <c r="F18" s="9" t="s">
        <v>2</v>
      </c>
      <c r="G18" s="16">
        <f si="3" t="shared"/>
        <v>5.1993067590987872E-3</v>
      </c>
      <c r="H18" s="16">
        <f si="3" t="shared"/>
        <v>0.42287694974003465</v>
      </c>
      <c r="I18" s="16">
        <f si="3" t="shared"/>
        <v>0.42807625649913345</v>
      </c>
    </row>
    <row r="19" spans="1:14" x14ac:dyDescent="0.45">
      <c r="A19" s="9" t="s">
        <v>3</v>
      </c>
      <c r="B19" s="16">
        <f si="4" t="shared"/>
        <v>0</v>
      </c>
      <c r="C19" s="16">
        <f si="4" t="shared"/>
        <v>0.5493934142114385</v>
      </c>
      <c r="D19" s="16">
        <f si="4" t="shared"/>
        <v>0.5493934142114385</v>
      </c>
      <c r="F19" s="9" t="s">
        <v>3</v>
      </c>
      <c r="G19" s="16">
        <f si="3" t="shared"/>
        <v>0</v>
      </c>
      <c r="H19" s="16">
        <f si="3" t="shared"/>
        <v>0.5493934142114385</v>
      </c>
      <c r="I19" s="16">
        <f si="3" t="shared"/>
        <v>0.5493934142114385</v>
      </c>
    </row>
    <row r="20" spans="1:14" x14ac:dyDescent="0.4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45">
      <c r="A21" s="9" t="s">
        <v>5</v>
      </c>
      <c r="B21" s="16">
        <f si="4" t="shared"/>
        <v>0</v>
      </c>
      <c r="C21" s="16">
        <f si="4" t="shared"/>
        <v>0</v>
      </c>
      <c r="D21" s="16">
        <f si="4" t="shared"/>
        <v>0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45">
      <c r="A22" s="9" t="s">
        <v>6</v>
      </c>
      <c r="B22" s="16">
        <f si="4" t="shared"/>
        <v>1.7331022530329288E-3</v>
      </c>
      <c r="C22" s="16">
        <f si="4" t="shared"/>
        <v>0</v>
      </c>
      <c r="D22" s="16">
        <f si="4" t="shared"/>
        <v>1.7331022530329288E-3</v>
      </c>
      <c r="F22" s="9" t="s">
        <v>6</v>
      </c>
      <c r="G22" s="16">
        <f si="3" t="shared"/>
        <v>1.7331022530329288E-3</v>
      </c>
      <c r="H22" s="16">
        <f si="3" t="shared"/>
        <v>0</v>
      </c>
      <c r="I22" s="16">
        <f si="3" t="shared"/>
        <v>1.7331022530329288E-3</v>
      </c>
    </row>
    <row r="23" spans="1:14" x14ac:dyDescent="0.45">
      <c r="A23" s="9" t="s">
        <v>7</v>
      </c>
      <c r="B23" s="16">
        <f si="4" t="shared"/>
        <v>3.4662045060658577E-3</v>
      </c>
      <c r="C23" s="16">
        <f si="4" t="shared"/>
        <v>1.5597920277296361E-2</v>
      </c>
      <c r="D23" s="16">
        <f si="4" t="shared"/>
        <v>1.9064124783362217E-2</v>
      </c>
      <c r="F23" s="9" t="s">
        <v>7</v>
      </c>
      <c r="G23" s="16">
        <f si="3" t="shared"/>
        <v>3.4662045060658577E-3</v>
      </c>
      <c r="H23" s="16">
        <f si="3" t="shared"/>
        <v>1.5597920277296361E-2</v>
      </c>
      <c r="I23" s="16">
        <f si="3" t="shared"/>
        <v>1.9064124783362217E-2</v>
      </c>
    </row>
    <row r="24" spans="1:14" x14ac:dyDescent="0.4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4.65" r="25" spans="1:14" thickBot="1" x14ac:dyDescent="0.5">
      <c r="A25" s="13" t="s">
        <v>12</v>
      </c>
      <c r="B25" s="18">
        <f si="4" t="shared"/>
        <v>1.0398613518197574E-2</v>
      </c>
      <c r="C25" s="18">
        <f si="4" t="shared"/>
        <v>0.9896013864818024</v>
      </c>
      <c r="D25" s="18">
        <f si="4" t="shared"/>
        <v>1</v>
      </c>
      <c r="F25" s="13" t="s">
        <v>12</v>
      </c>
      <c r="G25" s="18">
        <f si="3" t="shared"/>
        <v>1.0398613518197574E-2</v>
      </c>
      <c r="H25" s="18">
        <f si="3" t="shared"/>
        <v>0.9896013864818024</v>
      </c>
      <c r="I25" s="18">
        <f si="3" t="shared"/>
        <v>1</v>
      </c>
    </row>
    <row ht="14.65" r="28" spans="1:14" thickBot="1" x14ac:dyDescent="0.5">
      <c r="F28" s="1" t="s">
        <v>41</v>
      </c>
      <c r="G28" s="1"/>
      <c r="H28" s="3"/>
      <c r="I28" s="3"/>
      <c r="K28" s="21" t="s">
        <v>17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12</v>
      </c>
      <c r="K29" s="27" t="s">
        <v>0</v>
      </c>
      <c r="L29" s="28" t="s">
        <v>24</v>
      </c>
      <c r="M29" s="28" t="s">
        <v>13</v>
      </c>
      <c r="N29" s="29" t="s">
        <v>14</v>
      </c>
    </row>
    <row r="30" spans="1:14" x14ac:dyDescent="0.45">
      <c r="F30" s="9" t="s">
        <v>1</v>
      </c>
      <c r="G30" s="16">
        <f ref="G30:G38" si="5" t="shared">G17-B17</f>
        <v>0</v>
      </c>
      <c r="H30" s="16">
        <f ref="H30:H38" si="6" t="shared">H17-C17</f>
        <v>0</v>
      </c>
      <c r="I30" s="16">
        <f ref="I30:I38" si="7" t="shared">I17-D17</f>
        <v>0</v>
      </c>
      <c r="K30" s="23" t="s">
        <v>1</v>
      </c>
      <c r="L30" s="24">
        <f>D17</f>
        <v>1.7331022530329288E-3</v>
      </c>
      <c r="M30" s="24">
        <f ref="M30:M38" si="8" t="shared">I17</f>
        <v>1.7331022530329288E-3</v>
      </c>
      <c r="N30" s="24">
        <f>M30-L30</f>
        <v>0</v>
      </c>
    </row>
    <row r="31" spans="1:14" x14ac:dyDescent="0.45">
      <c r="F31" s="9" t="s">
        <v>2</v>
      </c>
      <c r="G31" s="16">
        <f si="5" t="shared"/>
        <v>0</v>
      </c>
      <c r="H31" s="16">
        <f si="6" t="shared"/>
        <v>0</v>
      </c>
      <c r="I31" s="16">
        <f si="7" t="shared"/>
        <v>0</v>
      </c>
      <c r="K31" s="30" t="s">
        <v>2</v>
      </c>
      <c r="L31" s="31">
        <f ref="L31:L38" si="9" t="shared">D18</f>
        <v>0.42807625649913345</v>
      </c>
      <c r="M31" s="31">
        <f si="8" t="shared"/>
        <v>0.42807625649913345</v>
      </c>
      <c r="N31" s="31">
        <f ref="N31:N38" si="10" t="shared">M31-L31</f>
        <v>0</v>
      </c>
    </row>
    <row r="32" spans="1:14" x14ac:dyDescent="0.45">
      <c r="F32" s="9" t="s">
        <v>3</v>
      </c>
      <c r="G32" s="16">
        <f si="5" t="shared"/>
        <v>0</v>
      </c>
      <c r="H32" s="16">
        <f si="6" t="shared"/>
        <v>0</v>
      </c>
      <c r="I32" s="16">
        <f si="7" t="shared"/>
        <v>0</v>
      </c>
      <c r="K32" s="23" t="s">
        <v>3</v>
      </c>
      <c r="L32" s="24">
        <f si="9" t="shared"/>
        <v>0.5493934142114385</v>
      </c>
      <c r="M32" s="24">
        <f si="8" t="shared"/>
        <v>0.5493934142114385</v>
      </c>
      <c r="N32" s="24">
        <f si="10" t="shared"/>
        <v>0</v>
      </c>
    </row>
    <row r="33" spans="6:14" x14ac:dyDescent="0.4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45">
      <c r="F34" s="9" t="s">
        <v>5</v>
      </c>
      <c r="G34" s="16">
        <f si="5" t="shared"/>
        <v>0</v>
      </c>
      <c r="H34" s="16">
        <f si="6" t="shared"/>
        <v>0</v>
      </c>
      <c r="I34" s="16">
        <f si="7" t="shared"/>
        <v>0</v>
      </c>
      <c r="K34" s="23" t="s">
        <v>5</v>
      </c>
      <c r="L34" s="24">
        <f si="9" t="shared"/>
        <v>0</v>
      </c>
      <c r="M34" s="24">
        <f si="8" t="shared"/>
        <v>0</v>
      </c>
      <c r="N34" s="24">
        <f si="10" t="shared"/>
        <v>0</v>
      </c>
    </row>
    <row r="35" spans="6:14" x14ac:dyDescent="0.45">
      <c r="F35" s="9" t="s">
        <v>6</v>
      </c>
      <c r="G35" s="16">
        <f si="5" t="shared"/>
        <v>0</v>
      </c>
      <c r="H35" s="16">
        <f si="6" t="shared"/>
        <v>0</v>
      </c>
      <c r="I35" s="16">
        <f si="7" t="shared"/>
        <v>0</v>
      </c>
      <c r="K35" s="30" t="s">
        <v>6</v>
      </c>
      <c r="L35" s="31">
        <f si="9" t="shared"/>
        <v>1.7331022530329288E-3</v>
      </c>
      <c r="M35" s="31">
        <f si="8" t="shared"/>
        <v>1.7331022530329288E-3</v>
      </c>
      <c r="N35" s="31">
        <f si="10" t="shared"/>
        <v>0</v>
      </c>
    </row>
    <row r="36" spans="6:14" x14ac:dyDescent="0.45">
      <c r="F36" s="9" t="s">
        <v>7</v>
      </c>
      <c r="G36" s="16">
        <f si="5" t="shared"/>
        <v>0</v>
      </c>
      <c r="H36" s="16">
        <f si="6" t="shared"/>
        <v>0</v>
      </c>
      <c r="I36" s="16">
        <f si="7" t="shared"/>
        <v>0</v>
      </c>
      <c r="K36" s="23" t="s">
        <v>7</v>
      </c>
      <c r="L36" s="24">
        <f si="9" t="shared"/>
        <v>1.9064124783362217E-2</v>
      </c>
      <c r="M36" s="24">
        <f si="8" t="shared"/>
        <v>1.9064124783362217E-2</v>
      </c>
      <c r="N36" s="24">
        <f si="10" t="shared"/>
        <v>0</v>
      </c>
    </row>
    <row r="37" spans="6:14" x14ac:dyDescent="0.4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4.65" r="38" spans="6:14" thickBot="1" x14ac:dyDescent="0.5">
      <c r="F38" s="13" t="s">
        <v>12</v>
      </c>
      <c r="G38" s="18">
        <f si="5" t="shared"/>
        <v>0</v>
      </c>
      <c r="H38" s="18">
        <f si="6" t="shared"/>
        <v>0</v>
      </c>
      <c r="I38" s="18">
        <f si="7" t="shared"/>
        <v>0</v>
      </c>
      <c r="K38" s="25" t="s">
        <v>12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 verticalDpi="0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N38"/>
  <sheetViews>
    <sheetView workbookViewId="0">
      <selection activeCell="P26" sqref="P26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ht="14.65" r="2" spans="1:9" thickBot="1" x14ac:dyDescent="0.5">
      <c r="A2" s="1" t="s">
        <v>52</v>
      </c>
      <c r="B2" s="1"/>
      <c r="C2" s="3"/>
      <c r="D2" s="3"/>
      <c r="F2" s="1" t="s">
        <v>32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12</v>
      </c>
      <c r="F3" s="2" t="s">
        <v>0</v>
      </c>
      <c r="G3" s="4" t="s">
        <v>9</v>
      </c>
      <c r="H3" s="4" t="s">
        <v>10</v>
      </c>
      <c r="I3" s="7" t="s">
        <v>12</v>
      </c>
    </row>
    <row r="4" spans="1:9" x14ac:dyDescent="0.45">
      <c r="A4" s="9" t="s">
        <v>1</v>
      </c>
      <c r="B4" s="9" t="n">
        <v>0.0</v>
      </c>
      <c r="C4" s="9" t="n">
        <v>270000.0</v>
      </c>
      <c r="D4" s="9">
        <f>SUM(B4:C4)</f>
        <v>251000</v>
      </c>
      <c r="E4" s="9"/>
      <c r="F4" s="9" t="s">
        <v>1</v>
      </c>
      <c r="G4" s="9" t="n">
        <v>0.0</v>
      </c>
      <c r="H4" s="9" t="n">
        <v>270000.0</v>
      </c>
      <c r="I4" s="9">
        <f>SUM(G4:H4)</f>
        <v>251000</v>
      </c>
    </row>
    <row r="5" spans="1:9" x14ac:dyDescent="0.45">
      <c r="A5" s="9" t="s">
        <v>2</v>
      </c>
      <c r="B5" s="9" t="n">
        <v>0.0</v>
      </c>
      <c r="C5" s="9" t="n">
        <v>120000.0</v>
      </c>
      <c r="D5" s="9">
        <f ref="D5:D12" si="0" t="shared">SUM(B5:C5)</f>
        <v>89000</v>
      </c>
      <c r="E5" s="9"/>
      <c r="F5" s="9" t="s">
        <v>2</v>
      </c>
      <c r="G5" s="9" t="n">
        <v>0.0</v>
      </c>
      <c r="H5" s="9" t="n">
        <v>120000.0</v>
      </c>
      <c r="I5" s="9">
        <f ref="I5:I12" si="1" t="shared">SUM(G5:H5)</f>
        <v>89000</v>
      </c>
    </row>
    <row r="6" spans="1:9" x14ac:dyDescent="0.45">
      <c r="A6" s="9" t="s">
        <v>3</v>
      </c>
      <c r="B6" s="9" t="n">
        <v>0.0</v>
      </c>
      <c r="C6" s="9" t="n">
        <v>30000.0</v>
      </c>
      <c r="D6" s="9">
        <f si="0" t="shared"/>
        <v>57000</v>
      </c>
      <c r="E6" s="9"/>
      <c r="F6" s="9" t="s">
        <v>3</v>
      </c>
      <c r="G6" s="9" t="n">
        <v>0.0</v>
      </c>
      <c r="H6" s="9" t="n">
        <v>30000.0</v>
      </c>
      <c r="I6" s="9">
        <f si="1" t="shared"/>
        <v>57000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45">
      <c r="A8" s="9" t="s">
        <v>5</v>
      </c>
      <c r="B8" s="9" t="n">
        <v>0.0</v>
      </c>
      <c r="C8" s="9" t="n">
        <v>20000.0</v>
      </c>
      <c r="D8" s="9">
        <f si="0" t="shared"/>
        <v>5000</v>
      </c>
      <c r="E8" s="9"/>
      <c r="F8" s="9" t="s">
        <v>5</v>
      </c>
      <c r="G8" s="9" t="n">
        <v>0.0</v>
      </c>
      <c r="H8" s="9" t="n">
        <v>20000.0</v>
      </c>
      <c r="I8" s="9">
        <f si="1" t="shared"/>
        <v>5000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si="0" t="shared"/>
        <v>3000</v>
      </c>
      <c r="E9" s="9"/>
      <c r="F9" s="9" t="s">
        <v>6</v>
      </c>
      <c r="G9" s="9" t="n">
        <v>0.0</v>
      </c>
      <c r="H9" s="9" t="n">
        <v>0.0</v>
      </c>
      <c r="I9" s="9">
        <f si="1" t="shared"/>
        <v>3000</v>
      </c>
    </row>
    <row r="10" spans="1:9" x14ac:dyDescent="0.45">
      <c r="A10" s="9" t="s">
        <v>7</v>
      </c>
      <c r="B10" s="9" t="n">
        <v>0.0</v>
      </c>
      <c r="C10" s="9" t="n">
        <v>10000.0</v>
      </c>
      <c r="D10" s="9">
        <f si="0" t="shared"/>
        <v>14000</v>
      </c>
      <c r="E10" s="9"/>
      <c r="F10" s="9" t="s">
        <v>7</v>
      </c>
      <c r="G10" s="9" t="n">
        <v>0.0</v>
      </c>
      <c r="H10" s="9" t="n">
        <v>10000.0</v>
      </c>
      <c r="I10" s="9">
        <f si="1" t="shared"/>
        <v>14000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4.65" r="12" spans="1:9" thickBot="1" x14ac:dyDescent="0.5">
      <c r="A12" s="13" t="s">
        <v>12</v>
      </c>
      <c r="B12" s="10">
        <f>SUM(B4:B11)</f>
        <v>2000</v>
      </c>
      <c r="C12" s="10">
        <f>SUM(C4:C11)</f>
        <v>417000</v>
      </c>
      <c r="D12" s="10">
        <f si="0" t="shared"/>
        <v>419000</v>
      </c>
      <c r="F12" s="13" t="s">
        <v>12</v>
      </c>
      <c r="G12" s="10">
        <f>SUM(G4:G11)</f>
        <v>2000</v>
      </c>
      <c r="H12" s="10">
        <f>SUM(H4:H11)</f>
        <v>417000</v>
      </c>
      <c r="I12" s="10">
        <f si="1" t="shared"/>
        <v>419000</v>
      </c>
    </row>
    <row ht="14.65" r="15" spans="1:9" thickBot="1" x14ac:dyDescent="0.5">
      <c r="A15" s="1" t="s">
        <v>53</v>
      </c>
      <c r="B15" s="1"/>
      <c r="C15" s="3"/>
      <c r="D15" s="3"/>
      <c r="F15" s="1" t="s">
        <v>33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12</v>
      </c>
      <c r="F16" s="2" t="s">
        <v>0</v>
      </c>
      <c r="G16" s="4" t="s">
        <v>9</v>
      </c>
      <c r="H16" s="4" t="s">
        <v>10</v>
      </c>
      <c r="I16" s="7" t="s">
        <v>12</v>
      </c>
    </row>
    <row r="17" spans="1:14" x14ac:dyDescent="0.45">
      <c r="A17" s="9" t="s">
        <v>1</v>
      </c>
      <c r="B17" s="16">
        <f>B4/$D$12</f>
        <v>0</v>
      </c>
      <c r="C17" s="16">
        <f ref="C17:D17" si="2" t="shared">C4/$D$12</f>
        <v>0.59904534606205251</v>
      </c>
      <c r="D17" s="16">
        <f si="2" t="shared"/>
        <v>0.59904534606205251</v>
      </c>
      <c r="F17" s="9" t="s">
        <v>1</v>
      </c>
      <c r="G17" s="16">
        <f ref="G17:I25" si="3" t="shared">G4/$I$12</f>
        <v>0</v>
      </c>
      <c r="H17" s="16">
        <f si="3" t="shared"/>
        <v>0.59904534606205251</v>
      </c>
      <c r="I17" s="16">
        <f si="3" t="shared"/>
        <v>0.59904534606205251</v>
      </c>
    </row>
    <row r="18" spans="1:14" x14ac:dyDescent="0.45">
      <c r="A18" s="9" t="s">
        <v>2</v>
      </c>
      <c r="B18" s="16">
        <f ref="B18:D25" si="4" t="shared">B5/$D$12</f>
        <v>2.3866348448687352E-3</v>
      </c>
      <c r="C18" s="16">
        <f si="4" t="shared"/>
        <v>0.21002386634844869</v>
      </c>
      <c r="D18" s="16">
        <f si="4" t="shared"/>
        <v>0.21241050119331742</v>
      </c>
      <c r="F18" s="9" t="s">
        <v>2</v>
      </c>
      <c r="G18" s="16">
        <f si="3" t="shared"/>
        <v>2.3866348448687352E-3</v>
      </c>
      <c r="H18" s="16">
        <f si="3" t="shared"/>
        <v>0.21002386634844869</v>
      </c>
      <c r="I18" s="16">
        <f si="3" t="shared"/>
        <v>0.21241050119331742</v>
      </c>
    </row>
    <row r="19" spans="1:14" x14ac:dyDescent="0.45">
      <c r="A19" s="9" t="s">
        <v>3</v>
      </c>
      <c r="B19" s="16">
        <f si="4" t="shared"/>
        <v>0</v>
      </c>
      <c r="C19" s="16">
        <f si="4" t="shared"/>
        <v>0.13603818615751789</v>
      </c>
      <c r="D19" s="16">
        <f si="4" t="shared"/>
        <v>0.13603818615751789</v>
      </c>
      <c r="F19" s="9" t="s">
        <v>3</v>
      </c>
      <c r="G19" s="16">
        <f si="3" t="shared"/>
        <v>0</v>
      </c>
      <c r="H19" s="16">
        <f si="3" t="shared"/>
        <v>0.13603818615751789</v>
      </c>
      <c r="I19" s="16">
        <f si="3" t="shared"/>
        <v>0.13603818615751789</v>
      </c>
    </row>
    <row r="20" spans="1:14" x14ac:dyDescent="0.4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45">
      <c r="A21" s="9" t="s">
        <v>5</v>
      </c>
      <c r="B21" s="16">
        <f si="4" t="shared"/>
        <v>2.3866348448687352E-3</v>
      </c>
      <c r="C21" s="16">
        <f si="4" t="shared"/>
        <v>9.5465393794749408E-3</v>
      </c>
      <c r="D21" s="16">
        <f si="4" t="shared"/>
        <v>1.1933174224343675E-2</v>
      </c>
      <c r="F21" s="9" t="s">
        <v>5</v>
      </c>
      <c r="G21" s="16">
        <f si="3" t="shared"/>
        <v>2.3866348448687352E-3</v>
      </c>
      <c r="H21" s="16">
        <f si="3" t="shared"/>
        <v>9.5465393794749408E-3</v>
      </c>
      <c r="I21" s="16">
        <f si="3" t="shared"/>
        <v>1.1933174224343675E-2</v>
      </c>
    </row>
    <row r="22" spans="1:14" x14ac:dyDescent="0.45">
      <c r="A22" s="9" t="s">
        <v>6</v>
      </c>
      <c r="B22" s="16">
        <f si="4" t="shared"/>
        <v>0</v>
      </c>
      <c r="C22" s="16">
        <f si="4" t="shared"/>
        <v>7.1599045346062056E-3</v>
      </c>
      <c r="D22" s="16">
        <f si="4" t="shared"/>
        <v>7.1599045346062056E-3</v>
      </c>
      <c r="F22" s="9" t="s">
        <v>6</v>
      </c>
      <c r="G22" s="16">
        <f si="3" t="shared"/>
        <v>0</v>
      </c>
      <c r="H22" s="16">
        <f si="3" t="shared"/>
        <v>7.1599045346062056E-3</v>
      </c>
      <c r="I22" s="16">
        <f si="3" t="shared"/>
        <v>7.1599045346062056E-3</v>
      </c>
    </row>
    <row r="23" spans="1:14" x14ac:dyDescent="0.45">
      <c r="A23" s="9" t="s">
        <v>7</v>
      </c>
      <c r="B23" s="16">
        <f si="4" t="shared"/>
        <v>0</v>
      </c>
      <c r="C23" s="16">
        <f si="4" t="shared"/>
        <v>3.3412887828162291E-2</v>
      </c>
      <c r="D23" s="16">
        <f si="4" t="shared"/>
        <v>3.3412887828162291E-2</v>
      </c>
      <c r="F23" s="9" t="s">
        <v>7</v>
      </c>
      <c r="G23" s="16">
        <f si="3" t="shared"/>
        <v>0</v>
      </c>
      <c r="H23" s="16">
        <f si="3" t="shared"/>
        <v>3.3412887828162291E-2</v>
      </c>
      <c r="I23" s="16">
        <f si="3" t="shared"/>
        <v>3.3412887828162291E-2</v>
      </c>
    </row>
    <row r="24" spans="1:14" x14ac:dyDescent="0.4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4.65" r="25" spans="1:14" thickBot="1" x14ac:dyDescent="0.5">
      <c r="A25" s="13" t="s">
        <v>12</v>
      </c>
      <c r="B25" s="18">
        <f si="4" t="shared"/>
        <v>4.7732696897374704E-3</v>
      </c>
      <c r="C25" s="18">
        <f si="4" t="shared"/>
        <v>0.99522673031026254</v>
      </c>
      <c r="D25" s="18">
        <f si="4" t="shared"/>
        <v>1</v>
      </c>
      <c r="F25" s="13" t="s">
        <v>12</v>
      </c>
      <c r="G25" s="18">
        <f si="3" t="shared"/>
        <v>4.7732696897374704E-3</v>
      </c>
      <c r="H25" s="18">
        <f si="3" t="shared"/>
        <v>0.99522673031026254</v>
      </c>
      <c r="I25" s="18">
        <f si="3" t="shared"/>
        <v>1</v>
      </c>
    </row>
    <row ht="14.65" r="28" spans="1:14" thickBot="1" x14ac:dyDescent="0.5">
      <c r="F28" s="1" t="s">
        <v>42</v>
      </c>
      <c r="G28" s="1"/>
      <c r="H28" s="3"/>
      <c r="I28" s="3"/>
      <c r="K28" s="21" t="s">
        <v>18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12</v>
      </c>
      <c r="K29" s="27" t="s">
        <v>0</v>
      </c>
      <c r="L29" s="28" t="s">
        <v>24</v>
      </c>
      <c r="M29" s="28" t="s">
        <v>13</v>
      </c>
      <c r="N29" s="29" t="s">
        <v>14</v>
      </c>
    </row>
    <row r="30" spans="1:14" x14ac:dyDescent="0.45">
      <c r="F30" s="9" t="s">
        <v>1</v>
      </c>
      <c r="G30" s="16">
        <f ref="G30:G38" si="5" t="shared">G17-B17</f>
        <v>0</v>
      </c>
      <c r="H30" s="16">
        <f ref="H30:H38" si="6" t="shared">H17-C17</f>
        <v>0</v>
      </c>
      <c r="I30" s="16">
        <f ref="I30:I38" si="7" t="shared">I17-D17</f>
        <v>0</v>
      </c>
      <c r="K30" s="23" t="s">
        <v>1</v>
      </c>
      <c r="L30" s="24">
        <f>D17</f>
        <v>0.59904534606205251</v>
      </c>
      <c r="M30" s="24">
        <f ref="M30:M38" si="8" t="shared">I17</f>
        <v>0.59904534606205251</v>
      </c>
      <c r="N30" s="24">
        <f>M30-L30</f>
        <v>0</v>
      </c>
    </row>
    <row r="31" spans="1:14" x14ac:dyDescent="0.45">
      <c r="F31" s="9" t="s">
        <v>2</v>
      </c>
      <c r="G31" s="16">
        <f si="5" t="shared"/>
        <v>0</v>
      </c>
      <c r="H31" s="16">
        <f si="6" t="shared"/>
        <v>0</v>
      </c>
      <c r="I31" s="16">
        <f si="7" t="shared"/>
        <v>0</v>
      </c>
      <c r="K31" s="30" t="s">
        <v>2</v>
      </c>
      <c r="L31" s="31">
        <f ref="L31:L38" si="9" t="shared">D18</f>
        <v>0.21241050119331742</v>
      </c>
      <c r="M31" s="31">
        <f si="8" t="shared"/>
        <v>0.21241050119331742</v>
      </c>
      <c r="N31" s="31">
        <f ref="N31:N38" si="10" t="shared">M31-L31</f>
        <v>0</v>
      </c>
    </row>
    <row r="32" spans="1:14" x14ac:dyDescent="0.45">
      <c r="F32" s="9" t="s">
        <v>3</v>
      </c>
      <c r="G32" s="16">
        <f si="5" t="shared"/>
        <v>0</v>
      </c>
      <c r="H32" s="16">
        <f si="6" t="shared"/>
        <v>0</v>
      </c>
      <c r="I32" s="16">
        <f si="7" t="shared"/>
        <v>0</v>
      </c>
      <c r="K32" s="23" t="s">
        <v>3</v>
      </c>
      <c r="L32" s="24">
        <f si="9" t="shared"/>
        <v>0.13603818615751789</v>
      </c>
      <c r="M32" s="24">
        <f si="8" t="shared"/>
        <v>0.13603818615751789</v>
      </c>
      <c r="N32" s="24">
        <f si="10" t="shared"/>
        <v>0</v>
      </c>
    </row>
    <row r="33" spans="6:14" x14ac:dyDescent="0.4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45">
      <c r="F34" s="9" t="s">
        <v>5</v>
      </c>
      <c r="G34" s="16">
        <f si="5" t="shared"/>
        <v>0</v>
      </c>
      <c r="H34" s="16">
        <f si="6" t="shared"/>
        <v>0</v>
      </c>
      <c r="I34" s="16">
        <f si="7" t="shared"/>
        <v>0</v>
      </c>
      <c r="K34" s="23" t="s">
        <v>5</v>
      </c>
      <c r="L34" s="24">
        <f si="9" t="shared"/>
        <v>1.1933174224343675E-2</v>
      </c>
      <c r="M34" s="24">
        <f si="8" t="shared"/>
        <v>1.1933174224343675E-2</v>
      </c>
      <c r="N34" s="24">
        <f si="10" t="shared"/>
        <v>0</v>
      </c>
    </row>
    <row r="35" spans="6:14" x14ac:dyDescent="0.45">
      <c r="F35" s="9" t="s">
        <v>6</v>
      </c>
      <c r="G35" s="16">
        <f si="5" t="shared"/>
        <v>0</v>
      </c>
      <c r="H35" s="16">
        <f si="6" t="shared"/>
        <v>0</v>
      </c>
      <c r="I35" s="16">
        <f si="7" t="shared"/>
        <v>0</v>
      </c>
      <c r="K35" s="30" t="s">
        <v>6</v>
      </c>
      <c r="L35" s="31">
        <f si="9" t="shared"/>
        <v>7.1599045346062056E-3</v>
      </c>
      <c r="M35" s="31">
        <f si="8" t="shared"/>
        <v>7.1599045346062056E-3</v>
      </c>
      <c r="N35" s="31">
        <f si="10" t="shared"/>
        <v>0</v>
      </c>
    </row>
    <row r="36" spans="6:14" x14ac:dyDescent="0.45">
      <c r="F36" s="9" t="s">
        <v>7</v>
      </c>
      <c r="G36" s="16">
        <f si="5" t="shared"/>
        <v>0</v>
      </c>
      <c r="H36" s="16">
        <f si="6" t="shared"/>
        <v>0</v>
      </c>
      <c r="I36" s="16">
        <f si="7" t="shared"/>
        <v>0</v>
      </c>
      <c r="K36" s="23" t="s">
        <v>7</v>
      </c>
      <c r="L36" s="24">
        <f si="9" t="shared"/>
        <v>3.3412887828162291E-2</v>
      </c>
      <c r="M36" s="24">
        <f si="8" t="shared"/>
        <v>3.3412887828162291E-2</v>
      </c>
      <c r="N36" s="24">
        <f si="10" t="shared"/>
        <v>0</v>
      </c>
    </row>
    <row r="37" spans="6:14" x14ac:dyDescent="0.4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4.65" r="38" spans="6:14" thickBot="1" x14ac:dyDescent="0.5">
      <c r="F38" s="13" t="s">
        <v>12</v>
      </c>
      <c r="G38" s="18">
        <f si="5" t="shared"/>
        <v>0</v>
      </c>
      <c r="H38" s="18">
        <f si="6" t="shared"/>
        <v>0</v>
      </c>
      <c r="I38" s="18">
        <f si="7" t="shared"/>
        <v>0</v>
      </c>
      <c r="K38" s="25" t="s">
        <v>12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N38"/>
  <sheetViews>
    <sheetView workbookViewId="0">
      <selection activeCell="L6" sqref="L6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ht="14.65" r="2" spans="1:9" thickBot="1" x14ac:dyDescent="0.5">
      <c r="A2" s="1" t="s">
        <v>54</v>
      </c>
      <c r="B2" s="1"/>
      <c r="C2" s="3"/>
      <c r="D2" s="3"/>
      <c r="F2" s="1" t="s">
        <v>34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12</v>
      </c>
      <c r="F3" s="2" t="s">
        <v>0</v>
      </c>
      <c r="G3" s="4" t="s">
        <v>9</v>
      </c>
      <c r="H3" s="4" t="s">
        <v>10</v>
      </c>
      <c r="I3" s="7" t="s">
        <v>12</v>
      </c>
    </row>
    <row r="4" spans="1:9" x14ac:dyDescent="0.45">
      <c r="A4" s="9" t="s">
        <v>1</v>
      </c>
      <c r="B4" s="9" t="n">
        <v>0.0</v>
      </c>
      <c r="C4" s="9" t="n">
        <v>70000.0</v>
      </c>
      <c r="D4" s="9">
        <f>SUM(B4:C4)</f>
        <v>85000</v>
      </c>
      <c r="E4" s="9"/>
      <c r="F4" s="9" t="s">
        <v>1</v>
      </c>
      <c r="G4" s="9" t="n">
        <v>0.0</v>
      </c>
      <c r="H4" s="9" t="n">
        <v>70000.0</v>
      </c>
      <c r="I4" s="9">
        <f>SUM(G4:H4)</f>
        <v>85000</v>
      </c>
    </row>
    <row r="5" spans="1:9" x14ac:dyDescent="0.45">
      <c r="A5" s="9" t="s">
        <v>2</v>
      </c>
      <c r="B5" s="9" t="n">
        <v>0.0</v>
      </c>
      <c r="C5" s="9" t="n">
        <v>30000.0</v>
      </c>
      <c r="D5" s="9">
        <f ref="D5:D12" si="0" t="shared">SUM(B5:C5)</f>
        <v>36000</v>
      </c>
      <c r="E5" s="9"/>
      <c r="F5" s="9" t="s">
        <v>2</v>
      </c>
      <c r="G5" s="9" t="n">
        <v>0.0</v>
      </c>
      <c r="H5" s="9" t="n">
        <v>30000.0</v>
      </c>
      <c r="I5" s="9">
        <f ref="I5:I12" si="1" t="shared">SUM(G5:H5)</f>
        <v>36000</v>
      </c>
    </row>
    <row r="6" spans="1:9" x14ac:dyDescent="0.45">
      <c r="A6" s="9" t="s">
        <v>3</v>
      </c>
      <c r="B6" s="9" t="n">
        <v>0.0</v>
      </c>
      <c r="C6" s="9" t="n">
        <v>20000.0</v>
      </c>
      <c r="D6" s="9">
        <f si="0" t="shared"/>
        <v>13000</v>
      </c>
      <c r="E6" s="9"/>
      <c r="F6" s="9" t="s">
        <v>3</v>
      </c>
      <c r="G6" s="9" t="n">
        <v>0.0</v>
      </c>
      <c r="H6" s="9" t="n">
        <v>20000.0</v>
      </c>
      <c r="I6" s="9">
        <f si="1" t="shared"/>
        <v>13000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45">
      <c r="A8" s="9" t="s">
        <v>5</v>
      </c>
      <c r="B8" s="9" t="n">
        <v>0.0</v>
      </c>
      <c r="C8" s="9" t="n">
        <v>0.0</v>
      </c>
      <c r="D8" s="9">
        <f si="0" t="shared"/>
        <v>1000</v>
      </c>
      <c r="E8" s="9"/>
      <c r="F8" s="9" t="s">
        <v>5</v>
      </c>
      <c r="G8" s="9" t="n">
        <v>0.0</v>
      </c>
      <c r="H8" s="9" t="n">
        <v>0.0</v>
      </c>
      <c r="I8" s="9">
        <f si="1" t="shared"/>
        <v>1000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si="0" t="shared"/>
        <v>1000</v>
      </c>
      <c r="E9" s="9"/>
      <c r="F9" s="9" t="s">
        <v>6</v>
      </c>
      <c r="G9" s="9" t="n">
        <v>0.0</v>
      </c>
      <c r="H9" s="9" t="n">
        <v>0.0</v>
      </c>
      <c r="I9" s="9">
        <f si="1" t="shared"/>
        <v>1000</v>
      </c>
    </row>
    <row r="10" spans="1:9" x14ac:dyDescent="0.45">
      <c r="A10" s="9" t="s">
        <v>7</v>
      </c>
      <c r="B10" s="9" t="n">
        <v>0.0</v>
      </c>
      <c r="C10" s="9" t="n">
        <v>0.0</v>
      </c>
      <c r="D10" s="9">
        <f si="0" t="shared"/>
        <v>1000</v>
      </c>
      <c r="E10" s="9"/>
      <c r="F10" s="9" t="s">
        <v>7</v>
      </c>
      <c r="G10" s="9" t="n">
        <v>0.0</v>
      </c>
      <c r="H10" s="9" t="n">
        <v>0.0</v>
      </c>
      <c r="I10" s="9">
        <f si="1" t="shared"/>
        <v>1000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4.65" r="12" spans="1:9" thickBot="1" x14ac:dyDescent="0.5">
      <c r="A12" s="13" t="s">
        <v>12</v>
      </c>
      <c r="B12" s="10">
        <f>SUM(B4:B11)</f>
        <v>1000</v>
      </c>
      <c r="C12" s="10">
        <f>SUM(C4:C11)</f>
        <v>136000</v>
      </c>
      <c r="D12" s="10">
        <f si="0" t="shared"/>
        <v>137000</v>
      </c>
      <c r="F12" s="13" t="s">
        <v>12</v>
      </c>
      <c r="G12" s="10">
        <f>SUM(G4:G11)</f>
        <v>1000</v>
      </c>
      <c r="H12" s="10">
        <f>SUM(H4:H11)</f>
        <v>136000</v>
      </c>
      <c r="I12" s="10">
        <f si="1" t="shared"/>
        <v>137000</v>
      </c>
    </row>
    <row ht="14.65" r="15" spans="1:9" thickBot="1" x14ac:dyDescent="0.5">
      <c r="A15" s="1" t="s">
        <v>54</v>
      </c>
      <c r="B15" s="1"/>
      <c r="C15" s="3"/>
      <c r="D15" s="3"/>
      <c r="F15" s="1" t="s">
        <v>34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12</v>
      </c>
      <c r="F16" s="2" t="s">
        <v>0</v>
      </c>
      <c r="G16" s="4" t="s">
        <v>9</v>
      </c>
      <c r="H16" s="4" t="s">
        <v>10</v>
      </c>
      <c r="I16" s="7" t="s">
        <v>12</v>
      </c>
    </row>
    <row r="17" spans="1:14" x14ac:dyDescent="0.45">
      <c r="A17" s="9" t="s">
        <v>1</v>
      </c>
      <c r="B17" s="16">
        <f>B4/$D$12</f>
        <v>0</v>
      </c>
      <c r="C17" s="16">
        <f ref="C17:D17" si="2" t="shared">C4/$D$12</f>
        <v>0.62043795620437958</v>
      </c>
      <c r="D17" s="16">
        <f si="2" t="shared"/>
        <v>0.62043795620437958</v>
      </c>
      <c r="F17" s="9" t="s">
        <v>1</v>
      </c>
      <c r="G17" s="16">
        <f ref="G17:I25" si="3" t="shared">G4/$I$12</f>
        <v>0</v>
      </c>
      <c r="H17" s="16">
        <f si="3" t="shared"/>
        <v>0.62043795620437958</v>
      </c>
      <c r="I17" s="16">
        <f si="3" t="shared"/>
        <v>0.62043795620437958</v>
      </c>
    </row>
    <row r="18" spans="1:14" x14ac:dyDescent="0.45">
      <c r="A18" s="9" t="s">
        <v>2</v>
      </c>
      <c r="B18" s="16">
        <f ref="B18:D25" si="4" t="shared">B5/$D$12</f>
        <v>0</v>
      </c>
      <c r="C18" s="16">
        <f si="4" t="shared"/>
        <v>0.26277372262773724</v>
      </c>
      <c r="D18" s="16">
        <f si="4" t="shared"/>
        <v>0.26277372262773724</v>
      </c>
      <c r="F18" s="9" t="s">
        <v>2</v>
      </c>
      <c r="G18" s="16">
        <f si="3" t="shared"/>
        <v>0</v>
      </c>
      <c r="H18" s="16">
        <f si="3" t="shared"/>
        <v>0.26277372262773724</v>
      </c>
      <c r="I18" s="16">
        <f si="3" t="shared"/>
        <v>0.26277372262773724</v>
      </c>
    </row>
    <row r="19" spans="1:14" x14ac:dyDescent="0.45">
      <c r="A19" s="9" t="s">
        <v>3</v>
      </c>
      <c r="B19" s="16">
        <f si="4" t="shared"/>
        <v>0</v>
      </c>
      <c r="C19" s="16">
        <f si="4" t="shared"/>
        <v>9.4890510948905105E-2</v>
      </c>
      <c r="D19" s="16">
        <f si="4" t="shared"/>
        <v>9.4890510948905105E-2</v>
      </c>
      <c r="F19" s="9" t="s">
        <v>3</v>
      </c>
      <c r="G19" s="16">
        <f si="3" t="shared"/>
        <v>0</v>
      </c>
      <c r="H19" s="16">
        <f si="3" t="shared"/>
        <v>9.4890510948905105E-2</v>
      </c>
      <c r="I19" s="16">
        <f si="3" t="shared"/>
        <v>9.4890510948905105E-2</v>
      </c>
    </row>
    <row r="20" spans="1:14" x14ac:dyDescent="0.4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45">
      <c r="A21" s="9" t="s">
        <v>5</v>
      </c>
      <c r="B21" s="16">
        <f si="4" t="shared"/>
        <v>7.2992700729927005E-3</v>
      </c>
      <c r="C21" s="16">
        <f si="4" t="shared"/>
        <v>0</v>
      </c>
      <c r="D21" s="16">
        <f si="4" t="shared"/>
        <v>7.2992700729927005E-3</v>
      </c>
      <c r="F21" s="9" t="s">
        <v>5</v>
      </c>
      <c r="G21" s="16">
        <f si="3" t="shared"/>
        <v>7.2992700729927005E-3</v>
      </c>
      <c r="H21" s="16">
        <f si="3" t="shared"/>
        <v>0</v>
      </c>
      <c r="I21" s="16">
        <f si="3" t="shared"/>
        <v>7.2992700729927005E-3</v>
      </c>
    </row>
    <row r="22" spans="1:14" x14ac:dyDescent="0.45">
      <c r="A22" s="9" t="s">
        <v>6</v>
      </c>
      <c r="B22" s="16">
        <f si="4" t="shared"/>
        <v>0</v>
      </c>
      <c r="C22" s="16">
        <f si="4" t="shared"/>
        <v>7.2992700729927005E-3</v>
      </c>
      <c r="D22" s="16">
        <f si="4" t="shared"/>
        <v>7.2992700729927005E-3</v>
      </c>
      <c r="F22" s="9" t="s">
        <v>6</v>
      </c>
      <c r="G22" s="16">
        <f si="3" t="shared"/>
        <v>0</v>
      </c>
      <c r="H22" s="16">
        <f si="3" t="shared"/>
        <v>7.2992700729927005E-3</v>
      </c>
      <c r="I22" s="16">
        <f si="3" t="shared"/>
        <v>7.2992700729927005E-3</v>
      </c>
    </row>
    <row r="23" spans="1:14" x14ac:dyDescent="0.45">
      <c r="A23" s="9" t="s">
        <v>7</v>
      </c>
      <c r="B23" s="16">
        <f si="4" t="shared"/>
        <v>0</v>
      </c>
      <c r="C23" s="16">
        <f si="4" t="shared"/>
        <v>7.2992700729927005E-3</v>
      </c>
      <c r="D23" s="16">
        <f si="4" t="shared"/>
        <v>7.2992700729927005E-3</v>
      </c>
      <c r="F23" s="9" t="s">
        <v>7</v>
      </c>
      <c r="G23" s="16">
        <f si="3" t="shared"/>
        <v>0</v>
      </c>
      <c r="H23" s="16">
        <f si="3" t="shared"/>
        <v>7.2992700729927005E-3</v>
      </c>
      <c r="I23" s="16">
        <f si="3" t="shared"/>
        <v>7.2992700729927005E-3</v>
      </c>
    </row>
    <row r="24" spans="1:14" x14ac:dyDescent="0.4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4.65" r="25" spans="1:14" thickBot="1" x14ac:dyDescent="0.5">
      <c r="A25" s="13" t="s">
        <v>12</v>
      </c>
      <c r="B25" s="18">
        <f si="4" t="shared"/>
        <v>7.2992700729927005E-3</v>
      </c>
      <c r="C25" s="18">
        <f si="4" t="shared"/>
        <v>0.99270072992700731</v>
      </c>
      <c r="D25" s="18">
        <f si="4" t="shared"/>
        <v>1</v>
      </c>
      <c r="F25" s="13" t="s">
        <v>12</v>
      </c>
      <c r="G25" s="18">
        <f si="3" t="shared"/>
        <v>7.2992700729927005E-3</v>
      </c>
      <c r="H25" s="18">
        <f si="3" t="shared"/>
        <v>0.99270072992700731</v>
      </c>
      <c r="I25" s="18">
        <f si="3" t="shared"/>
        <v>1</v>
      </c>
    </row>
    <row ht="14.65" r="28" spans="1:14" thickBot="1" x14ac:dyDescent="0.5">
      <c r="F28" s="1" t="s">
        <v>43</v>
      </c>
      <c r="G28" s="1"/>
      <c r="H28" s="3"/>
      <c r="I28" s="3"/>
      <c r="K28" s="21" t="s">
        <v>19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12</v>
      </c>
      <c r="K29" s="27" t="s">
        <v>0</v>
      </c>
      <c r="L29" s="28" t="s">
        <v>24</v>
      </c>
      <c r="M29" s="28" t="s">
        <v>13</v>
      </c>
      <c r="N29" s="29" t="s">
        <v>14</v>
      </c>
    </row>
    <row r="30" spans="1:14" x14ac:dyDescent="0.45">
      <c r="F30" s="9" t="s">
        <v>1</v>
      </c>
      <c r="G30" s="16">
        <f ref="G30:G38" si="5" t="shared">G17-B17</f>
        <v>0</v>
      </c>
      <c r="H30" s="16">
        <f ref="H30:H38" si="6" t="shared">H17-C17</f>
        <v>0</v>
      </c>
      <c r="I30" s="16">
        <f ref="I30:I38" si="7" t="shared">I17-D17</f>
        <v>0</v>
      </c>
      <c r="K30" s="23" t="s">
        <v>1</v>
      </c>
      <c r="L30" s="24">
        <f>D17</f>
        <v>0.62043795620437958</v>
      </c>
      <c r="M30" s="24">
        <f ref="M30:M38" si="8" t="shared">I17</f>
        <v>0.62043795620437958</v>
      </c>
      <c r="N30" s="24">
        <f>M30-L30</f>
        <v>0</v>
      </c>
    </row>
    <row r="31" spans="1:14" x14ac:dyDescent="0.45">
      <c r="F31" s="9" t="s">
        <v>2</v>
      </c>
      <c r="G31" s="16">
        <f si="5" t="shared"/>
        <v>0</v>
      </c>
      <c r="H31" s="16">
        <f si="6" t="shared"/>
        <v>0</v>
      </c>
      <c r="I31" s="16">
        <f si="7" t="shared"/>
        <v>0</v>
      </c>
      <c r="K31" s="30" t="s">
        <v>2</v>
      </c>
      <c r="L31" s="31">
        <f ref="L31:L38" si="9" t="shared">D18</f>
        <v>0.26277372262773724</v>
      </c>
      <c r="M31" s="31">
        <f si="8" t="shared"/>
        <v>0.26277372262773724</v>
      </c>
      <c r="N31" s="31">
        <f ref="N31:N38" si="10" t="shared">M31-L31</f>
        <v>0</v>
      </c>
    </row>
    <row r="32" spans="1:14" x14ac:dyDescent="0.45">
      <c r="F32" s="9" t="s">
        <v>3</v>
      </c>
      <c r="G32" s="16">
        <f si="5" t="shared"/>
        <v>0</v>
      </c>
      <c r="H32" s="16">
        <f si="6" t="shared"/>
        <v>0</v>
      </c>
      <c r="I32" s="16">
        <f si="7" t="shared"/>
        <v>0</v>
      </c>
      <c r="K32" s="23" t="s">
        <v>3</v>
      </c>
      <c r="L32" s="24">
        <f si="9" t="shared"/>
        <v>9.4890510948905105E-2</v>
      </c>
      <c r="M32" s="24">
        <f si="8" t="shared"/>
        <v>9.4890510948905105E-2</v>
      </c>
      <c r="N32" s="24">
        <f si="10" t="shared"/>
        <v>0</v>
      </c>
    </row>
    <row r="33" spans="6:14" x14ac:dyDescent="0.4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45">
      <c r="F34" s="9" t="s">
        <v>5</v>
      </c>
      <c r="G34" s="16">
        <f si="5" t="shared"/>
        <v>0</v>
      </c>
      <c r="H34" s="16">
        <f si="6" t="shared"/>
        <v>0</v>
      </c>
      <c r="I34" s="16">
        <f si="7" t="shared"/>
        <v>0</v>
      </c>
      <c r="K34" s="23" t="s">
        <v>5</v>
      </c>
      <c r="L34" s="24">
        <f si="9" t="shared"/>
        <v>7.2992700729927005E-3</v>
      </c>
      <c r="M34" s="24">
        <f si="8" t="shared"/>
        <v>7.2992700729927005E-3</v>
      </c>
      <c r="N34" s="24">
        <f si="10" t="shared"/>
        <v>0</v>
      </c>
    </row>
    <row r="35" spans="6:14" x14ac:dyDescent="0.45">
      <c r="F35" s="9" t="s">
        <v>6</v>
      </c>
      <c r="G35" s="16">
        <f si="5" t="shared"/>
        <v>0</v>
      </c>
      <c r="H35" s="16">
        <f si="6" t="shared"/>
        <v>0</v>
      </c>
      <c r="I35" s="16">
        <f si="7" t="shared"/>
        <v>0</v>
      </c>
      <c r="K35" s="30" t="s">
        <v>6</v>
      </c>
      <c r="L35" s="31">
        <f si="9" t="shared"/>
        <v>7.2992700729927005E-3</v>
      </c>
      <c r="M35" s="31">
        <f si="8" t="shared"/>
        <v>7.2992700729927005E-3</v>
      </c>
      <c r="N35" s="31">
        <f si="10" t="shared"/>
        <v>0</v>
      </c>
    </row>
    <row r="36" spans="6:14" x14ac:dyDescent="0.45">
      <c r="F36" s="9" t="s">
        <v>7</v>
      </c>
      <c r="G36" s="16">
        <f si="5" t="shared"/>
        <v>0</v>
      </c>
      <c r="H36" s="16">
        <f si="6" t="shared"/>
        <v>0</v>
      </c>
      <c r="I36" s="16">
        <f si="7" t="shared"/>
        <v>0</v>
      </c>
      <c r="K36" s="23" t="s">
        <v>7</v>
      </c>
      <c r="L36" s="24">
        <f si="9" t="shared"/>
        <v>7.2992700729927005E-3</v>
      </c>
      <c r="M36" s="24">
        <f si="8" t="shared"/>
        <v>7.2992700729927005E-3</v>
      </c>
      <c r="N36" s="24">
        <f si="10" t="shared"/>
        <v>0</v>
      </c>
    </row>
    <row r="37" spans="6:14" x14ac:dyDescent="0.4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4.65" r="38" spans="6:14" thickBot="1" x14ac:dyDescent="0.5">
      <c r="F38" s="13" t="s">
        <v>12</v>
      </c>
      <c r="G38" s="18">
        <f si="5" t="shared"/>
        <v>0</v>
      </c>
      <c r="H38" s="18">
        <f si="6" t="shared"/>
        <v>0</v>
      </c>
      <c r="I38" s="18">
        <f si="7" t="shared"/>
        <v>0</v>
      </c>
      <c r="K38" s="25" t="s">
        <v>12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N38"/>
  <sheetViews>
    <sheetView workbookViewId="0">
      <selection activeCell="Q17" sqref="Q17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ht="14.65" r="2" spans="1:9" thickBot="1" x14ac:dyDescent="0.5">
      <c r="A2" s="1" t="s">
        <v>55</v>
      </c>
      <c r="B2" s="1"/>
      <c r="C2" s="3"/>
      <c r="D2" s="3"/>
      <c r="F2" s="1" t="s">
        <v>35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12</v>
      </c>
      <c r="F3" s="2" t="s">
        <v>0</v>
      </c>
      <c r="G3" s="4" t="s">
        <v>9</v>
      </c>
      <c r="H3" s="4" t="s">
        <v>10</v>
      </c>
      <c r="I3" s="7" t="s">
        <v>12</v>
      </c>
    </row>
    <row r="4" spans="1:9" x14ac:dyDescent="0.45">
      <c r="A4" s="9" t="s">
        <v>1</v>
      </c>
      <c r="B4" s="9" t="n">
        <v>0.0</v>
      </c>
      <c r="C4" s="9" t="n">
        <v>90000.0</v>
      </c>
      <c r="D4" s="9">
        <f>SUM(B4:C4)</f>
        <v>91000</v>
      </c>
      <c r="E4" s="9"/>
      <c r="F4" s="9" t="s">
        <v>1</v>
      </c>
      <c r="G4" s="9" t="n">
        <v>0.0</v>
      </c>
      <c r="H4" s="9" t="n">
        <v>90000.0</v>
      </c>
      <c r="I4" s="9">
        <f>SUM(G4:H4)</f>
        <v>91000</v>
      </c>
    </row>
    <row r="5" spans="1:9" x14ac:dyDescent="0.45">
      <c r="A5" s="9" t="s">
        <v>2</v>
      </c>
      <c r="B5" s="9" t="n">
        <v>0.0</v>
      </c>
      <c r="C5" s="9" t="n">
        <v>110000.0</v>
      </c>
      <c r="D5" s="9">
        <f ref="D5:D12" si="0" t="shared">SUM(B5:C5)</f>
        <v>116000</v>
      </c>
      <c r="E5" s="9"/>
      <c r="F5" s="9" t="s">
        <v>2</v>
      </c>
      <c r="G5" s="9" t="n">
        <v>0.0</v>
      </c>
      <c r="H5" s="9" t="n">
        <v>110000.0</v>
      </c>
      <c r="I5" s="9">
        <f ref="I5:I12" si="1" t="shared">SUM(G5:H5)</f>
        <v>116000</v>
      </c>
    </row>
    <row r="6" spans="1:9" x14ac:dyDescent="0.45">
      <c r="A6" s="9" t="s">
        <v>3</v>
      </c>
      <c r="B6" s="9" t="n">
        <v>0.0</v>
      </c>
      <c r="C6" s="9" t="n">
        <v>40000.0</v>
      </c>
      <c r="D6" s="9">
        <f si="0" t="shared"/>
        <v>60000</v>
      </c>
      <c r="E6" s="9"/>
      <c r="F6" s="9" t="s">
        <v>3</v>
      </c>
      <c r="G6" s="9" t="n">
        <v>0.0</v>
      </c>
      <c r="H6" s="9" t="n">
        <v>40000.0</v>
      </c>
      <c r="I6" s="9">
        <f si="1" t="shared"/>
        <v>60000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45">
      <c r="A8" s="9" t="s">
        <v>5</v>
      </c>
      <c r="B8" s="9" t="n">
        <v>10000.0</v>
      </c>
      <c r="C8" s="9" t="n">
        <v>0.0</v>
      </c>
      <c r="D8" s="9">
        <f si="0" t="shared"/>
        <v>1000</v>
      </c>
      <c r="E8" s="9"/>
      <c r="F8" s="9" t="s">
        <v>5</v>
      </c>
      <c r="G8" s="9" t="n">
        <v>10000.0</v>
      </c>
      <c r="H8" s="9" t="n">
        <v>0.0</v>
      </c>
      <c r="I8" s="9">
        <f si="1" t="shared"/>
        <v>1000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si="0" t="shared"/>
        <v>0</v>
      </c>
      <c r="E9" s="9"/>
      <c r="F9" s="9" t="s">
        <v>6</v>
      </c>
      <c r="G9" s="9" t="n">
        <v>0.0</v>
      </c>
      <c r="H9" s="9" t="n">
        <v>0.0</v>
      </c>
      <c r="I9" s="9">
        <f si="1" t="shared"/>
        <v>0</v>
      </c>
    </row>
    <row r="10" spans="1:9" x14ac:dyDescent="0.45">
      <c r="A10" s="9" t="s">
        <v>7</v>
      </c>
      <c r="B10" s="9" t="n">
        <v>0.0</v>
      </c>
      <c r="C10" s="9" t="n">
        <v>20000.0</v>
      </c>
      <c r="D10" s="9">
        <f si="0" t="shared"/>
        <v>22000</v>
      </c>
      <c r="E10" s="9"/>
      <c r="F10" s="9" t="s">
        <v>7</v>
      </c>
      <c r="G10" s="9" t="n">
        <v>0.0</v>
      </c>
      <c r="H10" s="9" t="n">
        <v>20000.0</v>
      </c>
      <c r="I10" s="9">
        <f si="1" t="shared"/>
        <v>22000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4.65" r="12" spans="1:9" thickBot="1" x14ac:dyDescent="0.5">
      <c r="A12" s="13" t="s">
        <v>12</v>
      </c>
      <c r="B12" s="10">
        <f>SUM(B4:B11)</f>
        <v>4000</v>
      </c>
      <c r="C12" s="10">
        <f>SUM(C4:C11)</f>
        <v>286000</v>
      </c>
      <c r="D12" s="10">
        <f si="0" t="shared"/>
        <v>290000</v>
      </c>
      <c r="F12" s="13" t="s">
        <v>12</v>
      </c>
      <c r="G12" s="10">
        <f>SUM(G4:G11)</f>
        <v>4000</v>
      </c>
      <c r="H12" s="10">
        <f>SUM(H4:H11)</f>
        <v>286000</v>
      </c>
      <c r="I12" s="10">
        <f si="1" t="shared"/>
        <v>290000</v>
      </c>
    </row>
    <row ht="14.65" r="15" spans="1:9" thickBot="1" x14ac:dyDescent="0.5">
      <c r="A15" s="1" t="s">
        <v>55</v>
      </c>
      <c r="B15" s="1"/>
      <c r="C15" s="3"/>
      <c r="D15" s="3"/>
      <c r="F15" s="1" t="s">
        <v>35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12</v>
      </c>
      <c r="F16" s="2" t="s">
        <v>0</v>
      </c>
      <c r="G16" s="4" t="s">
        <v>9</v>
      </c>
      <c r="H16" s="4" t="s">
        <v>10</v>
      </c>
      <c r="I16" s="7" t="s">
        <v>12</v>
      </c>
    </row>
    <row r="17" spans="1:14" x14ac:dyDescent="0.45">
      <c r="A17" s="9" t="s">
        <v>1</v>
      </c>
      <c r="B17" s="16">
        <f>B4/$D$12</f>
        <v>0</v>
      </c>
      <c r="C17" s="16">
        <f ref="C17:D17" si="2" t="shared">C4/$D$12</f>
        <v>0.31379310344827588</v>
      </c>
      <c r="D17" s="16">
        <f si="2" t="shared"/>
        <v>0.31379310344827588</v>
      </c>
      <c r="F17" s="9" t="s">
        <v>1</v>
      </c>
      <c r="G17" s="16">
        <f ref="G17:I25" si="3" t="shared">G4/$I$12</f>
        <v>0</v>
      </c>
      <c r="H17" s="16">
        <f si="3" t="shared"/>
        <v>0.31379310344827588</v>
      </c>
      <c r="I17" s="16">
        <f si="3" t="shared"/>
        <v>0.31379310344827588</v>
      </c>
    </row>
    <row r="18" spans="1:14" x14ac:dyDescent="0.45">
      <c r="A18" s="9" t="s">
        <v>2</v>
      </c>
      <c r="B18" s="16">
        <f ref="B18:D25" si="4" t="shared">B5/$D$12</f>
        <v>0</v>
      </c>
      <c r="C18" s="16">
        <f si="4" t="shared"/>
        <v>0.4</v>
      </c>
      <c r="D18" s="16">
        <f si="4" t="shared"/>
        <v>0.4</v>
      </c>
      <c r="F18" s="9" t="s">
        <v>2</v>
      </c>
      <c r="G18" s="16">
        <f si="3" t="shared"/>
        <v>0</v>
      </c>
      <c r="H18" s="16">
        <f si="3" t="shared"/>
        <v>0.4</v>
      </c>
      <c r="I18" s="16">
        <f si="3" t="shared"/>
        <v>0.4</v>
      </c>
    </row>
    <row r="19" spans="1:14" x14ac:dyDescent="0.45">
      <c r="A19" s="9" t="s">
        <v>3</v>
      </c>
      <c r="B19" s="16">
        <f si="4" t="shared"/>
        <v>3.4482758620689655E-3</v>
      </c>
      <c r="C19" s="16">
        <f si="4" t="shared"/>
        <v>0.20344827586206896</v>
      </c>
      <c r="D19" s="16">
        <f si="4" t="shared"/>
        <v>0.20689655172413793</v>
      </c>
      <c r="F19" s="9" t="s">
        <v>3</v>
      </c>
      <c r="G19" s="16">
        <f si="3" t="shared"/>
        <v>3.4482758620689655E-3</v>
      </c>
      <c r="H19" s="16">
        <f si="3" t="shared"/>
        <v>0.20344827586206896</v>
      </c>
      <c r="I19" s="16">
        <f si="3" t="shared"/>
        <v>0.20689655172413793</v>
      </c>
    </row>
    <row r="20" spans="1:14" x14ac:dyDescent="0.4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45">
      <c r="A21" s="9" t="s">
        <v>5</v>
      </c>
      <c r="B21" s="16">
        <f si="4" t="shared"/>
        <v>3.4482758620689655E-3</v>
      </c>
      <c r="C21" s="16">
        <f si="4" t="shared"/>
        <v>0</v>
      </c>
      <c r="D21" s="16">
        <f si="4" t="shared"/>
        <v>3.4482758620689655E-3</v>
      </c>
      <c r="F21" s="9" t="s">
        <v>5</v>
      </c>
      <c r="G21" s="16">
        <f si="3" t="shared"/>
        <v>3.4482758620689655E-3</v>
      </c>
      <c r="H21" s="16">
        <f si="3" t="shared"/>
        <v>0</v>
      </c>
      <c r="I21" s="16">
        <f si="3" t="shared"/>
        <v>3.4482758620689655E-3</v>
      </c>
    </row>
    <row r="22" spans="1:14" x14ac:dyDescent="0.45">
      <c r="A22" s="9" t="s">
        <v>6</v>
      </c>
      <c r="B22" s="16">
        <f si="4" t="shared"/>
        <v>0</v>
      </c>
      <c r="C22" s="16">
        <f si="4" t="shared"/>
        <v>0</v>
      </c>
      <c r="D22" s="16">
        <f si="4" t="shared"/>
        <v>0</v>
      </c>
      <c r="F22" s="9" t="s">
        <v>6</v>
      </c>
      <c r="G22" s="16">
        <f si="3" t="shared"/>
        <v>0</v>
      </c>
      <c r="H22" s="16">
        <f si="3" t="shared"/>
        <v>0</v>
      </c>
      <c r="I22" s="16">
        <f si="3" t="shared"/>
        <v>0</v>
      </c>
    </row>
    <row r="23" spans="1:14" x14ac:dyDescent="0.45">
      <c r="A23" s="9" t="s">
        <v>7</v>
      </c>
      <c r="B23" s="16">
        <f si="4" t="shared"/>
        <v>6.8965517241379309E-3</v>
      </c>
      <c r="C23" s="16">
        <f si="4" t="shared"/>
        <v>6.8965517241379309E-2</v>
      </c>
      <c r="D23" s="16">
        <f si="4" t="shared"/>
        <v>7.586206896551724E-2</v>
      </c>
      <c r="F23" s="9" t="s">
        <v>7</v>
      </c>
      <c r="G23" s="16">
        <f si="3" t="shared"/>
        <v>6.8965517241379309E-3</v>
      </c>
      <c r="H23" s="16">
        <f si="3" t="shared"/>
        <v>6.8965517241379309E-2</v>
      </c>
      <c r="I23" s="16">
        <f si="3" t="shared"/>
        <v>7.586206896551724E-2</v>
      </c>
    </row>
    <row r="24" spans="1:14" x14ac:dyDescent="0.4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4.65" r="25" spans="1:14" thickBot="1" x14ac:dyDescent="0.5">
      <c r="A25" s="13" t="s">
        <v>12</v>
      </c>
      <c r="B25" s="18">
        <f si="4" t="shared"/>
        <v>1.3793103448275862E-2</v>
      </c>
      <c r="C25" s="18">
        <f si="4" t="shared"/>
        <v>0.98620689655172411</v>
      </c>
      <c r="D25" s="18">
        <f si="4" t="shared"/>
        <v>1</v>
      </c>
      <c r="F25" s="13" t="s">
        <v>12</v>
      </c>
      <c r="G25" s="18">
        <f si="3" t="shared"/>
        <v>1.3793103448275862E-2</v>
      </c>
      <c r="H25" s="18">
        <f si="3" t="shared"/>
        <v>0.98620689655172411</v>
      </c>
      <c r="I25" s="18">
        <f si="3" t="shared"/>
        <v>1</v>
      </c>
    </row>
    <row ht="14.65" r="28" spans="1:14" thickBot="1" x14ac:dyDescent="0.5">
      <c r="F28" s="1" t="s">
        <v>44</v>
      </c>
      <c r="G28" s="1"/>
      <c r="H28" s="3"/>
      <c r="I28" s="3"/>
      <c r="K28" s="21" t="s">
        <v>20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12</v>
      </c>
      <c r="K29" s="27" t="s">
        <v>0</v>
      </c>
      <c r="L29" s="28" t="s">
        <v>24</v>
      </c>
      <c r="M29" s="28" t="s">
        <v>13</v>
      </c>
      <c r="N29" s="29" t="s">
        <v>14</v>
      </c>
    </row>
    <row r="30" spans="1:14" x14ac:dyDescent="0.45">
      <c r="F30" s="9" t="s">
        <v>1</v>
      </c>
      <c r="G30" s="16">
        <f ref="G30:G38" si="5" t="shared">G17-B17</f>
        <v>0</v>
      </c>
      <c r="H30" s="16">
        <f ref="H30:H38" si="6" t="shared">H17-C17</f>
        <v>0</v>
      </c>
      <c r="I30" s="16">
        <f ref="I30:I38" si="7" t="shared">I17-D17</f>
        <v>0</v>
      </c>
      <c r="K30" s="23" t="s">
        <v>1</v>
      </c>
      <c r="L30" s="24">
        <f>D17</f>
        <v>0.31379310344827588</v>
      </c>
      <c r="M30" s="24">
        <f ref="M30:M38" si="8" t="shared">I17</f>
        <v>0.31379310344827588</v>
      </c>
      <c r="N30" s="24">
        <f>M30-L30</f>
        <v>0</v>
      </c>
    </row>
    <row r="31" spans="1:14" x14ac:dyDescent="0.45">
      <c r="F31" s="9" t="s">
        <v>2</v>
      </c>
      <c r="G31" s="16">
        <f si="5" t="shared"/>
        <v>0</v>
      </c>
      <c r="H31" s="16">
        <f si="6" t="shared"/>
        <v>0</v>
      </c>
      <c r="I31" s="16">
        <f si="7" t="shared"/>
        <v>0</v>
      </c>
      <c r="K31" s="30" t="s">
        <v>2</v>
      </c>
      <c r="L31" s="31">
        <f ref="L31:L38" si="9" t="shared">D18</f>
        <v>0.4</v>
      </c>
      <c r="M31" s="31">
        <f si="8" t="shared"/>
        <v>0.4</v>
      </c>
      <c r="N31" s="31">
        <f ref="N31:N38" si="10" t="shared">M31-L31</f>
        <v>0</v>
      </c>
    </row>
    <row r="32" spans="1:14" x14ac:dyDescent="0.45">
      <c r="F32" s="9" t="s">
        <v>3</v>
      </c>
      <c r="G32" s="16">
        <f si="5" t="shared"/>
        <v>0</v>
      </c>
      <c r="H32" s="16">
        <f si="6" t="shared"/>
        <v>0</v>
      </c>
      <c r="I32" s="16">
        <f si="7" t="shared"/>
        <v>0</v>
      </c>
      <c r="K32" s="23" t="s">
        <v>3</v>
      </c>
      <c r="L32" s="24">
        <f si="9" t="shared"/>
        <v>0.20689655172413793</v>
      </c>
      <c r="M32" s="24">
        <f si="8" t="shared"/>
        <v>0.20689655172413793</v>
      </c>
      <c r="N32" s="24">
        <f si="10" t="shared"/>
        <v>0</v>
      </c>
    </row>
    <row r="33" spans="6:14" x14ac:dyDescent="0.4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45">
      <c r="F34" s="9" t="s">
        <v>5</v>
      </c>
      <c r="G34" s="16">
        <f si="5" t="shared"/>
        <v>0</v>
      </c>
      <c r="H34" s="16">
        <f si="6" t="shared"/>
        <v>0</v>
      </c>
      <c r="I34" s="16">
        <f si="7" t="shared"/>
        <v>0</v>
      </c>
      <c r="K34" s="23" t="s">
        <v>5</v>
      </c>
      <c r="L34" s="24">
        <f si="9" t="shared"/>
        <v>3.4482758620689655E-3</v>
      </c>
      <c r="M34" s="24">
        <f si="8" t="shared"/>
        <v>3.4482758620689655E-3</v>
      </c>
      <c r="N34" s="24">
        <f si="10" t="shared"/>
        <v>0</v>
      </c>
    </row>
    <row r="35" spans="6:14" x14ac:dyDescent="0.45">
      <c r="F35" s="9" t="s">
        <v>6</v>
      </c>
      <c r="G35" s="16">
        <f si="5" t="shared"/>
        <v>0</v>
      </c>
      <c r="H35" s="16">
        <f si="6" t="shared"/>
        <v>0</v>
      </c>
      <c r="I35" s="16">
        <f si="7" t="shared"/>
        <v>0</v>
      </c>
      <c r="K35" s="30" t="s">
        <v>6</v>
      </c>
      <c r="L35" s="31">
        <f si="9" t="shared"/>
        <v>0</v>
      </c>
      <c r="M35" s="31">
        <f si="8" t="shared"/>
        <v>0</v>
      </c>
      <c r="N35" s="31">
        <f si="10" t="shared"/>
        <v>0</v>
      </c>
    </row>
    <row r="36" spans="6:14" x14ac:dyDescent="0.45">
      <c r="F36" s="9" t="s">
        <v>7</v>
      </c>
      <c r="G36" s="16">
        <f si="5" t="shared"/>
        <v>0</v>
      </c>
      <c r="H36" s="16">
        <f si="6" t="shared"/>
        <v>0</v>
      </c>
      <c r="I36" s="16">
        <f si="7" t="shared"/>
        <v>0</v>
      </c>
      <c r="K36" s="23" t="s">
        <v>7</v>
      </c>
      <c r="L36" s="24">
        <f si="9" t="shared"/>
        <v>7.586206896551724E-2</v>
      </c>
      <c r="M36" s="24">
        <f si="8" t="shared"/>
        <v>7.586206896551724E-2</v>
      </c>
      <c r="N36" s="24">
        <f si="10" t="shared"/>
        <v>0</v>
      </c>
    </row>
    <row r="37" spans="6:14" x14ac:dyDescent="0.4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4.65" r="38" spans="6:14" thickBot="1" x14ac:dyDescent="0.5">
      <c r="F38" s="13" t="s">
        <v>12</v>
      </c>
      <c r="G38" s="18">
        <f si="5" t="shared"/>
        <v>0</v>
      </c>
      <c r="H38" s="18">
        <f si="6" t="shared"/>
        <v>0</v>
      </c>
      <c r="I38" s="18">
        <f si="7" t="shared"/>
        <v>0</v>
      </c>
      <c r="K38" s="25" t="s">
        <v>12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N38"/>
  <sheetViews>
    <sheetView workbookViewId="0">
      <selection activeCell="P26" sqref="P26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ht="14.65" r="2" spans="1:9" thickBot="1" x14ac:dyDescent="0.5">
      <c r="A2" s="1" t="s">
        <v>56</v>
      </c>
      <c r="B2" s="1"/>
      <c r="C2" s="3"/>
      <c r="D2" s="3"/>
      <c r="F2" s="1" t="s">
        <v>36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12</v>
      </c>
      <c r="F3" s="2" t="s">
        <v>0</v>
      </c>
      <c r="G3" s="4" t="s">
        <v>9</v>
      </c>
      <c r="H3" s="4" t="s">
        <v>10</v>
      </c>
      <c r="I3" s="7" t="s">
        <v>12</v>
      </c>
    </row>
    <row r="4" spans="1:9" x14ac:dyDescent="0.45">
      <c r="A4" s="9" t="s">
        <v>1</v>
      </c>
      <c r="B4" s="9" t="n">
        <v>0.0</v>
      </c>
      <c r="C4" s="9" t="n">
        <v>350000.0</v>
      </c>
      <c r="D4" s="9">
        <f>SUM(B4:C4)</f>
        <v>372000</v>
      </c>
      <c r="E4" s="9"/>
      <c r="F4" s="9" t="s">
        <v>1</v>
      </c>
      <c r="G4" s="9" t="n">
        <v>0.0</v>
      </c>
      <c r="H4" s="9" t="n">
        <v>350000.0</v>
      </c>
      <c r="I4" s="9">
        <f>SUM(G4:H4)</f>
        <v>372000</v>
      </c>
    </row>
    <row r="5" spans="1:9" x14ac:dyDescent="0.45">
      <c r="A5" s="9" t="s">
        <v>2</v>
      </c>
      <c r="B5" s="9" t="n">
        <v>0.0</v>
      </c>
      <c r="C5" s="9" t="n">
        <v>140000.0</v>
      </c>
      <c r="D5" s="9">
        <f ref="D5:D12" si="0" t="shared">SUM(B5:C5)</f>
        <v>246000</v>
      </c>
      <c r="E5" s="9"/>
      <c r="F5" s="9" t="s">
        <v>2</v>
      </c>
      <c r="G5" s="9" t="n">
        <v>0.0</v>
      </c>
      <c r="H5" s="9" t="n">
        <v>140000.0</v>
      </c>
      <c r="I5" s="9">
        <f ref="I5:I12" si="1" t="shared">SUM(G5:H5)</f>
        <v>246000</v>
      </c>
    </row>
    <row r="6" spans="1:9" x14ac:dyDescent="0.45">
      <c r="A6" s="9" t="s">
        <v>3</v>
      </c>
      <c r="B6" s="9" t="n">
        <v>0.0</v>
      </c>
      <c r="C6" s="9" t="n">
        <v>80000.0</v>
      </c>
      <c r="D6" s="9">
        <f si="0" t="shared"/>
        <v>135000</v>
      </c>
      <c r="E6" s="9"/>
      <c r="F6" s="9" t="s">
        <v>3</v>
      </c>
      <c r="G6" s="9" t="n">
        <v>0.0</v>
      </c>
      <c r="H6" s="9" t="n">
        <v>80000.0</v>
      </c>
      <c r="I6" s="9">
        <f si="1" t="shared"/>
        <v>135000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45">
      <c r="A8" s="9" t="s">
        <v>5</v>
      </c>
      <c r="B8" s="9" t="n">
        <v>10000.0</v>
      </c>
      <c r="C8" s="9" t="n">
        <v>30000.0</v>
      </c>
      <c r="D8" s="9">
        <f si="0" t="shared"/>
        <v>5000</v>
      </c>
      <c r="E8" s="9"/>
      <c r="F8" s="9" t="s">
        <v>5</v>
      </c>
      <c r="G8" s="9" t="n">
        <v>10000.0</v>
      </c>
      <c r="H8" s="9" t="n">
        <v>30000.0</v>
      </c>
      <c r="I8" s="9">
        <f si="1" t="shared"/>
        <v>5000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si="0" t="shared"/>
        <v>2000</v>
      </c>
      <c r="E9" s="9"/>
      <c r="F9" s="9" t="s">
        <v>6</v>
      </c>
      <c r="G9" s="9" t="n">
        <v>0.0</v>
      </c>
      <c r="H9" s="9" t="n">
        <v>0.0</v>
      </c>
      <c r="I9" s="9">
        <f si="1" t="shared"/>
        <v>2000</v>
      </c>
    </row>
    <row r="10" spans="1:9" x14ac:dyDescent="0.45">
      <c r="A10" s="9" t="s">
        <v>7</v>
      </c>
      <c r="B10" s="9" t="n">
        <v>0.0</v>
      </c>
      <c r="C10" s="9" t="n">
        <v>40000.0</v>
      </c>
      <c r="D10" s="9">
        <f si="0" t="shared"/>
        <v>43000</v>
      </c>
      <c r="E10" s="9"/>
      <c r="F10" s="9" t="s">
        <v>7</v>
      </c>
      <c r="G10" s="9" t="n">
        <v>0.0</v>
      </c>
      <c r="H10" s="9" t="n">
        <v>40000.0</v>
      </c>
      <c r="I10" s="9">
        <f si="1" t="shared"/>
        <v>43000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4.65" r="12" spans="1:9" thickBot="1" x14ac:dyDescent="0.5">
      <c r="A12" s="13" t="s">
        <v>12</v>
      </c>
      <c r="B12" s="10">
        <f>SUM(B4:B11)</f>
        <v>3000</v>
      </c>
      <c r="C12" s="10">
        <f>SUM(C4:C11)</f>
        <v>800000</v>
      </c>
      <c r="D12" s="10">
        <f si="0" t="shared"/>
        <v>803000</v>
      </c>
      <c r="F12" s="13" t="s">
        <v>12</v>
      </c>
      <c r="G12" s="10">
        <f>SUM(G4:G11)</f>
        <v>3000</v>
      </c>
      <c r="H12" s="10">
        <f>SUM(H4:H11)</f>
        <v>800000</v>
      </c>
      <c r="I12" s="10">
        <f si="1" t="shared"/>
        <v>803000</v>
      </c>
    </row>
    <row ht="14.65" r="15" spans="1:9" thickBot="1" x14ac:dyDescent="0.5">
      <c r="A15" s="1" t="s">
        <v>57</v>
      </c>
      <c r="B15" s="1"/>
      <c r="C15" s="3"/>
      <c r="D15" s="3"/>
      <c r="F15" s="1" t="s">
        <v>37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12</v>
      </c>
      <c r="F16" s="2" t="s">
        <v>0</v>
      </c>
      <c r="G16" s="4" t="s">
        <v>9</v>
      </c>
      <c r="H16" s="4" t="s">
        <v>10</v>
      </c>
      <c r="I16" s="7" t="s">
        <v>12</v>
      </c>
    </row>
    <row r="17" spans="1:14" x14ac:dyDescent="0.45">
      <c r="A17" s="9" t="s">
        <v>1</v>
      </c>
      <c r="B17" s="16">
        <f>B4/$D$12</f>
        <v>0</v>
      </c>
      <c r="C17" s="16">
        <f ref="C17:D17" si="2" t="shared">C4/$D$12</f>
        <v>0.46326276463262767</v>
      </c>
      <c r="D17" s="16">
        <f si="2" t="shared"/>
        <v>0.46326276463262767</v>
      </c>
      <c r="F17" s="9" t="s">
        <v>1</v>
      </c>
      <c r="G17" s="16">
        <f ref="G17:I25" si="3" t="shared">G4/$I$12</f>
        <v>0</v>
      </c>
      <c r="H17" s="16">
        <f si="3" t="shared"/>
        <v>0.46326276463262767</v>
      </c>
      <c r="I17" s="16">
        <f si="3" t="shared"/>
        <v>0.46326276463262767</v>
      </c>
    </row>
    <row r="18" spans="1:14" x14ac:dyDescent="0.45">
      <c r="A18" s="9" t="s">
        <v>2</v>
      </c>
      <c r="B18" s="16">
        <f ref="B18:D25" si="4" t="shared">B5/$D$12</f>
        <v>2.4906600249066002E-3</v>
      </c>
      <c r="C18" s="16">
        <f si="4" t="shared"/>
        <v>0.30386052303860522</v>
      </c>
      <c r="D18" s="16">
        <f si="4" t="shared"/>
        <v>0.30635118306351183</v>
      </c>
      <c r="F18" s="9" t="s">
        <v>2</v>
      </c>
      <c r="G18" s="16">
        <f si="3" t="shared"/>
        <v>2.4906600249066002E-3</v>
      </c>
      <c r="H18" s="16">
        <f si="3" t="shared"/>
        <v>0.30386052303860522</v>
      </c>
      <c r="I18" s="16">
        <f si="3" t="shared"/>
        <v>0.30635118306351183</v>
      </c>
    </row>
    <row r="19" spans="1:14" x14ac:dyDescent="0.45">
      <c r="A19" s="9" t="s">
        <v>3</v>
      </c>
      <c r="B19" s="16">
        <f si="4" t="shared"/>
        <v>0</v>
      </c>
      <c r="C19" s="16">
        <f si="4" t="shared"/>
        <v>0.16811955168119552</v>
      </c>
      <c r="D19" s="16">
        <f si="4" t="shared"/>
        <v>0.16811955168119552</v>
      </c>
      <c r="F19" s="9" t="s">
        <v>3</v>
      </c>
      <c r="G19" s="16">
        <f si="3" t="shared"/>
        <v>0</v>
      </c>
      <c r="H19" s="16">
        <f si="3" t="shared"/>
        <v>0.16811955168119552</v>
      </c>
      <c r="I19" s="16">
        <f si="3" t="shared"/>
        <v>0.16811955168119552</v>
      </c>
    </row>
    <row r="20" spans="1:14" x14ac:dyDescent="0.4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45">
      <c r="A21" s="9" t="s">
        <v>5</v>
      </c>
      <c r="B21" s="16">
        <f si="4" t="shared"/>
        <v>1.2453300124533001E-3</v>
      </c>
      <c r="C21" s="16">
        <f si="4" t="shared"/>
        <v>4.9813200498132005E-3</v>
      </c>
      <c r="D21" s="16">
        <f si="4" t="shared"/>
        <v>6.2266500622665004E-3</v>
      </c>
      <c r="F21" s="9" t="s">
        <v>5</v>
      </c>
      <c r="G21" s="16">
        <f si="3" t="shared"/>
        <v>1.2453300124533001E-3</v>
      </c>
      <c r="H21" s="16">
        <f si="3" t="shared"/>
        <v>4.9813200498132005E-3</v>
      </c>
      <c r="I21" s="16">
        <f si="3" t="shared"/>
        <v>6.2266500622665004E-3</v>
      </c>
    </row>
    <row r="22" spans="1:14" x14ac:dyDescent="0.45">
      <c r="A22" s="9" t="s">
        <v>6</v>
      </c>
      <c r="B22" s="16">
        <f si="4" t="shared"/>
        <v>0</v>
      </c>
      <c r="C22" s="16">
        <f si="4" t="shared"/>
        <v>2.4906600249066002E-3</v>
      </c>
      <c r="D22" s="16">
        <f si="4" t="shared"/>
        <v>2.4906600249066002E-3</v>
      </c>
      <c r="F22" s="9" t="s">
        <v>6</v>
      </c>
      <c r="G22" s="16">
        <f si="3" t="shared"/>
        <v>0</v>
      </c>
      <c r="H22" s="16">
        <f si="3" t="shared"/>
        <v>2.4906600249066002E-3</v>
      </c>
      <c r="I22" s="16">
        <f si="3" t="shared"/>
        <v>2.4906600249066002E-3</v>
      </c>
    </row>
    <row r="23" spans="1:14" x14ac:dyDescent="0.45">
      <c r="A23" s="9" t="s">
        <v>7</v>
      </c>
      <c r="B23" s="16">
        <f si="4" t="shared"/>
        <v>0</v>
      </c>
      <c r="C23" s="16">
        <f si="4" t="shared"/>
        <v>5.3549190535491904E-2</v>
      </c>
      <c r="D23" s="16">
        <f si="4" t="shared"/>
        <v>5.3549190535491904E-2</v>
      </c>
      <c r="F23" s="9" t="s">
        <v>7</v>
      </c>
      <c r="G23" s="16">
        <f si="3" t="shared"/>
        <v>0</v>
      </c>
      <c r="H23" s="16">
        <f si="3" t="shared"/>
        <v>5.3549190535491904E-2</v>
      </c>
      <c r="I23" s="16">
        <f si="3" t="shared"/>
        <v>5.3549190535491904E-2</v>
      </c>
    </row>
    <row r="24" spans="1:14" x14ac:dyDescent="0.4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4.65" r="25" spans="1:14" thickBot="1" x14ac:dyDescent="0.5">
      <c r="A25" s="13" t="s">
        <v>12</v>
      </c>
      <c r="B25" s="18">
        <f si="4" t="shared"/>
        <v>3.7359900373599006E-3</v>
      </c>
      <c r="C25" s="18">
        <f si="4" t="shared"/>
        <v>0.99626400996264008</v>
      </c>
      <c r="D25" s="18">
        <f si="4" t="shared"/>
        <v>1</v>
      </c>
      <c r="F25" s="13" t="s">
        <v>12</v>
      </c>
      <c r="G25" s="18">
        <f si="3" t="shared"/>
        <v>3.7359900373599006E-3</v>
      </c>
      <c r="H25" s="18">
        <f si="3" t="shared"/>
        <v>0.99626400996264008</v>
      </c>
      <c r="I25" s="18">
        <f si="3" t="shared"/>
        <v>1</v>
      </c>
    </row>
    <row ht="14.65" r="28" spans="1:14" thickBot="1" x14ac:dyDescent="0.5">
      <c r="F28" s="1" t="s">
        <v>45</v>
      </c>
      <c r="G28" s="1"/>
      <c r="H28" s="3"/>
      <c r="I28" s="3"/>
      <c r="K28" s="21" t="s">
        <v>21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12</v>
      </c>
      <c r="K29" s="27" t="s">
        <v>0</v>
      </c>
      <c r="L29" s="28" t="s">
        <v>24</v>
      </c>
      <c r="M29" s="28" t="s">
        <v>13</v>
      </c>
      <c r="N29" s="29" t="s">
        <v>14</v>
      </c>
    </row>
    <row r="30" spans="1:14" x14ac:dyDescent="0.45">
      <c r="F30" s="9" t="s">
        <v>1</v>
      </c>
      <c r="G30" s="16">
        <f ref="G30:G38" si="5" t="shared">G17-B17</f>
        <v>0</v>
      </c>
      <c r="H30" s="16">
        <f ref="H30:H38" si="6" t="shared">H17-C17</f>
        <v>0</v>
      </c>
      <c r="I30" s="16">
        <f ref="I30:I38" si="7" t="shared">I17-D17</f>
        <v>0</v>
      </c>
      <c r="K30" s="23" t="s">
        <v>1</v>
      </c>
      <c r="L30" s="24">
        <f>D17</f>
        <v>0.46326276463262767</v>
      </c>
      <c r="M30" s="24">
        <f ref="M30:M38" si="8" t="shared">I17</f>
        <v>0.46326276463262767</v>
      </c>
      <c r="N30" s="24">
        <f>M30-L30</f>
        <v>0</v>
      </c>
    </row>
    <row r="31" spans="1:14" x14ac:dyDescent="0.45">
      <c r="F31" s="9" t="s">
        <v>2</v>
      </c>
      <c r="G31" s="16">
        <f si="5" t="shared"/>
        <v>0</v>
      </c>
      <c r="H31" s="16">
        <f si="6" t="shared"/>
        <v>0</v>
      </c>
      <c r="I31" s="16">
        <f si="7" t="shared"/>
        <v>0</v>
      </c>
      <c r="K31" s="30" t="s">
        <v>2</v>
      </c>
      <c r="L31" s="31">
        <f ref="L31:L38" si="9" t="shared">D18</f>
        <v>0.30635118306351183</v>
      </c>
      <c r="M31" s="31">
        <f si="8" t="shared"/>
        <v>0.30635118306351183</v>
      </c>
      <c r="N31" s="31">
        <f ref="N31:N38" si="10" t="shared">M31-L31</f>
        <v>0</v>
      </c>
    </row>
    <row r="32" spans="1:14" x14ac:dyDescent="0.45">
      <c r="F32" s="9" t="s">
        <v>3</v>
      </c>
      <c r="G32" s="16">
        <f si="5" t="shared"/>
        <v>0</v>
      </c>
      <c r="H32" s="16">
        <f si="6" t="shared"/>
        <v>0</v>
      </c>
      <c r="I32" s="16">
        <f si="7" t="shared"/>
        <v>0</v>
      </c>
      <c r="K32" s="23" t="s">
        <v>3</v>
      </c>
      <c r="L32" s="24">
        <f si="9" t="shared"/>
        <v>0.16811955168119552</v>
      </c>
      <c r="M32" s="24">
        <f si="8" t="shared"/>
        <v>0.16811955168119552</v>
      </c>
      <c r="N32" s="24">
        <f si="10" t="shared"/>
        <v>0</v>
      </c>
    </row>
    <row r="33" spans="6:14" x14ac:dyDescent="0.4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45">
      <c r="F34" s="9" t="s">
        <v>5</v>
      </c>
      <c r="G34" s="16">
        <f si="5" t="shared"/>
        <v>0</v>
      </c>
      <c r="H34" s="16">
        <f si="6" t="shared"/>
        <v>0</v>
      </c>
      <c r="I34" s="16">
        <f si="7" t="shared"/>
        <v>0</v>
      </c>
      <c r="K34" s="23" t="s">
        <v>5</v>
      </c>
      <c r="L34" s="24">
        <f si="9" t="shared"/>
        <v>6.2266500622665004E-3</v>
      </c>
      <c r="M34" s="24">
        <f si="8" t="shared"/>
        <v>6.2266500622665004E-3</v>
      </c>
      <c r="N34" s="24">
        <f si="10" t="shared"/>
        <v>0</v>
      </c>
    </row>
    <row r="35" spans="6:14" x14ac:dyDescent="0.45">
      <c r="F35" s="9" t="s">
        <v>6</v>
      </c>
      <c r="G35" s="16">
        <f si="5" t="shared"/>
        <v>0</v>
      </c>
      <c r="H35" s="16">
        <f si="6" t="shared"/>
        <v>0</v>
      </c>
      <c r="I35" s="16">
        <f si="7" t="shared"/>
        <v>0</v>
      </c>
      <c r="K35" s="30" t="s">
        <v>6</v>
      </c>
      <c r="L35" s="31">
        <f si="9" t="shared"/>
        <v>2.4906600249066002E-3</v>
      </c>
      <c r="M35" s="31">
        <f si="8" t="shared"/>
        <v>2.4906600249066002E-3</v>
      </c>
      <c r="N35" s="31">
        <f si="10" t="shared"/>
        <v>0</v>
      </c>
    </row>
    <row r="36" spans="6:14" x14ac:dyDescent="0.45">
      <c r="F36" s="9" t="s">
        <v>7</v>
      </c>
      <c r="G36" s="16">
        <f si="5" t="shared"/>
        <v>0</v>
      </c>
      <c r="H36" s="16">
        <f si="6" t="shared"/>
        <v>0</v>
      </c>
      <c r="I36" s="16">
        <f si="7" t="shared"/>
        <v>0</v>
      </c>
      <c r="K36" s="23" t="s">
        <v>7</v>
      </c>
      <c r="L36" s="24">
        <f si="9" t="shared"/>
        <v>5.3549190535491904E-2</v>
      </c>
      <c r="M36" s="24">
        <f si="8" t="shared"/>
        <v>5.3549190535491904E-2</v>
      </c>
      <c r="N36" s="24">
        <f si="10" t="shared"/>
        <v>0</v>
      </c>
    </row>
    <row r="37" spans="6:14" x14ac:dyDescent="0.4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4.65" r="38" spans="6:14" thickBot="1" x14ac:dyDescent="0.5">
      <c r="F38" s="13" t="s">
        <v>12</v>
      </c>
      <c r="G38" s="18">
        <f si="5" t="shared"/>
        <v>0</v>
      </c>
      <c r="H38" s="18">
        <f si="6" t="shared"/>
        <v>0</v>
      </c>
      <c r="I38" s="18">
        <f si="7" t="shared"/>
        <v>0</v>
      </c>
      <c r="K38" s="25" t="s">
        <v>12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H1" workbookViewId="0">
      <selection activeCell="W32" sqref="W32"/>
    </sheetView>
  </sheetViews>
  <sheetFormatPr defaultRowHeight="14.25" x14ac:dyDescent="0.45"/>
  <cols>
    <col min="1" max="1" customWidth="true" width="16.73046875" collapsed="true"/>
    <col min="2" max="9" customWidth="true" width="12.73046875" collapsed="true"/>
    <col min="10" max="10" customWidth="true" width="3.73046875" collapsed="true"/>
    <col min="11" max="11" customWidth="true" width="16.73046875" collapsed="true"/>
    <col min="12" max="20" customWidth="true" width="12.73046875" collapsed="true"/>
  </cols>
  <sheetData>
    <row ht="14.65" r="2" spans="1:19" thickBot="1" x14ac:dyDescent="0.5">
      <c r="A2" s="1" t="s">
        <v>58</v>
      </c>
      <c r="B2" s="1"/>
      <c r="C2" s="3"/>
      <c r="D2" s="3"/>
      <c r="E2" s="3"/>
      <c r="F2" s="3"/>
      <c r="G2" s="3"/>
      <c r="H2" s="3"/>
      <c r="I2" s="3"/>
      <c r="K2" s="1" t="s">
        <v>58</v>
      </c>
      <c r="L2" s="1"/>
      <c r="M2" s="3"/>
      <c r="N2" s="3"/>
      <c r="O2" s="3"/>
      <c r="P2" s="3"/>
      <c r="Q2" s="3"/>
      <c r="R2" s="3"/>
      <c r="S2" s="3"/>
    </row>
    <row r="3" spans="1:19" x14ac:dyDescent="0.45">
      <c r="A3" s="5"/>
      <c r="B3" s="35" t="s">
        <v>11</v>
      </c>
      <c r="C3" s="35"/>
      <c r="D3" s="35"/>
      <c r="E3" s="35"/>
      <c r="F3" s="35"/>
      <c r="G3" s="35"/>
      <c r="H3" s="35"/>
      <c r="I3" s="11"/>
      <c r="K3" s="5"/>
      <c r="L3" s="36" t="s">
        <v>11</v>
      </c>
      <c r="M3" s="36"/>
      <c r="N3" s="36"/>
      <c r="O3" s="36"/>
      <c r="P3" s="36"/>
      <c r="Q3" s="36"/>
      <c r="R3" s="36"/>
      <c r="S3" s="36"/>
    </row>
    <row r="4" spans="1:19" x14ac:dyDescent="0.4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12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12</v>
      </c>
    </row>
    <row r="5" spans="1:19" x14ac:dyDescent="0.45">
      <c r="A5" t="s">
        <v>1</v>
      </c>
      <c r="B5" s="9" t="n">
        <v>210000.0</v>
      </c>
      <c r="C5" s="9" t="n">
        <v>20000.0</v>
      </c>
      <c r="D5" s="9" t="n">
        <v>10000.0</v>
      </c>
      <c r="E5" s="9" t="n">
        <v>0.0</v>
      </c>
      <c r="F5" s="9" t="n">
        <v>10000.0</v>
      </c>
      <c r="G5" s="9" t="n">
        <v>0.0</v>
      </c>
      <c r="H5" s="9" t="n">
        <v>0.0</v>
      </c>
      <c r="I5" s="9">
        <f>SUM(B5:H5)</f>
        <v>229000</v>
      </c>
      <c r="J5" s="9"/>
      <c r="K5" s="9" t="s">
        <v>1</v>
      </c>
      <c r="L5" s="9" t="n">
        <v>210000.0</v>
      </c>
      <c r="M5" s="9" t="n">
        <v>20000.0</v>
      </c>
      <c r="N5" s="9" t="n">
        <v>10000.0</v>
      </c>
      <c r="O5" s="9" t="n">
        <v>0.0</v>
      </c>
      <c r="P5" s="9" t="n">
        <v>10000.0</v>
      </c>
      <c r="Q5" s="9" t="n">
        <v>0.0</v>
      </c>
      <c r="R5" s="9" t="n">
        <v>0.0</v>
      </c>
      <c r="S5" s="9">
        <f>SUM(L5:R5)</f>
        <v>229000</v>
      </c>
    </row>
    <row r="6" spans="1:19" x14ac:dyDescent="0.45">
      <c r="A6" t="s">
        <v>2</v>
      </c>
      <c r="B6" s="9" t="n">
        <v>30000.0</v>
      </c>
      <c r="C6" s="9" t="n">
        <v>20000.0</v>
      </c>
      <c r="D6" s="9" t="n">
        <v>10000.0</v>
      </c>
      <c r="E6" s="9" t="n">
        <v>0.0</v>
      </c>
      <c r="F6" s="9" t="n">
        <v>0.0</v>
      </c>
      <c r="G6" s="9" t="n">
        <v>0.0</v>
      </c>
      <c r="H6" s="9" t="n">
        <v>0.0</v>
      </c>
      <c r="I6" s="9">
        <f ref="I6:I11" si="0" t="shared">SUM(B6:H6)</f>
        <v>85000</v>
      </c>
      <c r="J6" s="9"/>
      <c r="K6" s="9" t="s">
        <v>2</v>
      </c>
      <c r="L6" s="9" t="n">
        <v>30000.0</v>
      </c>
      <c r="M6" s="9" t="n">
        <v>20000.0</v>
      </c>
      <c r="N6" s="9" t="n">
        <v>10000.0</v>
      </c>
      <c r="O6" s="9" t="n">
        <v>0.0</v>
      </c>
      <c r="P6" s="9" t="n">
        <v>0.0</v>
      </c>
      <c r="Q6" s="9" t="n">
        <v>0.0</v>
      </c>
      <c r="R6" s="9" t="n">
        <v>0.0</v>
      </c>
      <c r="S6" s="9">
        <f ref="S6:S11" si="1" t="shared">SUM(L6:R6)</f>
        <v>85000</v>
      </c>
    </row>
    <row r="7" spans="1:19" x14ac:dyDescent="0.45">
      <c r="A7" t="s">
        <v>3</v>
      </c>
      <c r="B7" s="9" t="n">
        <v>10000.0</v>
      </c>
      <c r="C7" s="9" t="n">
        <v>30000.0</v>
      </c>
      <c r="D7" s="9" t="n">
        <v>0.0</v>
      </c>
      <c r="E7" s="9" t="n">
        <v>0.0</v>
      </c>
      <c r="F7" s="9" t="n">
        <v>0.0</v>
      </c>
      <c r="G7" s="9" t="n">
        <v>0.0</v>
      </c>
      <c r="H7" s="9" t="n">
        <v>0.0</v>
      </c>
      <c r="I7" s="9">
        <f si="0" t="shared"/>
        <v>32000</v>
      </c>
      <c r="J7" s="9"/>
      <c r="K7" s="9" t="s">
        <v>3</v>
      </c>
      <c r="L7" s="9" t="n">
        <v>10000.0</v>
      </c>
      <c r="M7" s="9" t="n">
        <v>30000.0</v>
      </c>
      <c r="N7" s="9" t="n">
        <v>0.0</v>
      </c>
      <c r="O7" s="9" t="n">
        <v>0.0</v>
      </c>
      <c r="P7" s="9" t="n">
        <v>0.0</v>
      </c>
      <c r="Q7" s="9" t="n">
        <v>0.0</v>
      </c>
      <c r="R7" s="9" t="n">
        <v>0.0</v>
      </c>
      <c r="S7" s="9">
        <f si="1" t="shared"/>
        <v>32000</v>
      </c>
    </row>
    <row r="8" spans="1:19" x14ac:dyDescent="0.4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45">
      <c r="A9" t="s">
        <v>5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9" t="n">
        <v>0.0</v>
      </c>
      <c r="I9" s="9">
        <f si="0" t="shared"/>
        <v>1000</v>
      </c>
      <c r="J9" s="9"/>
      <c r="K9" s="9" t="s">
        <v>5</v>
      </c>
      <c r="L9" s="9" t="n">
        <v>0.0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0.0</v>
      </c>
      <c r="R9" s="9" t="n">
        <v>0.0</v>
      </c>
      <c r="S9" s="9">
        <f si="1" t="shared"/>
        <v>1000</v>
      </c>
    </row>
    <row r="10" spans="1:19" x14ac:dyDescent="0.45">
      <c r="A10" t="s">
        <v>6</v>
      </c>
      <c r="B10" s="9" t="n">
        <v>0.0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0.0</v>
      </c>
      <c r="H10" s="9" t="n">
        <v>0.0</v>
      </c>
      <c r="I10" s="9">
        <f si="0" t="shared"/>
        <v>3000</v>
      </c>
      <c r="J10" s="9"/>
      <c r="K10" s="9" t="s">
        <v>6</v>
      </c>
      <c r="L10" s="9" t="n">
        <v>0.0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0.0</v>
      </c>
      <c r="R10" s="9" t="n">
        <v>0.0</v>
      </c>
      <c r="S10" s="9">
        <f si="1" t="shared"/>
        <v>3000</v>
      </c>
    </row>
    <row r="11" spans="1:19" x14ac:dyDescent="0.45">
      <c r="A11" s="6" t="s">
        <v>7</v>
      </c>
      <c r="B11" s="14" t="n">
        <v>30000.0</v>
      </c>
      <c r="C11" s="14" t="n">
        <v>10000.0</v>
      </c>
      <c r="D11" s="14" t="n">
        <v>10000.0</v>
      </c>
      <c r="E11" s="14" t="n">
        <v>0.0</v>
      </c>
      <c r="F11" s="14" t="n">
        <v>10000.0</v>
      </c>
      <c r="G11" s="14" t="n">
        <v>0.0</v>
      </c>
      <c r="H11" s="14" t="n">
        <v>10000.0</v>
      </c>
      <c r="I11" s="9">
        <f si="0" t="shared"/>
        <v>44000</v>
      </c>
      <c r="J11" s="9"/>
      <c r="K11" s="6" t="s">
        <v>7</v>
      </c>
      <c r="L11" s="12" t="n">
        <v>30000.0</v>
      </c>
      <c r="M11" s="12" t="n">
        <v>10000.0</v>
      </c>
      <c r="N11" s="12" t="n">
        <v>10000.0</v>
      </c>
      <c r="O11" s="12" t="n">
        <v>0.0</v>
      </c>
      <c r="P11" s="12" t="n">
        <v>10000.0</v>
      </c>
      <c r="Q11" s="12" t="n">
        <v>0.0</v>
      </c>
      <c r="R11" s="12" t="n">
        <v>10000.0</v>
      </c>
      <c r="S11" s="9">
        <f si="1" t="shared"/>
        <v>44000</v>
      </c>
    </row>
    <row ht="14.65" r="12" spans="1:19" thickBot="1" x14ac:dyDescent="0.5">
      <c r="A12" s="15" t="s">
        <v>12</v>
      </c>
      <c r="B12" s="19">
        <f>SUM(B5:B11)</f>
        <v>267000</v>
      </c>
      <c r="C12" s="19">
        <f ref="C12:I12" si="2" t="shared">SUM(C5:C11)</f>
        <v>67000</v>
      </c>
      <c r="D12" s="19">
        <f si="2" t="shared"/>
        <v>32000</v>
      </c>
      <c r="E12" s="19">
        <f si="2" t="shared"/>
        <v>9000</v>
      </c>
      <c r="F12" s="19">
        <f si="2" t="shared"/>
        <v>16000</v>
      </c>
      <c r="G12" s="19">
        <f si="2" t="shared"/>
        <v>1000</v>
      </c>
      <c r="H12" s="19">
        <f si="2" t="shared"/>
        <v>2000</v>
      </c>
      <c r="I12" s="19">
        <f si="2" t="shared"/>
        <v>394000</v>
      </c>
      <c r="K12" s="13" t="s">
        <v>12</v>
      </c>
      <c r="L12" s="19">
        <f>SUM(L5:L11)</f>
        <v>267000</v>
      </c>
      <c r="M12" s="19">
        <f ref="M12:S12" si="3" t="shared">SUM(M5:M11)</f>
        <v>67000</v>
      </c>
      <c r="N12" s="19">
        <f si="3" t="shared"/>
        <v>32000</v>
      </c>
      <c r="O12" s="19">
        <f si="3" t="shared"/>
        <v>9000</v>
      </c>
      <c r="P12" s="19">
        <f si="3" t="shared"/>
        <v>16000</v>
      </c>
      <c r="Q12" s="19">
        <f si="3" t="shared"/>
        <v>1000</v>
      </c>
      <c r="R12" s="19">
        <f si="3" t="shared"/>
        <v>2000</v>
      </c>
      <c r="S12" s="19">
        <f si="3" t="shared"/>
        <v>394000</v>
      </c>
    </row>
    <row ht="14.65" r="15" spans="1:19" thickBot="1" x14ac:dyDescent="0.5">
      <c r="A15" s="1" t="s">
        <v>59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45">
      <c r="A16" s="5"/>
      <c r="B16" s="35" t="s">
        <v>11</v>
      </c>
      <c r="C16" s="35"/>
      <c r="D16" s="35"/>
      <c r="E16" s="35"/>
      <c r="F16" s="35"/>
      <c r="G16" s="35"/>
      <c r="H16" s="35"/>
      <c r="I16" s="11"/>
      <c r="K16" s="5"/>
      <c r="L16" s="36" t="s">
        <v>11</v>
      </c>
      <c r="M16" s="36"/>
      <c r="N16" s="36"/>
      <c r="O16" s="36"/>
      <c r="P16" s="36"/>
      <c r="Q16" s="36"/>
      <c r="R16" s="36"/>
      <c r="S16" s="36"/>
    </row>
    <row r="17" spans="1:19" x14ac:dyDescent="0.4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12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12</v>
      </c>
    </row>
    <row r="18" spans="1:19" x14ac:dyDescent="0.45">
      <c r="A18" t="s">
        <v>1</v>
      </c>
      <c r="B18" s="16">
        <f>B5/$I$12</f>
        <v>0.52030456852791873</v>
      </c>
      <c r="C18" s="16">
        <f ref="C18:I18" si="4" t="shared">C5/$I$12</f>
        <v>4.5685279187817257E-2</v>
      </c>
      <c r="D18" s="16">
        <f si="4" t="shared"/>
        <v>1.015228426395939E-2</v>
      </c>
      <c r="E18" s="16">
        <f si="4" t="shared"/>
        <v>2.5380710659898475E-3</v>
      </c>
      <c r="F18" s="16">
        <f si="4" t="shared"/>
        <v>2.5380710659898475E-3</v>
      </c>
      <c r="G18" s="16">
        <f si="4" t="shared"/>
        <v>0</v>
      </c>
      <c r="H18" s="16">
        <f si="4" t="shared"/>
        <v>0</v>
      </c>
      <c r="I18" s="16">
        <f si="4" t="shared"/>
        <v>0.58121827411167515</v>
      </c>
      <c r="J18" s="9"/>
      <c r="K18" s="9" t="s">
        <v>1</v>
      </c>
      <c r="L18" s="16">
        <f ref="L18:S25" si="5" t="shared">L5/$S$12</f>
        <v>0.52030456852791873</v>
      </c>
      <c r="M18" s="16">
        <f si="5" t="shared"/>
        <v>4.5685279187817257E-2</v>
      </c>
      <c r="N18" s="16">
        <f si="5" t="shared"/>
        <v>1.015228426395939E-2</v>
      </c>
      <c r="O18" s="16">
        <f si="5" t="shared"/>
        <v>2.5380710659898475E-3</v>
      </c>
      <c r="P18" s="16">
        <f si="5" t="shared"/>
        <v>2.5380710659898475E-3</v>
      </c>
      <c r="Q18" s="16">
        <f si="5" t="shared"/>
        <v>0</v>
      </c>
      <c r="R18" s="16">
        <f si="5" t="shared"/>
        <v>0</v>
      </c>
      <c r="S18" s="16">
        <f si="5" t="shared"/>
        <v>0.58121827411167515</v>
      </c>
    </row>
    <row r="19" spans="1:19" x14ac:dyDescent="0.45">
      <c r="A19" t="s">
        <v>2</v>
      </c>
      <c r="B19" s="16">
        <f ref="B19:I19" si="6" t="shared">B6/$I$12</f>
        <v>7.6142131979695438E-2</v>
      </c>
      <c r="C19" s="16">
        <f si="6" t="shared"/>
        <v>6.8527918781725886E-2</v>
      </c>
      <c r="D19" s="16">
        <f si="6" t="shared"/>
        <v>5.5837563451776651E-2</v>
      </c>
      <c r="E19" s="16">
        <f si="6" t="shared"/>
        <v>5.076142131979695E-3</v>
      </c>
      <c r="F19" s="16">
        <f si="6" t="shared"/>
        <v>1.015228426395939E-2</v>
      </c>
      <c r="G19" s="16">
        <f si="6" t="shared"/>
        <v>0</v>
      </c>
      <c r="H19" s="16">
        <f si="6" t="shared"/>
        <v>0</v>
      </c>
      <c r="I19" s="16">
        <f si="6" t="shared"/>
        <v>0.21573604060913706</v>
      </c>
      <c r="J19" s="9"/>
      <c r="K19" s="9" t="s">
        <v>2</v>
      </c>
      <c r="L19" s="16">
        <f si="5" t="shared"/>
        <v>7.6142131979695438E-2</v>
      </c>
      <c r="M19" s="16">
        <f si="5" t="shared"/>
        <v>6.8527918781725886E-2</v>
      </c>
      <c r="N19" s="16">
        <f si="5" t="shared"/>
        <v>5.5837563451776651E-2</v>
      </c>
      <c r="O19" s="16">
        <f si="5" t="shared"/>
        <v>5.076142131979695E-3</v>
      </c>
      <c r="P19" s="16">
        <f si="5" t="shared"/>
        <v>1.015228426395939E-2</v>
      </c>
      <c r="Q19" s="16">
        <f si="5" t="shared"/>
        <v>0</v>
      </c>
      <c r="R19" s="16">
        <f si="5" t="shared"/>
        <v>0</v>
      </c>
      <c r="S19" s="16">
        <f si="5" t="shared"/>
        <v>0.21573604060913706</v>
      </c>
    </row>
    <row r="20" spans="1:19" x14ac:dyDescent="0.45">
      <c r="A20" t="s">
        <v>3</v>
      </c>
      <c r="B20" s="16">
        <f ref="B20:I20" si="7" t="shared">B7/$I$12</f>
        <v>3.0456852791878174E-2</v>
      </c>
      <c r="C20" s="16">
        <f si="7" t="shared"/>
        <v>4.060913705583756E-2</v>
      </c>
      <c r="D20" s="16">
        <f si="7" t="shared"/>
        <v>5.076142131979695E-3</v>
      </c>
      <c r="E20" s="16">
        <f si="7" t="shared"/>
        <v>0</v>
      </c>
      <c r="F20" s="16">
        <f si="7" t="shared"/>
        <v>5.076142131979695E-3</v>
      </c>
      <c r="G20" s="16">
        <f si="7" t="shared"/>
        <v>0</v>
      </c>
      <c r="H20" s="16">
        <f si="7" t="shared"/>
        <v>0</v>
      </c>
      <c r="I20" s="16">
        <f si="7" t="shared"/>
        <v>8.1218274111675121E-2</v>
      </c>
      <c r="J20" s="9"/>
      <c r="K20" s="9" t="s">
        <v>3</v>
      </c>
      <c r="L20" s="16">
        <f si="5" t="shared"/>
        <v>3.0456852791878174E-2</v>
      </c>
      <c r="M20" s="16">
        <f si="5" t="shared"/>
        <v>4.060913705583756E-2</v>
      </c>
      <c r="N20" s="16">
        <f si="5" t="shared"/>
        <v>5.076142131979695E-3</v>
      </c>
      <c r="O20" s="16">
        <f si="5" t="shared"/>
        <v>0</v>
      </c>
      <c r="P20" s="16">
        <f si="5" t="shared"/>
        <v>5.076142131979695E-3</v>
      </c>
      <c r="Q20" s="16">
        <f si="5" t="shared"/>
        <v>0</v>
      </c>
      <c r="R20" s="16">
        <f si="5" t="shared"/>
        <v>0</v>
      </c>
      <c r="S20" s="16">
        <f si="5" t="shared"/>
        <v>8.1218274111675121E-2</v>
      </c>
    </row>
    <row r="21" spans="1:19" x14ac:dyDescent="0.4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45">
      <c r="A22" t="s">
        <v>5</v>
      </c>
      <c r="B22" s="16">
        <f ref="B22:I22" si="9" t="shared">B9/$I$12</f>
        <v>2.5380710659898475E-3</v>
      </c>
      <c r="C22" s="16">
        <f si="9" t="shared"/>
        <v>0</v>
      </c>
      <c r="D22" s="16">
        <f si="9" t="shared"/>
        <v>0</v>
      </c>
      <c r="E22" s="16">
        <f si="9" t="shared"/>
        <v>0</v>
      </c>
      <c r="F22" s="16">
        <f si="9" t="shared"/>
        <v>0</v>
      </c>
      <c r="G22" s="16">
        <f si="9" t="shared"/>
        <v>0</v>
      </c>
      <c r="H22" s="16">
        <f si="9" t="shared"/>
        <v>0</v>
      </c>
      <c r="I22" s="16">
        <f si="9" t="shared"/>
        <v>2.5380710659898475E-3</v>
      </c>
      <c r="J22" s="9"/>
      <c r="K22" s="9" t="s">
        <v>5</v>
      </c>
      <c r="L22" s="16">
        <f si="5" t="shared"/>
        <v>2.5380710659898475E-3</v>
      </c>
      <c r="M22" s="16">
        <f si="5" t="shared"/>
        <v>0</v>
      </c>
      <c r="N22" s="16">
        <f si="5" t="shared"/>
        <v>0</v>
      </c>
      <c r="O22" s="16">
        <f si="5" t="shared"/>
        <v>0</v>
      </c>
      <c r="P22" s="16">
        <f si="5" t="shared"/>
        <v>0</v>
      </c>
      <c r="Q22" s="16">
        <f si="5" t="shared"/>
        <v>0</v>
      </c>
      <c r="R22" s="16">
        <f si="5" t="shared"/>
        <v>0</v>
      </c>
      <c r="S22" s="16">
        <f si="5" t="shared"/>
        <v>2.5380710659898475E-3</v>
      </c>
    </row>
    <row r="23" spans="1:19" x14ac:dyDescent="0.45">
      <c r="A23" t="s">
        <v>6</v>
      </c>
      <c r="B23" s="16">
        <f ref="B23:I23" si="10" t="shared">B10/$I$12</f>
        <v>0</v>
      </c>
      <c r="C23" s="16">
        <f si="10" t="shared"/>
        <v>5.076142131979695E-3</v>
      </c>
      <c r="D23" s="16">
        <f si="10" t="shared"/>
        <v>0</v>
      </c>
      <c r="E23" s="16">
        <f si="10" t="shared"/>
        <v>0</v>
      </c>
      <c r="F23" s="16">
        <f si="10" t="shared"/>
        <v>2.5380710659898475E-3</v>
      </c>
      <c r="G23" s="16">
        <f si="10" t="shared"/>
        <v>0</v>
      </c>
      <c r="H23" s="16">
        <f si="10" t="shared"/>
        <v>0</v>
      </c>
      <c r="I23" s="16">
        <f si="10" t="shared"/>
        <v>7.6142131979695434E-3</v>
      </c>
      <c r="J23" s="9"/>
      <c r="K23" s="9" t="s">
        <v>6</v>
      </c>
      <c r="L23" s="16">
        <f si="5" t="shared"/>
        <v>0</v>
      </c>
      <c r="M23" s="16">
        <f si="5" t="shared"/>
        <v>5.076142131979695E-3</v>
      </c>
      <c r="N23" s="16">
        <f si="5" t="shared"/>
        <v>0</v>
      </c>
      <c r="O23" s="16">
        <f si="5" t="shared"/>
        <v>0</v>
      </c>
      <c r="P23" s="16">
        <f si="5" t="shared"/>
        <v>2.5380710659898475E-3</v>
      </c>
      <c r="Q23" s="16">
        <f si="5" t="shared"/>
        <v>0</v>
      </c>
      <c r="R23" s="16">
        <f si="5" t="shared"/>
        <v>0</v>
      </c>
      <c r="S23" s="16">
        <f si="5" t="shared"/>
        <v>7.6142131979695434E-3</v>
      </c>
    </row>
    <row r="24" spans="1:19" x14ac:dyDescent="0.45">
      <c r="A24" s="6" t="s">
        <v>7</v>
      </c>
      <c r="B24" s="17">
        <f ref="B24:I24" si="11" t="shared">B11/$I$12</f>
        <v>4.8223350253807105E-2</v>
      </c>
      <c r="C24" s="17">
        <f si="11" t="shared"/>
        <v>1.015228426395939E-2</v>
      </c>
      <c r="D24" s="17">
        <f si="11" t="shared"/>
        <v>1.015228426395939E-2</v>
      </c>
      <c r="E24" s="17">
        <f si="11" t="shared"/>
        <v>1.5228426395939087E-2</v>
      </c>
      <c r="F24" s="17">
        <f si="11" t="shared"/>
        <v>2.030456852791878E-2</v>
      </c>
      <c r="G24" s="17">
        <f si="11" t="shared"/>
        <v>2.5380710659898475E-3</v>
      </c>
      <c r="H24" s="17">
        <f si="11" t="shared"/>
        <v>5.076142131979695E-3</v>
      </c>
      <c r="I24" s="16">
        <f si="11" t="shared"/>
        <v>0.1116751269035533</v>
      </c>
      <c r="J24" s="9"/>
      <c r="K24" s="6" t="s">
        <v>7</v>
      </c>
      <c r="L24" s="20">
        <f si="5" t="shared"/>
        <v>4.8223350253807105E-2</v>
      </c>
      <c r="M24" s="20">
        <f si="5" t="shared"/>
        <v>1.015228426395939E-2</v>
      </c>
      <c r="N24" s="20">
        <f si="5" t="shared"/>
        <v>1.015228426395939E-2</v>
      </c>
      <c r="O24" s="20">
        <f si="5" t="shared"/>
        <v>1.5228426395939087E-2</v>
      </c>
      <c r="P24" s="20">
        <f si="5" t="shared"/>
        <v>2.030456852791878E-2</v>
      </c>
      <c r="Q24" s="20">
        <f si="5" t="shared"/>
        <v>2.5380710659898475E-3</v>
      </c>
      <c r="R24" s="20">
        <f si="5" t="shared"/>
        <v>5.076142131979695E-3</v>
      </c>
      <c r="S24" s="16">
        <f si="5" t="shared"/>
        <v>0.1116751269035533</v>
      </c>
    </row>
    <row ht="14.65" r="25" spans="1:19" thickBot="1" x14ac:dyDescent="0.5">
      <c r="A25" s="15" t="s">
        <v>12</v>
      </c>
      <c r="B25" s="18">
        <f ref="B25:I25" si="12" t="shared">B12/$I$12</f>
        <v>0.67766497461928932</v>
      </c>
      <c r="C25" s="18">
        <f si="12" t="shared"/>
        <v>0.17005076142131981</v>
      </c>
      <c r="D25" s="18">
        <f si="12" t="shared"/>
        <v>8.1218274111675121E-2</v>
      </c>
      <c r="E25" s="18">
        <f si="12" t="shared"/>
        <v>2.2842639593908629E-2</v>
      </c>
      <c r="F25" s="18">
        <f si="12" t="shared"/>
        <v>4.060913705583756E-2</v>
      </c>
      <c r="G25" s="18">
        <f si="12" t="shared"/>
        <v>2.5380710659898475E-3</v>
      </c>
      <c r="H25" s="18">
        <f si="12" t="shared"/>
        <v>5.076142131979695E-3</v>
      </c>
      <c r="I25" s="18">
        <f si="12" t="shared"/>
        <v>1</v>
      </c>
      <c r="K25" s="13" t="s">
        <v>12</v>
      </c>
      <c r="L25" s="18">
        <f si="5" t="shared"/>
        <v>0.67766497461928932</v>
      </c>
      <c r="M25" s="18">
        <f si="5" t="shared"/>
        <v>0.17005076142131981</v>
      </c>
      <c r="N25" s="18">
        <f si="5" t="shared"/>
        <v>8.1218274111675121E-2</v>
      </c>
      <c r="O25" s="18">
        <f si="5" t="shared"/>
        <v>2.2842639593908629E-2</v>
      </c>
      <c r="P25" s="18">
        <f si="5" t="shared"/>
        <v>4.060913705583756E-2</v>
      </c>
      <c r="Q25" s="18">
        <f si="5" t="shared"/>
        <v>2.5380710659898475E-3</v>
      </c>
      <c r="R25" s="18">
        <f si="5" t="shared"/>
        <v>5.076142131979695E-3</v>
      </c>
      <c r="S25" s="18">
        <f si="5" t="shared"/>
        <v>1</v>
      </c>
    </row>
    <row ht="14.65" r="28" spans="1:19" thickBot="1" x14ac:dyDescent="0.5">
      <c r="K28" s="1" t="s">
        <v>46</v>
      </c>
      <c r="L28" s="1"/>
      <c r="M28" s="3"/>
      <c r="N28" s="3"/>
      <c r="O28" s="3"/>
      <c r="P28" s="3"/>
      <c r="Q28" s="3"/>
      <c r="R28" s="3"/>
      <c r="S28" s="3"/>
    </row>
    <row r="29" spans="1:19" x14ac:dyDescent="0.45">
      <c r="K29" s="5"/>
      <c r="L29" s="36" t="s">
        <v>11</v>
      </c>
      <c r="M29" s="36"/>
      <c r="N29" s="36"/>
      <c r="O29" s="36"/>
      <c r="P29" s="36"/>
      <c r="Q29" s="36"/>
      <c r="R29" s="36"/>
      <c r="S29" s="36"/>
    </row>
    <row r="30" spans="1:19" x14ac:dyDescent="0.4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12</v>
      </c>
    </row>
    <row r="31" spans="1:19" x14ac:dyDescent="0.45">
      <c r="K31" s="9" t="s">
        <v>1</v>
      </c>
      <c r="L31" s="16">
        <f ref="L31:S33" si="13" t="shared">L18-B18</f>
        <v>0</v>
      </c>
      <c r="M31" s="16">
        <f si="13" t="shared"/>
        <v>0</v>
      </c>
      <c r="N31" s="16">
        <f si="13" t="shared"/>
        <v>0</v>
      </c>
      <c r="O31" s="16">
        <f si="13" t="shared"/>
        <v>0</v>
      </c>
      <c r="P31" s="16">
        <f si="13" t="shared"/>
        <v>0</v>
      </c>
      <c r="Q31" s="16">
        <f si="13" t="shared"/>
        <v>0</v>
      </c>
      <c r="R31" s="16">
        <f si="13" t="shared"/>
        <v>0</v>
      </c>
      <c r="S31" s="16">
        <f si="13" t="shared"/>
        <v>0</v>
      </c>
    </row>
    <row r="32" spans="1:19" x14ac:dyDescent="0.45">
      <c r="K32" s="9" t="s">
        <v>2</v>
      </c>
      <c r="L32" s="16">
        <f si="13" t="shared"/>
        <v>0</v>
      </c>
      <c r="M32" s="16">
        <f si="13" t="shared"/>
        <v>0</v>
      </c>
      <c r="N32" s="16">
        <f si="13" t="shared"/>
        <v>0</v>
      </c>
      <c r="O32" s="16">
        <f si="13" t="shared"/>
        <v>0</v>
      </c>
      <c r="P32" s="16">
        <f si="13" t="shared"/>
        <v>0</v>
      </c>
      <c r="Q32" s="16">
        <f si="13" t="shared"/>
        <v>0</v>
      </c>
      <c r="R32" s="16">
        <f si="13" t="shared"/>
        <v>0</v>
      </c>
      <c r="S32" s="16">
        <f si="13" t="shared"/>
        <v>0</v>
      </c>
    </row>
    <row r="33" spans="11:19" x14ac:dyDescent="0.45">
      <c r="K33" s="9" t="s">
        <v>3</v>
      </c>
      <c r="L33" s="16">
        <f si="13" t="shared"/>
        <v>0</v>
      </c>
      <c r="M33" s="16">
        <f si="13" t="shared"/>
        <v>0</v>
      </c>
      <c r="N33" s="16">
        <f si="13" t="shared"/>
        <v>0</v>
      </c>
      <c r="O33" s="16">
        <f si="13" t="shared"/>
        <v>0</v>
      </c>
      <c r="P33" s="16">
        <f si="13" t="shared"/>
        <v>0</v>
      </c>
      <c r="Q33" s="16">
        <f si="13" t="shared"/>
        <v>0</v>
      </c>
      <c r="R33" s="16">
        <f si="13" t="shared"/>
        <v>0</v>
      </c>
      <c r="S33" s="16">
        <f si="13" t="shared"/>
        <v>0</v>
      </c>
    </row>
    <row r="34" spans="11:19" x14ac:dyDescent="0.4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45">
      <c r="K35" s="9" t="s">
        <v>5</v>
      </c>
      <c r="L35" s="16">
        <f>L22-B22</f>
        <v>0</v>
      </c>
      <c r="M35" s="16">
        <f ref="M35:S38" si="15" t="shared">M22-C22</f>
        <v>0</v>
      </c>
      <c r="N35" s="16">
        <f si="15" t="shared"/>
        <v>0</v>
      </c>
      <c r="O35" s="16">
        <f si="15" t="shared"/>
        <v>0</v>
      </c>
      <c r="P35" s="16">
        <f si="15" t="shared"/>
        <v>0</v>
      </c>
      <c r="Q35" s="16">
        <f si="15" t="shared"/>
        <v>0</v>
      </c>
      <c r="R35" s="16">
        <f si="15" t="shared"/>
        <v>0</v>
      </c>
      <c r="S35" s="16">
        <f si="15" t="shared"/>
        <v>0</v>
      </c>
    </row>
    <row r="36" spans="11:19" x14ac:dyDescent="0.45">
      <c r="K36" s="9" t="s">
        <v>6</v>
      </c>
      <c r="L36" s="16">
        <f>L23-B23</f>
        <v>0</v>
      </c>
      <c r="M36" s="16">
        <f si="15" t="shared"/>
        <v>0</v>
      </c>
      <c r="N36" s="16">
        <f si="15" t="shared"/>
        <v>0</v>
      </c>
      <c r="O36" s="16">
        <f si="15" t="shared"/>
        <v>0</v>
      </c>
      <c r="P36" s="16">
        <f si="15" t="shared"/>
        <v>0</v>
      </c>
      <c r="Q36" s="16">
        <f si="15" t="shared"/>
        <v>0</v>
      </c>
      <c r="R36" s="16">
        <f si="15" t="shared"/>
        <v>0</v>
      </c>
      <c r="S36" s="16">
        <f si="15" t="shared"/>
        <v>0</v>
      </c>
    </row>
    <row r="37" spans="11:19" x14ac:dyDescent="0.45">
      <c r="K37" s="6" t="s">
        <v>7</v>
      </c>
      <c r="L37" s="20">
        <f>L24-B24</f>
        <v>0</v>
      </c>
      <c r="M37" s="20">
        <f si="15" t="shared"/>
        <v>0</v>
      </c>
      <c r="N37" s="20">
        <f si="15" t="shared"/>
        <v>0</v>
      </c>
      <c r="O37" s="20">
        <f si="15" t="shared"/>
        <v>0</v>
      </c>
      <c r="P37" s="20">
        <f si="15" t="shared"/>
        <v>0</v>
      </c>
      <c r="Q37" s="20">
        <f si="15" t="shared"/>
        <v>0</v>
      </c>
      <c r="R37" s="20">
        <f si="15" t="shared"/>
        <v>0</v>
      </c>
      <c r="S37" s="16">
        <f si="15" t="shared"/>
        <v>0</v>
      </c>
    </row>
    <row ht="14.65" r="38" spans="11:19" thickBot="1" x14ac:dyDescent="0.5">
      <c r="K38" s="13" t="s">
        <v>12</v>
      </c>
      <c r="L38" s="18">
        <f>L25-B25</f>
        <v>0</v>
      </c>
      <c r="M38" s="18">
        <f si="15" t="shared"/>
        <v>0</v>
      </c>
      <c r="N38" s="18">
        <f si="15" t="shared"/>
        <v>0</v>
      </c>
      <c r="O38" s="18">
        <f si="15" t="shared"/>
        <v>0</v>
      </c>
      <c r="P38" s="18">
        <f si="15" t="shared"/>
        <v>0</v>
      </c>
      <c r="Q38" s="18">
        <f si="15" t="shared"/>
        <v>0</v>
      </c>
      <c r="R38" s="18">
        <f si="15" t="shared"/>
        <v>0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4.25" x14ac:dyDescent="0.45"/>
  <sheetData>
    <row r="2" spans="2:2" x14ac:dyDescent="0.45">
      <c r="B2" t="s">
        <v>22</v>
      </c>
    </row>
    <row r="3" spans="2:2" x14ac:dyDescent="0.45">
      <c r="B3" t="s">
        <v>23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Peter Andrews</cp:lastModifiedBy>
  <dcterms:modified xsi:type="dcterms:W3CDTF">2016-07-01T21:08:10Z</dcterms:modified>
</cp:coreProperties>
</file>