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1563B04E-AB91-75FE-B8BC-B18F01832D57}" lastEdited="7" lowestEdited="5" rupBuild="16925"/>
  <workbookPr codeName="ThisWorkbook" defaultThemeVersion="124226"/>
  <mc:AlternateContent>
    <mc:Choice Requires="x15">
      <x15ac:absPath xmlns:x15ac="http://schemas.microsoft.com/office/spreadsheetml/2010/11/ac" url="\\Wrjmdlppw01\e\rd\psrc_days_test-git\regression_results_2016-07-01\11h25m23s_configuration_regress.properties_PASSED\reports\"/>
    </mc:Choice>
  </mc:AlternateContent>
  <bookViews>
    <workbookView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</definedNames>
  <calcPr calcId="171027"/>
</workbook>
</file>

<file path=xl/calcChain.xml><?xml version="1.0" encoding="utf-8"?>
<calcChain xmlns="http://schemas.openxmlformats.org/spreadsheetml/2006/main">
  <c i="8" l="1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O6"/>
  <c i="5" l="1" r="A39"/>
  <c i="5" r="A38"/>
  <c i="5" r="A37"/>
  <c i="5" r="A36"/>
  <c i="5" r="A35"/>
  <c i="5" r="A34"/>
  <c i="5" r="A33"/>
  <c i="5" r="A32"/>
  <c i="5" r="A26"/>
  <c i="5" r="A25"/>
  <c i="5" r="A24"/>
  <c i="5" r="A23"/>
  <c i="5" r="A22"/>
  <c i="5" r="A21"/>
  <c i="5" r="A20"/>
  <c i="5" r="A19"/>
  <c i="5" r="AG26"/>
  <c i="5" r="AG25"/>
  <c i="5" r="AG24"/>
  <c i="5" r="AG23"/>
  <c i="5" r="AG22"/>
  <c i="5" r="AG21"/>
  <c i="5" r="AG20"/>
  <c i="5" r="AG19"/>
  <c i="5" r="Y26"/>
  <c i="5" r="Y25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8"/>
  <c i="5" r="Q37"/>
  <c i="5" r="Q36"/>
  <c i="5" r="Q35"/>
  <c i="5" r="Q34"/>
  <c i="5" r="Q33"/>
  <c i="5" r="Q32"/>
  <c i="5" r="Q26"/>
  <c i="5" r="Q25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G12"/>
  <c i="5" r="C13"/>
  <c i="5" r="D13"/>
  <c i="5" r="E13"/>
  <c i="5" r="F13"/>
  <c i="5" r="B13"/>
  <c i="5" r="W12"/>
  <c i="5" r="S25"/>
  <c i="5" r="T25"/>
  <c i="5" r="U25"/>
  <c i="5" r="V25"/>
  <c i="5" r="R25"/>
  <c i="5" r="S13"/>
  <c i="5" r="T13"/>
  <c i="5" r="U13"/>
  <c i="5" r="V13"/>
  <c i="5" r="R13"/>
  <c i="5" l="1" r="W25"/>
  <c i="5" r="Q62"/>
  <c i="5" r="Q61"/>
  <c i="5" r="Q60"/>
  <c i="5" r="Q59"/>
  <c i="5" r="Q58"/>
  <c i="5" r="Q57"/>
  <c i="5" r="I62"/>
  <c i="5" r="I61"/>
  <c i="5" r="I60"/>
  <c i="5" r="I59"/>
  <c i="5" r="I58"/>
  <c i="5" r="I57"/>
  <c i="5" r="A62"/>
  <c i="5" r="A61"/>
  <c i="5" r="A60"/>
  <c i="5" r="A59"/>
  <c i="5" r="A58"/>
  <c i="5" r="A57"/>
  <c i="5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W37" s="1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1" l="1" r="Y34"/>
  <c i="8" r="E6"/>
  <c i="1" r="E20"/>
  <c i="8" r="F6"/>
  <c i="8" r="F10" s="1"/>
  <c i="1" r="F20"/>
  <c i="8" r="C6"/>
  <c i="1" r="C20"/>
  <c i="8" r="D6"/>
  <c i="8" r="G6" s="1"/>
  <c i="1" r="D20"/>
  <c i="8" r="B6"/>
  <c i="1" r="B20"/>
  <c i="1" r="G20"/>
  <c i="1" r="G29" s="1"/>
  <c i="8" r="K10"/>
  <c i="8" r="J10"/>
  <c i="8" r="O6"/>
  <c i="8" r="G7"/>
  <c i="8" r="L10"/>
  <c i="8" r="O7"/>
  <c i="8" r="O9"/>
  <c i="8" r="G9"/>
  <c i="8" r="E10"/>
  <c i="8" r="C10"/>
  <c i="8" r="M10"/>
  <c i="8" r="N10"/>
  <c i="8" r="G8"/>
  <c i="8" r="B10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AM26" s="1"/>
  <c i="5" r="W38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S38"/>
  <c i="5" r="T38"/>
  <c i="5" r="U38"/>
  <c i="5" r="J26"/>
  <c i="5" r="M26"/>
  <c i="5" r="V37"/>
  <c i="5" r="U32"/>
  <c i="5" r="C26"/>
  <c i="5" r="U33"/>
  <c i="5" r="R33"/>
  <c i="5" r="N26"/>
  <c i="5" r="O26"/>
  <c i="5" r="M37" s="1"/>
  <c i="5" r="V38"/>
  <c i="5" r="L26"/>
  <c i="5" r="R34"/>
  <c i="5" r="R38"/>
  <c i="5" r="S32"/>
  <c i="5" r="T32"/>
  <c i="5" r="V32"/>
  <c i="5" r="V36"/>
  <c i="5" r="W36"/>
  <c i="5" r="W34"/>
  <c i="5" r="W35"/>
  <c i="1" r="S29"/>
  <c i="1" r="V29"/>
  <c i="5" r="E25"/>
  <c i="5" r="K25"/>
  <c i="5" r="O25"/>
  <c i="5" r="D25"/>
  <c i="5" r="J25"/>
  <c i="5" r="N25"/>
  <c i="5" r="C25"/>
  <c i="5" r="G25"/>
  <c i="5" r="M25"/>
  <c i="5" r="B25"/>
  <c i="5" r="L25"/>
  <c i="5" r="F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8" l="1" r="D10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L25"/>
  <c i="5" r="AD25"/>
  <c i="5" r="AK26"/>
  <c i="5" r="AC26"/>
  <c i="5" r="AH25"/>
  <c i="5" r="Z25"/>
  <c i="5" r="G38"/>
  <c i="5" r="AM25"/>
  <c i="5" r="AE25"/>
  <c i="5" r="E32"/>
  <c i="5" r="AE26"/>
  <c i="5" r="AI25"/>
  <c i="5" r="AA25"/>
  <c i="5" r="AH26"/>
  <c i="5" r="Z26"/>
  <c i="5" r="N38"/>
  <c i="5" r="V51" s="1"/>
  <c i="5" r="J38"/>
  <c i="5" r="R51" s="1"/>
  <c i="5" r="AJ25"/>
  <c i="5" r="AB25"/>
  <c i="5" r="AK25"/>
  <c i="5" r="AC25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F38"/>
  <c i="5" r="D37"/>
  <c i="5" r="G33"/>
  <c i="5" r="L38"/>
  <c i="5" r="T51" s="1"/>
  <c i="5" r="O37"/>
  <c i="5" r="W50" s="1"/>
  <c i="5" r="B38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D38"/>
  <c i="5" r="C38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E38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l="1" r="U19"/>
  <c i="8" r="V19" s="1"/>
  <c i="8" r="AA16" s="1"/>
  <c i="8" r="U14"/>
  <c i="8" r="V14" s="1"/>
  <c i="8" r="AA11" s="1"/>
  <c i="8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<sst xmlns="http://schemas.openxmlformats.org/spreadsheetml/2006/main" count="817" uniqueCount="179">
  <si>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</si>
  <si>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</si>
  <si>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</si>
  <si>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</si>
  <si>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</si>
  <si>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</si>
  <si>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</si>
  <si>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</si>
  <si>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</si>
  <si>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</si>
  <si>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ACS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</si>
  <si>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</si>
  <si>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</si>
  <si>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</si>
  <si>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</si>
  <si>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</si>
  <si>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</si>
  <si>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</si>
  <si>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</si>
  <si>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</si>
  <si>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</si>
  <si>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HOUSEHOLDS BY COUNTY AND VEHICLES: ACS ADJ</t>
  </si>
  <si>
    <t>HOUSEHOLDS BY COUNTY AND VEHICLES: EST-OBS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</si>
  <si>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</si>
  <si>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</si>
  <si>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</si>
  <si>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</si>
  <si>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</si>
  <si>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</si>
  <si>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</si>
  <si>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</si>
  <si>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</si>
  <si>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</si>
  <si>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</si>
  <si>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</si>
  <si>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</si>
  <si>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</si>
  <si>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</si>
  <si>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</si>
  <si>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</si>
  <si>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</si>
  <si>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</si>
  <si>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</si>
  <si>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</si>
  <si>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</si>
  <si>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</si>
  <si>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</si>
  <si>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</si>
  <si>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</si>
  <si>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</si>
  <si>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</si>
  <si>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</si>
  <si>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</si>
  <si>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</si>
  <si>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</si>
  <si>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</si>
  <si>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</si>
  <si>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</si>
  <si>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</si>
  <si>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</si>
  <si>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</si>
  <si>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</si>
  <si>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</si>
  <si>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</si>
  <si>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</si>
  <si>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</si>
  <si>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</si>
  <si>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</si>
  <si>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</si>
  <si>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</si>
  <si>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</si>
  <si>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</si>
  <si>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</si>
  <si>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</si>
  <si>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</si>
  <si>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</si>
  <si>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</si>
  <si>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</si>
  <si>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</si>
  <si>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</si>
  <si>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</si>
  <si>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</si>
  <si>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</si>
  <si>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</si>
  <si>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</si>
  <si>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</si>
  <si>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</si>
  <si>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</si>
  <si>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</si>
  <si>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</si>
  <si>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</si>
  <si>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</si>
  <si>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</si>
  <si>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</si>
  <si>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</si>
  <si>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</si>
  <si>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</si>
  <si>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</si>
  <si>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</si>
  <si>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</si>
  <si>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</si>
  <si>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</si>
  <si>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</si>
  <si>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</si>
  <si>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</si>
  <si>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</si>
  <si>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</si>
  <si>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</si>
  <si>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</si>
  <si>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</si>
  <si>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</si>
  <si>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</si>
  <si>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</si>
  <si>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</si>
  <si>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</si>
  <si>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</si>
  <si>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</si>
  <si>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</si>
  <si>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</si>
  <si>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</si>
  <si>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</si>
  <si>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</si>
  <si>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</si>
  <si>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</si>
  <si>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</si>
  <si>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</si>
  <si>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</si>
  <si>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</si>
  <si>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</si>
  <si>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</si>
  <si>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</si>
  <si>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</si>
  <si>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</si>
  <si>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</si>
  <si>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</si>
  <si>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</si>
  <si>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</si>
  <si>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</si>
  <si>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</si>
  <si>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</si>
  <si>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</si>
  <si>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</si>
  <si>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</si>
  <si>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</si>
  <si>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</si>
  <si>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</si>
  <si>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</si>
  <si>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</si>
  <si>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</si>
  <si>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</si>
  <si>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</si>
  <si>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</si>
  <si>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</si>
  <si>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</si>
  <si>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</si>
  <si>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</si>
  <si>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</si>
  <si>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</si>
  <si>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</si>
  <si>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</si>
  <si>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</si>
  <si>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</si>
  <si>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</si>
  <si>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</si>
  <si>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</si>
  <si>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</si>
  <si>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</si>
  <si>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</t>
  </si>
  <si>
    <t>Table X: Difference of HH by Vehicles and Potential Drivers</t>
  </si>
  <si>
    <t>Table X: Adjusted Reference Households by Number of Vehicles and County (ACS)</t>
  </si>
  <si>
    <t>Table X: Reference HH by Vehicles and Potential Drivers</t>
  </si>
  <si>
    <t>Table X: New Households by Number of Vehicles and County</t>
  </si>
  <si>
    <t>Table X: New Households by Number of Vehicles and Income</t>
  </si>
  <si>
    <t>Table X: New Households by Number of Vehicles and Number of Potential Drivers</t>
  </si>
  <si>
    <t>Table X: New HH by Vehicles and Potential Drivers</t>
  </si>
  <si>
    <t>Table X: Reference Households by Number of Vehicles and County (Reference)</t>
  </si>
  <si>
    <t>Reference</t>
  </si>
  <si>
    <t>Table X: Adjusted Reference Households by Number of Vehicles and County (Reference)</t>
  </si>
  <si>
    <t>HOUSEHOLDS BY COUNTY AND VEHICLES: Reference ADJ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</si>
</sst>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yy\ hh:mm:ss"/>
    <numFmt numFmtId="165" formatCode="0.00000000000"/>
  </numFmts>
  <fonts count="1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5" fontId="8" numFmtId="0">
      <alignment wrapText="1"/>
    </xf>
    <xf borderId="0" fillId="0" fontId="8" numFmtId="0">
      <alignment wrapText="1"/>
    </xf>
    <xf borderId="0" fillId="0" fontId="8" numFmtId="164">
      <alignment wrapText="1"/>
    </xf>
    <xf borderId="0" fillId="0" fontId="9" numFmtId="0"/>
    <xf borderId="0" fillId="0" fontId="8" numFmtId="0">
      <alignment wrapText="1"/>
    </xf>
    <xf borderId="0" fillId="0" fontId="8" numFmtId="0">
      <alignment wrapText="1"/>
    </xf>
    <xf borderId="0" fillId="0" fontId="8" numFmtId="0">
      <alignment wrapText="1"/>
    </xf>
    <xf borderId="0" fillId="0" fontId="8" numFmtId="164">
      <alignment wrapText="1"/>
    </xf>
    <xf applyAlignment="0" applyBorder="0" applyFill="0" applyFont="0" applyProtection="0" borderId="0" fillId="0" fontId="8" numFmtId="9"/>
  </cellStyleXfs>
  <cellXfs count="10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Border="1" applyFill="1" applyFont="1" borderId="1" fillId="2" fontId="5" numFmtId="0" xfId="0"/>
    <xf applyAlignment="1" applyBorder="1" applyFill="1" applyFont="1" borderId="1" fillId="2" fontId="1" numFmtId="0" xfId="0">
      <alignment horizontal="left"/>
    </xf>
    <xf applyAlignment="1" applyBorder="1" applyFill="1" applyFont="1" borderId="1" fillId="2" fontId="1" numFmtId="0" xfId="0">
      <alignment horizontal="center"/>
    </xf>
    <xf applyFill="1" applyNumberFormat="1" borderId="0" fillId="2" fontId="0" numFmtId="9" xfId="0"/>
    <xf applyAlignment="1" applyBorder="1" applyFill="1" applyFont="1" borderId="4" fillId="2" fontId="2" numFmtId="0" xfId="0">
      <alignment horizontal="left"/>
    </xf>
    <xf applyBorder="1" applyFill="1" applyNumberFormat="1" borderId="4" fillId="2" fontId="0" numFmtId="9" xfId="0"/>
    <xf applyFill="1" borderId="0" fillId="2" fontId="0" numFmtId="0" xfId="0"/>
    <xf applyBorder="1" applyFill="1" applyFont="1" borderId="3" fillId="3" fontId="6" numFmtId="0" xfId="0"/>
    <xf applyAlignment="1" applyBorder="1" applyFill="1" applyFont="1" borderId="2" fillId="3" fontId="7" numFmtId="0" xfId="0">
      <alignment horizontal="right"/>
    </xf>
    <xf applyFill="1" applyNumberFormat="1" borderId="0" fillId="4" fontId="0" numFmtId="9" xfId="0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Alignment="1" borderId="0" fillId="0" fontId="8" numFmtId="0" xfId="2"/>
    <xf applyBorder="1" borderId="3" fillId="0" fontId="0" numFmtId="0" xfId="0"/>
    <xf applyAlignment="1" applyBorder="1" borderId="0" fillId="0" fontId="8" numFmtId="0" xfId="2"/>
    <xf applyBorder="1" applyNumberFormat="1" borderId="0" fillId="0" fontId="0" numFmtId="9" xfId="0"/>
    <xf applyBorder="1" borderId="0" fillId="0" fontId="0" numFmtId="0" xfId="0"/>
    <xf applyFont="1" borderId="0" fillId="0" fontId="10" numFmtId="0" xfId="0"/>
    <xf applyFont="1" borderId="0" fillId="0" fontId="11" numFmtId="0" xfId="0"/>
    <xf applyNumberFormat="1" borderId="0" fillId="0" fontId="0" numFmtId="11" xfId="0"/>
    <xf applyFont="1" borderId="0" fillId="0" fontId="12" numFmtId="0" xfId="0"/>
    <xf applyFont="1" borderId="0" fillId="0" fontId="13" numFmtId="0" xfId="0"/>
    <xf applyFont="1" applyNumberFormat="1" borderId="0" fillId="0" fontId="12" numFmtId="11" xfId="0"/>
    <xf applyAlignment="1" applyBorder="1" applyFont="1" borderId="5" fillId="0" fontId="2" numFmtId="0" xfId="0">
      <alignment horizontal="right"/>
    </xf>
    <xf applyAlignment="1" applyNumberFormat="1" borderId="0" fillId="0" fontId="8" numFmtId="3" xfId="2"/>
    <xf applyFont="1" borderId="0" fillId="0" fontId="14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6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7" fontId="0" numFmtId="165" xfId="0"/>
    <xf applyFill="1" applyNumberFormat="1" borderId="0" fillId="6" fontId="0" numFmtId="165" xfId="0"/>
    <xf applyBorder="1" applyFont="1" borderId="1" fillId="0" fontId="13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0" numFmtId="9" xfId="9"/>
    <xf applyFont="1" borderId="0" fillId="0" fontId="5" numFmtId="0" xfId="0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M63"/>
  <sheetViews>
    <sheetView tabSelected="1" workbookViewId="0">
      <selection activeCell="Z5" sqref="Z5"/>
    </sheetView>
  </sheetViews>
  <sheetFormatPr defaultRowHeight="14.25" x14ac:dyDescent="0.45"/>
  <cols>
    <col min="1" max="23" customWidth="true" width="9.265625" collapsed="true"/>
  </cols>
  <sheetData>
    <row ht="21" r="1" spans="1:33" x14ac:dyDescent="0.65">
      <c r="A1" s="13" t="s">
        <v>176</v>
      </c>
      <c r="I1" s="13" t="s">
        <v>10</v>
      </c>
      <c r="Q1" s="13" t="s">
        <v>163</v>
      </c>
    </row>
    <row r="2" spans="1:33" x14ac:dyDescent="0.45">
      <c r="A2" s="1"/>
      <c r="I2" s="1" t="s">
        <v>12</v>
      </c>
      <c r="Q2" s="1"/>
    </row>
    <row r="3" spans="1:33" x14ac:dyDescent="0.45">
      <c r="A3" s="1" t="s">
        <v>175</v>
      </c>
      <c r="I3" s="1" t="s">
        <v>14</v>
      </c>
      <c r="Q3" s="16" t="s">
        <v>171</v>
      </c>
    </row>
    <row ht="14.65" r="4" spans="1:33" thickBot="1" x14ac:dyDescent="0.5">
      <c r="A4" s="12"/>
      <c r="B4" s="10" t="s">
        <v>1</v>
      </c>
      <c r="C4" s="9"/>
      <c r="D4" s="9"/>
      <c r="E4" s="9"/>
      <c r="F4" s="9"/>
      <c r="G4" s="9"/>
      <c r="I4" s="12"/>
      <c r="J4" s="10" t="s">
        <v>1</v>
      </c>
      <c r="K4" s="9"/>
      <c r="L4" s="9"/>
      <c r="M4" s="9"/>
      <c r="N4" s="9"/>
      <c r="O4" s="9"/>
      <c r="Q4" s="12"/>
      <c r="R4" s="10" t="s">
        <v>1</v>
      </c>
      <c r="S4" s="9"/>
      <c r="T4" s="9"/>
      <c r="U4" s="9"/>
      <c r="V4" s="9"/>
      <c r="W4" s="9"/>
    </row>
    <row r="5" spans="1:33" x14ac:dyDescent="0.45">
      <c r="A5" s="11" t="s">
        <v>9</v>
      </c>
      <c r="B5" s="2">
        <v>0</v>
      </c>
      <c r="C5" s="2">
        <v>1</v>
      </c>
      <c r="D5" s="2">
        <v>2</v>
      </c>
      <c r="E5" s="2">
        <v>3</v>
      </c>
      <c r="F5" s="2" t="s">
        <v>2</v>
      </c>
      <c r="G5" s="2" t="s">
        <v>3</v>
      </c>
      <c r="I5" s="11" t="s">
        <v>9</v>
      </c>
      <c r="J5" s="90">
        <v>0</v>
      </c>
      <c r="K5" s="90">
        <v>1</v>
      </c>
      <c r="L5" s="90">
        <v>2</v>
      </c>
      <c r="M5" s="90">
        <v>3</v>
      </c>
      <c r="N5" s="90" t="s">
        <v>2</v>
      </c>
      <c r="O5" s="2" t="s">
        <v>3</v>
      </c>
      <c r="Q5" s="11" t="s">
        <v>9</v>
      </c>
      <c r="R5" s="2">
        <v>0</v>
      </c>
      <c r="S5" s="2">
        <v>1</v>
      </c>
      <c r="T5" s="2">
        <v>2</v>
      </c>
      <c r="U5" s="2">
        <v>3</v>
      </c>
      <c r="V5" s="2" t="s">
        <v>2</v>
      </c>
      <c r="W5" s="2" t="s">
        <v>3</v>
      </c>
    </row>
    <row r="6" spans="1:33" x14ac:dyDescent="0.45">
      <c r="A6" s="84" t="s">
        <v>23</v>
      </c>
      <c r="B6" s="4" t="n">
        <v>20000.0</v>
      </c>
      <c r="C6" s="4" t="n">
        <v>480000.0</v>
      </c>
      <c r="D6" s="4" t="n">
        <v>660000.0</v>
      </c>
      <c r="E6" s="4" t="n">
        <v>180000.0</v>
      </c>
      <c r="F6" s="4" t="n">
        <v>100000.0</v>
      </c>
      <c r="G6" s="4">
        <f>SUM(B6:F6)</f>
        <v>1440000</v>
      </c>
      <c r="I6" s="3" t="str">
        <f>$A$6</f>
        <v>Williamson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 t="str">
        <f>$A$6</f>
        <v>Williamson</v>
      </c>
      <c r="R6" s="30" t="n">
        <v>20000.0</v>
      </c>
      <c r="S6" s="32" t="n">
        <v>480000.0</v>
      </c>
      <c r="T6" s="34" t="n">
        <v>660000.0</v>
      </c>
      <c r="U6" s="36" t="n">
        <v>180000.0</v>
      </c>
      <c r="V6" s="38" t="n">
        <v>100000.0</v>
      </c>
      <c r="W6" s="4">
        <f>SUM(R6:V6)</f>
        <v>1440000</v>
      </c>
    </row>
    <row r="7" spans="1:33" x14ac:dyDescent="0.45">
      <c r="A7" s="85" t="s">
        <v>24</v>
      </c>
      <c r="B7" s="4" t="n">
        <v>0.0</v>
      </c>
      <c r="C7" s="4" t="n">
        <v>0.0</v>
      </c>
      <c r="D7" s="4" t="n">
        <v>0.0</v>
      </c>
      <c r="E7" s="4" t="n">
        <v>0.0</v>
      </c>
      <c r="F7" s="4" t="n">
        <v>0.0</v>
      </c>
      <c r="G7" s="4">
        <f ref="G7:G11" si="0" t="shared">SUM(B7:F7)</f>
        <v>0</v>
      </c>
      <c r="I7" s="3" t="str">
        <f>$A$7</f>
        <v>Rutherford</v>
      </c>
      <c r="J7" s="91">
        <v>2959</v>
      </c>
      <c r="K7" s="91">
        <v>25992</v>
      </c>
      <c r="L7" s="91">
        <v>40468</v>
      </c>
      <c r="M7" s="91">
        <v>15897</v>
      </c>
      <c r="N7" s="91">
        <v>7027</v>
      </c>
      <c r="O7" s="4">
        <f ref="O7:O11" si="1" t="shared">SUM(J7:N7)</f>
        <v>92343</v>
      </c>
      <c r="Q7" s="3" t="str">
        <f>$A$7</f>
        <v>Rutherford</v>
      </c>
      <c r="R7" s="31" t="n">
        <v>0.0</v>
      </c>
      <c r="S7" s="33" t="n">
        <v>0.0</v>
      </c>
      <c r="T7" s="35" t="n">
        <v>0.0</v>
      </c>
      <c r="U7" s="37" t="n">
        <v>0.0</v>
      </c>
      <c r="V7" s="39" t="n">
        <v>0.0</v>
      </c>
      <c r="W7" s="4">
        <f ref="W7:W12" si="2" t="shared">SUM(R7:V7)</f>
        <v>0</v>
      </c>
    </row>
    <row r="8" spans="1:33" x14ac:dyDescent="0.45">
      <c r="A8" s="85" t="s">
        <v>25</v>
      </c>
      <c r="B8" s="4" t="n">
        <v>0.0</v>
      </c>
      <c r="C8" s="4" t="n">
        <v>0.0</v>
      </c>
      <c r="D8" s="4" t="n">
        <v>0.0</v>
      </c>
      <c r="E8" s="4" t="n">
        <v>0.0</v>
      </c>
      <c r="F8" s="4" t="n">
        <v>0.0</v>
      </c>
      <c r="G8" s="4">
        <f si="0" t="shared"/>
        <v>0</v>
      </c>
      <c r="I8" s="3" t="str">
        <f>$A$8</f>
        <v>Sumner</v>
      </c>
      <c r="J8" s="91">
        <v>2080</v>
      </c>
      <c r="K8" s="91">
        <v>16821</v>
      </c>
      <c r="L8" s="91">
        <v>23710</v>
      </c>
      <c r="M8" s="91">
        <v>12092</v>
      </c>
      <c r="N8" s="91">
        <v>4800</v>
      </c>
      <c r="O8" s="4">
        <f si="1" t="shared"/>
        <v>59503</v>
      </c>
      <c r="Q8" s="3" t="str">
        <f>$A$8</f>
        <v>Sumner</v>
      </c>
      <c r="R8" s="79" t="n">
        <v>0.0</v>
      </c>
      <c r="S8" s="79" t="n">
        <v>0.0</v>
      </c>
      <c r="T8" s="79" t="n">
        <v>0.0</v>
      </c>
      <c r="U8" s="79" t="n">
        <v>0.0</v>
      </c>
      <c r="V8" s="79" t="n">
        <v>0.0</v>
      </c>
      <c r="W8" s="4">
        <f si="2" t="shared"/>
        <v>0</v>
      </c>
    </row>
    <row r="9" spans="1:33" x14ac:dyDescent="0.45">
      <c r="A9" s="85" t="s">
        <v>26</v>
      </c>
      <c r="B9" s="15" t="n">
        <v>0.0</v>
      </c>
      <c r="C9" s="15" t="n">
        <v>0.0</v>
      </c>
      <c r="D9" s="15" t="n">
        <v>0.0</v>
      </c>
      <c r="E9" s="15" t="n">
        <v>0.0</v>
      </c>
      <c r="F9" s="15" t="n">
        <v>0.0</v>
      </c>
      <c r="G9" s="15">
        <f si="0" t="shared"/>
        <v>0</v>
      </c>
      <c r="I9" s="3" t="str">
        <f>$A$9</f>
        <v>Roberston</v>
      </c>
      <c r="J9" s="91">
        <v>1316</v>
      </c>
      <c r="K9" s="91">
        <v>5456</v>
      </c>
      <c r="L9" s="91">
        <v>9990</v>
      </c>
      <c r="M9" s="91">
        <v>4645</v>
      </c>
      <c r="N9" s="91">
        <v>2386</v>
      </c>
      <c r="O9" s="4">
        <f si="1" t="shared"/>
        <v>23793</v>
      </c>
      <c r="Q9" s="3" t="str">
        <f>$A$9</f>
        <v>Roberston</v>
      </c>
      <c r="R9" s="79" t="n">
        <v>0.0</v>
      </c>
      <c r="S9" s="79" t="n">
        <v>0.0</v>
      </c>
      <c r="T9" s="79" t="n">
        <v>0.0</v>
      </c>
      <c r="U9" s="79" t="n">
        <v>0.0</v>
      </c>
      <c r="V9" s="79" t="n">
        <v>0.0</v>
      </c>
      <c r="W9" s="4">
        <f si="2" t="shared"/>
        <v>0</v>
      </c>
    </row>
    <row r="10" spans="1:33" x14ac:dyDescent="0.45">
      <c r="A10" s="85" t="s">
        <v>27</v>
      </c>
      <c r="B10" s="15" t="n">
        <v>0.0</v>
      </c>
      <c r="C10" s="15" t="n">
        <v>0.0</v>
      </c>
      <c r="D10" s="15" t="n">
        <v>0.0</v>
      </c>
      <c r="E10" s="15" t="n">
        <v>0.0</v>
      </c>
      <c r="F10" s="15" t="n">
        <v>0.0</v>
      </c>
      <c r="G10" s="15">
        <f si="0" t="shared"/>
        <v>0</v>
      </c>
      <c r="I10" s="3" t="str">
        <f>$A$10</f>
        <v>Davidson</v>
      </c>
      <c r="J10" s="91">
        <v>19046</v>
      </c>
      <c r="K10" s="91">
        <v>102775</v>
      </c>
      <c r="L10" s="91">
        <v>91741</v>
      </c>
      <c r="M10" s="91">
        <v>28860</v>
      </c>
      <c r="N10" s="91">
        <v>10055</v>
      </c>
      <c r="O10" s="4">
        <f si="1" t="shared"/>
        <v>252477</v>
      </c>
      <c r="Q10" s="3" t="str">
        <f>$A$10</f>
        <v>Davidson</v>
      </c>
      <c r="R10" s="79" t="n">
        <v>0.0</v>
      </c>
      <c r="S10" s="79" t="n">
        <v>0.0</v>
      </c>
      <c r="T10" s="79" t="n">
        <v>0.0</v>
      </c>
      <c r="U10" s="79" t="n">
        <v>0.0</v>
      </c>
      <c r="V10" s="79" t="n">
        <v>0.0</v>
      </c>
      <c r="W10" s="4">
        <f si="2" t="shared"/>
        <v>0</v>
      </c>
    </row>
    <row r="11" spans="1:33" x14ac:dyDescent="0.45">
      <c r="A11" s="85" t="s">
        <v>28</v>
      </c>
      <c r="B11" s="15" t="n">
        <v>0.0</v>
      </c>
      <c r="C11" s="15" t="n">
        <v>0.0</v>
      </c>
      <c r="D11" s="15" t="n">
        <v>0.0</v>
      </c>
      <c r="E11" s="15" t="n">
        <v>0.0</v>
      </c>
      <c r="F11" s="15" t="n">
        <v>0.0</v>
      </c>
      <c r="G11" s="15">
        <f si="0" t="shared"/>
        <v>0</v>
      </c>
      <c r="I11" s="14" t="str">
        <f>$A$11</f>
        <v>Maury</v>
      </c>
      <c r="J11" s="91">
        <v>1423</v>
      </c>
      <c r="K11" s="91">
        <v>9376</v>
      </c>
      <c r="L11" s="91">
        <v>12932</v>
      </c>
      <c r="M11" s="91">
        <v>5516</v>
      </c>
      <c r="N11" s="91">
        <v>2498</v>
      </c>
      <c r="O11" s="15">
        <f si="1" t="shared"/>
        <v>31745</v>
      </c>
      <c r="Q11" s="14" t="str">
        <f>$A$11</f>
        <v>Maury</v>
      </c>
      <c r="R11" s="81" t="n">
        <v>0.0</v>
      </c>
      <c r="S11" s="81" t="n">
        <v>0.0</v>
      </c>
      <c r="T11" s="81" t="n">
        <v>0.0</v>
      </c>
      <c r="U11" s="81" t="n">
        <v>0.0</v>
      </c>
      <c r="V11" s="81" t="n">
        <v>0.0</v>
      </c>
      <c r="W11" s="15">
        <f si="2" t="shared"/>
        <v>0</v>
      </c>
    </row>
    <row r="12" spans="1:33" x14ac:dyDescent="0.45">
      <c r="A12" s="85" t="s">
        <v>29</v>
      </c>
      <c r="B12" s="15" t="n">
        <v>0.0</v>
      </c>
      <c r="C12" s="15" t="n">
        <v>0.0</v>
      </c>
      <c r="D12" s="15" t="n">
        <v>0.0</v>
      </c>
      <c r="E12" s="15" t="n">
        <v>0.0</v>
      </c>
      <c r="F12" s="15" t="n">
        <v>0.0</v>
      </c>
      <c r="G12" s="15">
        <f>SUM(B12:F12)</f>
        <v>0</v>
      </c>
      <c r="I12" s="14" t="str">
        <f>$A$12</f>
        <v>Wilson</v>
      </c>
      <c r="J12" s="91">
        <v>1446</v>
      </c>
      <c r="K12" s="91">
        <v>9247</v>
      </c>
      <c r="L12" s="91">
        <v>17595</v>
      </c>
      <c r="M12" s="91">
        <v>9265</v>
      </c>
      <c r="N12" s="91">
        <v>3668</v>
      </c>
      <c r="O12" s="15">
        <f>SUM(J12:N12)</f>
        <v>41221</v>
      </c>
      <c r="Q12" s="14" t="str">
        <f>$A$12</f>
        <v>Wilson</v>
      </c>
      <c r="R12" s="15" t="n">
        <v>0.0</v>
      </c>
      <c r="S12" s="15" t="n">
        <v>0.0</v>
      </c>
      <c r="T12" s="15" t="n">
        <v>0.0</v>
      </c>
      <c r="U12" s="15" t="n">
        <v>0.0</v>
      </c>
      <c r="V12" s="15" t="n">
        <v>0.0</v>
      </c>
      <c r="W12" s="15">
        <f si="2" t="shared"/>
        <v>0</v>
      </c>
    </row>
    <row ht="14.65" r="13" spans="1:33" thickBot="1" x14ac:dyDescent="0.5">
      <c r="A13" s="7" t="s">
        <v>3</v>
      </c>
      <c r="B13" s="8">
        <f>SUM(B6:B12)</f>
        <v>15000</v>
      </c>
      <c r="C13" s="8">
        <f ref="C13:G13" si="3" t="shared">SUM(C6:C12)</f>
        <v>512000</v>
      </c>
      <c r="D13" s="8">
        <f si="3" t="shared"/>
        <v>565000</v>
      </c>
      <c r="E13" s="8">
        <f si="3" t="shared"/>
        <v>224000</v>
      </c>
      <c r="F13" s="8">
        <f si="3" t="shared"/>
        <v>124000</v>
      </c>
      <c r="G13" s="8">
        <f si="3" t="shared"/>
        <v>1440000</v>
      </c>
      <c r="I13" s="7" t="str">
        <f>$A$13</f>
        <v>Total</v>
      </c>
      <c r="J13" s="8">
        <f>SUM(J6:J12)</f>
        <v>29585</v>
      </c>
      <c r="K13" s="8">
        <f ref="K13:O13" si="4" t="shared">SUM(K6:K12)</f>
        <v>182415</v>
      </c>
      <c r="L13" s="8">
        <f si="4" t="shared"/>
        <v>227219</v>
      </c>
      <c r="M13" s="8">
        <f si="4" t="shared"/>
        <v>89297</v>
      </c>
      <c r="N13" s="8">
        <f si="4" t="shared"/>
        <v>35074</v>
      </c>
      <c r="O13" s="8">
        <f si="4" t="shared"/>
        <v>563590</v>
      </c>
      <c r="Q13" s="7" t="str">
        <f>$A$13</f>
        <v>Total</v>
      </c>
      <c r="R13" s="8">
        <f>SUM(R6:R12)</f>
        <v>15000</v>
      </c>
      <c r="S13" s="8">
        <f ref="S13:W13" si="5" t="shared">SUM(S6:S12)</f>
        <v>512000</v>
      </c>
      <c r="T13" s="8">
        <f si="5" t="shared"/>
        <v>565000</v>
      </c>
      <c r="U13" s="8">
        <f si="5" t="shared"/>
        <v>224000</v>
      </c>
      <c r="V13" s="8">
        <f si="5" t="shared"/>
        <v>124000</v>
      </c>
      <c r="W13" s="8">
        <f si="5" t="shared"/>
        <v>1440000</v>
      </c>
    </row>
    <row r="16" spans="1:33" x14ac:dyDescent="0.45">
      <c r="A16" s="1" t="s">
        <v>177</v>
      </c>
      <c r="I16" s="1" t="s">
        <v>169</v>
      </c>
      <c r="Q16" s="16" t="s">
        <v>171</v>
      </c>
      <c r="Y16" s="1" t="s">
        <v>18</v>
      </c>
      <c r="AG16" s="1" t="s">
        <v>13</v>
      </c>
    </row>
    <row ht="14.65" r="17" spans="1:39" thickBot="1" x14ac:dyDescent="0.5">
      <c r="A17" s="12"/>
      <c r="B17" s="10" t="s">
        <v>1</v>
      </c>
      <c r="C17" s="9"/>
      <c r="D17" s="9"/>
      <c r="E17" s="9"/>
      <c r="F17" s="9"/>
      <c r="G17" s="9"/>
      <c r="I17" s="12"/>
      <c r="J17" s="10" t="s">
        <v>1</v>
      </c>
      <c r="K17" s="9"/>
      <c r="L17" s="9"/>
      <c r="M17" s="9"/>
      <c r="N17" s="9"/>
      <c r="O17" s="9"/>
      <c r="Q17" s="12"/>
      <c r="R17" s="10" t="s">
        <v>1</v>
      </c>
      <c r="S17" s="9"/>
      <c r="T17" s="9"/>
      <c r="U17" s="9"/>
      <c r="V17" s="9"/>
      <c r="W17" s="9"/>
      <c r="Y17" s="12"/>
      <c r="Z17" s="10" t="s">
        <v>1</v>
      </c>
      <c r="AA17" s="9"/>
      <c r="AB17" s="9"/>
      <c r="AC17" s="9"/>
      <c r="AD17" s="9"/>
      <c r="AE17" s="9"/>
      <c r="AG17" s="12"/>
      <c r="AH17" s="10" t="s">
        <v>1</v>
      </c>
      <c r="AI17" s="9"/>
      <c r="AJ17" s="9"/>
      <c r="AK17" s="9"/>
      <c r="AL17" s="9"/>
      <c r="AM17" s="9"/>
    </row>
    <row r="18" spans="1:39" x14ac:dyDescent="0.45">
      <c r="A18" s="11" t="s">
        <v>9</v>
      </c>
      <c r="B18" s="2">
        <v>0</v>
      </c>
      <c r="C18" s="2">
        <v>1</v>
      </c>
      <c r="D18" s="2">
        <v>2</v>
      </c>
      <c r="E18" s="2">
        <v>3</v>
      </c>
      <c r="F18" s="2" t="s">
        <v>2</v>
      </c>
      <c r="G18" s="2" t="s">
        <v>3</v>
      </c>
      <c r="I18" s="11" t="s">
        <v>9</v>
      </c>
      <c r="J18" s="2">
        <v>0</v>
      </c>
      <c r="K18" s="2">
        <v>1</v>
      </c>
      <c r="L18" s="2">
        <v>2</v>
      </c>
      <c r="M18" s="2">
        <v>3</v>
      </c>
      <c r="N18" s="2" t="s">
        <v>2</v>
      </c>
      <c r="O18" s="2" t="s">
        <v>3</v>
      </c>
      <c r="Q18" s="11" t="s">
        <v>9</v>
      </c>
      <c r="R18" s="2">
        <v>0</v>
      </c>
      <c r="S18" s="2">
        <v>1</v>
      </c>
      <c r="T18" s="2">
        <v>2</v>
      </c>
      <c r="U18" s="2">
        <v>3</v>
      </c>
      <c r="V18" s="2" t="s">
        <v>2</v>
      </c>
      <c r="W18" s="2" t="s">
        <v>3</v>
      </c>
      <c r="Y18" s="11" t="s">
        <v>9</v>
      </c>
      <c r="Z18" s="2">
        <v>0</v>
      </c>
      <c r="AA18" s="2">
        <v>1</v>
      </c>
      <c r="AB18" s="2">
        <v>2</v>
      </c>
      <c r="AC18" s="2">
        <v>3</v>
      </c>
      <c r="AD18" s="2" t="s">
        <v>2</v>
      </c>
      <c r="AE18" s="2" t="s">
        <v>3</v>
      </c>
      <c r="AG18" s="11" t="s">
        <v>9</v>
      </c>
      <c r="AH18" s="2">
        <v>0</v>
      </c>
      <c r="AI18" s="2">
        <v>1</v>
      </c>
      <c r="AJ18" s="2">
        <v>2</v>
      </c>
      <c r="AK18" s="2">
        <v>3</v>
      </c>
      <c r="AL18" s="2" t="s">
        <v>2</v>
      </c>
      <c r="AM18" s="2" t="s">
        <v>3</v>
      </c>
    </row>
    <row r="19" spans="1:39" x14ac:dyDescent="0.45">
      <c r="A19" s="3" t="str">
        <f>$A$6</f>
        <v>Williamson</v>
      </c>
      <c r="B19" s="4">
        <f>($W6/$G6)*B6</f>
        <v>15000</v>
      </c>
      <c r="C19" s="4">
        <f ref="C19:G19" si="6" t="shared">($W6/$G6)*C6</f>
        <v>512000</v>
      </c>
      <c r="D19" s="4">
        <f si="6" t="shared"/>
        <v>565000</v>
      </c>
      <c r="E19" s="4">
        <f si="6" t="shared"/>
        <v>224000</v>
      </c>
      <c r="F19" s="4">
        <f si="6" t="shared"/>
        <v>124000</v>
      </c>
      <c r="G19" s="4">
        <f si="6" t="shared"/>
        <v>1440000</v>
      </c>
      <c r="I19" s="3" t="str">
        <f>$A$6</f>
        <v>Williamson</v>
      </c>
      <c r="J19" s="4">
        <f>($W6/$O6)*J6</f>
        <v>30293.722403532345</v>
      </c>
      <c r="K19" s="4">
        <f ref="K19:O19" si="7" t="shared">($W6/$O6)*K6</f>
        <v>293676.32942983299</v>
      </c>
      <c r="L19" s="4">
        <f si="7" t="shared"/>
        <v>709149.54885774618</v>
      </c>
      <c r="M19" s="4">
        <f si="7" t="shared"/>
        <v>299988.48147437128</v>
      </c>
      <c r="N19" s="4">
        <f si="7" t="shared"/>
        <v>106891.91783451717</v>
      </c>
      <c r="O19" s="4">
        <f si="7" t="shared"/>
        <v>1440000</v>
      </c>
      <c r="Q19" s="3" t="str">
        <f>$A$6</f>
        <v>Williamson</v>
      </c>
      <c r="R19" s="4">
        <f>R6</f>
        <v>15000</v>
      </c>
      <c r="S19" s="4">
        <f ref="S19:V19" si="8" t="shared">S6</f>
        <v>512000</v>
      </c>
      <c r="T19" s="4">
        <f si="8" t="shared"/>
        <v>565000</v>
      </c>
      <c r="U19" s="4">
        <f si="8" t="shared"/>
        <v>224000</v>
      </c>
      <c r="V19" s="4">
        <f si="8" t="shared"/>
        <v>124000</v>
      </c>
      <c r="W19" s="4">
        <f>SUM(R19:V19)</f>
        <v>1440000</v>
      </c>
      <c r="Y19" s="3" t="str">
        <f>$A$6</f>
        <v>Williamson</v>
      </c>
      <c r="Z19" s="4">
        <f>R19-B19</f>
        <v>0</v>
      </c>
      <c r="AA19" s="4">
        <f ref="AA19:AE26" si="9" t="shared">S19-C19</f>
        <v>0</v>
      </c>
      <c r="AB19" s="4">
        <f si="9" t="shared"/>
        <v>0</v>
      </c>
      <c r="AC19" s="4">
        <f si="9" t="shared"/>
        <v>0</v>
      </c>
      <c r="AD19" s="4">
        <f si="9" t="shared"/>
        <v>0</v>
      </c>
      <c r="AE19" s="4">
        <f si="9" t="shared"/>
        <v>0</v>
      </c>
      <c r="AG19" s="3" t="str">
        <f>$A$6</f>
        <v>Williamson</v>
      </c>
      <c r="AH19" s="17">
        <f>(R6-B19)/B19</f>
        <v>0</v>
      </c>
      <c r="AI19" s="17">
        <f ref="AI19:AM19" si="10" t="shared">(S6-C19)/C19</f>
        <v>0</v>
      </c>
      <c r="AJ19" s="17">
        <f si="10" t="shared"/>
        <v>0</v>
      </c>
      <c r="AK19" s="17">
        <f si="10" t="shared"/>
        <v>0</v>
      </c>
      <c r="AL19" s="17">
        <f si="10" t="shared"/>
        <v>0</v>
      </c>
      <c r="AM19" s="17">
        <f si="10" t="shared"/>
        <v>0</v>
      </c>
    </row>
    <row r="20" spans="1:39" x14ac:dyDescent="0.45">
      <c r="A20" s="3" t="str">
        <f>$A$7</f>
        <v>Rutherford</v>
      </c>
      <c r="B20" s="4" t="e">
        <f>($W7/$G7)*B7</f>
        <v>#DIV/0!</v>
      </c>
      <c r="C20" s="4" t="e">
        <f ref="C20:G20" si="11" t="shared">($W7/$G7)*C7</f>
        <v>#DIV/0!</v>
      </c>
      <c r="D20" s="4" t="e">
        <f si="11" t="shared"/>
        <v>#DIV/0!</v>
      </c>
      <c r="E20" s="4" t="e">
        <f si="11" t="shared"/>
        <v>#DIV/0!</v>
      </c>
      <c r="F20" s="4" t="e">
        <f si="11" t="shared"/>
        <v>#DIV/0!</v>
      </c>
      <c r="G20" s="4" t="e">
        <f si="11" t="shared"/>
        <v>#DIV/0!</v>
      </c>
      <c r="I20" s="3" t="str">
        <f>$A$7</f>
        <v>Rutherford</v>
      </c>
      <c r="J20" s="4">
        <f ref="J20:O20" si="12" t="shared">($W7/$O7)*J7</f>
        <v>0</v>
      </c>
      <c r="K20" s="4">
        <f si="12" t="shared"/>
        <v>0</v>
      </c>
      <c r="L20" s="4">
        <f si="12" t="shared"/>
        <v>0</v>
      </c>
      <c r="M20" s="4">
        <f si="12" t="shared"/>
        <v>0</v>
      </c>
      <c r="N20" s="4">
        <f si="12" t="shared"/>
        <v>0</v>
      </c>
      <c r="O20" s="4">
        <f si="12" t="shared"/>
        <v>0</v>
      </c>
      <c r="Q20" s="3" t="str">
        <f>$A$7</f>
        <v>Rutherford</v>
      </c>
      <c r="R20" s="4">
        <f ref="R20:V20" si="13" t="shared">R7</f>
        <v>0</v>
      </c>
      <c r="S20" s="4">
        <f si="13" t="shared"/>
        <v>0</v>
      </c>
      <c r="T20" s="4">
        <f si="13" t="shared"/>
        <v>0</v>
      </c>
      <c r="U20" s="4">
        <f si="13" t="shared"/>
        <v>0</v>
      </c>
      <c r="V20" s="4">
        <f si="13" t="shared"/>
        <v>0</v>
      </c>
      <c r="W20" s="4">
        <f ref="W20:W25" si="14" t="shared">SUM(R20:V20)</f>
        <v>0</v>
      </c>
      <c r="Y20" s="3" t="str">
        <f>$A$7</f>
        <v>Rutherford</v>
      </c>
      <c r="Z20" s="4" t="e">
        <f ref="Z20:Z26" si="15" t="shared">R20-B20</f>
        <v>#DIV/0!</v>
      </c>
      <c r="AA20" s="4" t="e">
        <f si="9" t="shared"/>
        <v>#DIV/0!</v>
      </c>
      <c r="AB20" s="4" t="e">
        <f si="9" t="shared"/>
        <v>#DIV/0!</v>
      </c>
      <c r="AC20" s="4" t="e">
        <f si="9" t="shared"/>
        <v>#DIV/0!</v>
      </c>
      <c r="AD20" s="4" t="e">
        <f si="9" t="shared"/>
        <v>#DIV/0!</v>
      </c>
      <c r="AE20" s="4" t="e">
        <f si="9" t="shared"/>
        <v>#DIV/0!</v>
      </c>
      <c r="AG20" s="3" t="str">
        <f>$A$7</f>
        <v>Rutherford</v>
      </c>
      <c r="AH20" s="17" t="e">
        <f ref="AH20:AH26" si="16" t="shared">(R7-B20)/B20</f>
        <v>#DIV/0!</v>
      </c>
      <c r="AI20" s="17" t="e">
        <f ref="AI20:AI26" si="17" t="shared">(S7-C20)/C20</f>
        <v>#DIV/0!</v>
      </c>
      <c r="AJ20" s="17" t="e">
        <f ref="AJ20:AJ26" si="18" t="shared">(T7-D20)/D20</f>
        <v>#DIV/0!</v>
      </c>
      <c r="AK20" s="17" t="e">
        <f ref="AK20:AK26" si="19" t="shared">(U7-E20)/E20</f>
        <v>#DIV/0!</v>
      </c>
      <c r="AL20" s="17" t="e">
        <f ref="AL20:AL26" si="20" t="shared">(V7-F20)/F20</f>
        <v>#DIV/0!</v>
      </c>
      <c r="AM20" s="17" t="e">
        <f ref="AM20:AM26" si="21" t="shared">(W7-G20)/G20</f>
        <v>#DIV/0!</v>
      </c>
    </row>
    <row r="21" spans="1:39" x14ac:dyDescent="0.45">
      <c r="A21" s="3" t="str">
        <f>$A$8</f>
        <v>Sumner</v>
      </c>
      <c r="B21" s="4" t="e">
        <f ref="B21:F21" si="22" t="shared">($W8/$G8)*B8</f>
        <v>#DIV/0!</v>
      </c>
      <c r="C21" s="4" t="e">
        <f si="22" t="shared"/>
        <v>#DIV/0!</v>
      </c>
      <c r="D21" s="4" t="e">
        <f si="22" t="shared"/>
        <v>#DIV/0!</v>
      </c>
      <c r="E21" s="4" t="e">
        <f si="22" t="shared"/>
        <v>#DIV/0!</v>
      </c>
      <c r="F21" s="4" t="e">
        <f si="22" t="shared"/>
        <v>#DIV/0!</v>
      </c>
      <c r="G21" s="4" t="e">
        <f ref="G21" si="23" t="shared">($W8/$G8)*G8</f>
        <v>#DIV/0!</v>
      </c>
      <c r="I21" s="3" t="str">
        <f>$A$8</f>
        <v>Sumner</v>
      </c>
      <c r="J21" s="4">
        <f ref="J21:O21" si="24" t="shared">($W8/$O8)*J8</f>
        <v>0</v>
      </c>
      <c r="K21" s="4">
        <f si="24" t="shared"/>
        <v>0</v>
      </c>
      <c r="L21" s="4">
        <f si="24" t="shared"/>
        <v>0</v>
      </c>
      <c r="M21" s="4">
        <f si="24" t="shared"/>
        <v>0</v>
      </c>
      <c r="N21" s="4">
        <f si="24" t="shared"/>
        <v>0</v>
      </c>
      <c r="O21" s="4">
        <f si="24" t="shared"/>
        <v>0</v>
      </c>
      <c r="Q21" s="3" t="str">
        <f>$A$8</f>
        <v>Sumner</v>
      </c>
      <c r="R21" s="4">
        <f ref="R21:V21" si="25" t="shared">R8</f>
        <v>0</v>
      </c>
      <c r="S21" s="4">
        <f si="25" t="shared"/>
        <v>0</v>
      </c>
      <c r="T21" s="4">
        <f si="25" t="shared"/>
        <v>0</v>
      </c>
      <c r="U21" s="4">
        <f si="25" t="shared"/>
        <v>0</v>
      </c>
      <c r="V21" s="4">
        <f si="25" t="shared"/>
        <v>0</v>
      </c>
      <c r="W21" s="4">
        <f si="14" t="shared"/>
        <v>0</v>
      </c>
      <c r="Y21" s="3" t="str">
        <f>$A$8</f>
        <v>Sumner</v>
      </c>
      <c r="Z21" s="4" t="e">
        <f si="15" t="shared"/>
        <v>#DIV/0!</v>
      </c>
      <c r="AA21" s="4" t="e">
        <f si="9" t="shared"/>
        <v>#DIV/0!</v>
      </c>
      <c r="AB21" s="4" t="e">
        <f si="9" t="shared"/>
        <v>#DIV/0!</v>
      </c>
      <c r="AC21" s="4" t="e">
        <f si="9" t="shared"/>
        <v>#DIV/0!</v>
      </c>
      <c r="AD21" s="4" t="e">
        <f si="9" t="shared"/>
        <v>#DIV/0!</v>
      </c>
      <c r="AE21" s="4" t="e">
        <f si="9" t="shared"/>
        <v>#DIV/0!</v>
      </c>
      <c r="AG21" s="3" t="str">
        <f>$A$8</f>
        <v>Sumner</v>
      </c>
      <c r="AH21" s="17" t="e">
        <f si="16" t="shared"/>
        <v>#DIV/0!</v>
      </c>
      <c r="AI21" s="17" t="e">
        <f si="17" t="shared"/>
        <v>#DIV/0!</v>
      </c>
      <c r="AJ21" s="17" t="e">
        <f si="18" t="shared"/>
        <v>#DIV/0!</v>
      </c>
      <c r="AK21" s="17" t="e">
        <f si="19" t="shared"/>
        <v>#DIV/0!</v>
      </c>
      <c r="AL21" s="17" t="e">
        <f si="20" t="shared"/>
        <v>#DIV/0!</v>
      </c>
      <c r="AM21" s="17" t="e">
        <f si="21" t="shared"/>
        <v>#DIV/0!</v>
      </c>
    </row>
    <row r="22" spans="1:39" x14ac:dyDescent="0.45">
      <c r="A22" s="3" t="str">
        <f>$A$9</f>
        <v>Roberston</v>
      </c>
      <c r="B22" s="4" t="e">
        <f ref="B22:G22" si="26" t="shared">($W9/$G9)*B9</f>
        <v>#DIV/0!</v>
      </c>
      <c r="C22" s="4" t="e">
        <f si="26" t="shared"/>
        <v>#DIV/0!</v>
      </c>
      <c r="D22" s="4" t="e">
        <f si="26" t="shared"/>
        <v>#DIV/0!</v>
      </c>
      <c r="E22" s="4" t="e">
        <f si="26" t="shared"/>
        <v>#DIV/0!</v>
      </c>
      <c r="F22" s="4" t="e">
        <f si="26" t="shared"/>
        <v>#DIV/0!</v>
      </c>
      <c r="G22" s="4" t="e">
        <f si="26" t="shared"/>
        <v>#DIV/0!</v>
      </c>
      <c r="I22" s="3" t="str">
        <f>$A$9</f>
        <v>Roberston</v>
      </c>
      <c r="J22" s="4">
        <f ref="J22:O22" si="27" t="shared">($W9/$O9)*J9</f>
        <v>0</v>
      </c>
      <c r="K22" s="4">
        <f si="27" t="shared"/>
        <v>0</v>
      </c>
      <c r="L22" s="4">
        <f si="27" t="shared"/>
        <v>0</v>
      </c>
      <c r="M22" s="4">
        <f si="27" t="shared"/>
        <v>0</v>
      </c>
      <c r="N22" s="4">
        <f si="27" t="shared"/>
        <v>0</v>
      </c>
      <c r="O22" s="4">
        <f si="27" t="shared"/>
        <v>0</v>
      </c>
      <c r="Q22" s="3" t="str">
        <f>$A$9</f>
        <v>Roberston</v>
      </c>
      <c r="R22" s="4">
        <f ref="R22:V22" si="28" t="shared">R9</f>
        <v>0</v>
      </c>
      <c r="S22" s="4">
        <f si="28" t="shared"/>
        <v>0</v>
      </c>
      <c r="T22" s="4">
        <f si="28" t="shared"/>
        <v>0</v>
      </c>
      <c r="U22" s="4">
        <f si="28" t="shared"/>
        <v>0</v>
      </c>
      <c r="V22" s="4">
        <f si="28" t="shared"/>
        <v>0</v>
      </c>
      <c r="W22" s="4">
        <f si="14" t="shared"/>
        <v>0</v>
      </c>
      <c r="Y22" s="3" t="str">
        <f>$A$9</f>
        <v>Roberston</v>
      </c>
      <c r="Z22" s="4" t="e">
        <f si="15" t="shared"/>
        <v>#DIV/0!</v>
      </c>
      <c r="AA22" s="4" t="e">
        <f si="9" t="shared"/>
        <v>#DIV/0!</v>
      </c>
      <c r="AB22" s="4" t="e">
        <f si="9" t="shared"/>
        <v>#DIV/0!</v>
      </c>
      <c r="AC22" s="4" t="e">
        <f si="9" t="shared"/>
        <v>#DIV/0!</v>
      </c>
      <c r="AD22" s="4" t="e">
        <f si="9" t="shared"/>
        <v>#DIV/0!</v>
      </c>
      <c r="AE22" s="4" t="e">
        <f si="9" t="shared"/>
        <v>#DIV/0!</v>
      </c>
      <c r="AG22" s="3" t="str">
        <f>$A$9</f>
        <v>Roberston</v>
      </c>
      <c r="AH22" s="17" t="e">
        <f si="16" t="shared"/>
        <v>#DIV/0!</v>
      </c>
      <c r="AI22" s="17" t="e">
        <f si="17" t="shared"/>
        <v>#DIV/0!</v>
      </c>
      <c r="AJ22" s="17" t="e">
        <f si="18" t="shared"/>
        <v>#DIV/0!</v>
      </c>
      <c r="AK22" s="17" t="e">
        <f si="19" t="shared"/>
        <v>#DIV/0!</v>
      </c>
      <c r="AL22" s="17" t="e">
        <f si="20" t="shared"/>
        <v>#DIV/0!</v>
      </c>
      <c r="AM22" s="17" t="e">
        <f si="21" t="shared"/>
        <v>#DIV/0!</v>
      </c>
    </row>
    <row r="23" spans="1:39" x14ac:dyDescent="0.45">
      <c r="A23" s="14" t="str">
        <f>$A$10</f>
        <v>Davidson</v>
      </c>
      <c r="B23" s="15" t="e">
        <f ref="B23:G23" si="29" t="shared">($W10/$G10)*B10</f>
        <v>#DIV/0!</v>
      </c>
      <c r="C23" s="15" t="e">
        <f si="29" t="shared"/>
        <v>#DIV/0!</v>
      </c>
      <c r="D23" s="15" t="e">
        <f si="29" t="shared"/>
        <v>#DIV/0!</v>
      </c>
      <c r="E23" s="15" t="e">
        <f si="29" t="shared"/>
        <v>#DIV/0!</v>
      </c>
      <c r="F23" s="15" t="e">
        <f si="29" t="shared"/>
        <v>#DIV/0!</v>
      </c>
      <c r="G23" s="15" t="e">
        <f si="29" t="shared"/>
        <v>#DIV/0!</v>
      </c>
      <c r="I23" s="3" t="str">
        <f>$A$10</f>
        <v>Davidson</v>
      </c>
      <c r="J23" s="4">
        <f ref="J23:O23" si="30" t="shared">($W10/$O10)*J10</f>
        <v>0</v>
      </c>
      <c r="K23" s="4">
        <f si="30" t="shared"/>
        <v>0</v>
      </c>
      <c r="L23" s="4">
        <f si="30" t="shared"/>
        <v>0</v>
      </c>
      <c r="M23" s="4">
        <f si="30" t="shared"/>
        <v>0</v>
      </c>
      <c r="N23" s="4">
        <f si="30" t="shared"/>
        <v>0</v>
      </c>
      <c r="O23" s="4">
        <f si="30" t="shared"/>
        <v>0</v>
      </c>
      <c r="Q23" s="3" t="str">
        <f>$A$10</f>
        <v>Davidson</v>
      </c>
      <c r="R23" s="4">
        <f ref="R23:V23" si="31" t="shared">R10</f>
        <v>0</v>
      </c>
      <c r="S23" s="4">
        <f si="31" t="shared"/>
        <v>0</v>
      </c>
      <c r="T23" s="4">
        <f si="31" t="shared"/>
        <v>0</v>
      </c>
      <c r="U23" s="4">
        <f si="31" t="shared"/>
        <v>0</v>
      </c>
      <c r="V23" s="4">
        <f si="31" t="shared"/>
        <v>0</v>
      </c>
      <c r="W23" s="4">
        <f si="14" t="shared"/>
        <v>0</v>
      </c>
      <c r="Y23" s="3" t="str">
        <f>$A$10</f>
        <v>Davidson</v>
      </c>
      <c r="Z23" s="4" t="e">
        <f si="15" t="shared"/>
        <v>#DIV/0!</v>
      </c>
      <c r="AA23" s="4" t="e">
        <f si="9" t="shared"/>
        <v>#DIV/0!</v>
      </c>
      <c r="AB23" s="4" t="e">
        <f si="9" t="shared"/>
        <v>#DIV/0!</v>
      </c>
      <c r="AC23" s="4" t="e">
        <f si="9" t="shared"/>
        <v>#DIV/0!</v>
      </c>
      <c r="AD23" s="4" t="e">
        <f si="9" t="shared"/>
        <v>#DIV/0!</v>
      </c>
      <c r="AE23" s="4" t="e">
        <f si="9" t="shared"/>
        <v>#DIV/0!</v>
      </c>
      <c r="AG23" s="3" t="str">
        <f>$A$10</f>
        <v>Davidson</v>
      </c>
      <c r="AH23" s="17" t="e">
        <f si="16" t="shared"/>
        <v>#DIV/0!</v>
      </c>
      <c r="AI23" s="17" t="e">
        <f si="17" t="shared"/>
        <v>#DIV/0!</v>
      </c>
      <c r="AJ23" s="17" t="e">
        <f si="18" t="shared"/>
        <v>#DIV/0!</v>
      </c>
      <c r="AK23" s="17" t="e">
        <f si="19" t="shared"/>
        <v>#DIV/0!</v>
      </c>
      <c r="AL23" s="17" t="e">
        <f si="20" t="shared"/>
        <v>#DIV/0!</v>
      </c>
      <c r="AM23" s="17" t="e">
        <f si="21" t="shared"/>
        <v>#DIV/0!</v>
      </c>
    </row>
    <row r="24" spans="1:39" x14ac:dyDescent="0.45">
      <c r="A24" s="14" t="str">
        <f>$A$11</f>
        <v>Maury</v>
      </c>
      <c r="B24" s="15" t="e">
        <f ref="B24:G24" si="32" t="shared">($W11/$G11)*B11</f>
        <v>#DIV/0!</v>
      </c>
      <c r="C24" s="15" t="e">
        <f si="32" t="shared"/>
        <v>#DIV/0!</v>
      </c>
      <c r="D24" s="15" t="e">
        <f si="32" t="shared"/>
        <v>#DIV/0!</v>
      </c>
      <c r="E24" s="15" t="e">
        <f si="32" t="shared"/>
        <v>#DIV/0!</v>
      </c>
      <c r="F24" s="15" t="e">
        <f si="32" t="shared"/>
        <v>#DIV/0!</v>
      </c>
      <c r="G24" s="15" t="e">
        <f si="32" t="shared"/>
        <v>#DIV/0!</v>
      </c>
      <c r="I24" s="14" t="str">
        <f>$A$11</f>
        <v>Maury</v>
      </c>
      <c r="J24" s="15">
        <f ref="J24:O24" si="33" t="shared">($W11/$O11)*J11</f>
        <v>0</v>
      </c>
      <c r="K24" s="15">
        <f si="33" t="shared"/>
        <v>0</v>
      </c>
      <c r="L24" s="15">
        <f si="33" t="shared"/>
        <v>0</v>
      </c>
      <c r="M24" s="15">
        <f si="33" t="shared"/>
        <v>0</v>
      </c>
      <c r="N24" s="15">
        <f si="33" t="shared"/>
        <v>0</v>
      </c>
      <c r="O24" s="15">
        <f si="33" t="shared"/>
        <v>0</v>
      </c>
      <c r="Q24" s="14" t="str">
        <f>$A$11</f>
        <v>Maury</v>
      </c>
      <c r="R24" s="15">
        <f ref="R24:V25" si="34" t="shared">R11</f>
        <v>0</v>
      </c>
      <c r="S24" s="15">
        <f si="34" t="shared"/>
        <v>0</v>
      </c>
      <c r="T24" s="15">
        <f si="34" t="shared"/>
        <v>0</v>
      </c>
      <c r="U24" s="15">
        <f si="34" t="shared"/>
        <v>0</v>
      </c>
      <c r="V24" s="15">
        <f si="34" t="shared"/>
        <v>0</v>
      </c>
      <c r="W24" s="15">
        <f si="14" t="shared"/>
        <v>0</v>
      </c>
      <c r="Y24" s="14" t="str">
        <f>$A$11</f>
        <v>Maury</v>
      </c>
      <c r="Z24" s="4" t="e">
        <f si="15" t="shared"/>
        <v>#DIV/0!</v>
      </c>
      <c r="AA24" s="4" t="e">
        <f si="9" t="shared"/>
        <v>#DIV/0!</v>
      </c>
      <c r="AB24" s="4" t="e">
        <f si="9" t="shared"/>
        <v>#DIV/0!</v>
      </c>
      <c r="AC24" s="4" t="e">
        <f si="9" t="shared"/>
        <v>#DIV/0!</v>
      </c>
      <c r="AD24" s="4" t="e">
        <f si="9" t="shared"/>
        <v>#DIV/0!</v>
      </c>
      <c r="AE24" s="4" t="e">
        <f si="9" t="shared"/>
        <v>#DIV/0!</v>
      </c>
      <c r="AG24" s="14" t="str">
        <f>$A$11</f>
        <v>Maury</v>
      </c>
      <c r="AH24" s="17" t="e">
        <f si="16" t="shared"/>
        <v>#DIV/0!</v>
      </c>
      <c r="AI24" s="17" t="e">
        <f si="17" t="shared"/>
        <v>#DIV/0!</v>
      </c>
      <c r="AJ24" s="17" t="e">
        <f si="18" t="shared"/>
        <v>#DIV/0!</v>
      </c>
      <c r="AK24" s="17" t="e">
        <f si="19" t="shared"/>
        <v>#DIV/0!</v>
      </c>
      <c r="AL24" s="17" t="e">
        <f si="20" t="shared"/>
        <v>#DIV/0!</v>
      </c>
      <c r="AM24" s="17" t="e">
        <f si="21" t="shared"/>
        <v>#DIV/0!</v>
      </c>
    </row>
    <row r="25" spans="1:39" x14ac:dyDescent="0.45">
      <c r="A25" s="14" t="str">
        <f>$A$12</f>
        <v>Wilson</v>
      </c>
      <c r="B25" s="15" t="e">
        <f ref="B25:G26" si="35" t="shared">($W12/$G12)*B12</f>
        <v>#DIV/0!</v>
      </c>
      <c r="C25" s="15" t="e">
        <f si="35" t="shared"/>
        <v>#DIV/0!</v>
      </c>
      <c r="D25" s="15" t="e">
        <f si="35" t="shared"/>
        <v>#DIV/0!</v>
      </c>
      <c r="E25" s="15" t="e">
        <f si="35" t="shared"/>
        <v>#DIV/0!</v>
      </c>
      <c r="F25" s="15" t="e">
        <f si="35" t="shared"/>
        <v>#DIV/0!</v>
      </c>
      <c r="G25" s="15" t="e">
        <f si="35" t="shared"/>
        <v>#DIV/0!</v>
      </c>
      <c r="I25" s="14" t="str">
        <f>$A$12</f>
        <v>Wilson</v>
      </c>
      <c r="J25" s="15">
        <f ref="J25:O26" si="36" t="shared">($W12/$O12)*J12</f>
        <v>0</v>
      </c>
      <c r="K25" s="15">
        <f si="36" t="shared"/>
        <v>0</v>
      </c>
      <c r="L25" s="15">
        <f si="36" t="shared"/>
        <v>0</v>
      </c>
      <c r="M25" s="15">
        <f si="36" t="shared"/>
        <v>0</v>
      </c>
      <c r="N25" s="15">
        <f si="36" t="shared"/>
        <v>0</v>
      </c>
      <c r="O25" s="15">
        <f si="36" t="shared"/>
        <v>0</v>
      </c>
      <c r="Q25" s="14" t="str">
        <f>$A$12</f>
        <v>Wilson</v>
      </c>
      <c r="R25" s="15">
        <f si="34" t="shared"/>
        <v>0</v>
      </c>
      <c r="S25" s="15">
        <f si="34" t="shared"/>
        <v>0</v>
      </c>
      <c r="T25" s="15">
        <f si="34" t="shared"/>
        <v>0</v>
      </c>
      <c r="U25" s="15">
        <f si="34" t="shared"/>
        <v>0</v>
      </c>
      <c r="V25" s="15">
        <f si="34" t="shared"/>
        <v>0</v>
      </c>
      <c r="W25" s="15">
        <f si="14" t="shared"/>
        <v>0</v>
      </c>
      <c r="Y25" s="14" t="str">
        <f>$A$12</f>
        <v>Wilson</v>
      </c>
      <c r="Z25" s="4" t="e">
        <f si="15" t="shared"/>
        <v>#DIV/0!</v>
      </c>
      <c r="AA25" s="4" t="e">
        <f si="9" t="shared"/>
        <v>#DIV/0!</v>
      </c>
      <c r="AB25" s="4" t="e">
        <f si="9" t="shared"/>
        <v>#DIV/0!</v>
      </c>
      <c r="AC25" s="4" t="e">
        <f si="9" t="shared"/>
        <v>#DIV/0!</v>
      </c>
      <c r="AD25" s="4" t="e">
        <f si="9" t="shared"/>
        <v>#DIV/0!</v>
      </c>
      <c r="AE25" s="4" t="e">
        <f si="9" t="shared"/>
        <v>#DIV/0!</v>
      </c>
      <c r="AG25" s="14" t="str">
        <f>$A$12</f>
        <v>Wilson</v>
      </c>
      <c r="AH25" s="17" t="e">
        <f si="16" t="shared"/>
        <v>#DIV/0!</v>
      </c>
      <c r="AI25" s="17" t="e">
        <f si="17" t="shared"/>
        <v>#DIV/0!</v>
      </c>
      <c r="AJ25" s="17" t="e">
        <f si="18" t="shared"/>
        <v>#DIV/0!</v>
      </c>
      <c r="AK25" s="17" t="e">
        <f si="19" t="shared"/>
        <v>#DIV/0!</v>
      </c>
      <c r="AL25" s="17" t="e">
        <f si="20" t="shared"/>
        <v>#DIV/0!</v>
      </c>
      <c r="AM25" s="17" t="e">
        <f si="21" t="shared"/>
        <v>#DIV/0!</v>
      </c>
    </row>
    <row ht="14.65" r="26" spans="1:39" thickBot="1" x14ac:dyDescent="0.5">
      <c r="A26" s="7" t="str">
        <f>$A$13</f>
        <v>Total</v>
      </c>
      <c r="B26" s="8">
        <f si="35" t="shared"/>
        <v>15000</v>
      </c>
      <c r="C26" s="8">
        <f si="35" t="shared"/>
        <v>512000</v>
      </c>
      <c r="D26" s="8">
        <f si="35" t="shared"/>
        <v>565000</v>
      </c>
      <c r="E26" s="8">
        <f si="35" t="shared"/>
        <v>224000</v>
      </c>
      <c r="F26" s="8">
        <f si="35" t="shared"/>
        <v>124000</v>
      </c>
      <c r="G26" s="8">
        <f si="35" t="shared"/>
        <v>1440000</v>
      </c>
      <c r="I26" s="7" t="str">
        <f>$A$13</f>
        <v>Total</v>
      </c>
      <c r="J26" s="8">
        <f si="36" t="shared"/>
        <v>75591.121205131392</v>
      </c>
      <c r="K26" s="8">
        <f si="36" t="shared"/>
        <v>466079.24200216471</v>
      </c>
      <c r="L26" s="8">
        <f si="36" t="shared"/>
        <v>580555.6521584841</v>
      </c>
      <c r="M26" s="8">
        <f si="36" t="shared"/>
        <v>228158.20011000906</v>
      </c>
      <c r="N26" s="8">
        <f si="36" t="shared"/>
        <v>89615.784524210874</v>
      </c>
      <c r="O26" s="8">
        <f si="36" t="shared"/>
        <v>1440000</v>
      </c>
      <c r="Q26" s="7" t="str">
        <f>$A$13</f>
        <v>Total</v>
      </c>
      <c r="R26" s="8">
        <f>SUM(R19:R25)</f>
        <v>15000</v>
      </c>
      <c r="S26" s="8">
        <f ref="S26:W26" si="37" t="shared">SUM(S19:S25)</f>
        <v>512000</v>
      </c>
      <c r="T26" s="8">
        <f si="37" t="shared"/>
        <v>565000</v>
      </c>
      <c r="U26" s="8">
        <f si="37" t="shared"/>
        <v>224000</v>
      </c>
      <c r="V26" s="8">
        <f si="37" t="shared"/>
        <v>124000</v>
      </c>
      <c r="W26" s="8">
        <f si="37" t="shared"/>
        <v>1440000</v>
      </c>
      <c r="Y26" s="7" t="str">
        <f>$A$13</f>
        <v>Total</v>
      </c>
      <c r="Z26" s="4">
        <f si="15" t="shared"/>
        <v>0</v>
      </c>
      <c r="AA26" s="4">
        <f si="9" t="shared"/>
        <v>0</v>
      </c>
      <c r="AB26" s="4">
        <f si="9" t="shared"/>
        <v>0</v>
      </c>
      <c r="AC26" s="4">
        <f si="9" t="shared"/>
        <v>0</v>
      </c>
      <c r="AD26" s="4">
        <f si="9" t="shared"/>
        <v>0</v>
      </c>
      <c r="AE26" s="4">
        <f si="9" t="shared"/>
        <v>0</v>
      </c>
      <c r="AG26" s="7" t="str">
        <f>$A$13</f>
        <v>Total</v>
      </c>
      <c r="AH26" s="17">
        <f si="16" t="shared"/>
        <v>0</v>
      </c>
      <c r="AI26" s="17">
        <f si="17" t="shared"/>
        <v>0</v>
      </c>
      <c r="AJ26" s="17">
        <f si="18" t="shared"/>
        <v>0</v>
      </c>
      <c r="AK26" s="17">
        <f si="19" t="shared"/>
        <v>0</v>
      </c>
      <c r="AL26" s="17">
        <f si="20" t="shared"/>
        <v>0</v>
      </c>
      <c r="AM26" s="17">
        <f si="21" t="shared"/>
        <v>0</v>
      </c>
    </row>
    <row r="27" spans="1:39" x14ac:dyDescent="0.45">
      <c r="Q27" s="14"/>
      <c r="R27" s="15"/>
      <c r="S27" s="15"/>
      <c r="T27" s="15"/>
      <c r="U27" s="15"/>
      <c r="V27" s="15"/>
      <c r="W27" s="15"/>
    </row>
    <row r="29" spans="1:39" x14ac:dyDescent="0.45">
      <c r="A29" s="1" t="s">
        <v>177</v>
      </c>
      <c r="I29" s="1" t="s">
        <v>169</v>
      </c>
      <c r="Q29" s="16" t="s">
        <v>171</v>
      </c>
    </row>
    <row ht="14.65" r="30" spans="1:39" thickBot="1" x14ac:dyDescent="0.5">
      <c r="A30" s="12"/>
      <c r="B30" s="10" t="s">
        <v>1</v>
      </c>
      <c r="C30" s="9"/>
      <c r="D30" s="9"/>
      <c r="E30" s="9"/>
      <c r="F30" s="9"/>
      <c r="G30" s="9"/>
      <c r="I30" s="12"/>
      <c r="J30" s="10" t="s">
        <v>1</v>
      </c>
      <c r="K30" s="9"/>
      <c r="L30" s="9"/>
      <c r="M30" s="9"/>
      <c r="N30" s="9"/>
      <c r="O30" s="9"/>
      <c r="Q30" s="12"/>
      <c r="R30" s="10" t="s">
        <v>1</v>
      </c>
      <c r="S30" s="9"/>
      <c r="T30" s="9"/>
      <c r="U30" s="9"/>
      <c r="V30" s="9"/>
      <c r="W30" s="9"/>
    </row>
    <row r="31" spans="1:39" x14ac:dyDescent="0.45">
      <c r="A31" s="11" t="s">
        <v>9</v>
      </c>
      <c r="B31" s="2">
        <v>0</v>
      </c>
      <c r="C31" s="2">
        <v>1</v>
      </c>
      <c r="D31" s="2">
        <v>2</v>
      </c>
      <c r="E31" s="2">
        <v>3</v>
      </c>
      <c r="F31" s="2" t="s">
        <v>2</v>
      </c>
      <c r="G31" s="2" t="s">
        <v>3</v>
      </c>
      <c r="I31" s="11" t="s">
        <v>9</v>
      </c>
      <c r="J31" s="2">
        <v>0</v>
      </c>
      <c r="K31" s="2">
        <v>1</v>
      </c>
      <c r="L31" s="2">
        <v>2</v>
      </c>
      <c r="M31" s="2">
        <v>3</v>
      </c>
      <c r="N31" s="2" t="s">
        <v>2</v>
      </c>
      <c r="O31" s="2" t="s">
        <v>3</v>
      </c>
      <c r="Q31" s="11" t="s">
        <v>9</v>
      </c>
      <c r="R31" s="2">
        <v>0</v>
      </c>
      <c r="S31" s="2">
        <v>1</v>
      </c>
      <c r="T31" s="2">
        <v>2</v>
      </c>
      <c r="U31" s="2">
        <v>3</v>
      </c>
      <c r="V31" s="2" t="s">
        <v>2</v>
      </c>
      <c r="W31" s="2" t="s">
        <v>3</v>
      </c>
    </row>
    <row r="32" spans="1:39" x14ac:dyDescent="0.45">
      <c r="A32" s="3" t="str">
        <f>$A$6</f>
        <v>Williamson</v>
      </c>
      <c r="B32" s="17">
        <f>B19/$G$26</f>
        <v>1.0416666666666666E-2</v>
      </c>
      <c r="C32" s="17">
        <f ref="C32:G32" si="38" t="shared">C19/$G$26</f>
        <v>0.35555555555555557</v>
      </c>
      <c r="D32" s="17">
        <f si="38" t="shared"/>
        <v>0.3923611111111111</v>
      </c>
      <c r="E32" s="17">
        <f si="38" t="shared"/>
        <v>0.15555555555555556</v>
      </c>
      <c r="F32" s="17">
        <f si="38" t="shared"/>
        <v>8.611111111111111E-2</v>
      </c>
      <c r="G32" s="17">
        <f si="38" t="shared"/>
        <v>1</v>
      </c>
      <c r="I32" s="3" t="str">
        <f>$A$6</f>
        <v>Williamson</v>
      </c>
      <c r="J32" s="17">
        <f>J19/$O$26</f>
        <v>2.1037307224675238E-2</v>
      </c>
      <c r="K32" s="17">
        <f ref="K32:O32" si="39" t="shared">K19/$O$26</f>
        <v>0.20394189543738403</v>
      </c>
      <c r="L32" s="17">
        <f si="39" t="shared"/>
        <v>0.49246496448454596</v>
      </c>
      <c r="M32" s="17">
        <f si="39" t="shared"/>
        <v>0.20832533435720227</v>
      </c>
      <c r="N32" s="17">
        <f si="39" t="shared"/>
        <v>7.4230498496192482E-2</v>
      </c>
      <c r="O32" s="17">
        <f si="39" t="shared"/>
        <v>1</v>
      </c>
      <c r="Q32" s="3" t="str">
        <f>$A$6</f>
        <v>Williamson</v>
      </c>
      <c r="R32" s="17">
        <f>R6/$W$13</f>
        <v>1.0416666666666666E-2</v>
      </c>
      <c r="S32" s="17">
        <f ref="S32:W32" si="40" t="shared">S6/$W$13</f>
        <v>0.35555555555555557</v>
      </c>
      <c r="T32" s="17">
        <f si="40" t="shared"/>
        <v>0.3923611111111111</v>
      </c>
      <c r="U32" s="17">
        <f si="40" t="shared"/>
        <v>0.15555555555555556</v>
      </c>
      <c r="V32" s="17">
        <f si="40" t="shared"/>
        <v>8.611111111111111E-2</v>
      </c>
      <c r="W32" s="17">
        <f si="40" t="shared"/>
        <v>1</v>
      </c>
    </row>
    <row r="33" spans="1:23" x14ac:dyDescent="0.45">
      <c r="A33" s="3" t="str">
        <f>$A$7</f>
        <v>Rutherford</v>
      </c>
      <c r="B33" s="17" t="e">
        <f ref="B33:G39" si="41" t="shared">B20/$G$26</f>
        <v>#DIV/0!</v>
      </c>
      <c r="C33" s="17" t="e">
        <f si="41" t="shared"/>
        <v>#DIV/0!</v>
      </c>
      <c r="D33" s="17" t="e">
        <f si="41" t="shared"/>
        <v>#DIV/0!</v>
      </c>
      <c r="E33" s="17" t="e">
        <f si="41" t="shared"/>
        <v>#DIV/0!</v>
      </c>
      <c r="F33" s="17" t="e">
        <f si="41" t="shared"/>
        <v>#DIV/0!</v>
      </c>
      <c r="G33" s="17" t="e">
        <f si="41" t="shared"/>
        <v>#DIV/0!</v>
      </c>
      <c r="I33" s="3" t="str">
        <f>$A$7</f>
        <v>Rutherford</v>
      </c>
      <c r="J33" s="17">
        <f ref="J33:O39" si="42" t="shared">J20/$O$26</f>
        <v>0</v>
      </c>
      <c r="K33" s="17">
        <f si="42" t="shared"/>
        <v>0</v>
      </c>
      <c r="L33" s="17">
        <f si="42" t="shared"/>
        <v>0</v>
      </c>
      <c r="M33" s="17">
        <f si="42" t="shared"/>
        <v>0</v>
      </c>
      <c r="N33" s="17">
        <f si="42" t="shared"/>
        <v>0</v>
      </c>
      <c r="O33" s="17">
        <f si="42" t="shared"/>
        <v>0</v>
      </c>
      <c r="Q33" s="3" t="str">
        <f>$A$7</f>
        <v>Rutherford</v>
      </c>
      <c r="R33" s="17">
        <f ref="R33:W39" si="43" t="shared">R7/$W$13</f>
        <v>0</v>
      </c>
      <c r="S33" s="17">
        <f si="43" t="shared"/>
        <v>0</v>
      </c>
      <c r="T33" s="17">
        <f si="43" t="shared"/>
        <v>0</v>
      </c>
      <c r="U33" s="17">
        <f si="43" t="shared"/>
        <v>0</v>
      </c>
      <c r="V33" s="17">
        <f si="43" t="shared"/>
        <v>0</v>
      </c>
      <c r="W33" s="17">
        <f si="43" t="shared"/>
        <v>0</v>
      </c>
    </row>
    <row r="34" spans="1:23" x14ac:dyDescent="0.45">
      <c r="A34" s="3" t="str">
        <f>$A$8</f>
        <v>Sumner</v>
      </c>
      <c r="B34" s="17" t="e">
        <f si="41" t="shared"/>
        <v>#DIV/0!</v>
      </c>
      <c r="C34" s="17" t="e">
        <f si="41" t="shared"/>
        <v>#DIV/0!</v>
      </c>
      <c r="D34" s="17" t="e">
        <f si="41" t="shared"/>
        <v>#DIV/0!</v>
      </c>
      <c r="E34" s="17" t="e">
        <f si="41" t="shared"/>
        <v>#DIV/0!</v>
      </c>
      <c r="F34" s="17" t="e">
        <f si="41" t="shared"/>
        <v>#DIV/0!</v>
      </c>
      <c r="G34" s="17" t="e">
        <f si="41" t="shared"/>
        <v>#DIV/0!</v>
      </c>
      <c r="I34" s="3" t="str">
        <f>$A$8</f>
        <v>Sumner</v>
      </c>
      <c r="J34" s="17">
        <f si="42" t="shared"/>
        <v>0</v>
      </c>
      <c r="K34" s="17">
        <f si="42" t="shared"/>
        <v>0</v>
      </c>
      <c r="L34" s="17">
        <f si="42" t="shared"/>
        <v>0</v>
      </c>
      <c r="M34" s="17">
        <f si="42" t="shared"/>
        <v>0</v>
      </c>
      <c r="N34" s="17">
        <f si="42" t="shared"/>
        <v>0</v>
      </c>
      <c r="O34" s="17">
        <f si="42" t="shared"/>
        <v>0</v>
      </c>
      <c r="Q34" s="3" t="str">
        <f>$A$8</f>
        <v>Sumner</v>
      </c>
      <c r="R34" s="17">
        <f si="43" t="shared"/>
        <v>0</v>
      </c>
      <c r="S34" s="17">
        <f si="43" t="shared"/>
        <v>0</v>
      </c>
      <c r="T34" s="17">
        <f si="43" t="shared"/>
        <v>0</v>
      </c>
      <c r="U34" s="17">
        <f si="43" t="shared"/>
        <v>0</v>
      </c>
      <c r="V34" s="17">
        <f si="43" t="shared"/>
        <v>0</v>
      </c>
      <c r="W34" s="17">
        <f si="43" t="shared"/>
        <v>0</v>
      </c>
    </row>
    <row r="35" spans="1:23" x14ac:dyDescent="0.45">
      <c r="A35" s="14" t="str">
        <f>$A$9</f>
        <v>Roberston</v>
      </c>
      <c r="B35" s="82" t="e">
        <f si="41" t="shared"/>
        <v>#DIV/0!</v>
      </c>
      <c r="C35" s="82" t="e">
        <f si="41" t="shared"/>
        <v>#DIV/0!</v>
      </c>
      <c r="D35" s="82" t="e">
        <f si="41" t="shared"/>
        <v>#DIV/0!</v>
      </c>
      <c r="E35" s="82" t="e">
        <f si="41" t="shared"/>
        <v>#DIV/0!</v>
      </c>
      <c r="F35" s="82" t="e">
        <f si="41" t="shared"/>
        <v>#DIV/0!</v>
      </c>
      <c r="G35" s="82" t="e">
        <f si="41" t="shared"/>
        <v>#DIV/0!</v>
      </c>
      <c r="H35" s="83"/>
      <c r="I35" s="14" t="str">
        <f>$A$9</f>
        <v>Roberston</v>
      </c>
      <c r="J35" s="82">
        <f si="42" t="shared"/>
        <v>0</v>
      </c>
      <c r="K35" s="82">
        <f si="42" t="shared"/>
        <v>0</v>
      </c>
      <c r="L35" s="82">
        <f si="42" t="shared"/>
        <v>0</v>
      </c>
      <c r="M35" s="82">
        <f si="42" t="shared"/>
        <v>0</v>
      </c>
      <c r="N35" s="82">
        <f si="42" t="shared"/>
        <v>0</v>
      </c>
      <c r="O35" s="82">
        <f si="42" t="shared"/>
        <v>0</v>
      </c>
      <c r="Q35" s="3" t="str">
        <f>$A$9</f>
        <v>Roberston</v>
      </c>
      <c r="R35" s="17">
        <f si="43" t="shared"/>
        <v>0</v>
      </c>
      <c r="S35" s="17">
        <f si="43" t="shared"/>
        <v>0</v>
      </c>
      <c r="T35" s="17">
        <f si="43" t="shared"/>
        <v>0</v>
      </c>
      <c r="U35" s="17">
        <f si="43" t="shared"/>
        <v>0</v>
      </c>
      <c r="V35" s="17">
        <f si="43" t="shared"/>
        <v>0</v>
      </c>
      <c r="W35" s="17">
        <f si="43" t="shared"/>
        <v>0</v>
      </c>
    </row>
    <row r="36" spans="1:23" x14ac:dyDescent="0.45">
      <c r="A36" s="14" t="str">
        <f>$A$10</f>
        <v>Davidson</v>
      </c>
      <c r="B36" s="82" t="e">
        <f si="41" t="shared"/>
        <v>#DIV/0!</v>
      </c>
      <c r="C36" s="82" t="e">
        <f si="41" t="shared"/>
        <v>#DIV/0!</v>
      </c>
      <c r="D36" s="82" t="e">
        <f si="41" t="shared"/>
        <v>#DIV/0!</v>
      </c>
      <c r="E36" s="82" t="e">
        <f si="41" t="shared"/>
        <v>#DIV/0!</v>
      </c>
      <c r="F36" s="82" t="e">
        <f si="41" t="shared"/>
        <v>#DIV/0!</v>
      </c>
      <c r="G36" s="82" t="e">
        <f si="41" t="shared"/>
        <v>#DIV/0!</v>
      </c>
      <c r="H36" s="83"/>
      <c r="I36" s="14" t="str">
        <f>$A$10</f>
        <v>Davidson</v>
      </c>
      <c r="J36" s="82">
        <f si="42" t="shared"/>
        <v>0</v>
      </c>
      <c r="K36" s="82">
        <f si="42" t="shared"/>
        <v>0</v>
      </c>
      <c r="L36" s="82">
        <f si="42" t="shared"/>
        <v>0</v>
      </c>
      <c r="M36" s="82">
        <f si="42" t="shared"/>
        <v>0</v>
      </c>
      <c r="N36" s="82">
        <f si="42" t="shared"/>
        <v>0</v>
      </c>
      <c r="O36" s="82">
        <f si="42" t="shared"/>
        <v>0</v>
      </c>
      <c r="Q36" s="3" t="str">
        <f>$A$10</f>
        <v>Davidson</v>
      </c>
      <c r="R36" s="17">
        <f si="43" t="shared"/>
        <v>0</v>
      </c>
      <c r="S36" s="17">
        <f si="43" t="shared"/>
        <v>0</v>
      </c>
      <c r="T36" s="17">
        <f si="43" t="shared"/>
        <v>0</v>
      </c>
      <c r="U36" s="17">
        <f si="43" t="shared"/>
        <v>0</v>
      </c>
      <c r="V36" s="17">
        <f si="43" t="shared"/>
        <v>0</v>
      </c>
      <c r="W36" s="17">
        <f si="43" t="shared"/>
        <v>0</v>
      </c>
    </row>
    <row r="37" spans="1:23" x14ac:dyDescent="0.45">
      <c r="A37" s="14" t="str">
        <f>$A$11</f>
        <v>Maury</v>
      </c>
      <c r="B37" s="82" t="e">
        <f si="41" t="shared"/>
        <v>#DIV/0!</v>
      </c>
      <c r="C37" s="82" t="e">
        <f si="41" t="shared"/>
        <v>#DIV/0!</v>
      </c>
      <c r="D37" s="82" t="e">
        <f si="41" t="shared"/>
        <v>#DIV/0!</v>
      </c>
      <c r="E37" s="82" t="e">
        <f si="41" t="shared"/>
        <v>#DIV/0!</v>
      </c>
      <c r="F37" s="82" t="e">
        <f si="41" t="shared"/>
        <v>#DIV/0!</v>
      </c>
      <c r="G37" s="82" t="e">
        <f si="41" t="shared"/>
        <v>#DIV/0!</v>
      </c>
      <c r="H37" s="83"/>
      <c r="I37" s="14" t="str">
        <f>$A$11</f>
        <v>Maury</v>
      </c>
      <c r="J37" s="82">
        <f si="42" t="shared"/>
        <v>0</v>
      </c>
      <c r="K37" s="82">
        <f si="42" t="shared"/>
        <v>0</v>
      </c>
      <c r="L37" s="82">
        <f si="42" t="shared"/>
        <v>0</v>
      </c>
      <c r="M37" s="82">
        <f si="42" t="shared"/>
        <v>0</v>
      </c>
      <c r="N37" s="82">
        <f si="42" t="shared"/>
        <v>0</v>
      </c>
      <c r="O37" s="82">
        <f si="42" t="shared"/>
        <v>0</v>
      </c>
      <c r="Q37" s="14" t="str">
        <f>$A$11</f>
        <v>Maury</v>
      </c>
      <c r="R37" s="82">
        <f si="43" t="shared"/>
        <v>0</v>
      </c>
      <c r="S37" s="82">
        <f si="43" t="shared"/>
        <v>0</v>
      </c>
      <c r="T37" s="82">
        <f si="43" t="shared"/>
        <v>0</v>
      </c>
      <c r="U37" s="82">
        <f si="43" t="shared"/>
        <v>0</v>
      </c>
      <c r="V37" s="82">
        <f si="43" t="shared"/>
        <v>0</v>
      </c>
      <c r="W37" s="82">
        <f si="43" t="shared"/>
        <v>0</v>
      </c>
    </row>
    <row r="38" spans="1:23" x14ac:dyDescent="0.45">
      <c r="A38" s="14" t="str">
        <f>$A$12</f>
        <v>Wilson</v>
      </c>
      <c r="B38" s="82" t="e">
        <f si="41" t="shared"/>
        <v>#DIV/0!</v>
      </c>
      <c r="C38" s="82" t="e">
        <f si="41" t="shared"/>
        <v>#DIV/0!</v>
      </c>
      <c r="D38" s="82" t="e">
        <f si="41" t="shared"/>
        <v>#DIV/0!</v>
      </c>
      <c r="E38" s="82" t="e">
        <f si="41" t="shared"/>
        <v>#DIV/0!</v>
      </c>
      <c r="F38" s="82" t="e">
        <f si="41" t="shared"/>
        <v>#DIV/0!</v>
      </c>
      <c r="G38" s="82" t="e">
        <f si="41" t="shared"/>
        <v>#DIV/0!</v>
      </c>
      <c r="H38" s="83"/>
      <c r="I38" s="14" t="str">
        <f>$A$12</f>
        <v>Wilson</v>
      </c>
      <c r="J38" s="82">
        <f si="42" t="shared"/>
        <v>0</v>
      </c>
      <c r="K38" s="82">
        <f si="42" t="shared"/>
        <v>0</v>
      </c>
      <c r="L38" s="82">
        <f si="42" t="shared"/>
        <v>0</v>
      </c>
      <c r="M38" s="82">
        <f si="42" t="shared"/>
        <v>0</v>
      </c>
      <c r="N38" s="82">
        <f si="42" t="shared"/>
        <v>0</v>
      </c>
      <c r="O38" s="82">
        <f si="42" t="shared"/>
        <v>0</v>
      </c>
      <c r="Q38" s="14" t="str">
        <f>$A$12</f>
        <v>Wilson</v>
      </c>
      <c r="R38" s="82">
        <f si="43" t="shared"/>
        <v>0</v>
      </c>
      <c r="S38" s="82">
        <f si="43" t="shared"/>
        <v>0</v>
      </c>
      <c r="T38" s="82">
        <f si="43" t="shared"/>
        <v>0</v>
      </c>
      <c r="U38" s="82">
        <f si="43" t="shared"/>
        <v>0</v>
      </c>
      <c r="V38" s="82">
        <f si="43" t="shared"/>
        <v>0</v>
      </c>
      <c r="W38" s="82">
        <f si="43" t="shared"/>
        <v>0</v>
      </c>
    </row>
    <row ht="14.65" r="39" spans="1:23" thickBot="1" x14ac:dyDescent="0.5">
      <c r="A39" s="7" t="str">
        <f>$A$13</f>
        <v>Total</v>
      </c>
      <c r="B39" s="19">
        <f si="41" t="shared"/>
        <v>1.0416666666666666E-2</v>
      </c>
      <c r="C39" s="19">
        <f si="41" t="shared"/>
        <v>0.35555555555555557</v>
      </c>
      <c r="D39" s="19">
        <f si="41" t="shared"/>
        <v>0.3923611111111111</v>
      </c>
      <c r="E39" s="19">
        <f si="41" t="shared"/>
        <v>0.15555555555555556</v>
      </c>
      <c r="F39" s="19">
        <f si="41" t="shared"/>
        <v>8.611111111111111E-2</v>
      </c>
      <c r="G39" s="19">
        <f si="41" t="shared"/>
        <v>1</v>
      </c>
      <c r="H39" s="83"/>
      <c r="I39" s="7" t="str">
        <f>$A$13</f>
        <v>Total</v>
      </c>
      <c r="J39" s="19">
        <f si="42" t="shared"/>
        <v>5.2493834170230132E-2</v>
      </c>
      <c r="K39" s="19">
        <f si="42" t="shared"/>
        <v>0.32366614027928103</v>
      </c>
      <c r="L39" s="19">
        <f si="42" t="shared"/>
        <v>0.40316364733228061</v>
      </c>
      <c r="M39" s="19">
        <f si="42" t="shared"/>
        <v>0.15844319452083963</v>
      </c>
      <c r="N39" s="19">
        <f si="42" t="shared"/>
        <v>6.223318369736866E-2</v>
      </c>
      <c r="O39" s="19">
        <f si="42" t="shared"/>
        <v>1</v>
      </c>
      <c r="Q39" s="7" t="str">
        <f>$A$13</f>
        <v>Total</v>
      </c>
      <c r="R39" s="19">
        <f si="43" t="shared"/>
        <v>1.0416666666666666E-2</v>
      </c>
      <c r="S39" s="19">
        <f si="43" t="shared"/>
        <v>0.35555555555555557</v>
      </c>
      <c r="T39" s="19">
        <f si="43" t="shared"/>
        <v>0.3923611111111111</v>
      </c>
      <c r="U39" s="19">
        <f si="43" t="shared"/>
        <v>0.15555555555555556</v>
      </c>
      <c r="V39" s="19">
        <f si="43" t="shared"/>
        <v>8.611111111111111E-2</v>
      </c>
      <c r="W39" s="19">
        <f si="43" t="shared"/>
        <v>1</v>
      </c>
    </row>
    <row r="40" spans="1:23" x14ac:dyDescent="0.45">
      <c r="A40" s="14"/>
      <c r="B40" s="17"/>
      <c r="C40" s="82"/>
      <c r="D40" s="82"/>
      <c r="E40" s="82"/>
      <c r="F40" s="82"/>
      <c r="G40" s="82"/>
      <c r="I40" s="14"/>
      <c r="J40" s="82"/>
      <c r="K40" s="82"/>
      <c r="L40" s="82"/>
      <c r="M40" s="82"/>
      <c r="N40" s="82"/>
      <c r="O40" s="82"/>
      <c r="Q40" s="14"/>
      <c r="R40" s="82"/>
      <c r="S40" s="82"/>
      <c r="T40" s="82"/>
      <c r="U40" s="82"/>
      <c r="V40" s="82"/>
      <c r="W40" s="82"/>
    </row>
    <row r="42" spans="1:23" x14ac:dyDescent="0.45">
      <c r="Q42" s="1" t="s">
        <v>15</v>
      </c>
    </row>
    <row ht="14.65" r="43" spans="1:23" thickBot="1" x14ac:dyDescent="0.5">
      <c r="Q43" s="12"/>
      <c r="R43" s="10" t="s">
        <v>1</v>
      </c>
      <c r="S43" s="9"/>
      <c r="T43" s="9"/>
      <c r="U43" s="9"/>
      <c r="V43" s="9"/>
      <c r="W43" s="9"/>
    </row>
    <row r="44" spans="1:23" x14ac:dyDescent="0.45">
      <c r="Q44" s="11" t="s">
        <v>9</v>
      </c>
      <c r="R44" s="2">
        <v>0</v>
      </c>
      <c r="S44" s="2">
        <v>1</v>
      </c>
      <c r="T44" s="2">
        <v>2</v>
      </c>
      <c r="U44" s="2">
        <v>3</v>
      </c>
      <c r="V44" s="2" t="s">
        <v>2</v>
      </c>
      <c r="W44" s="2" t="s">
        <v>3</v>
      </c>
    </row>
    <row r="45" spans="1:23" x14ac:dyDescent="0.45">
      <c r="Q45" s="3" t="str">
        <f>$A$6</f>
        <v>Williamson</v>
      </c>
      <c r="R45" s="17">
        <f>R32-J32</f>
        <v>-1.0620640558008572E-2</v>
      </c>
      <c r="S45" s="17">
        <f ref="S45:W45" si="44" t="shared">S32-K32</f>
        <v>0.15161366011817154</v>
      </c>
      <c r="T45" s="17">
        <f si="44" t="shared"/>
        <v>-0.10010385337343486</v>
      </c>
      <c r="U45" s="17">
        <f si="44" t="shared"/>
        <v>-5.2769778801646711E-2</v>
      </c>
      <c r="V45" s="17">
        <f si="44" t="shared"/>
        <v>1.1880612614918629E-2</v>
      </c>
      <c r="W45" s="17">
        <f si="44" t="shared"/>
        <v>0</v>
      </c>
    </row>
    <row r="46" spans="1:23" x14ac:dyDescent="0.45">
      <c r="Q46" s="3" t="str">
        <f>$A$7</f>
        <v>Rutherford</v>
      </c>
      <c r="R46" s="17">
        <f ref="R46:W46" si="45" t="shared">R33-J33</f>
        <v>0</v>
      </c>
      <c r="S46" s="17">
        <f si="45" t="shared"/>
        <v>0</v>
      </c>
      <c r="T46" s="17">
        <f si="45" t="shared"/>
        <v>0</v>
      </c>
      <c r="U46" s="17">
        <f si="45" t="shared"/>
        <v>0</v>
      </c>
      <c r="V46" s="17">
        <f si="45" t="shared"/>
        <v>0</v>
      </c>
      <c r="W46" s="17">
        <f si="45" t="shared"/>
        <v>0</v>
      </c>
    </row>
    <row r="47" spans="1:23" x14ac:dyDescent="0.45">
      <c r="Q47" s="3" t="str">
        <f>$A$8</f>
        <v>Sumner</v>
      </c>
      <c r="R47" s="17">
        <f ref="R47:R49" si="46" t="shared">R34-J34</f>
        <v>0</v>
      </c>
      <c r="S47" s="17">
        <f ref="S47:S49" si="47" t="shared">S34-K34</f>
        <v>0</v>
      </c>
      <c r="T47" s="17">
        <f ref="T47:T49" si="48" t="shared">T34-L34</f>
        <v>0</v>
      </c>
      <c r="U47" s="17">
        <f ref="U47:U49" si="49" t="shared">U34-M34</f>
        <v>0</v>
      </c>
      <c r="V47" s="17">
        <f ref="V47:V49" si="50" t="shared">V34-N34</f>
        <v>0</v>
      </c>
      <c r="W47" s="17">
        <f ref="W47:W49" si="51" t="shared">W34-O34</f>
        <v>0</v>
      </c>
    </row>
    <row r="48" spans="1:23" x14ac:dyDescent="0.45">
      <c r="Q48" s="3" t="str">
        <f>$A$9</f>
        <v>Roberston</v>
      </c>
      <c r="R48" s="17">
        <f si="46" t="shared"/>
        <v>0</v>
      </c>
      <c r="S48" s="17">
        <f si="47" t="shared"/>
        <v>0</v>
      </c>
      <c r="T48" s="17">
        <f si="48" t="shared"/>
        <v>0</v>
      </c>
      <c r="U48" s="17">
        <f si="49" t="shared"/>
        <v>0</v>
      </c>
      <c r="V48" s="17">
        <f si="50" t="shared"/>
        <v>0</v>
      </c>
      <c r="W48" s="17">
        <f si="51" t="shared"/>
        <v>0</v>
      </c>
    </row>
    <row r="49" spans="1:23" x14ac:dyDescent="0.45">
      <c r="Q49" s="3" t="str">
        <f>$A$10</f>
        <v>Davidson</v>
      </c>
      <c r="R49" s="17">
        <f si="46" t="shared"/>
        <v>0</v>
      </c>
      <c r="S49" s="17">
        <f si="47" t="shared"/>
        <v>0</v>
      </c>
      <c r="T49" s="17">
        <f si="48" t="shared"/>
        <v>0</v>
      </c>
      <c r="U49" s="17">
        <f si="49" t="shared"/>
        <v>0</v>
      </c>
      <c r="V49" s="17">
        <f si="50" t="shared"/>
        <v>0</v>
      </c>
      <c r="W49" s="17">
        <f si="51" t="shared"/>
        <v>0</v>
      </c>
    </row>
    <row r="50" spans="1:23" x14ac:dyDescent="0.45">
      <c r="Q50" s="14" t="str">
        <f>$A$11</f>
        <v>Maury</v>
      </c>
      <c r="R50" s="82">
        <f ref="R50:W50" si="52" t="shared">R37-J37</f>
        <v>0</v>
      </c>
      <c r="S50" s="82">
        <f si="52" t="shared"/>
        <v>0</v>
      </c>
      <c r="T50" s="82">
        <f si="52" t="shared"/>
        <v>0</v>
      </c>
      <c r="U50" s="82">
        <f si="52" t="shared"/>
        <v>0</v>
      </c>
      <c r="V50" s="82">
        <f si="52" t="shared"/>
        <v>0</v>
      </c>
      <c r="W50" s="82">
        <f si="52" t="shared"/>
        <v>0</v>
      </c>
    </row>
    <row r="51" spans="1:23" x14ac:dyDescent="0.45">
      <c r="Q51" s="14" t="str">
        <f>$A$12</f>
        <v>Wilson</v>
      </c>
      <c r="R51" s="82">
        <f ref="R51:W52" si="53" t="shared">R38-J38</f>
        <v>0</v>
      </c>
      <c r="S51" s="82">
        <f si="53" t="shared"/>
        <v>0</v>
      </c>
      <c r="T51" s="82">
        <f si="53" t="shared"/>
        <v>0</v>
      </c>
      <c r="U51" s="82">
        <f si="53" t="shared"/>
        <v>0</v>
      </c>
      <c r="V51" s="82">
        <f si="53" t="shared"/>
        <v>0</v>
      </c>
      <c r="W51" s="82">
        <f si="53" t="shared"/>
        <v>0</v>
      </c>
    </row>
    <row ht="14.65" r="52" spans="1:23" thickBot="1" x14ac:dyDescent="0.5">
      <c r="Q52" s="7" t="str">
        <f>$A$13</f>
        <v>Total</v>
      </c>
      <c r="R52" s="19">
        <f si="53" t="shared"/>
        <v>-4.2077167503563467E-2</v>
      </c>
      <c r="S52" s="19">
        <f ref="S52" si="54" t="shared">S39-K39</f>
        <v>3.1889415276274535E-2</v>
      </c>
      <c r="T52" s="19">
        <f ref="T52" si="55" t="shared">T39-L39</f>
        <v>-1.0802536221169501E-2</v>
      </c>
      <c r="U52" s="19">
        <f ref="U52" si="56" t="shared">U39-M39</f>
        <v>-2.8876389652840728E-3</v>
      </c>
      <c r="V52" s="19">
        <f ref="V52" si="57" t="shared">V39-N39</f>
        <v>2.387792741374245E-2</v>
      </c>
      <c r="W52" s="19">
        <f ref="W52" si="58" t="shared">W39-O39</f>
        <v>0</v>
      </c>
    </row>
    <row ht="14.65" r="55" spans="1:23" thickBot="1" x14ac:dyDescent="0.5">
      <c r="A55" s="20" t="s">
        <v>178</v>
      </c>
      <c r="B55" s="21"/>
      <c r="C55" s="22"/>
      <c r="D55" s="22"/>
      <c r="E55" s="22"/>
      <c r="F55" s="22"/>
      <c r="G55" s="22"/>
      <c r="I55" s="20" t="s">
        <v>21</v>
      </c>
      <c r="J55" s="21"/>
      <c r="K55" s="22"/>
      <c r="L55" s="22"/>
      <c r="M55" s="22"/>
      <c r="N55" s="22"/>
      <c r="O55" s="22"/>
      <c r="Q55" s="20" t="s">
        <v>22</v>
      </c>
      <c r="R55" s="26"/>
      <c r="S55" s="26"/>
      <c r="T55" s="26"/>
      <c r="U55" s="26"/>
      <c r="V55" s="26"/>
      <c r="W55" s="26"/>
    </row>
    <row r="56" spans="1:23" x14ac:dyDescent="0.45">
      <c r="A56" s="27"/>
      <c r="B56" s="28">
        <v>0</v>
      </c>
      <c r="C56" s="28">
        <v>1</v>
      </c>
      <c r="D56" s="28">
        <v>2</v>
      </c>
      <c r="E56" s="28">
        <v>3</v>
      </c>
      <c r="F56" s="28" t="s">
        <v>2</v>
      </c>
      <c r="G56" s="28" t="s">
        <v>3</v>
      </c>
      <c r="I56" s="27"/>
      <c r="J56" s="28">
        <v>0</v>
      </c>
      <c r="K56" s="28">
        <v>1</v>
      </c>
      <c r="L56" s="28">
        <v>2</v>
      </c>
      <c r="M56" s="28">
        <v>3</v>
      </c>
      <c r="N56" s="28" t="s">
        <v>2</v>
      </c>
      <c r="O56" s="28" t="s">
        <v>3</v>
      </c>
      <c r="Q56" s="27"/>
      <c r="R56" s="28">
        <v>0</v>
      </c>
      <c r="S56" s="28">
        <v>1</v>
      </c>
      <c r="T56" s="28">
        <v>2</v>
      </c>
      <c r="U56" s="28">
        <v>3</v>
      </c>
      <c r="V56" s="28" t="s">
        <v>2</v>
      </c>
      <c r="W56" s="28" t="s">
        <v>3</v>
      </c>
    </row>
    <row r="57" spans="1:23" x14ac:dyDescent="0.45">
      <c r="A57" s="3" t="str">
        <f>$A$6</f>
        <v>Williamson</v>
      </c>
      <c r="B57" s="23"/>
      <c r="C57" s="23"/>
      <c r="D57" s="23"/>
      <c r="E57" s="23"/>
      <c r="F57" s="23"/>
      <c r="G57" s="23"/>
      <c r="I57" s="3" t="str">
        <f>$A$6</f>
        <v>Williamson</v>
      </c>
      <c r="J57" s="23"/>
      <c r="K57" s="23"/>
      <c r="L57" s="23"/>
      <c r="M57" s="23"/>
      <c r="N57" s="23"/>
      <c r="O57" s="23"/>
      <c r="Q57" s="3" t="str">
        <f>$A$6</f>
        <v>Williamson</v>
      </c>
      <c r="R57" s="23"/>
      <c r="S57" s="23"/>
      <c r="T57" s="23"/>
      <c r="U57" s="23"/>
      <c r="V57" s="23"/>
      <c r="W57" s="23"/>
    </row>
    <row r="58" spans="1:23" x14ac:dyDescent="0.45">
      <c r="A58" s="3" t="str">
        <f>$A$7</f>
        <v>Rutherford</v>
      </c>
      <c r="B58" s="29"/>
      <c r="C58" s="29"/>
      <c r="D58" s="29"/>
      <c r="E58" s="29"/>
      <c r="F58" s="29"/>
      <c r="G58" s="29"/>
      <c r="I58" s="3" t="str">
        <f>$A$7</f>
        <v>Rutherford</v>
      </c>
      <c r="J58" s="29"/>
      <c r="K58" s="29"/>
      <c r="L58" s="29"/>
      <c r="M58" s="29"/>
      <c r="N58" s="29"/>
      <c r="O58" s="29"/>
      <c r="Q58" s="3" t="str">
        <f>$A$7</f>
        <v>Rutherford</v>
      </c>
      <c r="R58" s="29"/>
      <c r="S58" s="29"/>
      <c r="T58" s="29"/>
      <c r="U58" s="29"/>
      <c r="V58" s="29"/>
      <c r="W58" s="29"/>
    </row>
    <row r="59" spans="1:23" x14ac:dyDescent="0.45">
      <c r="A59" s="3" t="str">
        <f>$A$8</f>
        <v>Sumner</v>
      </c>
      <c r="B59" s="29"/>
      <c r="C59" s="29"/>
      <c r="D59" s="29"/>
      <c r="E59" s="29"/>
      <c r="F59" s="29"/>
      <c r="G59" s="29"/>
      <c r="I59" s="3" t="str">
        <f>$A$8</f>
        <v>Sumner</v>
      </c>
      <c r="J59" s="29"/>
      <c r="K59" s="29"/>
      <c r="L59" s="29"/>
      <c r="M59" s="29"/>
      <c r="N59" s="29"/>
      <c r="O59" s="29"/>
      <c r="Q59" s="3" t="str">
        <f>$A$8</f>
        <v>Sumner</v>
      </c>
      <c r="R59" s="29"/>
      <c r="S59" s="29"/>
      <c r="T59" s="29"/>
      <c r="U59" s="29"/>
      <c r="V59" s="29"/>
      <c r="W59" s="29"/>
    </row>
    <row r="60" spans="1:23" x14ac:dyDescent="0.45">
      <c r="A60" s="3" t="str">
        <f>$A$9</f>
        <v>Roberston</v>
      </c>
      <c r="B60" s="29"/>
      <c r="C60" s="29"/>
      <c r="D60" s="29"/>
      <c r="E60" s="29"/>
      <c r="F60" s="29"/>
      <c r="G60" s="29"/>
      <c r="I60" s="3" t="str">
        <f>$A$9</f>
        <v>Roberston</v>
      </c>
      <c r="J60" s="29"/>
      <c r="K60" s="29"/>
      <c r="L60" s="29"/>
      <c r="M60" s="29"/>
      <c r="N60" s="29"/>
      <c r="O60" s="29"/>
      <c r="Q60" s="3" t="str">
        <f>$A$9</f>
        <v>Roberston</v>
      </c>
      <c r="R60" s="29"/>
      <c r="S60" s="29"/>
      <c r="T60" s="29"/>
      <c r="U60" s="29"/>
      <c r="V60" s="29"/>
      <c r="W60" s="29"/>
    </row>
    <row r="61" spans="1:23" x14ac:dyDescent="0.45">
      <c r="A61" s="3" t="str">
        <f>$A$10</f>
        <v>Davidson</v>
      </c>
      <c r="B61" s="29"/>
      <c r="C61" s="29"/>
      <c r="D61" s="29"/>
      <c r="E61" s="29"/>
      <c r="F61" s="29"/>
      <c r="G61" s="29"/>
      <c r="I61" s="3" t="str">
        <f>$A$10</f>
        <v>Davidson</v>
      </c>
      <c r="J61" s="29"/>
      <c r="K61" s="29"/>
      <c r="L61" s="29"/>
      <c r="M61" s="29"/>
      <c r="N61" s="29"/>
      <c r="O61" s="29"/>
      <c r="Q61" s="3" t="str">
        <f>$A$10</f>
        <v>Davidson</v>
      </c>
      <c r="R61" s="29"/>
      <c r="S61" s="29"/>
      <c r="T61" s="29"/>
      <c r="U61" s="29"/>
      <c r="V61" s="29"/>
      <c r="W61" s="29"/>
    </row>
    <row r="62" spans="1:23" x14ac:dyDescent="0.45">
      <c r="A62" s="5" t="str">
        <f>$A$11</f>
        <v>Maury</v>
      </c>
      <c r="B62" s="23"/>
      <c r="C62" s="23"/>
      <c r="D62" s="23"/>
      <c r="E62" s="23"/>
      <c r="F62" s="23"/>
      <c r="G62" s="23"/>
      <c r="I62" s="5" t="str">
        <f>$A$11</f>
        <v>Maury</v>
      </c>
      <c r="J62" s="23"/>
      <c r="K62" s="23"/>
      <c r="L62" s="23"/>
      <c r="M62" s="23"/>
      <c r="N62" s="23"/>
      <c r="O62" s="23"/>
      <c r="Q62" s="5" t="str">
        <f>$A$11</f>
        <v>Maury</v>
      </c>
      <c r="R62" s="23"/>
      <c r="S62" s="23"/>
      <c r="T62" s="23"/>
      <c r="U62" s="23"/>
      <c r="V62" s="23"/>
      <c r="W62" s="23"/>
    </row>
    <row ht="14.65" r="63" spans="1:23" thickBot="1" x14ac:dyDescent="0.5">
      <c r="A63" s="24" t="s">
        <v>3</v>
      </c>
      <c r="B63" s="25"/>
      <c r="C63" s="25"/>
      <c r="D63" s="25"/>
      <c r="E63" s="25"/>
      <c r="F63" s="25"/>
      <c r="G63" s="25"/>
      <c r="I63" s="24" t="s">
        <v>3</v>
      </c>
      <c r="J63" s="25"/>
      <c r="K63" s="25"/>
      <c r="L63" s="25"/>
      <c r="M63" s="25"/>
      <c r="N63" s="25"/>
      <c r="O63" s="25"/>
      <c r="Q63" s="24" t="s">
        <v>3</v>
      </c>
      <c r="R63" s="25"/>
      <c r="S63" s="25"/>
      <c r="T63" s="25"/>
      <c r="U63" s="25"/>
      <c r="V63" s="25"/>
      <c r="W63" s="25"/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M38"/>
  <sheetViews>
    <sheetView workbookViewId="0">
      <selection activeCell="J33" sqref="J33"/>
    </sheetView>
  </sheetViews>
  <sheetFormatPr defaultRowHeight="14.25" x14ac:dyDescent="0.45"/>
  <cols>
    <col min="1" max="23" customWidth="true" width="9.265625" collapsed="true"/>
  </cols>
  <sheetData>
    <row ht="21" r="1" spans="1:39" x14ac:dyDescent="0.65">
      <c r="A1" s="13" t="s">
        <v>176</v>
      </c>
      <c r="I1" s="13" t="s">
        <v>10</v>
      </c>
      <c r="Q1" s="13" t="s">
        <v>163</v>
      </c>
    </row>
    <row r="2" spans="1:39" x14ac:dyDescent="0.45">
      <c r="A2" s="1"/>
      <c r="I2" s="1" t="s">
        <v>12</v>
      </c>
      <c r="Q2" s="1"/>
    </row>
    <row r="3" spans="1:39" x14ac:dyDescent="0.45">
      <c r="A3" s="16" t="s">
        <v>172</v>
      </c>
      <c r="I3" s="16" t="s">
        <v>172</v>
      </c>
      <c r="Q3" s="16" t="s">
        <v>172</v>
      </c>
    </row>
    <row ht="14.65" r="4" spans="1:39" thickBot="1" x14ac:dyDescent="0.5">
      <c r="A4" s="12"/>
      <c r="B4" s="10" t="s">
        <v>1</v>
      </c>
      <c r="C4" s="9"/>
      <c r="D4" s="9"/>
      <c r="E4" s="9"/>
      <c r="F4" s="9"/>
      <c r="G4" s="9"/>
      <c r="I4" s="12"/>
      <c r="J4" s="10" t="s">
        <v>1</v>
      </c>
      <c r="K4" s="9"/>
      <c r="L4" s="9"/>
      <c r="M4" s="9"/>
      <c r="N4" s="9"/>
      <c r="O4" s="9"/>
      <c r="Q4" s="12"/>
      <c r="R4" s="10" t="s">
        <v>1</v>
      </c>
      <c r="S4" s="9"/>
      <c r="T4" s="9"/>
      <c r="U4" s="9"/>
      <c r="V4" s="9"/>
      <c r="W4" s="9"/>
    </row>
    <row r="5" spans="1:39" x14ac:dyDescent="0.45">
      <c r="A5" s="11" t="s">
        <v>4</v>
      </c>
      <c r="B5" s="2">
        <v>0</v>
      </c>
      <c r="C5" s="2">
        <v>1</v>
      </c>
      <c r="D5" s="2">
        <v>2</v>
      </c>
      <c r="E5" s="2">
        <v>3</v>
      </c>
      <c r="F5" s="2" t="s">
        <v>2</v>
      </c>
      <c r="G5" s="2" t="s">
        <v>3</v>
      </c>
      <c r="I5" s="11" t="s">
        <v>4</v>
      </c>
      <c r="J5" s="2">
        <v>0</v>
      </c>
      <c r="K5" s="2">
        <v>1</v>
      </c>
      <c r="L5" s="2">
        <v>2</v>
      </c>
      <c r="M5" s="2">
        <v>3</v>
      </c>
      <c r="N5" s="2" t="s">
        <v>2</v>
      </c>
      <c r="O5" s="2" t="s">
        <v>3</v>
      </c>
      <c r="Q5" s="11" t="s">
        <v>4</v>
      </c>
      <c r="R5" s="2">
        <v>0</v>
      </c>
      <c r="S5" s="2">
        <v>1</v>
      </c>
      <c r="T5" s="2">
        <v>2</v>
      </c>
      <c r="U5" s="2">
        <v>3</v>
      </c>
      <c r="V5" s="2" t="s">
        <v>2</v>
      </c>
      <c r="W5" s="2" t="s">
        <v>3</v>
      </c>
    </row>
    <row r="6" spans="1:39" x14ac:dyDescent="0.45">
      <c r="A6" s="3" t="s">
        <v>5</v>
      </c>
      <c r="B6" s="4" t="n">
        <v>20000.0</v>
      </c>
      <c r="C6" s="4" t="n">
        <v>80000.0</v>
      </c>
      <c r="D6" s="4" t="n">
        <v>50000.0</v>
      </c>
      <c r="E6" s="4" t="n">
        <v>10000.0</v>
      </c>
      <c r="F6" s="4" t="n">
        <v>0.0</v>
      </c>
      <c r="G6" s="4">
        <f>SUM(B6:F6)</f>
        <v>123000</v>
      </c>
      <c r="I6" s="3" t="s">
        <v>5</v>
      </c>
      <c r="J6">
        <v>17580</v>
      </c>
      <c r="K6">
        <v>32190</v>
      </c>
      <c r="L6">
        <v>9300</v>
      </c>
      <c r="M6">
        <v>1160</v>
      </c>
      <c r="N6">
        <v>435</v>
      </c>
      <c r="O6" s="4">
        <v>60665</v>
      </c>
      <c r="Q6" s="3" t="s">
        <v>5</v>
      </c>
      <c r="R6" s="60" t="n">
        <v>20000.0</v>
      </c>
      <c r="S6" s="64" t="n">
        <v>80000.0</v>
      </c>
      <c r="T6" s="68" t="n">
        <v>50000.0</v>
      </c>
      <c r="U6" s="72" t="n">
        <v>10000.0</v>
      </c>
      <c r="V6" s="76" t="n">
        <v>0.0</v>
      </c>
      <c r="W6" s="4">
        <f>SUM(R6:V6)</f>
        <v>123000</v>
      </c>
    </row>
    <row r="7" spans="1:39" x14ac:dyDescent="0.45">
      <c r="A7" s="3" t="s">
        <v>6</v>
      </c>
      <c r="B7" s="4" t="n">
        <v>0.0</v>
      </c>
      <c r="C7" s="4" t="n">
        <v>260000.0</v>
      </c>
      <c r="D7" s="4" t="n">
        <v>120000.0</v>
      </c>
      <c r="E7" s="4" t="n">
        <v>30000.0</v>
      </c>
      <c r="F7" s="4" t="n">
        <v>20000.0</v>
      </c>
      <c r="G7" s="4">
        <f ref="G7:G10" si="0" t="shared">SUM(B7:F7)</f>
        <v>471000</v>
      </c>
      <c r="I7" s="3" t="s">
        <v>6</v>
      </c>
      <c r="J7">
        <v>12305</v>
      </c>
      <c r="K7">
        <v>101355</v>
      </c>
      <c r="L7">
        <v>61450</v>
      </c>
      <c r="M7">
        <v>11555</v>
      </c>
      <c r="N7">
        <v>3309</v>
      </c>
      <c r="O7" s="4">
        <v>189974</v>
      </c>
      <c r="Q7" s="3" t="s">
        <v>6</v>
      </c>
      <c r="R7" s="61" t="n">
        <v>0.0</v>
      </c>
      <c r="S7" s="65" t="n">
        <v>260000.0</v>
      </c>
      <c r="T7" s="69" t="n">
        <v>120000.0</v>
      </c>
      <c r="U7" s="73" t="n">
        <v>30000.0</v>
      </c>
      <c r="V7" s="77" t="n">
        <v>20000.0</v>
      </c>
      <c r="W7" s="4">
        <f ref="W7:W10" si="1" t="shared">SUM(R7:V7)</f>
        <v>471000</v>
      </c>
    </row>
    <row r="8" spans="1:39" x14ac:dyDescent="0.45">
      <c r="A8" s="3" t="s">
        <v>7</v>
      </c>
      <c r="B8" s="4" t="n">
        <v>0.0</v>
      </c>
      <c r="C8" s="4" t="n">
        <v>100000.0</v>
      </c>
      <c r="D8" s="4" t="n">
        <v>160000.0</v>
      </c>
      <c r="E8" s="4" t="n">
        <v>40000.0</v>
      </c>
      <c r="F8" s="4" t="n">
        <v>20000.0</v>
      </c>
      <c r="G8" s="4">
        <f si="0" t="shared"/>
        <v>303000</v>
      </c>
      <c r="I8" s="3" t="s">
        <v>7</v>
      </c>
      <c r="J8">
        <v>1810</v>
      </c>
      <c r="K8">
        <v>31835</v>
      </c>
      <c r="L8">
        <v>54020</v>
      </c>
      <c r="M8">
        <v>15945</v>
      </c>
      <c r="N8">
        <v>4540</v>
      </c>
      <c r="O8" s="4">
        <v>108150</v>
      </c>
      <c r="Q8" s="3" t="s">
        <v>7</v>
      </c>
      <c r="R8" s="62" t="n">
        <v>0.0</v>
      </c>
      <c r="S8" s="66" t="n">
        <v>100000.0</v>
      </c>
      <c r="T8" s="70" t="n">
        <v>160000.0</v>
      </c>
      <c r="U8" s="74" t="n">
        <v>40000.0</v>
      </c>
      <c r="V8" s="78" t="n">
        <v>20000.0</v>
      </c>
      <c r="W8" s="4">
        <f si="1" t="shared"/>
        <v>303000</v>
      </c>
    </row>
    <row r="9" spans="1:39" x14ac:dyDescent="0.45">
      <c r="A9" s="5" t="s">
        <v>8</v>
      </c>
      <c r="B9" s="4" t="n">
        <v>0.0</v>
      </c>
      <c r="C9" s="4" t="n">
        <v>40000.0</v>
      </c>
      <c r="D9" s="4" t="n">
        <v>330000.0</v>
      </c>
      <c r="E9" s="4" t="n">
        <v>100000.0</v>
      </c>
      <c r="F9" s="4" t="n">
        <v>60000.0</v>
      </c>
      <c r="G9" s="6">
        <f si="0" t="shared"/>
        <v>543000</v>
      </c>
      <c r="I9" s="5" t="s">
        <v>8</v>
      </c>
      <c r="J9" s="80">
        <v>1648</v>
      </c>
      <c r="K9" s="80">
        <v>21530</v>
      </c>
      <c r="L9" s="80">
        <v>94210</v>
      </c>
      <c r="M9" s="80">
        <v>38565</v>
      </c>
      <c r="N9" s="80">
        <v>15230</v>
      </c>
      <c r="O9" s="6">
        <v>171183</v>
      </c>
      <c r="Q9" s="5" t="s">
        <v>8</v>
      </c>
      <c r="R9" s="63" t="n">
        <v>0.0</v>
      </c>
      <c r="S9" s="67" t="n">
        <v>40000.0</v>
      </c>
      <c r="T9" s="71" t="n">
        <v>330000.0</v>
      </c>
      <c r="U9" s="75" t="n">
        <v>100000.0</v>
      </c>
      <c r="V9" s="79" t="n">
        <v>60000.0</v>
      </c>
      <c r="W9" s="6">
        <f si="1" t="shared"/>
        <v>543000</v>
      </c>
    </row>
    <row ht="14.65" r="10" spans="1:39" thickBot="1" x14ac:dyDescent="0.5">
      <c r="A10" s="7" t="s">
        <v>3</v>
      </c>
      <c r="B10" s="8">
        <f>SUM(B6:B9)</f>
        <v>15000</v>
      </c>
      <c r="C10" s="8">
        <f ref="C10:F10" si="2" t="shared">SUM(C6:C9)</f>
        <v>512000</v>
      </c>
      <c r="D10" s="8">
        <f si="2" t="shared"/>
        <v>565000</v>
      </c>
      <c r="E10" s="8">
        <f si="2" t="shared"/>
        <v>224000</v>
      </c>
      <c r="F10" s="8">
        <f si="2" t="shared"/>
        <v>124000</v>
      </c>
      <c r="G10" s="8">
        <f si="0" t="shared"/>
        <v>1440000</v>
      </c>
      <c r="I10" s="7" t="s">
        <v>3</v>
      </c>
      <c r="J10" s="8">
        <v>33343</v>
      </c>
      <c r="K10" s="8">
        <v>186910</v>
      </c>
      <c r="L10" s="8">
        <v>218980</v>
      </c>
      <c r="M10" s="8">
        <v>67225</v>
      </c>
      <c r="N10" s="8">
        <v>23514</v>
      </c>
      <c r="O10" s="8">
        <v>529972</v>
      </c>
      <c r="Q10" s="7" t="s">
        <v>3</v>
      </c>
      <c r="R10" s="8">
        <f>SUM(R6:R9)</f>
        <v>15000</v>
      </c>
      <c r="S10" s="8">
        <f ref="S10" si="3" t="shared">SUM(S6:S9)</f>
        <v>512000</v>
      </c>
      <c r="T10" s="8">
        <f ref="T10" si="4" t="shared">SUM(T6:T9)</f>
        <v>565000</v>
      </c>
      <c r="U10" s="8">
        <f ref="U10" si="5" t="shared">SUM(U6:U9)</f>
        <v>224000</v>
      </c>
      <c r="V10" s="8">
        <f ref="V10" si="6" t="shared">SUM(V6:V9)</f>
        <v>124000</v>
      </c>
      <c r="W10" s="8">
        <f si="1" t="shared"/>
        <v>1440000</v>
      </c>
    </row>
    <row r="13" spans="1:39" x14ac:dyDescent="0.45">
      <c r="A13" s="16" t="s">
        <v>172</v>
      </c>
      <c r="I13" s="16" t="s">
        <v>172</v>
      </c>
      <c r="Q13" s="16" t="s">
        <v>172</v>
      </c>
      <c r="Y13" s="1" t="s">
        <v>16</v>
      </c>
      <c r="AG13" s="1" t="s">
        <v>17</v>
      </c>
    </row>
    <row ht="14.65" r="14" spans="1:39" thickBot="1" x14ac:dyDescent="0.5">
      <c r="A14" s="12"/>
      <c r="B14" s="10" t="s">
        <v>1</v>
      </c>
      <c r="C14" s="9"/>
      <c r="D14" s="9"/>
      <c r="E14" s="9"/>
      <c r="F14" s="9"/>
      <c r="G14" s="9"/>
      <c r="I14" s="12"/>
      <c r="J14" s="10" t="s">
        <v>1</v>
      </c>
      <c r="K14" s="9"/>
      <c r="L14" s="9"/>
      <c r="M14" s="9"/>
      <c r="N14" s="9"/>
      <c r="O14" s="9"/>
      <c r="Q14" s="12"/>
      <c r="R14" s="10" t="s">
        <v>1</v>
      </c>
      <c r="S14" s="9"/>
      <c r="T14" s="9"/>
      <c r="U14" s="9"/>
      <c r="V14" s="9"/>
      <c r="W14" s="9"/>
      <c r="Y14" s="12"/>
      <c r="Z14" s="10" t="s">
        <v>1</v>
      </c>
      <c r="AA14" s="9"/>
      <c r="AB14" s="9"/>
      <c r="AC14" s="9"/>
      <c r="AD14" s="9"/>
      <c r="AE14" s="9"/>
      <c r="AG14" s="12"/>
      <c r="AH14" s="10" t="s">
        <v>1</v>
      </c>
      <c r="AI14" s="9"/>
      <c r="AJ14" s="9"/>
      <c r="AK14" s="9"/>
      <c r="AL14" s="9"/>
      <c r="AM14" s="9"/>
    </row>
    <row r="15" spans="1:39" x14ac:dyDescent="0.45">
      <c r="A15" s="11" t="s">
        <v>4</v>
      </c>
      <c r="B15" s="2">
        <v>0</v>
      </c>
      <c r="C15" s="2">
        <v>1</v>
      </c>
      <c r="D15" s="2">
        <v>2</v>
      </c>
      <c r="E15" s="2">
        <v>3</v>
      </c>
      <c r="F15" s="2" t="s">
        <v>2</v>
      </c>
      <c r="G15" s="2" t="s">
        <v>3</v>
      </c>
      <c r="I15" s="11" t="s">
        <v>4</v>
      </c>
      <c r="J15" s="2">
        <v>0</v>
      </c>
      <c r="K15" s="2">
        <v>1</v>
      </c>
      <c r="L15" s="2">
        <v>2</v>
      </c>
      <c r="M15" s="2">
        <v>3</v>
      </c>
      <c r="N15" s="2" t="s">
        <v>2</v>
      </c>
      <c r="O15" s="2" t="s">
        <v>3</v>
      </c>
      <c r="Q15" s="11" t="s">
        <v>4</v>
      </c>
      <c r="R15" s="2">
        <v>0</v>
      </c>
      <c r="S15" s="2">
        <v>1</v>
      </c>
      <c r="T15" s="2">
        <v>2</v>
      </c>
      <c r="U15" s="2">
        <v>3</v>
      </c>
      <c r="V15" s="2" t="s">
        <v>2</v>
      </c>
      <c r="W15" s="2" t="s">
        <v>3</v>
      </c>
      <c r="Y15" s="11" t="s">
        <v>4</v>
      </c>
      <c r="Z15" s="2">
        <v>0</v>
      </c>
      <c r="AA15" s="2">
        <v>1</v>
      </c>
      <c r="AB15" s="2">
        <v>2</v>
      </c>
      <c r="AC15" s="2">
        <v>3</v>
      </c>
      <c r="AD15" s="2" t="s">
        <v>2</v>
      </c>
      <c r="AE15" s="2" t="s">
        <v>3</v>
      </c>
      <c r="AG15" s="11" t="s">
        <v>4</v>
      </c>
      <c r="AH15" s="2">
        <v>0</v>
      </c>
      <c r="AI15" s="2">
        <v>1</v>
      </c>
      <c r="AJ15" s="2">
        <v>2</v>
      </c>
      <c r="AK15" s="2">
        <v>3</v>
      </c>
      <c r="AL15" s="2" t="s">
        <v>2</v>
      </c>
      <c r="AM15" s="2" t="s">
        <v>3</v>
      </c>
    </row>
    <row r="16" spans="1:39" x14ac:dyDescent="0.45">
      <c r="A16" s="3" t="s">
        <v>5</v>
      </c>
      <c r="B16" s="4">
        <f ref="B16:G20" si="7" t="shared">($W6/$G6)*B6</f>
        <v>12000</v>
      </c>
      <c r="C16" s="4">
        <f si="7" t="shared"/>
        <v>79000</v>
      </c>
      <c r="D16" s="4">
        <f si="7" t="shared"/>
        <v>23000</v>
      </c>
      <c r="E16" s="4">
        <f si="7" t="shared"/>
        <v>4000</v>
      </c>
      <c r="F16" s="4">
        <f si="7" t="shared"/>
        <v>5000</v>
      </c>
      <c r="G16" s="4">
        <f si="7" t="shared"/>
        <v>123000</v>
      </c>
      <c r="I16" s="3" t="s">
        <v>5</v>
      </c>
      <c r="J16" s="4">
        <f ref="J16:O20" si="8" t="shared">($W6/$O6)*J6</f>
        <v>35643.946262259953</v>
      </c>
      <c r="K16" s="4">
        <f si="8" t="shared"/>
        <v>65266.13368499135</v>
      </c>
      <c r="L16" s="4">
        <f si="8" t="shared"/>
        <v>18856.0125278167</v>
      </c>
      <c r="M16" s="4">
        <f si="8" t="shared"/>
        <v>2351.9327454050936</v>
      </c>
      <c r="N16" s="4">
        <f si="8" t="shared"/>
        <v>881.97477952691008</v>
      </c>
      <c r="O16" s="4">
        <f si="8" t="shared"/>
        <v>123000</v>
      </c>
      <c r="Q16" s="3" t="s">
        <v>5</v>
      </c>
      <c r="R16" s="4">
        <f ref="R16:V19" si="9" t="shared">R6</f>
        <v>12000</v>
      </c>
      <c r="S16" s="4">
        <f si="9" t="shared"/>
        <v>79000</v>
      </c>
      <c r="T16" s="4">
        <f si="9" t="shared"/>
        <v>23000</v>
      </c>
      <c r="U16" s="4">
        <f si="9" t="shared"/>
        <v>4000</v>
      </c>
      <c r="V16" s="4">
        <f si="9" t="shared"/>
        <v>5000</v>
      </c>
      <c r="W16" s="4">
        <f>SUM(R16:V16)</f>
        <v>123000</v>
      </c>
      <c r="Y16" s="3" t="s">
        <v>5</v>
      </c>
      <c r="Z16" s="4">
        <f>R16-J16</f>
        <v>-23643.946262259953</v>
      </c>
      <c r="AA16" s="4">
        <f ref="AA16:AA20" si="10" t="shared">S16-K16</f>
        <v>13733.86631500865</v>
      </c>
      <c r="AB16" s="4">
        <f ref="AB16:AB20" si="11" t="shared">T16-L16</f>
        <v>4143.9874721833003</v>
      </c>
      <c r="AC16" s="4">
        <f ref="AC16:AC20" si="12" t="shared">U16-M16</f>
        <v>1648.0672545949064</v>
      </c>
      <c r="AD16" s="4">
        <f ref="AD16:AD20" si="13" t="shared">V16-N16</f>
        <v>4118.0252204730896</v>
      </c>
      <c r="AE16" s="4">
        <f ref="AE16:AE20" si="14" t="shared">W16-O16</f>
        <v>0</v>
      </c>
      <c r="AG16" s="3" t="s">
        <v>5</v>
      </c>
      <c r="AH16" s="17">
        <f>Z16/J16</f>
        <v>-0.66333694053664083</v>
      </c>
      <c r="AI16" s="17">
        <f ref="AI16:AI20" si="15" t="shared">AA16/K16</f>
        <v>0.21042867931009218</v>
      </c>
      <c r="AJ16" s="17">
        <f ref="AJ16:AJ20" si="16" t="shared">AB16/L16</f>
        <v>0.21977008479762208</v>
      </c>
      <c r="AK16" s="17">
        <f ref="AK16:AK20" si="17" t="shared">AC16/M16</f>
        <v>0.70072890384076258</v>
      </c>
      <c r="AL16" s="17">
        <f ref="AL16:AL20" si="18" t="shared">AD16/N16</f>
        <v>4.6690963461358743</v>
      </c>
      <c r="AM16" s="17">
        <f ref="AM16:AM20" si="19" t="shared">AE16/O16</f>
        <v>0</v>
      </c>
    </row>
    <row r="17" spans="1:39" x14ac:dyDescent="0.45">
      <c r="A17" s="3" t="s">
        <v>6</v>
      </c>
      <c r="B17" s="4">
        <f si="7" t="shared"/>
        <v>3000</v>
      </c>
      <c r="C17" s="4">
        <f si="7" t="shared"/>
        <v>275000</v>
      </c>
      <c r="D17" s="4">
        <f si="7" t="shared"/>
        <v>132000</v>
      </c>
      <c r="E17" s="4">
        <f si="7" t="shared"/>
        <v>46000</v>
      </c>
      <c r="F17" s="4">
        <f si="7" t="shared"/>
        <v>15000</v>
      </c>
      <c r="G17" s="4">
        <f si="7" t="shared"/>
        <v>471000</v>
      </c>
      <c r="I17" s="3" t="s">
        <v>6</v>
      </c>
      <c r="J17" s="4">
        <f si="8" t="shared"/>
        <v>30507.622095655195</v>
      </c>
      <c r="K17" s="4">
        <f si="8" t="shared"/>
        <v>251288.09731858043</v>
      </c>
      <c r="L17" s="4">
        <f si="8" t="shared"/>
        <v>152352.16398033415</v>
      </c>
      <c r="M17" s="4">
        <f si="8" t="shared"/>
        <v>28648.157116236958</v>
      </c>
      <c r="N17" s="4">
        <f si="8" t="shared"/>
        <v>8203.9594891932575</v>
      </c>
      <c r="O17" s="4">
        <f si="8" t="shared"/>
        <v>471000</v>
      </c>
      <c r="Q17" s="3" t="s">
        <v>6</v>
      </c>
      <c r="R17" s="4">
        <f si="9" t="shared"/>
        <v>3000</v>
      </c>
      <c r="S17" s="4">
        <f si="9" t="shared"/>
        <v>275000</v>
      </c>
      <c r="T17" s="4">
        <f si="9" t="shared"/>
        <v>132000</v>
      </c>
      <c r="U17" s="4">
        <f si="9" t="shared"/>
        <v>46000</v>
      </c>
      <c r="V17" s="4">
        <f si="9" t="shared"/>
        <v>15000</v>
      </c>
      <c r="W17" s="4">
        <f ref="W17:W20" si="20" t="shared">SUM(R17:V17)</f>
        <v>471000</v>
      </c>
      <c r="Y17" s="3" t="s">
        <v>6</v>
      </c>
      <c r="Z17" s="4">
        <f ref="Z17:Z20" si="21" t="shared">R17-J17</f>
        <v>-27507.622095655195</v>
      </c>
      <c r="AA17" s="4">
        <f si="10" t="shared"/>
        <v>23711.902681419568</v>
      </c>
      <c r="AB17" s="4">
        <f si="11" t="shared"/>
        <v>-20352.163980334153</v>
      </c>
      <c r="AC17" s="4">
        <f si="12" t="shared"/>
        <v>17351.842883763042</v>
      </c>
      <c r="AD17" s="4">
        <f si="13" t="shared"/>
        <v>6796.0405108067425</v>
      </c>
      <c r="AE17" s="4">
        <f si="14" t="shared"/>
        <v>0</v>
      </c>
      <c r="AG17" s="3" t="s">
        <v>6</v>
      </c>
      <c r="AH17" s="17">
        <f ref="AH17:AH20" si="22" t="shared">Z17/J17</f>
        <v>-0.90166391891856912</v>
      </c>
      <c r="AI17" s="17">
        <f si="15" t="shared"/>
        <v>9.4361423937075153E-2</v>
      </c>
      <c r="AJ17" s="17">
        <f si="16" t="shared"/>
        <v>-0.1335863137655284</v>
      </c>
      <c r="AK17" s="17">
        <f si="17" t="shared"/>
        <v>0.60568792656922821</v>
      </c>
      <c r="AL17" s="17">
        <f si="18" t="shared"/>
        <v>0.82838543020097677</v>
      </c>
      <c r="AM17" s="17">
        <f si="19" t="shared"/>
        <v>0</v>
      </c>
    </row>
    <row r="18" spans="1:39" x14ac:dyDescent="0.45">
      <c r="A18" s="3" t="s">
        <v>7</v>
      </c>
      <c r="B18" s="4">
        <f si="7" t="shared"/>
        <v>0</v>
      </c>
      <c r="C18" s="4">
        <f si="7" t="shared"/>
        <v>98000</v>
      </c>
      <c r="D18" s="4">
        <f si="7" t="shared"/>
        <v>133000</v>
      </c>
      <c r="E18" s="4">
        <f si="7" t="shared"/>
        <v>45000</v>
      </c>
      <c r="F18" s="4">
        <f si="7" t="shared"/>
        <v>27000</v>
      </c>
      <c r="G18" s="4">
        <f si="7" t="shared"/>
        <v>303000</v>
      </c>
      <c r="I18" s="3" t="s">
        <v>7</v>
      </c>
      <c r="J18" s="4">
        <f si="8" t="shared"/>
        <v>5071.0124826629681</v>
      </c>
      <c r="K18" s="4">
        <f si="8" t="shared"/>
        <v>89190.984743411929</v>
      </c>
      <c r="L18" s="4">
        <f si="8" t="shared"/>
        <v>151345.90846047158</v>
      </c>
      <c r="M18" s="4">
        <f si="8" t="shared"/>
        <v>44672.538141470184</v>
      </c>
      <c r="N18" s="4">
        <f si="8" t="shared"/>
        <v>12719.556171983357</v>
      </c>
      <c r="O18" s="4">
        <f si="8" t="shared"/>
        <v>303000</v>
      </c>
      <c r="Q18" s="3" t="s">
        <v>7</v>
      </c>
      <c r="R18" s="4">
        <f si="9" t="shared"/>
        <v>0</v>
      </c>
      <c r="S18" s="4">
        <f si="9" t="shared"/>
        <v>98000</v>
      </c>
      <c r="T18" s="4">
        <f si="9" t="shared"/>
        <v>133000</v>
      </c>
      <c r="U18" s="4">
        <f si="9" t="shared"/>
        <v>45000</v>
      </c>
      <c r="V18" s="4">
        <f si="9" t="shared"/>
        <v>27000</v>
      </c>
      <c r="W18" s="4">
        <f si="20" t="shared"/>
        <v>303000</v>
      </c>
      <c r="Y18" s="3" t="s">
        <v>7</v>
      </c>
      <c r="Z18" s="4">
        <f si="21" t="shared"/>
        <v>-5071.0124826629681</v>
      </c>
      <c r="AA18" s="4">
        <f si="10" t="shared"/>
        <v>8809.0152565880708</v>
      </c>
      <c r="AB18" s="4">
        <f si="11" t="shared"/>
        <v>-18345.908460471575</v>
      </c>
      <c r="AC18" s="4">
        <f si="12" t="shared"/>
        <v>327.4618585298158</v>
      </c>
      <c r="AD18" s="4">
        <f si="13" t="shared"/>
        <v>14280.443828016643</v>
      </c>
      <c r="AE18" s="4">
        <f si="14" t="shared"/>
        <v>0</v>
      </c>
      <c r="AG18" s="3" t="s">
        <v>7</v>
      </c>
      <c r="AH18" s="17">
        <f si="22" t="shared"/>
        <v>-1</v>
      </c>
      <c r="AI18" s="17">
        <f si="15" t="shared"/>
        <v>9.8765758466847139E-2</v>
      </c>
      <c r="AJ18" s="17">
        <f si="16" t="shared"/>
        <v>-0.1212183972932651</v>
      </c>
      <c r="AK18" s="17">
        <f si="17" t="shared"/>
        <v>7.3302720676582302E-3</v>
      </c>
      <c r="AL18" s="17">
        <f si="18" t="shared"/>
        <v>1.1227155755223099</v>
      </c>
      <c r="AM18" s="17">
        <f si="19" t="shared"/>
        <v>0</v>
      </c>
    </row>
    <row r="19" spans="1:39" x14ac:dyDescent="0.45">
      <c r="A19" s="5" t="s">
        <v>8</v>
      </c>
      <c r="B19" s="4">
        <f si="7" t="shared"/>
        <v>0</v>
      </c>
      <c r="C19" s="4">
        <f si="7" t="shared"/>
        <v>60000</v>
      </c>
      <c r="D19" s="4">
        <f si="7" t="shared"/>
        <v>277000</v>
      </c>
      <c r="E19" s="4">
        <f si="7" t="shared"/>
        <v>129000</v>
      </c>
      <c r="F19" s="4">
        <f si="7" t="shared"/>
        <v>77000</v>
      </c>
      <c r="G19" s="6">
        <f si="7" t="shared"/>
        <v>543000</v>
      </c>
      <c r="I19" s="5" t="s">
        <v>8</v>
      </c>
      <c r="J19" s="6">
        <f si="8" t="shared"/>
        <v>5227.5284344823958</v>
      </c>
      <c r="K19" s="6">
        <f si="8" t="shared"/>
        <v>68294.106307285183</v>
      </c>
      <c r="L19" s="6">
        <f si="8" t="shared"/>
        <v>298838.26080860832</v>
      </c>
      <c r="M19" s="6">
        <f si="8" t="shared"/>
        <v>122329.87504600341</v>
      </c>
      <c r="N19" s="6">
        <f si="8" t="shared"/>
        <v>48310.229403620688</v>
      </c>
      <c r="O19" s="6">
        <f si="8" t="shared"/>
        <v>543000</v>
      </c>
      <c r="Q19" s="5" t="s">
        <v>8</v>
      </c>
      <c r="R19" s="4">
        <f si="9" t="shared"/>
        <v>0</v>
      </c>
      <c r="S19" s="4">
        <f si="9" t="shared"/>
        <v>60000</v>
      </c>
      <c r="T19" s="4">
        <f si="9" t="shared"/>
        <v>277000</v>
      </c>
      <c r="U19" s="4">
        <f si="9" t="shared"/>
        <v>129000</v>
      </c>
      <c r="V19" s="4">
        <f si="9" t="shared"/>
        <v>77000</v>
      </c>
      <c r="W19" s="6">
        <f si="20" t="shared"/>
        <v>543000</v>
      </c>
      <c r="Y19" s="5" t="s">
        <v>8</v>
      </c>
      <c r="Z19" s="4">
        <f si="21" t="shared"/>
        <v>-5227.5284344823958</v>
      </c>
      <c r="AA19" s="4">
        <f si="10" t="shared"/>
        <v>-8294.106307285183</v>
      </c>
      <c r="AB19" s="4">
        <f si="11" t="shared"/>
        <v>-21838.26080860832</v>
      </c>
      <c r="AC19" s="4">
        <f si="12" t="shared"/>
        <v>6670.1249539965938</v>
      </c>
      <c r="AD19" s="4">
        <f si="13" t="shared"/>
        <v>28689.770596379312</v>
      </c>
      <c r="AE19" s="6">
        <f si="14" t="shared"/>
        <v>0</v>
      </c>
      <c r="AG19" s="5" t="s">
        <v>8</v>
      </c>
      <c r="AH19" s="17">
        <f si="22" t="shared"/>
        <v>-1</v>
      </c>
      <c r="AI19" s="17">
        <f si="15" t="shared"/>
        <v>-0.12144688254600412</v>
      </c>
      <c r="AJ19" s="17">
        <f si="16" t="shared"/>
        <v>-7.3077191486516799E-2</v>
      </c>
      <c r="AK19" s="17">
        <f si="17" t="shared"/>
        <v>5.452572359358844E-2</v>
      </c>
      <c r="AL19" s="17">
        <f si="18" t="shared"/>
        <v>0.59386533557278265</v>
      </c>
      <c r="AM19" s="18">
        <f si="19" t="shared"/>
        <v>0</v>
      </c>
    </row>
    <row ht="14.65" r="20" spans="1:39" thickBot="1" x14ac:dyDescent="0.5">
      <c r="A20" s="7" t="s">
        <v>3</v>
      </c>
      <c r="B20" s="8">
        <f si="7" t="shared"/>
        <v>15000</v>
      </c>
      <c r="C20" s="8">
        <f si="7" t="shared"/>
        <v>512000</v>
      </c>
      <c r="D20" s="8">
        <f si="7" t="shared"/>
        <v>565000</v>
      </c>
      <c r="E20" s="8">
        <f si="7" t="shared"/>
        <v>224000</v>
      </c>
      <c r="F20" s="8">
        <f si="7" t="shared"/>
        <v>124000</v>
      </c>
      <c r="G20" s="8">
        <f si="7" t="shared"/>
        <v>1440000</v>
      </c>
      <c r="I20" s="7" t="s">
        <v>3</v>
      </c>
      <c r="J20" s="8">
        <f si="8" t="shared"/>
        <v>90597.08814805311</v>
      </c>
      <c r="K20" s="8">
        <f si="8" t="shared"/>
        <v>507857.77361822891</v>
      </c>
      <c r="L20" s="8">
        <f si="8" t="shared"/>
        <v>594995.96205082536</v>
      </c>
      <c r="M20" s="8">
        <f si="8" t="shared"/>
        <v>182658.70649770176</v>
      </c>
      <c r="N20" s="8">
        <f si="8" t="shared"/>
        <v>63890.469685190918</v>
      </c>
      <c r="O20" s="8">
        <f si="8" t="shared"/>
        <v>1440000</v>
      </c>
      <c r="Q20" s="7" t="s">
        <v>3</v>
      </c>
      <c r="R20" s="8">
        <f>SUM(R16:R19)</f>
        <v>15000</v>
      </c>
      <c r="S20" s="8">
        <f ref="S20:V20" si="23" t="shared">SUM(S16:S19)</f>
        <v>512000</v>
      </c>
      <c r="T20" s="8">
        <f si="23" t="shared"/>
        <v>565000</v>
      </c>
      <c r="U20" s="8">
        <f si="23" t="shared"/>
        <v>224000</v>
      </c>
      <c r="V20" s="8">
        <f si="23" t="shared"/>
        <v>124000</v>
      </c>
      <c r="W20" s="8">
        <f si="20" t="shared"/>
        <v>1440000</v>
      </c>
      <c r="Y20" s="7" t="s">
        <v>3</v>
      </c>
      <c r="Z20" s="8">
        <f si="21" t="shared"/>
        <v>-75597.08814805311</v>
      </c>
      <c r="AA20" s="8">
        <f si="10" t="shared"/>
        <v>4142.2263817710918</v>
      </c>
      <c r="AB20" s="8">
        <f si="11" t="shared"/>
        <v>-29995.962050825357</v>
      </c>
      <c r="AC20" s="8">
        <f si="12" t="shared"/>
        <v>41341.293502298242</v>
      </c>
      <c r="AD20" s="8">
        <f si="13" t="shared"/>
        <v>60109.530314809082</v>
      </c>
      <c r="AE20" s="8">
        <f si="14" t="shared"/>
        <v>0</v>
      </c>
      <c r="AG20" s="7" t="s">
        <v>3</v>
      </c>
      <c r="AH20" s="19">
        <f si="22" t="shared"/>
        <v>-0.83443176478821146</v>
      </c>
      <c r="AI20" s="19">
        <f si="15" t="shared"/>
        <v>8.1562724781385765E-3</v>
      </c>
      <c r="AJ20" s="19">
        <f si="16" t="shared"/>
        <v>-5.0413723729209207E-2</v>
      </c>
      <c r="AK20" s="19">
        <f si="17" t="shared"/>
        <v>0.2263308127763316</v>
      </c>
      <c r="AL20" s="19">
        <f si="18" t="shared"/>
        <v>0.94082154366665716</v>
      </c>
      <c r="AM20" s="19">
        <f si="19" t="shared"/>
        <v>0</v>
      </c>
    </row>
    <row ht="14.65" r="23" spans="1:39" thickBot="1" x14ac:dyDescent="0.5">
      <c r="A23" s="12"/>
      <c r="B23" s="10" t="s">
        <v>1</v>
      </c>
      <c r="C23" s="9"/>
      <c r="D23" s="9"/>
      <c r="E23" s="9"/>
      <c r="F23" s="9"/>
      <c r="G23" s="9"/>
      <c r="I23" s="12"/>
      <c r="J23" s="10" t="s">
        <v>1</v>
      </c>
      <c r="K23" s="9"/>
      <c r="L23" s="9"/>
      <c r="M23" s="9"/>
      <c r="N23" s="9"/>
      <c r="O23" s="9"/>
      <c r="Q23" s="12"/>
      <c r="R23" s="10" t="s">
        <v>1</v>
      </c>
      <c r="S23" s="9"/>
      <c r="T23" s="9"/>
      <c r="U23" s="9"/>
      <c r="V23" s="9"/>
      <c r="W23" s="9"/>
    </row>
    <row r="24" spans="1:39" x14ac:dyDescent="0.45">
      <c r="A24" s="11" t="s">
        <v>4</v>
      </c>
      <c r="B24" s="2">
        <v>0</v>
      </c>
      <c r="C24" s="2">
        <v>1</v>
      </c>
      <c r="D24" s="2">
        <v>2</v>
      </c>
      <c r="E24" s="2">
        <v>3</v>
      </c>
      <c r="F24" s="2" t="s">
        <v>2</v>
      </c>
      <c r="G24" s="2" t="s">
        <v>3</v>
      </c>
      <c r="I24" s="11" t="s">
        <v>4</v>
      </c>
      <c r="J24" s="2">
        <v>0</v>
      </c>
      <c r="K24" s="2">
        <v>1</v>
      </c>
      <c r="L24" s="2">
        <v>2</v>
      </c>
      <c r="M24" s="2">
        <v>3</v>
      </c>
      <c r="N24" s="2" t="s">
        <v>2</v>
      </c>
      <c r="O24" s="2" t="s">
        <v>3</v>
      </c>
      <c r="Q24" s="11" t="s">
        <v>4</v>
      </c>
      <c r="R24" s="2">
        <v>0</v>
      </c>
      <c r="S24" s="2">
        <v>1</v>
      </c>
      <c r="T24" s="2">
        <v>2</v>
      </c>
      <c r="U24" s="2">
        <v>3</v>
      </c>
      <c r="V24" s="2" t="s">
        <v>2</v>
      </c>
      <c r="W24" s="2" t="s">
        <v>3</v>
      </c>
    </row>
    <row r="25" spans="1:39" x14ac:dyDescent="0.45">
      <c r="A25" s="3" t="s">
        <v>5</v>
      </c>
      <c r="B25" s="17">
        <f>B16/$G$20</f>
        <v>8.3333333333333332E-3</v>
      </c>
      <c r="C25" s="17">
        <f ref="C25:G25" si="24" t="shared">C16/$G$20</f>
        <v>5.486111111111111E-2</v>
      </c>
      <c r="D25" s="17">
        <f si="24" t="shared"/>
        <v>1.5972222222222221E-2</v>
      </c>
      <c r="E25" s="17">
        <f si="24" t="shared"/>
        <v>2.7777777777777779E-3</v>
      </c>
      <c r="F25" s="17">
        <f si="24" t="shared"/>
        <v>3.472222222222222E-3</v>
      </c>
      <c r="G25" s="17">
        <f si="24" t="shared"/>
        <v>8.5416666666666669E-2</v>
      </c>
      <c r="I25" s="3" t="s">
        <v>5</v>
      </c>
      <c r="J25" s="17">
        <f>J16/$O$20</f>
        <v>2.4752740459902747E-2</v>
      </c>
      <c r="K25" s="17">
        <f ref="K25:O25" si="25" t="shared">K16/$O$20</f>
        <v>4.532370394791066E-2</v>
      </c>
      <c r="L25" s="17">
        <f si="25" t="shared"/>
        <v>1.3094453144317153E-2</v>
      </c>
      <c r="M25" s="17">
        <f si="25" t="shared"/>
        <v>1.6332866287535372E-3</v>
      </c>
      <c r="N25" s="17">
        <f si="25" t="shared"/>
        <v>6.124824857825764E-4</v>
      </c>
      <c r="O25" s="17">
        <f si="25" t="shared"/>
        <v>8.5416666666666669E-2</v>
      </c>
      <c r="Q25" s="3" t="s">
        <v>5</v>
      </c>
      <c r="R25" s="17">
        <f ref="R25:W29" si="26" t="shared">R6/$W$10</f>
        <v>8.3333333333333332E-3</v>
      </c>
      <c r="S25" s="17">
        <f si="26" t="shared"/>
        <v>5.486111111111111E-2</v>
      </c>
      <c r="T25" s="17">
        <f si="26" t="shared"/>
        <v>1.5972222222222221E-2</v>
      </c>
      <c r="U25" s="17">
        <f si="26" t="shared"/>
        <v>2.7777777777777779E-3</v>
      </c>
      <c r="V25" s="17">
        <f si="26" t="shared"/>
        <v>3.472222222222222E-3</v>
      </c>
      <c r="W25" s="17">
        <f si="26" t="shared"/>
        <v>8.5416666666666669E-2</v>
      </c>
    </row>
    <row r="26" spans="1:39" x14ac:dyDescent="0.45">
      <c r="A26" s="3" t="s">
        <v>6</v>
      </c>
      <c r="B26" s="17">
        <f ref="B26:G26" si="27" t="shared">B17/$G$20</f>
        <v>2.0833333333333333E-3</v>
      </c>
      <c r="C26" s="17">
        <f si="27" t="shared"/>
        <v>0.19097222222222221</v>
      </c>
      <c r="D26" s="17">
        <f si="27" t="shared"/>
        <v>9.166666666666666E-2</v>
      </c>
      <c r="E26" s="17">
        <f si="27" t="shared"/>
        <v>3.1944444444444442E-2</v>
      </c>
      <c r="F26" s="17">
        <f si="27" t="shared"/>
        <v>1.0416666666666666E-2</v>
      </c>
      <c r="G26" s="17">
        <f si="27" t="shared"/>
        <v>0.32708333333333334</v>
      </c>
      <c r="I26" s="3" t="s">
        <v>6</v>
      </c>
      <c r="J26" s="17">
        <f ref="J26:O26" si="28" t="shared">J17/$O$20</f>
        <v>2.1185848677538331E-2</v>
      </c>
      <c r="K26" s="17">
        <f si="28" t="shared"/>
        <v>0.17450562313790308</v>
      </c>
      <c r="L26" s="17">
        <f si="28" t="shared"/>
        <v>0.10580011387523205</v>
      </c>
      <c r="M26" s="17">
        <f si="28" t="shared"/>
        <v>1.9894553552942333E-2</v>
      </c>
      <c r="N26" s="17">
        <f si="28" t="shared"/>
        <v>5.6971940897175399E-3</v>
      </c>
      <c r="O26" s="17">
        <f si="28" t="shared"/>
        <v>0.32708333333333334</v>
      </c>
      <c r="Q26" s="3" t="s">
        <v>6</v>
      </c>
      <c r="R26" s="17">
        <f si="26" t="shared"/>
        <v>2.0833333333333333E-3</v>
      </c>
      <c r="S26" s="17">
        <f si="26" t="shared"/>
        <v>0.19097222222222221</v>
      </c>
      <c r="T26" s="17">
        <f si="26" t="shared"/>
        <v>9.166666666666666E-2</v>
      </c>
      <c r="U26" s="17">
        <f si="26" t="shared"/>
        <v>3.1944444444444442E-2</v>
      </c>
      <c r="V26" s="17">
        <f si="26" t="shared"/>
        <v>1.0416666666666666E-2</v>
      </c>
      <c r="W26" s="17">
        <f si="26" t="shared"/>
        <v>0.32708333333333334</v>
      </c>
    </row>
    <row r="27" spans="1:39" x14ac:dyDescent="0.45">
      <c r="A27" s="3" t="s">
        <v>7</v>
      </c>
      <c r="B27" s="17">
        <f ref="B27:G27" si="29" t="shared">B18/$G$20</f>
        <v>0</v>
      </c>
      <c r="C27" s="17">
        <f si="29" t="shared"/>
        <v>6.805555555555555E-2</v>
      </c>
      <c r="D27" s="17">
        <f si="29" t="shared"/>
        <v>9.2361111111111116E-2</v>
      </c>
      <c r="E27" s="17">
        <f si="29" t="shared"/>
        <v>3.125E-2</v>
      </c>
      <c r="F27" s="17">
        <f si="29" t="shared"/>
        <v>1.8749999999999999E-2</v>
      </c>
      <c r="G27" s="17">
        <f si="29" t="shared"/>
        <v>0.21041666666666667</v>
      </c>
      <c r="I27" s="3" t="s">
        <v>7</v>
      </c>
      <c r="J27" s="17">
        <f ref="J27:O27" si="30" t="shared">J18/$O$20</f>
        <v>3.5215364462937277E-3</v>
      </c>
      <c r="K27" s="17">
        <f si="30" t="shared"/>
        <v>6.193818384959162E-2</v>
      </c>
      <c r="L27" s="17">
        <f si="30" t="shared"/>
        <v>0.10510132531977193</v>
      </c>
      <c r="M27" s="17">
        <f si="30" t="shared"/>
        <v>3.1022595931576517E-2</v>
      </c>
      <c r="N27" s="17">
        <f si="30" t="shared"/>
        <v>8.8330251194328867E-3</v>
      </c>
      <c r="O27" s="17">
        <f si="30" t="shared"/>
        <v>0.21041666666666667</v>
      </c>
      <c r="Q27" s="3" t="s">
        <v>7</v>
      </c>
      <c r="R27" s="17">
        <f si="26" t="shared"/>
        <v>0</v>
      </c>
      <c r="S27" s="17">
        <f si="26" t="shared"/>
        <v>6.805555555555555E-2</v>
      </c>
      <c r="T27" s="17">
        <f si="26" t="shared"/>
        <v>9.2361111111111116E-2</v>
      </c>
      <c r="U27" s="17">
        <f si="26" t="shared"/>
        <v>3.125E-2</v>
      </c>
      <c r="V27" s="17">
        <f si="26" t="shared"/>
        <v>1.8749999999999999E-2</v>
      </c>
      <c r="W27" s="17">
        <f si="26" t="shared"/>
        <v>0.21041666666666667</v>
      </c>
    </row>
    <row r="28" spans="1:39" x14ac:dyDescent="0.45">
      <c r="A28" s="5" t="s">
        <v>8</v>
      </c>
      <c r="B28" s="18">
        <f ref="B28:G28" si="31" t="shared">B19/$G$20</f>
        <v>0</v>
      </c>
      <c r="C28" s="18">
        <f si="31" t="shared"/>
        <v>4.1666666666666664E-2</v>
      </c>
      <c r="D28" s="18">
        <f si="31" t="shared"/>
        <v>0.19236111111111112</v>
      </c>
      <c r="E28" s="18">
        <f si="31" t="shared"/>
        <v>8.9583333333333334E-2</v>
      </c>
      <c r="F28" s="18">
        <f si="31" t="shared"/>
        <v>5.347222222222222E-2</v>
      </c>
      <c r="G28" s="18">
        <f si="31" t="shared"/>
        <v>0.37708333333333333</v>
      </c>
      <c r="I28" s="5" t="s">
        <v>8</v>
      </c>
      <c r="J28" s="18">
        <f ref="J28:O28" si="32" t="shared">J19/$O$20</f>
        <v>3.6302280795016636E-3</v>
      </c>
      <c r="K28" s="18">
        <f si="32" t="shared"/>
        <v>4.7426462713392487E-2</v>
      </c>
      <c r="L28" s="18">
        <f si="32" t="shared"/>
        <v>0.20752657000597799</v>
      </c>
      <c r="M28" s="18">
        <f si="32" t="shared"/>
        <v>8.4951302115280139E-2</v>
      </c>
      <c r="N28" s="18">
        <f si="32" t="shared"/>
        <v>3.3548770419181036E-2</v>
      </c>
      <c r="O28" s="18">
        <f si="32" t="shared"/>
        <v>0.37708333333333333</v>
      </c>
      <c r="Q28" s="5" t="s">
        <v>8</v>
      </c>
      <c r="R28" s="18">
        <f si="26" t="shared"/>
        <v>0</v>
      </c>
      <c r="S28" s="18">
        <f si="26" t="shared"/>
        <v>4.1666666666666664E-2</v>
      </c>
      <c r="T28" s="18">
        <f si="26" t="shared"/>
        <v>0.19236111111111112</v>
      </c>
      <c r="U28" s="18">
        <f si="26" t="shared"/>
        <v>8.9583333333333334E-2</v>
      </c>
      <c r="V28" s="18">
        <f si="26" t="shared"/>
        <v>5.347222222222222E-2</v>
      </c>
      <c r="W28" s="18">
        <f si="26" t="shared"/>
        <v>0.37708333333333333</v>
      </c>
    </row>
    <row ht="14.65" r="29" spans="1:39" thickBot="1" x14ac:dyDescent="0.5">
      <c r="A29" s="7" t="s">
        <v>3</v>
      </c>
      <c r="B29" s="19">
        <f ref="B29:G29" si="33" t="shared">B20/$G$20</f>
        <v>1.0416666666666666E-2</v>
      </c>
      <c r="C29" s="19">
        <f si="33" t="shared"/>
        <v>0.35555555555555557</v>
      </c>
      <c r="D29" s="19">
        <f si="33" t="shared"/>
        <v>0.3923611111111111</v>
      </c>
      <c r="E29" s="19">
        <f si="33" t="shared"/>
        <v>0.15555555555555556</v>
      </c>
      <c r="F29" s="19">
        <f si="33" t="shared"/>
        <v>8.611111111111111E-2</v>
      </c>
      <c r="G29" s="19">
        <f si="33" t="shared"/>
        <v>1</v>
      </c>
      <c r="I29" s="7" t="s">
        <v>3</v>
      </c>
      <c r="J29" s="19">
        <f ref="J29:O29" si="34" t="shared">J20/$O$20</f>
        <v>6.2914644547259105E-2</v>
      </c>
      <c r="K29" s="19">
        <f si="34" t="shared"/>
        <v>0.3526790094571034</v>
      </c>
      <c r="L29" s="19">
        <f si="34" t="shared"/>
        <v>0.41319164031307315</v>
      </c>
      <c r="M29" s="19">
        <f si="34" t="shared"/>
        <v>0.12684632395673734</v>
      </c>
      <c r="N29" s="19">
        <f si="34" t="shared"/>
        <v>4.4368381725827029E-2</v>
      </c>
      <c r="O29" s="19">
        <f si="34" t="shared"/>
        <v>1</v>
      </c>
      <c r="Q29" s="7" t="s">
        <v>3</v>
      </c>
      <c r="R29" s="19">
        <f si="26" t="shared"/>
        <v>1.0416666666666666E-2</v>
      </c>
      <c r="S29" s="19">
        <f si="26" t="shared"/>
        <v>0.35555555555555557</v>
      </c>
      <c r="T29" s="19">
        <f si="26" t="shared"/>
        <v>0.3923611111111111</v>
      </c>
      <c r="U29" s="19">
        <f si="26" t="shared"/>
        <v>0.15555555555555556</v>
      </c>
      <c r="V29" s="19">
        <f si="26" t="shared"/>
        <v>8.611111111111111E-2</v>
      </c>
      <c r="W29" s="19">
        <f si="26" t="shared"/>
        <v>1</v>
      </c>
    </row>
    <row ht="14.65" r="32" spans="1:39" thickBot="1" x14ac:dyDescent="0.5">
      <c r="Q32" s="12"/>
      <c r="R32" s="10" t="s">
        <v>1</v>
      </c>
      <c r="S32" s="9"/>
      <c r="T32" s="9"/>
      <c r="U32" s="9"/>
      <c r="V32" s="9"/>
      <c r="W32" s="9"/>
    </row>
    <row r="33" spans="17:23" x14ac:dyDescent="0.45">
      <c r="Q33" s="11" t="s">
        <v>4</v>
      </c>
      <c r="R33" s="2">
        <v>0</v>
      </c>
      <c r="S33" s="2">
        <v>1</v>
      </c>
      <c r="T33" s="2">
        <v>2</v>
      </c>
      <c r="U33" s="2">
        <v>3</v>
      </c>
      <c r="V33" s="2" t="s">
        <v>2</v>
      </c>
      <c r="W33" s="2" t="s">
        <v>3</v>
      </c>
    </row>
    <row r="34" spans="17:23" x14ac:dyDescent="0.45">
      <c r="Q34" s="3" t="s">
        <v>5</v>
      </c>
      <c r="R34" s="17">
        <f>R25-J25</f>
        <v>-1.6419407126569412E-2</v>
      </c>
      <c r="S34" s="17">
        <f ref="S34:W34" si="35" t="shared">S25-K25</f>
        <v>9.5374071632004509E-3</v>
      </c>
      <c r="T34" s="17">
        <f si="35" t="shared"/>
        <v>2.8777690779050683E-3</v>
      </c>
      <c r="U34" s="17">
        <f si="35" t="shared"/>
        <v>1.1444911490242407E-3</v>
      </c>
      <c r="V34" s="17">
        <f si="35" t="shared"/>
        <v>2.8597397364396454E-3</v>
      </c>
      <c r="W34" s="17">
        <f si="35" t="shared"/>
        <v>0</v>
      </c>
    </row>
    <row r="35" spans="17:23" x14ac:dyDescent="0.45">
      <c r="Q35" s="3" t="s">
        <v>6</v>
      </c>
      <c r="R35" s="17">
        <f ref="R35:W38" si="36" t="shared">R26-J26</f>
        <v>-1.9102515344204998E-2</v>
      </c>
      <c r="S35" s="17">
        <f si="36" t="shared"/>
        <v>1.6466599084319133E-2</v>
      </c>
      <c r="T35" s="17">
        <f si="36" t="shared"/>
        <v>-1.4133447208565394E-2</v>
      </c>
      <c r="U35" s="17">
        <f si="36" t="shared"/>
        <v>1.2049890891502109E-2</v>
      </c>
      <c r="V35" s="17">
        <f si="36" t="shared"/>
        <v>4.7194725769491262E-3</v>
      </c>
      <c r="W35" s="17">
        <f si="36" t="shared"/>
        <v>0</v>
      </c>
    </row>
    <row r="36" spans="17:23" x14ac:dyDescent="0.45">
      <c r="Q36" s="3" t="s">
        <v>7</v>
      </c>
      <c r="R36" s="17">
        <f si="36" t="shared"/>
        <v>-3.5215364462937277E-3</v>
      </c>
      <c r="S36" s="17">
        <f si="36" t="shared"/>
        <v>6.1173717059639296E-3</v>
      </c>
      <c r="T36" s="17">
        <f si="36" t="shared"/>
        <v>-1.2740214208660811E-2</v>
      </c>
      <c r="U36" s="17">
        <f si="36" t="shared"/>
        <v>2.2740406842348265E-4</v>
      </c>
      <c r="V36" s="17">
        <f si="36" t="shared"/>
        <v>9.9169748805671126E-3</v>
      </c>
      <c r="W36" s="17">
        <f si="36" t="shared"/>
        <v>0</v>
      </c>
    </row>
    <row r="37" spans="17:23" x14ac:dyDescent="0.45">
      <c r="Q37" s="5" t="s">
        <v>8</v>
      </c>
      <c r="R37" s="18">
        <f si="36" t="shared"/>
        <v>-3.6302280795016636E-3</v>
      </c>
      <c r="S37" s="18">
        <f si="36" t="shared"/>
        <v>-5.7597960467258222E-3</v>
      </c>
      <c r="T37" s="18">
        <f si="36" t="shared"/>
        <v>-1.5165458894866868E-2</v>
      </c>
      <c r="U37" s="18">
        <f si="36" t="shared"/>
        <v>4.6320312180531953E-3</v>
      </c>
      <c r="V37" s="18">
        <f si="36" t="shared"/>
        <v>1.9923451803041184E-2</v>
      </c>
      <c r="W37" s="18">
        <f si="36" t="shared"/>
        <v>0</v>
      </c>
    </row>
    <row ht="14.65" r="38" spans="17:23" thickBot="1" x14ac:dyDescent="0.5">
      <c r="Q38" s="7" t="s">
        <v>3</v>
      </c>
      <c r="R38" s="19">
        <f si="36" t="shared"/>
        <v>-5.249797788059244E-2</v>
      </c>
      <c r="S38" s="19">
        <f si="36" t="shared"/>
        <v>2.8765460984521707E-3</v>
      </c>
      <c r="T38" s="19">
        <f si="36" t="shared"/>
        <v>-2.0830529201962045E-2</v>
      </c>
      <c r="U38" s="19">
        <f si="36" t="shared"/>
        <v>2.8709231598818219E-2</v>
      </c>
      <c r="V38" s="19">
        <f si="36" t="shared"/>
        <v>4.1742729385284082E-2</v>
      </c>
      <c r="W38" s="19">
        <f si="36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M38"/>
  <sheetViews>
    <sheetView topLeftCell="A4" workbookViewId="0">
      <selection activeCell="A22" sqref="A22"/>
    </sheetView>
  </sheetViews>
  <sheetFormatPr defaultRowHeight="14.25" x14ac:dyDescent="0.45"/>
  <cols>
    <col min="1" max="23" customWidth="true" width="9.265625" collapsed="true"/>
  </cols>
  <sheetData>
    <row ht="21" r="1" spans="1:39" x14ac:dyDescent="0.65">
      <c r="A1" s="13" t="s">
        <v>176</v>
      </c>
      <c r="I1" s="13" t="s">
        <v>10</v>
      </c>
      <c r="Q1" s="13" t="s">
        <v>163</v>
      </c>
    </row>
    <row r="2" spans="1:39" x14ac:dyDescent="0.45">
      <c r="A2" s="1"/>
      <c r="I2" s="1" t="s">
        <v>12</v>
      </c>
      <c r="Q2" s="1"/>
    </row>
    <row r="3" spans="1:39" x14ac:dyDescent="0.45">
      <c r="A3" s="1" t="s">
        <v>173</v>
      </c>
      <c r="I3" s="1" t="s">
        <v>173</v>
      </c>
      <c r="Q3" s="1" t="s">
        <v>173</v>
      </c>
    </row>
    <row ht="14.65" r="4" spans="1:39" thickBot="1" x14ac:dyDescent="0.5">
      <c r="A4" s="12"/>
      <c r="B4" s="10" t="s">
        <v>1</v>
      </c>
      <c r="C4" s="9"/>
      <c r="D4" s="9"/>
      <c r="E4" s="9"/>
      <c r="F4" s="9"/>
      <c r="G4" s="9"/>
      <c r="I4" s="12"/>
      <c r="J4" s="10" t="s">
        <v>1</v>
      </c>
      <c r="K4" s="9"/>
      <c r="L4" s="9"/>
      <c r="M4" s="9"/>
      <c r="N4" s="9"/>
      <c r="O4" s="9"/>
      <c r="Q4" s="12"/>
      <c r="R4" s="10" t="s">
        <v>1</v>
      </c>
      <c r="S4" s="9"/>
      <c r="T4" s="9"/>
      <c r="U4" s="9"/>
      <c r="V4" s="9"/>
      <c r="W4" s="9"/>
    </row>
    <row r="5" spans="1:39" x14ac:dyDescent="0.45">
      <c r="A5" s="11" t="s">
        <v>0</v>
      </c>
      <c r="B5" s="2">
        <v>0</v>
      </c>
      <c r="C5" s="2">
        <v>1</v>
      </c>
      <c r="D5" s="2">
        <v>2</v>
      </c>
      <c r="E5" s="2">
        <v>3</v>
      </c>
      <c r="F5" s="2" t="s">
        <v>2</v>
      </c>
      <c r="G5" s="2" t="s">
        <v>3</v>
      </c>
      <c r="I5" s="11" t="s">
        <v>0</v>
      </c>
      <c r="J5" s="2">
        <v>0</v>
      </c>
      <c r="K5" s="2">
        <v>1</v>
      </c>
      <c r="L5" s="2">
        <v>2</v>
      </c>
      <c r="M5" s="2">
        <v>3</v>
      </c>
      <c r="N5" s="2" t="s">
        <v>2</v>
      </c>
      <c r="O5" s="2" t="s">
        <v>3</v>
      </c>
      <c r="Q5" s="11" t="s">
        <v>0</v>
      </c>
      <c r="R5" s="2">
        <v>0</v>
      </c>
      <c r="S5" s="2">
        <v>1</v>
      </c>
      <c r="T5" s="2">
        <v>2</v>
      </c>
      <c r="U5" s="2">
        <v>3</v>
      </c>
      <c r="V5" s="2" t="s">
        <v>2</v>
      </c>
      <c r="W5" s="2" t="s">
        <v>3</v>
      </c>
    </row>
    <row r="6" spans="1:39" x14ac:dyDescent="0.45">
      <c r="A6" s="3">
        <v>1</v>
      </c>
      <c r="B6" s="4" t="n">
        <v>20000.0</v>
      </c>
      <c r="C6" s="4" t="n">
        <v>420000.0</v>
      </c>
      <c r="D6" s="4" t="n">
        <v>60000.0</v>
      </c>
      <c r="E6" s="4" t="n">
        <v>20000.0</v>
      </c>
      <c r="F6" s="4" t="n">
        <v>10000.0</v>
      </c>
      <c r="G6" s="4">
        <f>SUM(B6:F6)</f>
        <v>487000</v>
      </c>
      <c r="I6" s="3">
        <v>1</v>
      </c>
      <c r="J6">
        <v>23835</v>
      </c>
      <c r="K6">
        <v>125435</v>
      </c>
      <c r="L6">
        <v>22995</v>
      </c>
      <c r="M6">
        <v>2445</v>
      </c>
      <c r="N6">
        <v>735</v>
      </c>
      <c r="O6" s="4">
        <v>175445</v>
      </c>
      <c r="Q6" s="3">
        <v>1</v>
      </c>
      <c r="R6" s="40" t="n">
        <v>20000.0</v>
      </c>
      <c r="S6" s="44" t="n">
        <v>420000.0</v>
      </c>
      <c r="T6" s="48" t="n">
        <v>60000.0</v>
      </c>
      <c r="U6" s="52" t="n">
        <v>20000.0</v>
      </c>
      <c r="V6" s="56" t="n">
        <v>10000.0</v>
      </c>
      <c r="W6" s="4">
        <f>SUM(R6:V6)</f>
        <v>487000</v>
      </c>
    </row>
    <row r="7" spans="1:39" x14ac:dyDescent="0.45">
      <c r="A7" s="3">
        <v>2</v>
      </c>
      <c r="B7" s="4" t="n">
        <v>0.0</v>
      </c>
      <c r="C7" s="4" t="n">
        <v>40000.0</v>
      </c>
      <c r="D7" s="4" t="n">
        <v>540000.0</v>
      </c>
      <c r="E7" s="4" t="n">
        <v>90000.0</v>
      </c>
      <c r="F7" s="4" t="n">
        <v>50000.0</v>
      </c>
      <c r="G7" s="4">
        <f ref="G7:G10" si="0" t="shared">SUM(B7:F7)</f>
        <v>736000</v>
      </c>
      <c r="I7" s="3">
        <v>2</v>
      </c>
      <c r="J7">
        <v>7325</v>
      </c>
      <c r="K7">
        <v>51560</v>
      </c>
      <c r="L7">
        <v>168890</v>
      </c>
      <c r="M7">
        <v>32395</v>
      </c>
      <c r="N7">
        <v>6210</v>
      </c>
      <c r="O7" s="4">
        <v>266380</v>
      </c>
      <c r="Q7" s="3">
        <v>2</v>
      </c>
      <c r="R7" s="41" t="n">
        <v>0.0</v>
      </c>
      <c r="S7" s="45" t="n">
        <v>40000.0</v>
      </c>
      <c r="T7" s="49" t="n">
        <v>540000.0</v>
      </c>
      <c r="U7" s="53" t="n">
        <v>90000.0</v>
      </c>
      <c r="V7" s="57" t="n">
        <v>50000.0</v>
      </c>
      <c r="W7" s="4">
        <f ref="W7:W10" si="1" t="shared">SUM(R7:V7)</f>
        <v>736000</v>
      </c>
    </row>
    <row r="8" spans="1:39" x14ac:dyDescent="0.45">
      <c r="A8" s="3">
        <v>3</v>
      </c>
      <c r="B8" s="4" t="n">
        <v>0.0</v>
      </c>
      <c r="C8" s="4" t="n">
        <v>20000.0</v>
      </c>
      <c r="D8" s="4" t="n">
        <v>30000.0</v>
      </c>
      <c r="E8" s="4" t="n">
        <v>70000.0</v>
      </c>
      <c r="F8" s="4" t="n">
        <v>10000.0</v>
      </c>
      <c r="G8" s="4">
        <f si="0" t="shared"/>
        <v>157000</v>
      </c>
      <c r="I8" s="3">
        <v>3</v>
      </c>
      <c r="J8">
        <v>1520</v>
      </c>
      <c r="K8">
        <v>8235</v>
      </c>
      <c r="L8">
        <v>21750</v>
      </c>
      <c r="M8">
        <v>25910</v>
      </c>
      <c r="N8">
        <v>7240</v>
      </c>
      <c r="O8" s="4">
        <v>64655</v>
      </c>
      <c r="Q8" s="3">
        <v>3</v>
      </c>
      <c r="R8" s="42" t="n">
        <v>0.0</v>
      </c>
      <c r="S8" s="46" t="n">
        <v>20000.0</v>
      </c>
      <c r="T8" s="50" t="n">
        <v>30000.0</v>
      </c>
      <c r="U8" s="54" t="n">
        <v>70000.0</v>
      </c>
      <c r="V8" s="58" t="n">
        <v>10000.0</v>
      </c>
      <c r="W8" s="4">
        <f si="1" t="shared"/>
        <v>157000</v>
      </c>
    </row>
    <row r="9" spans="1:39" x14ac:dyDescent="0.45">
      <c r="A9" s="5" t="s">
        <v>2</v>
      </c>
      <c r="B9" s="4" t="n">
        <v>0.0</v>
      </c>
      <c r="C9" s="4" t="n">
        <v>0.0</v>
      </c>
      <c r="D9" s="4" t="n">
        <v>30000.0</v>
      </c>
      <c r="E9" s="4" t="n">
        <v>0.0</v>
      </c>
      <c r="F9" s="4" t="n">
        <v>30000.0</v>
      </c>
      <c r="G9" s="6">
        <f si="0" t="shared"/>
        <v>60000</v>
      </c>
      <c r="I9" s="5" t="s">
        <v>2</v>
      </c>
      <c r="J9" s="80">
        <v>660</v>
      </c>
      <c r="K9" s="80">
        <v>1680</v>
      </c>
      <c r="L9" s="80">
        <v>5340</v>
      </c>
      <c r="M9" s="80">
        <v>6475</v>
      </c>
      <c r="N9" s="80">
        <v>9340</v>
      </c>
      <c r="O9" s="6">
        <v>23495</v>
      </c>
      <c r="Q9" s="5" t="s">
        <v>2</v>
      </c>
      <c r="R9" s="43" t="n">
        <v>0.0</v>
      </c>
      <c r="S9" s="47" t="n">
        <v>0.0</v>
      </c>
      <c r="T9" s="51" t="n">
        <v>30000.0</v>
      </c>
      <c r="U9" s="55" t="n">
        <v>0.0</v>
      </c>
      <c r="V9" s="59" t="n">
        <v>30000.0</v>
      </c>
      <c r="W9" s="6">
        <f si="1" t="shared"/>
        <v>60000</v>
      </c>
    </row>
    <row ht="14.65" r="10" spans="1:39" thickBot="1" x14ac:dyDescent="0.5">
      <c r="A10" s="7" t="s">
        <v>3</v>
      </c>
      <c r="B10" s="8">
        <f>SUM(B6:B9)</f>
        <v>15000</v>
      </c>
      <c r="C10" s="8">
        <f ref="C10:F10" si="2" t="shared">SUM(C6:C9)</f>
        <v>512000</v>
      </c>
      <c r="D10" s="8">
        <f si="2" t="shared"/>
        <v>565000</v>
      </c>
      <c r="E10" s="8">
        <f si="2" t="shared"/>
        <v>224000</v>
      </c>
      <c r="F10" s="8">
        <f si="2" t="shared"/>
        <v>124000</v>
      </c>
      <c r="G10" s="8">
        <f si="0" t="shared"/>
        <v>1440000</v>
      </c>
      <c r="I10" s="7" t="s">
        <v>3</v>
      </c>
      <c r="J10" s="8">
        <v>33340</v>
      </c>
      <c r="K10" s="8">
        <v>186910</v>
      </c>
      <c r="L10" s="8">
        <v>218975</v>
      </c>
      <c r="M10" s="8">
        <v>67225</v>
      </c>
      <c r="N10" s="8">
        <v>23525</v>
      </c>
      <c r="O10" s="8">
        <v>529975</v>
      </c>
      <c r="Q10" s="7" t="s">
        <v>3</v>
      </c>
      <c r="R10" s="8">
        <f>SUM(R6:R9)</f>
        <v>15000</v>
      </c>
      <c r="S10" s="8">
        <f ref="S10" si="3" t="shared">SUM(S6:S9)</f>
        <v>512000</v>
      </c>
      <c r="T10" s="8">
        <f ref="T10" si="4" t="shared">SUM(T6:T9)</f>
        <v>565000</v>
      </c>
      <c r="U10" s="8">
        <f ref="U10" si="5" t="shared">SUM(U6:U9)</f>
        <v>224000</v>
      </c>
      <c r="V10" s="8">
        <f ref="V10" si="6" t="shared">SUM(V6:V9)</f>
        <v>124000</v>
      </c>
      <c r="W10" s="8">
        <f si="1" t="shared"/>
        <v>1440000</v>
      </c>
    </row>
    <row r="11" spans="1:39" x14ac:dyDescent="0.4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4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45">
      <c r="A13" s="1" t="s">
        <v>173</v>
      </c>
      <c r="I13" s="1" t="s">
        <v>173</v>
      </c>
      <c r="Q13" s="1" t="s">
        <v>173</v>
      </c>
      <c r="Y13" s="1" t="s">
        <v>19</v>
      </c>
      <c r="AG13" s="1" t="s">
        <v>20</v>
      </c>
    </row>
    <row ht="14.65" r="14" spans="1:39" thickBot="1" x14ac:dyDescent="0.5">
      <c r="A14" s="12"/>
      <c r="B14" s="10" t="s">
        <v>1</v>
      </c>
      <c r="C14" s="9"/>
      <c r="D14" s="9"/>
      <c r="E14" s="9"/>
      <c r="F14" s="9"/>
      <c r="G14" s="9"/>
      <c r="I14" s="12"/>
      <c r="J14" s="10" t="s">
        <v>1</v>
      </c>
      <c r="K14" s="9"/>
      <c r="L14" s="9"/>
      <c r="M14" s="9"/>
      <c r="N14" s="9"/>
      <c r="O14" s="9"/>
      <c r="Q14" s="12"/>
      <c r="R14" s="10" t="s">
        <v>1</v>
      </c>
      <c r="S14" s="9"/>
      <c r="T14" s="9"/>
      <c r="U14" s="9"/>
      <c r="V14" s="9"/>
      <c r="W14" s="9"/>
      <c r="Y14" s="12"/>
      <c r="Z14" s="10" t="s">
        <v>1</v>
      </c>
      <c r="AA14" s="9"/>
      <c r="AB14" s="9"/>
      <c r="AC14" s="9"/>
      <c r="AD14" s="9"/>
      <c r="AE14" s="9"/>
      <c r="AG14" s="12"/>
      <c r="AH14" s="10" t="s">
        <v>1</v>
      </c>
      <c r="AI14" s="9"/>
      <c r="AJ14" s="9"/>
      <c r="AK14" s="9"/>
      <c r="AL14" s="9"/>
      <c r="AM14" s="9"/>
    </row>
    <row r="15" spans="1:39" x14ac:dyDescent="0.45">
      <c r="A15" s="11" t="s">
        <v>0</v>
      </c>
      <c r="B15" s="2">
        <v>0</v>
      </c>
      <c r="C15" s="2">
        <v>1</v>
      </c>
      <c r="D15" s="2">
        <v>2</v>
      </c>
      <c r="E15" s="2">
        <v>3</v>
      </c>
      <c r="F15" s="2" t="s">
        <v>2</v>
      </c>
      <c r="G15" s="2" t="s">
        <v>3</v>
      </c>
      <c r="I15" s="11" t="s">
        <v>0</v>
      </c>
      <c r="J15" s="2">
        <v>0</v>
      </c>
      <c r="K15" s="2">
        <v>1</v>
      </c>
      <c r="L15" s="2">
        <v>2</v>
      </c>
      <c r="M15" s="2">
        <v>3</v>
      </c>
      <c r="N15" s="2" t="s">
        <v>2</v>
      </c>
      <c r="O15" s="2" t="s">
        <v>3</v>
      </c>
      <c r="Q15" s="11" t="s">
        <v>0</v>
      </c>
      <c r="R15" s="2">
        <v>0</v>
      </c>
      <c r="S15" s="2">
        <v>1</v>
      </c>
      <c r="T15" s="2">
        <v>2</v>
      </c>
      <c r="U15" s="2">
        <v>3</v>
      </c>
      <c r="V15" s="2" t="s">
        <v>2</v>
      </c>
      <c r="W15" s="2" t="s">
        <v>3</v>
      </c>
      <c r="Y15" s="11" t="s">
        <v>0</v>
      </c>
      <c r="Z15" s="2">
        <v>0</v>
      </c>
      <c r="AA15" s="2">
        <v>1</v>
      </c>
      <c r="AB15" s="2">
        <v>2</v>
      </c>
      <c r="AC15" s="2">
        <v>3</v>
      </c>
      <c r="AD15" s="2" t="s">
        <v>2</v>
      </c>
      <c r="AE15" s="2" t="s">
        <v>3</v>
      </c>
      <c r="AG15" s="11" t="s">
        <v>0</v>
      </c>
      <c r="AH15" s="2">
        <v>0</v>
      </c>
      <c r="AI15" s="2">
        <v>1</v>
      </c>
      <c r="AJ15" s="2">
        <v>2</v>
      </c>
      <c r="AK15" s="2">
        <v>3</v>
      </c>
      <c r="AL15" s="2" t="s">
        <v>2</v>
      </c>
      <c r="AM15" s="2" t="s">
        <v>3</v>
      </c>
    </row>
    <row r="16" spans="1:39" x14ac:dyDescent="0.45">
      <c r="A16" s="3">
        <v>1</v>
      </c>
      <c r="B16" s="4">
        <f>($W6/$G6)*B6</f>
        <v>15000</v>
      </c>
      <c r="C16" s="4">
        <f ref="C16:F16" si="7" t="shared">($W6/$G6)*C6</f>
        <v>401000</v>
      </c>
      <c r="D16" s="4">
        <f si="7" t="shared"/>
        <v>51000</v>
      </c>
      <c r="E16" s="4">
        <f si="7" t="shared"/>
        <v>13000</v>
      </c>
      <c r="F16" s="4">
        <f si="7" t="shared"/>
        <v>7000</v>
      </c>
      <c r="G16" s="4">
        <f>($W6/$G6)*G6</f>
        <v>487000</v>
      </c>
      <c r="I16" s="3">
        <v>1</v>
      </c>
      <c r="J16" s="4">
        <f>($W6/$O6)*J6</f>
        <v>66161.161617600956</v>
      </c>
      <c r="K16" s="4">
        <f ref="K16:O16" si="8" t="shared">($W6/$O6)*K6</f>
        <v>348182.30784576363</v>
      </c>
      <c r="L16" s="4">
        <f si="8" t="shared"/>
        <v>63829.490723588584</v>
      </c>
      <c r="M16" s="4">
        <f si="8" t="shared"/>
        <v>6786.8277807860013</v>
      </c>
      <c r="N16" s="4">
        <f si="8" t="shared"/>
        <v>2040.2120322608223</v>
      </c>
      <c r="O16" s="4">
        <f si="8" t="shared"/>
        <v>487000</v>
      </c>
      <c r="Q16" s="3">
        <v>1</v>
      </c>
      <c r="R16" s="4">
        <f>R6</f>
        <v>15000</v>
      </c>
      <c r="S16" s="4">
        <f ref="S16:V16" si="9" t="shared">S6</f>
        <v>401000</v>
      </c>
      <c r="T16" s="4">
        <f si="9" t="shared"/>
        <v>51000</v>
      </c>
      <c r="U16" s="4">
        <f si="9" t="shared"/>
        <v>13000</v>
      </c>
      <c r="V16" s="4">
        <f si="9" t="shared"/>
        <v>7000</v>
      </c>
      <c r="W16" s="4">
        <f>SUM(R16:V16)</f>
        <v>487000</v>
      </c>
      <c r="Y16" s="3">
        <v>1</v>
      </c>
      <c r="Z16" s="4">
        <f>R16-J16</f>
        <v>-51161.161617600956</v>
      </c>
      <c r="AA16" s="4">
        <f ref="AA16:AA20" si="10" t="shared">S16-K16</f>
        <v>52817.692154236371</v>
      </c>
      <c r="AB16" s="4">
        <f ref="AB16:AB20" si="11" t="shared">T16-L16</f>
        <v>-12829.490723588584</v>
      </c>
      <c r="AC16" s="4">
        <f ref="AC16:AC20" si="12" t="shared">U16-M16</f>
        <v>6213.1722192139987</v>
      </c>
      <c r="AD16" s="4">
        <f ref="AD16:AD20" si="13" t="shared">V16-N16</f>
        <v>4959.7879677391775</v>
      </c>
      <c r="AE16" s="4">
        <f ref="AE16:AE19" si="14" t="shared">W16-O16</f>
        <v>0</v>
      </c>
      <c r="AG16" s="3">
        <v>1</v>
      </c>
      <c r="AH16" s="17">
        <f>Z16/J16</f>
        <v>-0.77328088514078441</v>
      </c>
      <c r="AI16" s="17">
        <f ref="AI16:AI20" si="15" t="shared">AA16/K16</f>
        <v>0.15169550825550085</v>
      </c>
      <c r="AJ16" s="17">
        <f ref="AJ16:AJ20" si="16" t="shared">AB16/L16</f>
        <v>-0.20099628836373226</v>
      </c>
      <c r="AK16" s="17">
        <f ref="AK16:AK20" si="17" t="shared">AC16/M16</f>
        <v>0.9154751556837698</v>
      </c>
      <c r="AL16" s="17">
        <f ref="AL16:AL20" si="18" t="shared">AD16/N16</f>
        <v>2.4310159382027967</v>
      </c>
      <c r="AM16" s="17">
        <f ref="AM16:AM20" si="19" t="shared">AE16/O16</f>
        <v>0</v>
      </c>
    </row>
    <row r="17" spans="1:39" x14ac:dyDescent="0.45">
      <c r="A17" s="3">
        <v>2</v>
      </c>
      <c r="B17" s="4">
        <f ref="B17:G17" si="20" t="shared">($W7/$G7)*B7</f>
        <v>0</v>
      </c>
      <c r="C17" s="4">
        <f si="20" t="shared"/>
        <v>99000</v>
      </c>
      <c r="D17" s="4">
        <f si="20" t="shared"/>
        <v>465000</v>
      </c>
      <c r="E17" s="4">
        <f si="20" t="shared"/>
        <v>123000</v>
      </c>
      <c r="F17" s="4">
        <f si="20" t="shared"/>
        <v>49000</v>
      </c>
      <c r="G17" s="4">
        <f si="20" t="shared"/>
        <v>736000</v>
      </c>
      <c r="I17" s="3">
        <v>2</v>
      </c>
      <c r="J17" s="4">
        <f ref="J17:O17" si="21" t="shared">($W7/$O7)*J7</f>
        <v>20238.756663413169</v>
      </c>
      <c r="K17" s="4">
        <f si="21" t="shared"/>
        <v>142458.74314888506</v>
      </c>
      <c r="L17" s="4">
        <f si="21" t="shared"/>
        <v>466638.03588858026</v>
      </c>
      <c r="M17" s="4">
        <f si="21" t="shared"/>
        <v>89506.419400855928</v>
      </c>
      <c r="N17" s="4">
        <f si="21" t="shared"/>
        <v>17158.044898265634</v>
      </c>
      <c r="O17" s="4">
        <f si="21" t="shared"/>
        <v>736000</v>
      </c>
      <c r="Q17" s="3">
        <v>2</v>
      </c>
      <c r="R17" s="4">
        <f ref="R17:V17" si="22" t="shared">R7</f>
        <v>0</v>
      </c>
      <c r="S17" s="4">
        <f si="22" t="shared"/>
        <v>99000</v>
      </c>
      <c r="T17" s="4">
        <f si="22" t="shared"/>
        <v>465000</v>
      </c>
      <c r="U17" s="4">
        <f si="22" t="shared"/>
        <v>123000</v>
      </c>
      <c r="V17" s="4">
        <f si="22" t="shared"/>
        <v>49000</v>
      </c>
      <c r="W17" s="4">
        <f ref="W17:W20" si="23" t="shared">SUM(R17:V17)</f>
        <v>736000</v>
      </c>
      <c r="Y17" s="3">
        <v>2</v>
      </c>
      <c r="Z17" s="4">
        <f ref="Z17:Z20" si="24" t="shared">R17-J17</f>
        <v>-20238.756663413169</v>
      </c>
      <c r="AA17" s="4">
        <f si="10" t="shared"/>
        <v>-43458.743148885056</v>
      </c>
      <c r="AB17" s="4">
        <f si="11" t="shared"/>
        <v>-1638.0358885802561</v>
      </c>
      <c r="AC17" s="4">
        <f si="12" t="shared"/>
        <v>33493.580599144072</v>
      </c>
      <c r="AD17" s="4">
        <f si="13" t="shared"/>
        <v>31841.955101734366</v>
      </c>
      <c r="AE17" s="4">
        <f si="14" t="shared"/>
        <v>0</v>
      </c>
      <c r="AG17" s="3">
        <v>2</v>
      </c>
      <c r="AH17" s="17">
        <f ref="AH17:AH20" si="25" t="shared">Z17/J17</f>
        <v>-1</v>
      </c>
      <c r="AI17" s="17">
        <f si="15" t="shared"/>
        <v>-0.30506195820825044</v>
      </c>
      <c r="AJ17" s="17">
        <f si="16" t="shared"/>
        <v>-3.5102922663839001E-3</v>
      </c>
      <c r="AK17" s="17">
        <f si="17" t="shared"/>
        <v>0.37420311105444332</v>
      </c>
      <c r="AL17" s="17">
        <f si="18" t="shared"/>
        <v>1.8558032276132468</v>
      </c>
      <c r="AM17" s="17">
        <f si="19" t="shared"/>
        <v>0</v>
      </c>
    </row>
    <row r="18" spans="1:39" x14ac:dyDescent="0.45">
      <c r="A18" s="3">
        <v>3</v>
      </c>
      <c r="B18" s="4">
        <f ref="B18:G18" si="26" t="shared">($W8/$G8)*B8</f>
        <v>0</v>
      </c>
      <c r="C18" s="4">
        <f si="26" t="shared"/>
        <v>11000</v>
      </c>
      <c r="D18" s="4">
        <f si="26" t="shared"/>
        <v>39000</v>
      </c>
      <c r="E18" s="4">
        <f si="26" t="shared"/>
        <v>76000</v>
      </c>
      <c r="F18" s="4">
        <f si="26" t="shared"/>
        <v>31000</v>
      </c>
      <c r="G18" s="4">
        <f si="26" t="shared"/>
        <v>157000</v>
      </c>
      <c r="I18" s="3">
        <v>3</v>
      </c>
      <c r="J18" s="4">
        <f ref="J18:O18" si="27" t="shared">($W8/$O8)*J8</f>
        <v>3690.9751759338023</v>
      </c>
      <c r="K18" s="4">
        <f si="27" t="shared"/>
        <v>19996.829324878199</v>
      </c>
      <c r="L18" s="4">
        <f si="27" t="shared"/>
        <v>52814.940839842238</v>
      </c>
      <c r="M18" s="4">
        <f si="27" t="shared"/>
        <v>62916.557110818962</v>
      </c>
      <c r="N18" s="4">
        <f si="27" t="shared"/>
        <v>17580.697548526794</v>
      </c>
      <c r="O18" s="4">
        <f si="27" t="shared"/>
        <v>157000</v>
      </c>
      <c r="Q18" s="3">
        <v>3</v>
      </c>
      <c r="R18" s="4">
        <f ref="R18:V18" si="28" t="shared">R8</f>
        <v>0</v>
      </c>
      <c r="S18" s="4">
        <f si="28" t="shared"/>
        <v>11000</v>
      </c>
      <c r="T18" s="4">
        <f si="28" t="shared"/>
        <v>39000</v>
      </c>
      <c r="U18" s="4">
        <f si="28" t="shared"/>
        <v>76000</v>
      </c>
      <c r="V18" s="4">
        <f si="28" t="shared"/>
        <v>31000</v>
      </c>
      <c r="W18" s="4">
        <f si="23" t="shared"/>
        <v>157000</v>
      </c>
      <c r="Y18" s="3">
        <v>3</v>
      </c>
      <c r="Z18" s="4">
        <f si="24" t="shared"/>
        <v>-3690.9751759338023</v>
      </c>
      <c r="AA18" s="4">
        <f si="10" t="shared"/>
        <v>-8996.8293248781993</v>
      </c>
      <c r="AB18" s="4">
        <f si="11" t="shared"/>
        <v>-13814.940839842238</v>
      </c>
      <c r="AC18" s="4">
        <f si="12" t="shared"/>
        <v>13083.442889181038</v>
      </c>
      <c r="AD18" s="4">
        <f si="13" t="shared"/>
        <v>13419.302451473206</v>
      </c>
      <c r="AE18" s="4">
        <f si="14" t="shared"/>
        <v>0</v>
      </c>
      <c r="AG18" s="3">
        <v>3</v>
      </c>
      <c r="AH18" s="17">
        <f si="25" t="shared"/>
        <v>-1</v>
      </c>
      <c r="AI18" s="17">
        <f si="15" t="shared"/>
        <v>-0.44991279260883521</v>
      </c>
      <c r="AJ18" s="17">
        <f si="16" t="shared"/>
        <v>-0.26157258950142759</v>
      </c>
      <c r="AK18" s="17">
        <f si="17" t="shared"/>
        <v>0.20794912325123469</v>
      </c>
      <c r="AL18" s="17">
        <f si="18" t="shared"/>
        <v>0.76329749797656354</v>
      </c>
      <c r="AM18" s="17">
        <f si="19" t="shared"/>
        <v>0</v>
      </c>
    </row>
    <row r="19" spans="1:39" x14ac:dyDescent="0.45">
      <c r="A19" s="5" t="s">
        <v>2</v>
      </c>
      <c r="B19" s="4">
        <f ref="B19:G19" si="29" t="shared">($W9/$G9)*B9</f>
        <v>0</v>
      </c>
      <c r="C19" s="4">
        <f si="29" t="shared"/>
        <v>1000</v>
      </c>
      <c r="D19" s="4">
        <f si="29" t="shared"/>
        <v>10000</v>
      </c>
      <c r="E19" s="4">
        <f si="29" t="shared"/>
        <v>12000</v>
      </c>
      <c r="F19" s="4">
        <f si="29" t="shared"/>
        <v>37000</v>
      </c>
      <c r="G19" s="6">
        <f si="29" t="shared"/>
        <v>60000</v>
      </c>
      <c r="I19" s="5" t="s">
        <v>2</v>
      </c>
      <c r="J19" s="6">
        <f ref="J19:O19" si="30" t="shared">($W9/$O9)*J9</f>
        <v>1685.4649925516067</v>
      </c>
      <c r="K19" s="6">
        <f si="30" t="shared"/>
        <v>4290.274526494999</v>
      </c>
      <c r="L19" s="6">
        <f si="30" t="shared"/>
        <v>13636.944030644818</v>
      </c>
      <c r="M19" s="6">
        <f si="30" t="shared"/>
        <v>16535.43307086614</v>
      </c>
      <c r="N19" s="6">
        <f si="30" t="shared"/>
        <v>23851.883379442432</v>
      </c>
      <c r="O19" s="6">
        <f si="30" t="shared"/>
        <v>59999.999999999993</v>
      </c>
      <c r="Q19" s="5" t="s">
        <v>2</v>
      </c>
      <c r="R19" s="4">
        <f ref="R19:V19" si="31" t="shared">R9</f>
        <v>0</v>
      </c>
      <c r="S19" s="4">
        <f si="31" t="shared"/>
        <v>1000</v>
      </c>
      <c r="T19" s="4">
        <f si="31" t="shared"/>
        <v>10000</v>
      </c>
      <c r="U19" s="4">
        <f si="31" t="shared"/>
        <v>12000</v>
      </c>
      <c r="V19" s="4">
        <f si="31" t="shared"/>
        <v>37000</v>
      </c>
      <c r="W19" s="6">
        <f si="23" t="shared"/>
        <v>60000</v>
      </c>
      <c r="Y19" s="5" t="s">
        <v>2</v>
      </c>
      <c r="Z19" s="4">
        <f si="24" t="shared"/>
        <v>-1685.4649925516067</v>
      </c>
      <c r="AA19" s="4">
        <f si="10" t="shared"/>
        <v>-3290.274526494999</v>
      </c>
      <c r="AB19" s="4">
        <f si="11" t="shared"/>
        <v>-3636.9440306448178</v>
      </c>
      <c r="AC19" s="4">
        <f si="12" t="shared"/>
        <v>-4535.43307086614</v>
      </c>
      <c r="AD19" s="4">
        <f si="13" t="shared"/>
        <v>13148.116620557568</v>
      </c>
      <c r="AE19" s="6">
        <f si="14" t="shared"/>
        <v>0</v>
      </c>
      <c r="AG19" s="5" t="s">
        <v>2</v>
      </c>
      <c r="AH19" s="17">
        <f si="25" t="shared"/>
        <v>-1</v>
      </c>
      <c r="AI19" s="17">
        <f si="15" t="shared"/>
        <v>-0.76691468253968254</v>
      </c>
      <c r="AJ19" s="17">
        <f si="16" t="shared"/>
        <v>-0.26669787765293379</v>
      </c>
      <c r="AK19" s="17">
        <f si="17" t="shared"/>
        <v>-0.27428571428571419</v>
      </c>
      <c r="AL19" s="17">
        <f si="18" t="shared"/>
        <v>0.55124018558172749</v>
      </c>
      <c r="AM19" s="18">
        <f si="19" t="shared"/>
        <v>0</v>
      </c>
    </row>
    <row ht="14.65" r="20" spans="1:39" thickBot="1" x14ac:dyDescent="0.5">
      <c r="A20" s="7" t="s">
        <v>3</v>
      </c>
      <c r="B20" s="8">
        <f>SUM(B16:B19)</f>
        <v>15000</v>
      </c>
      <c r="C20" s="8">
        <f ref="C20:G20" si="32" t="shared">SUM(C16:C19)</f>
        <v>512000</v>
      </c>
      <c r="D20" s="8">
        <f si="32" t="shared"/>
        <v>565000</v>
      </c>
      <c r="E20" s="8">
        <f si="32" t="shared"/>
        <v>224000</v>
      </c>
      <c r="F20" s="8">
        <f si="32" t="shared"/>
        <v>124000</v>
      </c>
      <c r="G20" s="8">
        <f si="32" t="shared"/>
        <v>1440000</v>
      </c>
      <c r="I20" s="7" t="s">
        <v>3</v>
      </c>
      <c r="J20" s="8">
        <f ref="J20:O20" si="33" t="shared">($W10/$O10)*J10</f>
        <v>90588.42398226331</v>
      </c>
      <c r="K20" s="8">
        <f si="33" t="shared"/>
        <v>507854.89881598187</v>
      </c>
      <c r="L20" s="8">
        <f si="33" t="shared"/>
        <v>594979.00844379456</v>
      </c>
      <c r="M20" s="8">
        <f si="33" t="shared"/>
        <v>182657.67253172319</v>
      </c>
      <c r="N20" s="8">
        <f si="33" t="shared"/>
        <v>63919.996226237083</v>
      </c>
      <c r="O20" s="8">
        <f si="33" t="shared"/>
        <v>1440000</v>
      </c>
      <c r="Q20" s="7" t="s">
        <v>3</v>
      </c>
      <c r="R20" s="8">
        <f>SUM(R16:R19)</f>
        <v>15000</v>
      </c>
      <c r="S20" s="8">
        <f ref="S20:V20" si="34" t="shared">SUM(S16:S19)</f>
        <v>512000</v>
      </c>
      <c r="T20" s="8">
        <f si="34" t="shared"/>
        <v>565000</v>
      </c>
      <c r="U20" s="8">
        <f si="34" t="shared"/>
        <v>224000</v>
      </c>
      <c r="V20" s="8">
        <f si="34" t="shared"/>
        <v>124000</v>
      </c>
      <c r="W20" s="8">
        <f si="23" t="shared"/>
        <v>1440000</v>
      </c>
      <c r="Y20" s="7" t="s">
        <v>3</v>
      </c>
      <c r="Z20" s="8">
        <f si="24" t="shared"/>
        <v>-75588.42398226331</v>
      </c>
      <c r="AA20" s="8">
        <f si="10" t="shared"/>
        <v>4145.1011840181309</v>
      </c>
      <c r="AB20" s="8">
        <f si="11" t="shared"/>
        <v>-29979.008443794562</v>
      </c>
      <c r="AC20" s="8">
        <f si="12" t="shared"/>
        <v>41342.32746827681</v>
      </c>
      <c r="AD20" s="8">
        <f si="13" t="shared"/>
        <v>60080.003773762917</v>
      </c>
      <c r="AE20" s="8">
        <f>W20-O20</f>
        <v>0</v>
      </c>
      <c r="AG20" s="7" t="s">
        <v>3</v>
      </c>
      <c r="AH20" s="19">
        <f si="25" t="shared"/>
        <v>-0.83441592931413722</v>
      </c>
      <c r="AI20" s="19">
        <f si="15" t="shared"/>
        <v>8.1619793245709792E-3</v>
      </c>
      <c r="AJ20" s="19">
        <f si="16" t="shared"/>
        <v>-5.0386665778691192E-2</v>
      </c>
      <c r="AK20" s="19">
        <f si="17" t="shared"/>
        <v>0.22633775463823813</v>
      </c>
      <c r="AL20" s="19">
        <f si="18" t="shared"/>
        <v>0.93992502066359673</v>
      </c>
      <c r="AM20" s="19">
        <f si="19" t="shared"/>
        <v>0</v>
      </c>
    </row>
    <row r="21" spans="1:39" x14ac:dyDescent="0.4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t="s">
        <v>11</v>
      </c>
      <c r="R21" s="15"/>
      <c r="S21" s="15"/>
      <c r="T21" s="15"/>
      <c r="U21" s="15"/>
      <c r="V21" s="15"/>
      <c r="W21" s="15"/>
    </row>
    <row r="22" spans="1:39" x14ac:dyDescent="0.45">
      <c r="A22" s="1" t="s">
        <v>170</v>
      </c>
      <c r="Q22" s="1" t="s">
        <v>174</v>
      </c>
    </row>
    <row ht="14.65" r="23" spans="1:39" thickBot="1" x14ac:dyDescent="0.5">
      <c r="A23" s="12"/>
      <c r="B23" s="10" t="s">
        <v>1</v>
      </c>
      <c r="C23" s="9"/>
      <c r="D23" s="9"/>
      <c r="E23" s="9"/>
      <c r="F23" s="9"/>
      <c r="G23" s="9"/>
      <c r="I23" s="12"/>
      <c r="J23" s="10" t="s">
        <v>1</v>
      </c>
      <c r="K23" s="9"/>
      <c r="L23" s="9"/>
      <c r="M23" s="9"/>
      <c r="N23" s="9"/>
      <c r="O23" s="9"/>
      <c r="Q23" s="12"/>
      <c r="R23" s="10" t="s">
        <v>1</v>
      </c>
      <c r="S23" s="9"/>
      <c r="T23" s="9"/>
      <c r="U23" s="9"/>
      <c r="V23" s="9"/>
      <c r="W23" s="9"/>
    </row>
    <row r="24" spans="1:39" x14ac:dyDescent="0.45">
      <c r="A24" s="11" t="s">
        <v>0</v>
      </c>
      <c r="B24" s="2">
        <v>0</v>
      </c>
      <c r="C24" s="2">
        <v>1</v>
      </c>
      <c r="D24" s="2">
        <v>2</v>
      </c>
      <c r="E24" s="2">
        <v>3</v>
      </c>
      <c r="F24" s="2" t="s">
        <v>2</v>
      </c>
      <c r="G24" s="2" t="s">
        <v>3</v>
      </c>
      <c r="I24" s="11" t="s">
        <v>0</v>
      </c>
      <c r="J24" s="2">
        <v>0</v>
      </c>
      <c r="K24" s="2">
        <v>1</v>
      </c>
      <c r="L24" s="2">
        <v>2</v>
      </c>
      <c r="M24" s="2">
        <v>3</v>
      </c>
      <c r="N24" s="2" t="s">
        <v>2</v>
      </c>
      <c r="O24" s="2" t="s">
        <v>3</v>
      </c>
      <c r="Q24" s="11" t="s">
        <v>0</v>
      </c>
      <c r="R24" s="2">
        <v>0</v>
      </c>
      <c r="S24" s="2">
        <v>1</v>
      </c>
      <c r="T24" s="2">
        <v>2</v>
      </c>
      <c r="U24" s="2">
        <v>3</v>
      </c>
      <c r="V24" s="2" t="s">
        <v>2</v>
      </c>
      <c r="W24" s="2" t="s">
        <v>3</v>
      </c>
    </row>
    <row r="25" spans="1:39" x14ac:dyDescent="0.45">
      <c r="A25" s="3">
        <v>1</v>
      </c>
      <c r="B25" s="17">
        <f>B16/$G$20</f>
        <v>1.0416666666666666E-2</v>
      </c>
      <c r="C25" s="17">
        <f ref="C25:G25" si="35" t="shared">C16/$G$20</f>
        <v>0.27847222222222223</v>
      </c>
      <c r="D25" s="17">
        <f si="35" t="shared"/>
        <v>3.5416666666666666E-2</v>
      </c>
      <c r="E25" s="17">
        <f si="35" t="shared"/>
        <v>9.0277777777777769E-3</v>
      </c>
      <c r="F25" s="17">
        <f si="35" t="shared"/>
        <v>4.8611111111111112E-3</v>
      </c>
      <c r="G25" s="17">
        <f si="35" t="shared"/>
        <v>0.33819444444444446</v>
      </c>
      <c r="I25" s="3">
        <v>1</v>
      </c>
      <c r="J25" s="17">
        <f>J16/$O$20</f>
        <v>4.5945251123333995E-2</v>
      </c>
      <c r="K25" s="17">
        <f ref="K25:O25" si="36" t="shared">K16/$O$20</f>
        <v>0.24179326933733586</v>
      </c>
      <c r="L25" s="17">
        <f si="36" t="shared"/>
        <v>4.4326035224714296E-2</v>
      </c>
      <c r="M25" s="17">
        <f si="36" t="shared"/>
        <v>4.7130748477680565E-3</v>
      </c>
      <c r="N25" s="17">
        <f si="36" t="shared"/>
        <v>1.4168139112922377E-3</v>
      </c>
      <c r="O25" s="17">
        <f si="36" t="shared"/>
        <v>0.33819444444444446</v>
      </c>
      <c r="Q25" s="3">
        <v>1</v>
      </c>
      <c r="R25" s="17">
        <f>R6/$W$10</f>
        <v>1.0416666666666666E-2</v>
      </c>
      <c r="S25" s="17">
        <f ref="S25:W25" si="37" t="shared">S6/$W$10</f>
        <v>0.27847222222222223</v>
      </c>
      <c r="T25" s="17">
        <f si="37" t="shared"/>
        <v>3.5416666666666666E-2</v>
      </c>
      <c r="U25" s="17">
        <f si="37" t="shared"/>
        <v>9.0277777777777769E-3</v>
      </c>
      <c r="V25" s="17">
        <f si="37" t="shared"/>
        <v>4.8611111111111112E-3</v>
      </c>
      <c r="W25" s="17">
        <f si="37" t="shared"/>
        <v>0.33819444444444446</v>
      </c>
    </row>
    <row r="26" spans="1:39" x14ac:dyDescent="0.45">
      <c r="A26" s="3">
        <v>2</v>
      </c>
      <c r="B26" s="17">
        <f ref="B26:G26" si="38" t="shared">B17/$G$20</f>
        <v>0</v>
      </c>
      <c r="C26" s="17">
        <f si="38" t="shared"/>
        <v>6.8750000000000006E-2</v>
      </c>
      <c r="D26" s="17">
        <f si="38" t="shared"/>
        <v>0.32291666666666669</v>
      </c>
      <c r="E26" s="17">
        <f si="38" t="shared"/>
        <v>8.5416666666666669E-2</v>
      </c>
      <c r="F26" s="17">
        <f si="38" t="shared"/>
        <v>3.4027777777777775E-2</v>
      </c>
      <c r="G26" s="17">
        <f si="38" t="shared"/>
        <v>0.51111111111111107</v>
      </c>
      <c r="I26" s="3">
        <v>2</v>
      </c>
      <c r="J26" s="17">
        <f ref="J26:O26" si="39" t="shared">J17/$O$20</f>
        <v>1.4054692127370256E-2</v>
      </c>
      <c r="K26" s="17">
        <f si="39" t="shared"/>
        <v>9.8929682742281283E-2</v>
      </c>
      <c r="L26" s="17">
        <f si="39" t="shared"/>
        <v>0.32405419158929183</v>
      </c>
      <c r="M26" s="17">
        <f si="39" t="shared"/>
        <v>6.2157235695038837E-2</v>
      </c>
      <c r="N26" s="17">
        <f si="39" t="shared"/>
        <v>1.1915308957128912E-2</v>
      </c>
      <c r="O26" s="17">
        <f si="39" t="shared"/>
        <v>0.51111111111111107</v>
      </c>
      <c r="Q26" s="3">
        <v>2</v>
      </c>
      <c r="R26" s="17">
        <f ref="R26:W26" si="40" t="shared">R7/$W$10</f>
        <v>0</v>
      </c>
      <c r="S26" s="17">
        <f si="40" t="shared"/>
        <v>6.8750000000000006E-2</v>
      </c>
      <c r="T26" s="17">
        <f si="40" t="shared"/>
        <v>0.32291666666666669</v>
      </c>
      <c r="U26" s="17">
        <f si="40" t="shared"/>
        <v>8.5416666666666669E-2</v>
      </c>
      <c r="V26" s="17">
        <f si="40" t="shared"/>
        <v>3.4027777777777775E-2</v>
      </c>
      <c r="W26" s="17">
        <f si="40" t="shared"/>
        <v>0.51111111111111107</v>
      </c>
    </row>
    <row r="27" spans="1:39" x14ac:dyDescent="0.45">
      <c r="A27" s="3">
        <v>3</v>
      </c>
      <c r="B27" s="17">
        <f ref="B27:G27" si="41" t="shared">B18/$G$20</f>
        <v>0</v>
      </c>
      <c r="C27" s="17">
        <f si="41" t="shared"/>
        <v>7.6388888888888886E-3</v>
      </c>
      <c r="D27" s="17">
        <f si="41" t="shared"/>
        <v>2.7083333333333334E-2</v>
      </c>
      <c r="E27" s="17">
        <f si="41" t="shared"/>
        <v>5.2777777777777778E-2</v>
      </c>
      <c r="F27" s="17">
        <f si="41" t="shared"/>
        <v>2.1527777777777778E-2</v>
      </c>
      <c r="G27" s="17">
        <f si="41" t="shared"/>
        <v>0.10902777777777778</v>
      </c>
      <c r="I27" s="3">
        <v>3</v>
      </c>
      <c r="J27" s="17">
        <f ref="J27:O27" si="42" t="shared">J18/$O$20</f>
        <v>2.5631772055095849E-3</v>
      </c>
      <c r="K27" s="17">
        <f si="42" t="shared"/>
        <v>1.3886687031165416E-2</v>
      </c>
      <c r="L27" s="17">
        <f si="42" t="shared"/>
        <v>3.6677042249890442E-2</v>
      </c>
      <c r="M27" s="17">
        <f si="42" t="shared"/>
        <v>4.3692053549179835E-2</v>
      </c>
      <c r="N27" s="17">
        <f si="42" t="shared"/>
        <v>1.2208817742032496E-2</v>
      </c>
      <c r="O27" s="17">
        <f si="42" t="shared"/>
        <v>0.10902777777777778</v>
      </c>
      <c r="Q27" s="3">
        <v>3</v>
      </c>
      <c r="R27" s="17">
        <f ref="R27:W27" si="43" t="shared">R8/$W$10</f>
        <v>0</v>
      </c>
      <c r="S27" s="17">
        <f si="43" t="shared"/>
        <v>7.6388888888888886E-3</v>
      </c>
      <c r="T27" s="17">
        <f si="43" t="shared"/>
        <v>2.7083333333333334E-2</v>
      </c>
      <c r="U27" s="17">
        <f si="43" t="shared"/>
        <v>5.2777777777777778E-2</v>
      </c>
      <c r="V27" s="17">
        <f si="43" t="shared"/>
        <v>2.1527777777777778E-2</v>
      </c>
      <c r="W27" s="17">
        <f si="43" t="shared"/>
        <v>0.10902777777777778</v>
      </c>
    </row>
    <row r="28" spans="1:39" x14ac:dyDescent="0.45">
      <c r="A28" s="5" t="s">
        <v>2</v>
      </c>
      <c r="B28" s="18">
        <f ref="B28:G28" si="44" t="shared">B19/$G$20</f>
        <v>0</v>
      </c>
      <c r="C28" s="18">
        <f si="44" t="shared"/>
        <v>6.9444444444444447E-4</v>
      </c>
      <c r="D28" s="18">
        <f si="44" t="shared"/>
        <v>6.9444444444444441E-3</v>
      </c>
      <c r="E28" s="18">
        <f si="44" t="shared"/>
        <v>8.3333333333333332E-3</v>
      </c>
      <c r="F28" s="18">
        <f si="44" t="shared"/>
        <v>2.5694444444444443E-2</v>
      </c>
      <c r="G28" s="18">
        <f si="44" t="shared"/>
        <v>4.1666666666666664E-2</v>
      </c>
      <c r="I28" s="5" t="s">
        <v>2</v>
      </c>
      <c r="J28" s="18">
        <f ref="J28:O28" si="45" t="shared">J19/$O$20</f>
        <v>1.1704618003830602E-3</v>
      </c>
      <c r="K28" s="18">
        <f si="45" t="shared"/>
        <v>2.9793573100659713E-3</v>
      </c>
      <c r="L28" s="18">
        <f si="45" t="shared"/>
        <v>9.4701000212811231E-3</v>
      </c>
      <c r="M28" s="18">
        <f si="45" t="shared"/>
        <v>1.148293963254593E-2</v>
      </c>
      <c r="N28" s="18">
        <f si="45" t="shared"/>
        <v>1.6563807902390579E-2</v>
      </c>
      <c r="O28" s="18">
        <f si="45" t="shared"/>
        <v>4.1666666666666664E-2</v>
      </c>
      <c r="Q28" s="5" t="s">
        <v>2</v>
      </c>
      <c r="R28" s="18">
        <f ref="R28:W28" si="46" t="shared">R9/$W$10</f>
        <v>0</v>
      </c>
      <c r="S28" s="18">
        <f si="46" t="shared"/>
        <v>6.9444444444444447E-4</v>
      </c>
      <c r="T28" s="18">
        <f si="46" t="shared"/>
        <v>6.9444444444444441E-3</v>
      </c>
      <c r="U28" s="18">
        <f si="46" t="shared"/>
        <v>8.3333333333333332E-3</v>
      </c>
      <c r="V28" s="18">
        <f si="46" t="shared"/>
        <v>2.5694444444444443E-2</v>
      </c>
      <c r="W28" s="18">
        <f si="46" t="shared"/>
        <v>4.1666666666666664E-2</v>
      </c>
    </row>
    <row ht="14.65" r="29" spans="1:39" thickBot="1" x14ac:dyDescent="0.5">
      <c r="A29" s="7" t="s">
        <v>3</v>
      </c>
      <c r="B29" s="19">
        <f ref="B29:G29" si="47" t="shared">B20/$G$20</f>
        <v>1.0416666666666666E-2</v>
      </c>
      <c r="C29" s="19">
        <f si="47" t="shared"/>
        <v>0.35555555555555557</v>
      </c>
      <c r="D29" s="19">
        <f si="47" t="shared"/>
        <v>0.3923611111111111</v>
      </c>
      <c r="E29" s="19">
        <f si="47" t="shared"/>
        <v>0.15555555555555556</v>
      </c>
      <c r="F29" s="19">
        <f si="47" t="shared"/>
        <v>8.611111111111111E-2</v>
      </c>
      <c r="G29" s="19">
        <f si="47" t="shared"/>
        <v>1</v>
      </c>
      <c r="I29" s="7" t="s">
        <v>3</v>
      </c>
      <c r="J29" s="19">
        <f ref="J29:O29" si="48" t="shared">J20/$O$20</f>
        <v>6.2908627765460634E-2</v>
      </c>
      <c r="K29" s="19">
        <f si="48" t="shared"/>
        <v>0.35267701306665405</v>
      </c>
      <c r="L29" s="19">
        <f si="48" t="shared"/>
        <v>0.41317986697485731</v>
      </c>
      <c r="M29" s="19">
        <f si="48" t="shared"/>
        <v>0.12684560592480776</v>
      </c>
      <c r="N29" s="19">
        <f si="48" t="shared"/>
        <v>4.4388886268220198E-2</v>
      </c>
      <c r="O29" s="19">
        <f si="48" t="shared"/>
        <v>1</v>
      </c>
      <c r="Q29" s="7" t="s">
        <v>3</v>
      </c>
      <c r="R29" s="19">
        <f ref="R29:W29" si="49" t="shared">R10/$W$10</f>
        <v>1.0416666666666666E-2</v>
      </c>
      <c r="S29" s="19">
        <f si="49" t="shared"/>
        <v>0.35555555555555557</v>
      </c>
      <c r="T29" s="19">
        <f si="49" t="shared"/>
        <v>0.3923611111111111</v>
      </c>
      <c r="U29" s="19">
        <f si="49" t="shared"/>
        <v>0.15555555555555556</v>
      </c>
      <c r="V29" s="19">
        <f si="49" t="shared"/>
        <v>8.611111111111111E-2</v>
      </c>
      <c r="W29" s="19">
        <f si="49" t="shared"/>
        <v>1</v>
      </c>
    </row>
    <row r="31" spans="1:39" x14ac:dyDescent="0.45">
      <c r="Q31" s="107" t="s">
        <v>168</v>
      </c>
    </row>
    <row ht="14.65" r="32" spans="1:39" thickBot="1" x14ac:dyDescent="0.5">
      <c r="Q32" s="12"/>
      <c r="R32" s="10" t="s">
        <v>1</v>
      </c>
      <c r="S32" s="9"/>
      <c r="T32" s="9"/>
      <c r="U32" s="9"/>
      <c r="V32" s="9"/>
      <c r="W32" s="9"/>
      <c r="Y32" t="s">
        <v>167</v>
      </c>
    </row>
    <row r="33" spans="17:26" x14ac:dyDescent="0.45">
      <c r="Q33" s="11" t="s">
        <v>0</v>
      </c>
      <c r="R33" s="2">
        <v>0</v>
      </c>
      <c r="S33" s="2">
        <v>1</v>
      </c>
      <c r="T33" s="2">
        <v>2</v>
      </c>
      <c r="U33" s="2">
        <v>3</v>
      </c>
      <c r="V33" s="2" t="s">
        <v>2</v>
      </c>
      <c r="W33" s="2" t="s">
        <v>3</v>
      </c>
      <c r="Y33" s="105" t="s">
        <v>176</v>
      </c>
      <c r="Z33" s="105" t="s">
        <v>166</v>
      </c>
    </row>
    <row r="34" spans="17:26" x14ac:dyDescent="0.45">
      <c r="Q34" s="3">
        <v>1</v>
      </c>
      <c r="R34" s="17">
        <f>R25-B25</f>
        <v>0</v>
      </c>
      <c r="S34" s="17">
        <f ref="S34:W34" si="50" t="shared">S25-C25</f>
        <v>0</v>
      </c>
      <c r="T34" s="17">
        <f si="50" t="shared"/>
        <v>0</v>
      </c>
      <c r="U34" s="17">
        <f si="50" t="shared"/>
        <v>0</v>
      </c>
      <c r="V34" s="17">
        <f si="50" t="shared"/>
        <v>0</v>
      </c>
      <c r="W34" s="17">
        <f si="50" t="shared"/>
        <v>0</v>
      </c>
      <c r="Y34" s="4">
        <f>B16+B17+C17+B18+C18+D18+B19+C19+D19+E19</f>
        <v>187000</v>
      </c>
      <c r="Z34" s="4">
        <f>R16+R17+S17+R18+S18+T18+R19+S19+T19+U19</f>
        <v>187000</v>
      </c>
    </row>
    <row r="35" spans="17:26" x14ac:dyDescent="0.45">
      <c r="Q35" s="3">
        <v>2</v>
      </c>
      <c r="R35" s="17">
        <f ref="R35:W35" si="51" t="shared">R26-B26</f>
        <v>0</v>
      </c>
      <c r="S35" s="17">
        <f si="51" t="shared"/>
        <v>0</v>
      </c>
      <c r="T35" s="17">
        <f si="51" t="shared"/>
        <v>0</v>
      </c>
      <c r="U35" s="17">
        <f si="51" t="shared"/>
        <v>0</v>
      </c>
      <c r="V35" s="17">
        <f si="51" t="shared"/>
        <v>0</v>
      </c>
      <c r="W35" s="17">
        <f si="51" t="shared"/>
        <v>0</v>
      </c>
      <c r="Z35" s="106">
        <f>(Z34-Y34)/G20</f>
        <v>0</v>
      </c>
    </row>
    <row r="36" spans="17:26" x14ac:dyDescent="0.45">
      <c r="Q36" s="3">
        <v>3</v>
      </c>
      <c r="R36" s="17">
        <f ref="R36:W36" si="52" t="shared">R27-B27</f>
        <v>0</v>
      </c>
      <c r="S36" s="17">
        <f si="52" t="shared"/>
        <v>0</v>
      </c>
      <c r="T36" s="17">
        <f si="52" t="shared"/>
        <v>0</v>
      </c>
      <c r="U36" s="17">
        <f si="52" t="shared"/>
        <v>0</v>
      </c>
      <c r="V36" s="17">
        <f si="52" t="shared"/>
        <v>0</v>
      </c>
      <c r="W36" s="17">
        <f si="52" t="shared"/>
        <v>0</v>
      </c>
    </row>
    <row r="37" spans="17:26" x14ac:dyDescent="0.45">
      <c r="Q37" s="5" t="s">
        <v>2</v>
      </c>
      <c r="R37" s="18">
        <f ref="R37:W37" si="53" t="shared">R28-B28</f>
        <v>0</v>
      </c>
      <c r="S37" s="18">
        <f si="53" t="shared"/>
        <v>0</v>
      </c>
      <c r="T37" s="18">
        <f si="53" t="shared"/>
        <v>0</v>
      </c>
      <c r="U37" s="18">
        <f si="53" t="shared"/>
        <v>0</v>
      </c>
      <c r="V37" s="18">
        <f si="53" t="shared"/>
        <v>0</v>
      </c>
      <c r="W37" s="18">
        <f si="53" t="shared"/>
        <v>0</v>
      </c>
    </row>
    <row ht="14.65" r="38" spans="17:26" thickBot="1" x14ac:dyDescent="0.5">
      <c r="Q38" s="7" t="s">
        <v>3</v>
      </c>
      <c r="R38" s="19">
        <f ref="R38:W38" si="54" t="shared">R29-B29</f>
        <v>0</v>
      </c>
      <c r="S38" s="19">
        <f si="54" t="shared"/>
        <v>0</v>
      </c>
      <c r="T38" s="19">
        <f si="54" t="shared"/>
        <v>0</v>
      </c>
      <c r="U38" s="19">
        <f si="54" t="shared"/>
        <v>0</v>
      </c>
      <c r="V38" s="19">
        <f si="54" t="shared"/>
        <v>0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4.25" x14ac:dyDescent="0.45"/>
  <cols>
    <col min="6" max="6" bestFit="true" customWidth="true" width="84.73046875" collapsed="true"/>
  </cols>
  <sheetData>
    <row r="1" spans="1:7" x14ac:dyDescent="0.45">
      <c r="A1" t="s">
        <v>91</v>
      </c>
      <c r="B1" t="s">
        <v>92</v>
      </c>
      <c r="F1" t="s">
        <v>93</v>
      </c>
      <c r="G1" t="s">
        <v>138</v>
      </c>
    </row>
    <row r="2" spans="1:7" x14ac:dyDescent="0.45">
      <c r="A2">
        <v>1</v>
      </c>
      <c r="B2" t="s">
        <v>30</v>
      </c>
      <c r="C2" t="s">
        <v>31</v>
      </c>
      <c r="D2">
        <v>-2.88892731349</v>
      </c>
      <c r="E2">
        <v>0.48543234191599999</v>
      </c>
      <c r="F2" t="s">
        <v>94</v>
      </c>
      <c r="G2" t="s">
        <v>113</v>
      </c>
    </row>
    <row r="3" spans="1:7" x14ac:dyDescent="0.45">
      <c r="A3">
        <v>2</v>
      </c>
      <c r="B3" t="s">
        <v>32</v>
      </c>
      <c r="C3" t="s">
        <v>31</v>
      </c>
      <c r="D3">
        <v>-1.84920255786</v>
      </c>
      <c r="E3">
        <v>0.120667788954</v>
      </c>
      <c r="F3" t="s">
        <v>94</v>
      </c>
      <c r="G3" t="s">
        <v>122</v>
      </c>
    </row>
    <row r="4" spans="1:7" x14ac:dyDescent="0.45">
      <c r="A4">
        <v>3</v>
      </c>
      <c r="B4" t="s">
        <v>33</v>
      </c>
      <c r="C4" t="s">
        <v>31</v>
      </c>
      <c r="D4">
        <v>-3.06909125469</v>
      </c>
      <c r="E4">
        <v>0.18162390207699999</v>
      </c>
      <c r="F4" t="s">
        <v>94</v>
      </c>
      <c r="G4" t="s">
        <v>127</v>
      </c>
    </row>
    <row r="5" spans="1:7" x14ac:dyDescent="0.45">
      <c r="A5">
        <v>4</v>
      </c>
      <c r="B5" t="s">
        <v>34</v>
      </c>
      <c r="C5" t="s">
        <v>31</v>
      </c>
      <c r="D5">
        <v>-4.8440472338499996</v>
      </c>
      <c r="E5">
        <v>0.34758296123299998</v>
      </c>
      <c r="F5" t="s">
        <v>94</v>
      </c>
      <c r="G5" t="s">
        <v>133</v>
      </c>
    </row>
    <row r="6" spans="1:7" x14ac:dyDescent="0.45">
      <c r="A6">
        <v>5</v>
      </c>
      <c r="B6" t="s">
        <v>35</v>
      </c>
      <c r="C6" t="s">
        <v>31</v>
      </c>
      <c r="D6">
        <v>-3.7501392251399999</v>
      </c>
      <c r="E6">
        <v>0.48593392329200003</v>
      </c>
      <c r="F6" t="s">
        <v>95</v>
      </c>
      <c r="G6" t="s">
        <v>113</v>
      </c>
    </row>
    <row r="7" spans="1:7" x14ac:dyDescent="0.45">
      <c r="A7">
        <v>6</v>
      </c>
      <c r="B7" t="s">
        <v>36</v>
      </c>
      <c r="C7" t="s">
        <v>31</v>
      </c>
      <c r="D7">
        <v>-1.54083688408</v>
      </c>
      <c r="E7">
        <v>0.17120485389099999</v>
      </c>
      <c r="F7" t="s">
        <v>95</v>
      </c>
      <c r="G7" t="s">
        <v>114</v>
      </c>
    </row>
    <row r="8" spans="1:7" x14ac:dyDescent="0.45">
      <c r="A8">
        <v>7</v>
      </c>
      <c r="B8" t="s">
        <v>37</v>
      </c>
      <c r="C8" t="s">
        <v>31</v>
      </c>
      <c r="D8">
        <v>-1.50533715645</v>
      </c>
      <c r="E8">
        <v>0.108778102305</v>
      </c>
      <c r="F8" t="s">
        <v>95</v>
      </c>
      <c r="G8" t="s">
        <v>127</v>
      </c>
    </row>
    <row r="9" spans="1:7" x14ac:dyDescent="0.45">
      <c r="A9">
        <v>8</v>
      </c>
      <c r="B9" t="s">
        <v>38</v>
      </c>
      <c r="C9" t="s">
        <v>31</v>
      </c>
      <c r="D9">
        <v>-2.6342137133099999</v>
      </c>
      <c r="E9">
        <v>0.162199862</v>
      </c>
      <c r="F9" t="s">
        <v>95</v>
      </c>
      <c r="G9" t="s">
        <v>133</v>
      </c>
    </row>
    <row r="10" spans="1:7" x14ac:dyDescent="0.45">
      <c r="A10">
        <v>9</v>
      </c>
      <c r="B10" t="s">
        <v>39</v>
      </c>
      <c r="C10" t="s">
        <v>31</v>
      </c>
      <c r="D10">
        <v>-3.1293105723300001</v>
      </c>
      <c r="E10">
        <v>0.68731231591800002</v>
      </c>
      <c r="F10" t="s">
        <v>96</v>
      </c>
      <c r="G10" t="s">
        <v>113</v>
      </c>
    </row>
    <row r="11" spans="1:7" x14ac:dyDescent="0.45">
      <c r="A11">
        <v>10</v>
      </c>
      <c r="B11" t="s">
        <v>40</v>
      </c>
      <c r="C11" t="s">
        <v>31</v>
      </c>
      <c r="D11">
        <v>-1.2916609235900001</v>
      </c>
      <c r="E11">
        <v>0.26131690816499997</v>
      </c>
      <c r="F11" t="s">
        <v>96</v>
      </c>
      <c r="G11" t="s">
        <v>114</v>
      </c>
    </row>
    <row r="12" spans="1:7" x14ac:dyDescent="0.45">
      <c r="A12">
        <v>11</v>
      </c>
      <c r="B12" t="s">
        <v>41</v>
      </c>
      <c r="C12" t="s">
        <v>31</v>
      </c>
      <c r="D12">
        <v>-0.36600413520000002</v>
      </c>
      <c r="E12">
        <v>0.204749856644</v>
      </c>
      <c r="F12" t="s">
        <v>96</v>
      </c>
      <c r="G12" t="s">
        <v>122</v>
      </c>
    </row>
    <row r="13" spans="1:7" x14ac:dyDescent="0.45">
      <c r="A13">
        <v>12</v>
      </c>
      <c r="B13" t="s">
        <v>42</v>
      </c>
      <c r="C13" t="s">
        <v>31</v>
      </c>
      <c r="D13">
        <v>-0.96396736597999999</v>
      </c>
      <c r="E13">
        <v>0.203518529877</v>
      </c>
      <c r="F13" t="s">
        <v>96</v>
      </c>
      <c r="G13" t="s">
        <v>133</v>
      </c>
    </row>
    <row r="14" spans="1:7" x14ac:dyDescent="0.45">
      <c r="A14">
        <v>13</v>
      </c>
      <c r="B14" t="s">
        <v>43</v>
      </c>
      <c r="C14" t="s">
        <v>31</v>
      </c>
      <c r="D14">
        <v>-4.3599306108100002</v>
      </c>
      <c r="E14">
        <v>1.2200761253100001</v>
      </c>
      <c r="F14" t="s">
        <v>97</v>
      </c>
      <c r="G14" t="s">
        <v>113</v>
      </c>
    </row>
    <row r="15" spans="1:7" x14ac:dyDescent="0.45">
      <c r="A15">
        <v>14</v>
      </c>
      <c r="B15" t="s">
        <v>44</v>
      </c>
      <c r="C15" t="s">
        <v>31</v>
      </c>
      <c r="D15">
        <v>-1.1985630522499999</v>
      </c>
      <c r="E15">
        <v>0.39337121020799998</v>
      </c>
      <c r="F15" t="s">
        <v>97</v>
      </c>
      <c r="G15" t="s">
        <v>114</v>
      </c>
    </row>
    <row r="16" spans="1:7" x14ac:dyDescent="0.45">
      <c r="A16">
        <v>15</v>
      </c>
      <c r="B16" t="s">
        <v>45</v>
      </c>
      <c r="C16" t="s">
        <v>31</v>
      </c>
      <c r="D16">
        <v>-1.15121947805</v>
      </c>
      <c r="E16">
        <v>0.30214458233000002</v>
      </c>
      <c r="F16" t="s">
        <v>97</v>
      </c>
      <c r="G16" t="s">
        <v>122</v>
      </c>
    </row>
    <row r="17" spans="1:15" x14ac:dyDescent="0.45">
      <c r="A17">
        <v>16</v>
      </c>
      <c r="B17" t="s">
        <v>46</v>
      </c>
      <c r="C17" t="s">
        <v>31</v>
      </c>
      <c r="D17">
        <v>-1.4377901695099999</v>
      </c>
      <c r="E17">
        <v>0.30270627538400002</v>
      </c>
      <c r="F17" t="s">
        <v>97</v>
      </c>
      <c r="G17" t="s">
        <v>127</v>
      </c>
    </row>
    <row customFormat="1" r="18" s="87" spans="1:15" x14ac:dyDescent="0.45">
      <c r="A18" s="87">
        <v>18</v>
      </c>
      <c r="B18" s="87" t="s">
        <v>47</v>
      </c>
      <c r="C18" s="87" t="s">
        <v>31</v>
      </c>
      <c r="D18" s="87">
        <v>0.39953921787000002</v>
      </c>
      <c r="E18" s="87">
        <v>0.124608088395</v>
      </c>
      <c r="F18" s="87" t="s">
        <v>98</v>
      </c>
      <c r="G18" s="87" t="s">
        <v>113</v>
      </c>
      <c r="H18" s="87" t="s">
        <v>114</v>
      </c>
      <c r="I18" s="87" t="s">
        <v>115</v>
      </c>
      <c r="J18" s="87" t="s">
        <v>122</v>
      </c>
      <c r="K18" s="87" t="s">
        <v>121</v>
      </c>
      <c r="L18" s="87" t="s">
        <v>127</v>
      </c>
      <c r="M18" s="87" t="s">
        <v>126</v>
      </c>
      <c r="N18" s="87" t="s">
        <v>133</v>
      </c>
      <c r="O18" s="87" t="s">
        <v>132</v>
      </c>
    </row>
    <row r="19" spans="1:15" x14ac:dyDescent="0.45">
      <c r="A19" s="88">
        <v>19</v>
      </c>
      <c r="B19" s="88" t="s">
        <v>48</v>
      </c>
      <c r="C19" s="88" t="s">
        <v>31</v>
      </c>
      <c r="D19" s="88">
        <v>0.69903044631199995</v>
      </c>
      <c r="E19" s="88">
        <v>0.40297798012199998</v>
      </c>
      <c r="F19" s="88" t="s">
        <v>99</v>
      </c>
      <c r="G19" s="88" t="s">
        <v>113</v>
      </c>
      <c r="H19" s="88"/>
      <c r="I19" s="88"/>
      <c r="J19" s="88"/>
      <c r="K19" s="88"/>
      <c r="L19" s="88"/>
      <c r="M19" s="88"/>
    </row>
    <row r="20" spans="1:15" x14ac:dyDescent="0.45">
      <c r="A20">
        <v>20</v>
      </c>
      <c r="B20" t="s">
        <v>49</v>
      </c>
      <c r="C20" t="s">
        <v>31</v>
      </c>
      <c r="D20">
        <v>0.32485446959800002</v>
      </c>
      <c r="E20">
        <v>0.204037451392</v>
      </c>
      <c r="F20" t="s">
        <v>99</v>
      </c>
      <c r="G20" t="s">
        <v>114</v>
      </c>
    </row>
    <row r="21" spans="1:15" x14ac:dyDescent="0.45">
      <c r="A21">
        <v>22</v>
      </c>
      <c r="B21" t="s">
        <v>50</v>
      </c>
      <c r="C21" t="s">
        <v>31</v>
      </c>
      <c r="D21">
        <v>-0.43856128772000003</v>
      </c>
      <c r="E21">
        <v>0.318213047774</v>
      </c>
      <c r="F21" t="s">
        <v>99</v>
      </c>
      <c r="G21" t="s">
        <v>133</v>
      </c>
    </row>
    <row r="22" spans="1:15" x14ac:dyDescent="0.45">
      <c r="A22">
        <v>24</v>
      </c>
      <c r="B22" t="s">
        <v>51</v>
      </c>
      <c r="C22" t="s">
        <v>31</v>
      </c>
      <c r="D22">
        <v>0.239019734309</v>
      </c>
      <c r="E22">
        <v>0.118684885778</v>
      </c>
      <c r="F22" t="s">
        <v>116</v>
      </c>
      <c r="G22" t="s">
        <v>114</v>
      </c>
    </row>
    <row r="23" spans="1:15" x14ac:dyDescent="0.45">
      <c r="A23">
        <v>25</v>
      </c>
      <c r="B23" t="s">
        <v>52</v>
      </c>
      <c r="C23" t="s">
        <v>31</v>
      </c>
      <c r="D23">
        <v>-0.30115653367700002</v>
      </c>
      <c r="E23">
        <v>0.15726577946500001</v>
      </c>
      <c r="F23" t="s">
        <v>116</v>
      </c>
      <c r="G23" t="s">
        <v>127</v>
      </c>
    </row>
    <row r="24" spans="1:15" x14ac:dyDescent="0.45">
      <c r="A24">
        <v>26</v>
      </c>
      <c r="B24" t="s">
        <v>53</v>
      </c>
      <c r="C24" t="s">
        <v>31</v>
      </c>
      <c r="D24">
        <v>-0.56373515910799998</v>
      </c>
      <c r="E24">
        <v>0.25328633007399998</v>
      </c>
      <c r="F24" t="s">
        <v>116</v>
      </c>
      <c r="G24" t="s">
        <v>133</v>
      </c>
    </row>
    <row r="25" spans="1:15" x14ac:dyDescent="0.45">
      <c r="A25">
        <v>28</v>
      </c>
      <c r="B25" t="s">
        <v>54</v>
      </c>
      <c r="C25" t="s">
        <v>31</v>
      </c>
      <c r="D25">
        <v>0.31959884056900001</v>
      </c>
      <c r="E25">
        <v>0.22861927141800001</v>
      </c>
      <c r="F25" t="s">
        <v>117</v>
      </c>
      <c r="G25" t="s">
        <v>114</v>
      </c>
    </row>
    <row r="26" spans="1:15" x14ac:dyDescent="0.45">
      <c r="A26">
        <v>29</v>
      </c>
      <c r="B26" t="s">
        <v>55</v>
      </c>
      <c r="C26" t="s">
        <v>31</v>
      </c>
      <c r="D26">
        <v>0.57068696704599997</v>
      </c>
      <c r="E26">
        <v>0.28285417099100002</v>
      </c>
      <c r="F26" t="s">
        <v>117</v>
      </c>
      <c r="G26" t="s">
        <v>127</v>
      </c>
    </row>
    <row r="27" spans="1:15" x14ac:dyDescent="0.45">
      <c r="A27">
        <v>31</v>
      </c>
      <c r="B27" t="s">
        <v>56</v>
      </c>
      <c r="C27" t="s">
        <v>31</v>
      </c>
      <c r="D27">
        <v>2.9250059989500001</v>
      </c>
      <c r="E27">
        <v>1.2854634766599999</v>
      </c>
      <c r="F27" t="s">
        <v>100</v>
      </c>
      <c r="G27" t="s">
        <v>113</v>
      </c>
    </row>
    <row r="28" spans="1:15" x14ac:dyDescent="0.45">
      <c r="A28">
        <v>32</v>
      </c>
      <c r="B28" t="s">
        <v>57</v>
      </c>
      <c r="C28" t="s">
        <v>31</v>
      </c>
      <c r="D28">
        <v>1.2969669216299999</v>
      </c>
      <c r="E28">
        <v>0.553290083268</v>
      </c>
      <c r="F28" t="s">
        <v>100</v>
      </c>
      <c r="G28" t="s">
        <v>114</v>
      </c>
    </row>
    <row r="29" spans="1:15" x14ac:dyDescent="0.45">
      <c r="A29">
        <v>34</v>
      </c>
      <c r="B29" t="s">
        <v>58</v>
      </c>
      <c r="C29" t="s">
        <v>31</v>
      </c>
      <c r="D29">
        <v>-2.59112200624</v>
      </c>
      <c r="E29">
        <v>0.67748006502500002</v>
      </c>
      <c r="F29" t="s">
        <v>100</v>
      </c>
      <c r="G29" t="s">
        <v>133</v>
      </c>
    </row>
    <row r="30" spans="1:15" x14ac:dyDescent="0.45">
      <c r="A30">
        <v>35</v>
      </c>
      <c r="B30" t="s">
        <v>59</v>
      </c>
      <c r="C30" t="s">
        <v>31</v>
      </c>
      <c r="D30">
        <v>-1.0636437007299999</v>
      </c>
      <c r="E30">
        <v>0.67287579243399998</v>
      </c>
      <c r="F30" t="s">
        <v>101</v>
      </c>
      <c r="G30" t="s">
        <v>113</v>
      </c>
    </row>
    <row r="31" spans="1:15" x14ac:dyDescent="0.45">
      <c r="A31">
        <v>36</v>
      </c>
      <c r="B31" t="s">
        <v>60</v>
      </c>
      <c r="C31" t="s">
        <v>31</v>
      </c>
      <c r="D31">
        <v>-0.53660640919000002</v>
      </c>
      <c r="E31">
        <v>0.28655587340499999</v>
      </c>
      <c r="F31" t="s">
        <v>101</v>
      </c>
      <c r="G31" t="s">
        <v>114</v>
      </c>
    </row>
    <row r="32" spans="1:15" x14ac:dyDescent="0.45">
      <c r="A32">
        <v>37</v>
      </c>
      <c r="B32" t="s">
        <v>61</v>
      </c>
      <c r="C32" t="s">
        <v>31</v>
      </c>
      <c r="D32">
        <v>0.28589368992800002</v>
      </c>
      <c r="E32">
        <v>0.26930228656600003</v>
      </c>
      <c r="F32" t="s">
        <v>101</v>
      </c>
      <c r="G32" t="s">
        <v>127</v>
      </c>
    </row>
    <row r="33" spans="1:7" x14ac:dyDescent="0.45">
      <c r="A33">
        <v>38</v>
      </c>
      <c r="B33" t="s">
        <v>62</v>
      </c>
      <c r="C33" t="s">
        <v>31</v>
      </c>
      <c r="D33">
        <v>0.64783551265499995</v>
      </c>
      <c r="E33">
        <v>0.37530750296900001</v>
      </c>
      <c r="F33" t="s">
        <v>101</v>
      </c>
      <c r="G33" t="s">
        <v>133</v>
      </c>
    </row>
    <row r="34" spans="1:7" x14ac:dyDescent="0.45">
      <c r="A34">
        <v>41</v>
      </c>
      <c r="B34" t="s">
        <v>63</v>
      </c>
      <c r="C34" t="s">
        <v>31</v>
      </c>
      <c r="D34">
        <v>-0.47288768158</v>
      </c>
      <c r="E34">
        <v>0.28996962859499997</v>
      </c>
      <c r="F34" t="s">
        <v>128</v>
      </c>
      <c r="G34" t="s">
        <v>127</v>
      </c>
    </row>
    <row r="35" spans="1:7" x14ac:dyDescent="0.45">
      <c r="A35">
        <v>42</v>
      </c>
      <c r="B35" t="s">
        <v>64</v>
      </c>
      <c r="C35" t="s">
        <v>31</v>
      </c>
      <c r="D35">
        <v>-1.73045435445</v>
      </c>
      <c r="E35">
        <v>0.60204136834499999</v>
      </c>
      <c r="F35" t="s">
        <v>128</v>
      </c>
      <c r="G35" t="s">
        <v>133</v>
      </c>
    </row>
    <row r="36" spans="1:7" x14ac:dyDescent="0.45">
      <c r="A36">
        <v>43</v>
      </c>
      <c r="B36" t="s">
        <v>65</v>
      </c>
      <c r="C36" t="s">
        <v>31</v>
      </c>
      <c r="D36">
        <v>2.0718120356499998</v>
      </c>
      <c r="E36">
        <v>0.25112785750200001</v>
      </c>
      <c r="F36" t="s">
        <v>102</v>
      </c>
      <c r="G36" t="s">
        <v>113</v>
      </c>
    </row>
    <row r="37" spans="1:7" x14ac:dyDescent="0.45">
      <c r="A37">
        <v>44</v>
      </c>
      <c r="B37" t="s">
        <v>66</v>
      </c>
      <c r="C37" t="s">
        <v>31</v>
      </c>
      <c r="D37">
        <v>0.60728378971399999</v>
      </c>
      <c r="E37">
        <v>0.181439147627</v>
      </c>
      <c r="F37" t="s">
        <v>102</v>
      </c>
      <c r="G37" t="s">
        <v>114</v>
      </c>
    </row>
    <row r="38" spans="1:7" x14ac:dyDescent="0.45">
      <c r="A38">
        <v>45</v>
      </c>
      <c r="B38" t="s">
        <v>67</v>
      </c>
      <c r="C38" t="s">
        <v>31</v>
      </c>
      <c r="D38">
        <v>-0.71462161389500001</v>
      </c>
      <c r="E38">
        <v>0.32036605145399999</v>
      </c>
      <c r="F38" t="s">
        <v>102</v>
      </c>
      <c r="G38" t="s">
        <v>127</v>
      </c>
    </row>
    <row r="39" spans="1:7" x14ac:dyDescent="0.45">
      <c r="A39">
        <v>46</v>
      </c>
      <c r="B39" t="s">
        <v>68</v>
      </c>
      <c r="C39" t="s">
        <v>31</v>
      </c>
      <c r="D39">
        <v>-1.4356778668800001</v>
      </c>
      <c r="E39">
        <v>0.571538197034</v>
      </c>
      <c r="F39" t="s">
        <v>102</v>
      </c>
      <c r="G39" t="s">
        <v>133</v>
      </c>
    </row>
    <row r="40" spans="1:7" x14ac:dyDescent="0.45">
      <c r="A40">
        <v>47</v>
      </c>
      <c r="B40" t="s">
        <v>69</v>
      </c>
      <c r="C40" t="s">
        <v>31</v>
      </c>
      <c r="D40">
        <v>-1.45349726543</v>
      </c>
      <c r="E40">
        <v>0.40356684826</v>
      </c>
      <c r="F40" t="s">
        <v>103</v>
      </c>
      <c r="G40" t="s">
        <v>113</v>
      </c>
    </row>
    <row r="41" spans="1:7" x14ac:dyDescent="0.45">
      <c r="A41">
        <v>48</v>
      </c>
      <c r="B41" t="s">
        <v>70</v>
      </c>
      <c r="C41" t="s">
        <v>31</v>
      </c>
      <c r="D41">
        <v>-1.0930755785699999</v>
      </c>
      <c r="E41">
        <v>0.126439275741</v>
      </c>
      <c r="F41" t="s">
        <v>103</v>
      </c>
      <c r="G41" t="s">
        <v>114</v>
      </c>
    </row>
    <row r="42" spans="1:7" x14ac:dyDescent="0.45">
      <c r="A42">
        <v>49</v>
      </c>
      <c r="B42" t="s">
        <v>71</v>
      </c>
      <c r="C42" t="s">
        <v>31</v>
      </c>
      <c r="D42">
        <v>0.14078168516299999</v>
      </c>
      <c r="E42">
        <v>0.12041492006899999</v>
      </c>
      <c r="F42" t="s">
        <v>103</v>
      </c>
      <c r="G42" t="s">
        <v>127</v>
      </c>
    </row>
    <row r="43" spans="1:7" x14ac:dyDescent="0.45">
      <c r="A43">
        <v>50</v>
      </c>
      <c r="B43" t="s">
        <v>72</v>
      </c>
      <c r="C43" t="s">
        <v>31</v>
      </c>
      <c r="D43">
        <v>0.188609995585</v>
      </c>
      <c r="E43">
        <v>0.169738586315</v>
      </c>
      <c r="F43" t="s">
        <v>103</v>
      </c>
      <c r="G43" t="s">
        <v>133</v>
      </c>
    </row>
    <row r="44" spans="1:7" x14ac:dyDescent="0.45">
      <c r="A44">
        <v>51</v>
      </c>
      <c r="B44" t="s">
        <v>73</v>
      </c>
      <c r="C44" t="s">
        <v>31</v>
      </c>
      <c r="D44">
        <v>-0.58492078305700002</v>
      </c>
      <c r="E44">
        <v>0.39231975258899998</v>
      </c>
      <c r="F44" t="s">
        <v>104</v>
      </c>
      <c r="G44" t="s">
        <v>113</v>
      </c>
    </row>
    <row r="45" spans="1:7" x14ac:dyDescent="0.45">
      <c r="A45">
        <v>52</v>
      </c>
      <c r="B45" t="s">
        <v>74</v>
      </c>
      <c r="C45" t="s">
        <v>31</v>
      </c>
      <c r="D45">
        <v>-1.0058660612699999</v>
      </c>
      <c r="E45">
        <v>0.1591759079</v>
      </c>
      <c r="F45" t="s">
        <v>104</v>
      </c>
      <c r="G45" t="s">
        <v>114</v>
      </c>
    </row>
    <row r="46" spans="1:7" x14ac:dyDescent="0.45">
      <c r="A46">
        <v>53</v>
      </c>
      <c r="B46" t="s">
        <v>75</v>
      </c>
      <c r="C46" t="s">
        <v>31</v>
      </c>
      <c r="D46">
        <v>0.22559840834</v>
      </c>
      <c r="E46">
        <v>0.13586187288400001</v>
      </c>
      <c r="F46" t="s">
        <v>104</v>
      </c>
      <c r="G46" t="s">
        <v>127</v>
      </c>
    </row>
    <row r="47" spans="1:7" x14ac:dyDescent="0.45">
      <c r="A47">
        <v>54</v>
      </c>
      <c r="B47" t="s">
        <v>76</v>
      </c>
      <c r="C47" t="s">
        <v>31</v>
      </c>
      <c r="D47">
        <v>0.34302043279099997</v>
      </c>
      <c r="E47">
        <v>0.18564049817600001</v>
      </c>
      <c r="F47" t="s">
        <v>104</v>
      </c>
      <c r="G47" t="s">
        <v>133</v>
      </c>
    </row>
    <row r="48" spans="1:7" x14ac:dyDescent="0.45">
      <c r="A48">
        <v>55</v>
      </c>
      <c r="B48" t="s">
        <v>77</v>
      </c>
      <c r="C48" t="s">
        <v>31</v>
      </c>
      <c r="D48">
        <v>-0.53538167154600003</v>
      </c>
      <c r="E48">
        <v>0.46253383393000003</v>
      </c>
      <c r="F48" t="s">
        <v>105</v>
      </c>
      <c r="G48" t="s">
        <v>113</v>
      </c>
    </row>
    <row r="49" spans="1:13" x14ac:dyDescent="0.45">
      <c r="A49">
        <v>56</v>
      </c>
      <c r="B49" t="s">
        <v>78</v>
      </c>
      <c r="C49" t="s">
        <v>31</v>
      </c>
      <c r="D49">
        <v>-0.52697142353899995</v>
      </c>
      <c r="E49">
        <v>0.21878082256199999</v>
      </c>
      <c r="F49" t="s">
        <v>105</v>
      </c>
      <c r="G49" t="s">
        <v>114</v>
      </c>
    </row>
    <row r="50" spans="1:13" x14ac:dyDescent="0.45">
      <c r="A50">
        <v>57</v>
      </c>
      <c r="B50" t="s">
        <v>79</v>
      </c>
      <c r="C50" t="s">
        <v>31</v>
      </c>
      <c r="D50">
        <v>0.21517789340999999</v>
      </c>
      <c r="E50">
        <v>0.24686726698100001</v>
      </c>
      <c r="F50" t="s">
        <v>105</v>
      </c>
      <c r="G50" t="s">
        <v>127</v>
      </c>
    </row>
    <row r="51" spans="1:13" x14ac:dyDescent="0.45">
      <c r="A51">
        <v>58</v>
      </c>
      <c r="B51" t="s">
        <v>80</v>
      </c>
      <c r="C51" t="s">
        <v>31</v>
      </c>
      <c r="D51">
        <v>-0.978212790971</v>
      </c>
      <c r="E51">
        <v>0.55972952825599998</v>
      </c>
      <c r="F51" t="s">
        <v>105</v>
      </c>
      <c r="G51" t="s">
        <v>133</v>
      </c>
    </row>
    <row r="52" spans="1:13" x14ac:dyDescent="0.45">
      <c r="A52">
        <v>59</v>
      </c>
      <c r="B52" t="s">
        <v>81</v>
      </c>
      <c r="C52" t="s">
        <v>31</v>
      </c>
      <c r="D52">
        <v>-0.42495698544999999</v>
      </c>
      <c r="E52" s="86">
        <v>9.3174665093100004E-2</v>
      </c>
      <c r="F52" t="s">
        <v>106</v>
      </c>
      <c r="G52" t="s">
        <v>113</v>
      </c>
    </row>
    <row customFormat="1" r="53" s="87" spans="1:13" x14ac:dyDescent="0.45">
      <c r="A53" s="87">
        <v>60</v>
      </c>
      <c r="B53" s="87" t="s">
        <v>82</v>
      </c>
      <c r="C53" s="87" t="s">
        <v>31</v>
      </c>
      <c r="D53" s="87">
        <v>-0.11124462416</v>
      </c>
      <c r="E53" s="89">
        <v>1.9324554676499999E-2</v>
      </c>
      <c r="F53" s="87" t="s">
        <v>118</v>
      </c>
      <c r="G53" s="87" t="s">
        <v>114</v>
      </c>
      <c r="H53" s="87" t="s">
        <v>122</v>
      </c>
      <c r="I53" s="87" t="s">
        <v>123</v>
      </c>
      <c r="J53" s="87" t="s">
        <v>127</v>
      </c>
      <c r="K53" s="87" t="s">
        <v>129</v>
      </c>
      <c r="L53" s="87" t="s">
        <v>133</v>
      </c>
      <c r="M53" s="87" t="s">
        <v>134</v>
      </c>
    </row>
    <row r="54" spans="1:13" x14ac:dyDescent="0.45">
      <c r="A54">
        <v>63</v>
      </c>
      <c r="B54" t="s">
        <v>83</v>
      </c>
      <c r="C54" t="s">
        <v>31</v>
      </c>
      <c r="D54">
        <v>-1.2627495896200001</v>
      </c>
      <c r="E54">
        <v>1.15568726918</v>
      </c>
      <c r="F54" t="s">
        <v>107</v>
      </c>
      <c r="G54" t="s">
        <v>113</v>
      </c>
    </row>
    <row r="55" spans="1:13" x14ac:dyDescent="0.45">
      <c r="A55">
        <v>69</v>
      </c>
      <c r="B55" t="s">
        <v>84</v>
      </c>
      <c r="C55" t="s">
        <v>31</v>
      </c>
      <c r="D55">
        <v>-0.182881856812</v>
      </c>
      <c r="E55" s="86">
        <v>9.1832192679999994E-2</v>
      </c>
      <c r="F55" t="s">
        <v>108</v>
      </c>
      <c r="G55" t="s">
        <v>113</v>
      </c>
    </row>
    <row customFormat="1" r="56" s="87" spans="1:13" x14ac:dyDescent="0.45">
      <c r="A56" s="87">
        <v>72</v>
      </c>
      <c r="B56" s="87" t="s">
        <v>85</v>
      </c>
      <c r="C56" s="87" t="s">
        <v>31</v>
      </c>
      <c r="D56" s="87">
        <v>0.14811075420100001</v>
      </c>
      <c r="E56" s="89">
        <v>5.9982749063499999E-2</v>
      </c>
      <c r="F56" s="87" t="s">
        <v>119</v>
      </c>
      <c r="G56" s="87" t="s">
        <v>114</v>
      </c>
      <c r="H56" s="87" t="s">
        <v>122</v>
      </c>
      <c r="I56" s="87" t="s">
        <v>124</v>
      </c>
      <c r="J56" s="87" t="s">
        <v>127</v>
      </c>
      <c r="K56" s="87" t="s">
        <v>130</v>
      </c>
      <c r="L56" s="87" t="s">
        <v>133</v>
      </c>
      <c r="M56" s="87" t="s">
        <v>135</v>
      </c>
    </row>
    <row r="57" spans="1:13" x14ac:dyDescent="0.45">
      <c r="A57">
        <v>73</v>
      </c>
      <c r="B57" t="s">
        <v>86</v>
      </c>
      <c r="C57" t="s">
        <v>31</v>
      </c>
      <c r="D57" s="86">
        <v>7.1458236224400005E-4</v>
      </c>
      <c r="E57" s="86">
        <v>1.9087285637099999E-4</v>
      </c>
      <c r="F57" t="s">
        <v>109</v>
      </c>
      <c r="G57" t="s">
        <v>113</v>
      </c>
    </row>
    <row r="58" spans="1:13" x14ac:dyDescent="0.45">
      <c r="A58">
        <v>75</v>
      </c>
      <c r="B58" t="s">
        <v>87</v>
      </c>
      <c r="C58" t="s">
        <v>31</v>
      </c>
      <c r="D58">
        <v>0.29597958689600001</v>
      </c>
      <c r="E58" s="86">
        <v>7.8942367252999995E-2</v>
      </c>
      <c r="F58" t="s">
        <v>110</v>
      </c>
      <c r="G58" t="s">
        <v>113</v>
      </c>
    </row>
    <row customFormat="1" r="59" s="87" spans="1:13" x14ac:dyDescent="0.45">
      <c r="A59" s="87">
        <v>76</v>
      </c>
      <c r="B59" s="87" t="s">
        <v>88</v>
      </c>
      <c r="C59" s="87" t="s">
        <v>31</v>
      </c>
      <c r="D59" s="87">
        <v>0.19796492273399999</v>
      </c>
      <c r="E59" s="89">
        <v>3.4156307751499998E-2</v>
      </c>
      <c r="F59" s="87" t="s">
        <v>120</v>
      </c>
      <c r="G59" s="87" t="s">
        <v>114</v>
      </c>
      <c r="H59" s="87" t="s">
        <v>122</v>
      </c>
      <c r="I59" s="87" t="s">
        <v>125</v>
      </c>
      <c r="J59" s="87" t="s">
        <v>127</v>
      </c>
      <c r="K59" s="87" t="s">
        <v>131</v>
      </c>
      <c r="L59" s="87" t="s">
        <v>133</v>
      </c>
      <c r="M59" s="87" t="s">
        <v>136</v>
      </c>
    </row>
    <row r="60" spans="1:13" x14ac:dyDescent="0.45">
      <c r="A60">
        <v>77</v>
      </c>
      <c r="B60" t="s">
        <v>89</v>
      </c>
      <c r="C60" t="s">
        <v>31</v>
      </c>
      <c r="D60">
        <v>0.27817460170199998</v>
      </c>
      <c r="E60">
        <v>0.17839332841300001</v>
      </c>
      <c r="F60" t="s">
        <v>112</v>
      </c>
      <c r="G60" t="s">
        <v>113</v>
      </c>
    </row>
    <row r="61" spans="1:13" x14ac:dyDescent="0.45">
      <c r="A61">
        <v>83</v>
      </c>
      <c r="B61" t="s">
        <v>90</v>
      </c>
      <c r="C61" t="s">
        <v>31</v>
      </c>
      <c r="D61">
        <v>-0.77256225305799997</v>
      </c>
      <c r="E61">
        <v>0.454505526996</v>
      </c>
      <c r="F61" t="s">
        <v>111</v>
      </c>
      <c r="G61" t="s">
        <v>113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4.25" x14ac:dyDescent="0.45"/>
  <sheetData>
    <row r="1" spans="1:10" x14ac:dyDescent="0.45">
      <c r="A1" s="92" t="s">
        <v>157</v>
      </c>
    </row>
    <row r="2" spans="1:10" x14ac:dyDescent="0.45">
      <c r="A2">
        <v>1</v>
      </c>
      <c r="B2" t="s">
        <v>158</v>
      </c>
    </row>
    <row r="3" spans="1:10" x14ac:dyDescent="0.45">
      <c r="A3">
        <v>2</v>
      </c>
      <c r="B3" t="s">
        <v>159</v>
      </c>
    </row>
    <row r="4" spans="1:10" x14ac:dyDescent="0.45">
      <c r="A4">
        <v>3</v>
      </c>
      <c r="B4" t="s">
        <v>160</v>
      </c>
    </row>
    <row r="5" spans="1:10" x14ac:dyDescent="0.45">
      <c r="A5">
        <v>4</v>
      </c>
      <c r="B5" t="s">
        <v>161</v>
      </c>
    </row>
    <row r="8" spans="1:10" x14ac:dyDescent="0.45">
      <c r="A8" t="s">
        <v>146</v>
      </c>
      <c r="B8" t="s">
        <v>147</v>
      </c>
      <c r="C8" t="s">
        <v>148</v>
      </c>
    </row>
    <row r="9" spans="1:10" x14ac:dyDescent="0.45">
      <c r="A9" t="s">
        <v>149</v>
      </c>
      <c r="B9" t="s">
        <v>150</v>
      </c>
      <c r="C9" t="s">
        <v>151</v>
      </c>
      <c r="D9" t="s">
        <v>152</v>
      </c>
      <c r="E9">
        <v>4</v>
      </c>
      <c r="F9" s="95">
        <v>0.46995370370370365</v>
      </c>
      <c r="G9" t="s">
        <v>153</v>
      </c>
      <c r="H9">
        <v>3</v>
      </c>
      <c r="I9" t="s">
        <v>154</v>
      </c>
      <c r="J9">
        <v>12</v>
      </c>
    </row>
    <row r="10" spans="1:10" x14ac:dyDescent="0.45">
      <c r="A10" t="s">
        <v>155</v>
      </c>
    </row>
    <row r="11" spans="1:10" x14ac:dyDescent="0.45">
      <c r="B11">
        <v>1</v>
      </c>
      <c r="C11" t="s">
        <v>30</v>
      </c>
      <c r="D11" t="s">
        <v>31</v>
      </c>
      <c r="E11">
        <v>-3.7471395627100001</v>
      </c>
      <c r="F11">
        <v>0.48543234191599999</v>
      </c>
    </row>
    <row r="12" spans="1:10" x14ac:dyDescent="0.45">
      <c r="B12">
        <v>2</v>
      </c>
      <c r="C12" t="s">
        <v>32</v>
      </c>
      <c r="D12" t="s">
        <v>31</v>
      </c>
      <c r="E12">
        <v>-2.1297115852199999</v>
      </c>
      <c r="F12">
        <v>0.120667788954</v>
      </c>
    </row>
    <row r="13" spans="1:10" x14ac:dyDescent="0.45">
      <c r="B13">
        <v>3</v>
      </c>
      <c r="C13" t="s">
        <v>33</v>
      </c>
      <c r="D13" t="s">
        <v>31</v>
      </c>
      <c r="E13">
        <v>-3.96633437255</v>
      </c>
      <c r="F13">
        <v>0.18162390207699999</v>
      </c>
    </row>
    <row r="14" spans="1:10" x14ac:dyDescent="0.45">
      <c r="B14">
        <v>4</v>
      </c>
      <c r="C14" t="s">
        <v>34</v>
      </c>
      <c r="D14" t="s">
        <v>31</v>
      </c>
      <c r="E14">
        <v>-11.219392631330001</v>
      </c>
      <c r="F14">
        <v>0.34758296123299998</v>
      </c>
    </row>
    <row r="15" spans="1:10" x14ac:dyDescent="0.45">
      <c r="B15">
        <v>5</v>
      </c>
      <c r="C15" t="s">
        <v>35</v>
      </c>
      <c r="D15" t="s">
        <v>31</v>
      </c>
      <c r="E15">
        <v>-5.0125223934900003</v>
      </c>
      <c r="F15">
        <v>0.48593392329200003</v>
      </c>
    </row>
    <row r="16" spans="1:10" x14ac:dyDescent="0.45">
      <c r="B16">
        <v>6</v>
      </c>
      <c r="C16" t="s">
        <v>36</v>
      </c>
      <c r="D16" t="s">
        <v>31</v>
      </c>
      <c r="E16">
        <v>-1.8563745465099999</v>
      </c>
      <c r="F16">
        <v>0.17120485389099999</v>
      </c>
    </row>
    <row r="17" spans="2:6" x14ac:dyDescent="0.45">
      <c r="B17">
        <v>7</v>
      </c>
      <c r="C17" t="s">
        <v>37</v>
      </c>
      <c r="D17" t="s">
        <v>31</v>
      </c>
      <c r="E17">
        <v>-1.3964239432800001</v>
      </c>
      <c r="F17">
        <v>0.108778102305</v>
      </c>
    </row>
    <row r="18" spans="2:6" x14ac:dyDescent="0.45">
      <c r="B18">
        <v>8</v>
      </c>
      <c r="C18" t="s">
        <v>38</v>
      </c>
      <c r="D18" t="s">
        <v>31</v>
      </c>
      <c r="E18">
        <v>-2.3942936803500001</v>
      </c>
      <c r="F18">
        <v>0.162199862</v>
      </c>
    </row>
    <row r="19" spans="2:6" x14ac:dyDescent="0.45">
      <c r="B19">
        <v>9</v>
      </c>
      <c r="C19" t="s">
        <v>39</v>
      </c>
      <c r="D19" t="s">
        <v>31</v>
      </c>
      <c r="E19">
        <v>-4.9201833156500001</v>
      </c>
      <c r="F19">
        <v>0.68731231591800002</v>
      </c>
    </row>
    <row r="20" spans="2:6" x14ac:dyDescent="0.45">
      <c r="B20">
        <v>10</v>
      </c>
      <c r="C20" t="s">
        <v>40</v>
      </c>
      <c r="D20" t="s">
        <v>31</v>
      </c>
      <c r="E20">
        <v>-2.29401614977</v>
      </c>
      <c r="F20">
        <v>0.26131690816499997</v>
      </c>
    </row>
    <row r="21" spans="2:6" x14ac:dyDescent="0.45">
      <c r="B21">
        <v>11</v>
      </c>
      <c r="C21" t="s">
        <v>41</v>
      </c>
      <c r="D21" t="s">
        <v>31</v>
      </c>
      <c r="E21">
        <v>-1.4446352364099999</v>
      </c>
      <c r="F21">
        <v>0.204749856644</v>
      </c>
    </row>
    <row r="22" spans="2:6" x14ac:dyDescent="0.45">
      <c r="B22">
        <v>12</v>
      </c>
      <c r="C22" t="s">
        <v>42</v>
      </c>
      <c r="D22" t="s">
        <v>31</v>
      </c>
      <c r="E22">
        <v>-0.81535992723999995</v>
      </c>
      <c r="F22">
        <v>0.203518529877</v>
      </c>
    </row>
    <row r="23" spans="2:6" x14ac:dyDescent="0.45">
      <c r="B23">
        <v>13</v>
      </c>
      <c r="C23" t="s">
        <v>43</v>
      </c>
      <c r="D23" t="s">
        <v>31</v>
      </c>
      <c r="E23">
        <v>-5.3216543706600001</v>
      </c>
      <c r="F23">
        <v>1.2200761253100001</v>
      </c>
    </row>
    <row r="24" spans="2:6" x14ac:dyDescent="0.45">
      <c r="B24">
        <v>14</v>
      </c>
      <c r="C24" t="s">
        <v>44</v>
      </c>
      <c r="D24" t="s">
        <v>31</v>
      </c>
      <c r="E24">
        <v>-1.1261276811700001</v>
      </c>
      <c r="F24">
        <v>0.39337121020799998</v>
      </c>
    </row>
    <row r="25" spans="2:6" x14ac:dyDescent="0.45">
      <c r="B25">
        <v>15</v>
      </c>
      <c r="C25" t="s">
        <v>45</v>
      </c>
      <c r="D25" t="s">
        <v>31</v>
      </c>
      <c r="E25">
        <v>-1.6372198765899999</v>
      </c>
      <c r="F25">
        <v>0.30214458233000002</v>
      </c>
    </row>
    <row r="26" spans="2:6" x14ac:dyDescent="0.45">
      <c r="B26">
        <v>16</v>
      </c>
      <c r="C26" t="s">
        <v>46</v>
      </c>
      <c r="D26" t="s">
        <v>31</v>
      </c>
      <c r="E26">
        <v>-0.59991414110999997</v>
      </c>
      <c r="F26">
        <v>0.30270627538400002</v>
      </c>
    </row>
    <row r="27" spans="2:6" x14ac:dyDescent="0.45">
      <c r="B27">
        <v>18</v>
      </c>
      <c r="C27" t="s">
        <v>47</v>
      </c>
      <c r="D27" t="s">
        <v>31</v>
      </c>
      <c r="E27">
        <v>0.39953921787000002</v>
      </c>
      <c r="F27">
        <v>0.124608088395</v>
      </c>
    </row>
    <row r="28" spans="2:6" x14ac:dyDescent="0.45">
      <c r="B28">
        <v>19</v>
      </c>
      <c r="C28" t="s">
        <v>48</v>
      </c>
      <c r="D28" t="s">
        <v>31</v>
      </c>
      <c r="E28">
        <v>0.69903044631199995</v>
      </c>
      <c r="F28">
        <v>0.40297798012199998</v>
      </c>
    </row>
    <row r="29" spans="2:6" x14ac:dyDescent="0.45">
      <c r="B29">
        <v>20</v>
      </c>
      <c r="C29" t="s">
        <v>49</v>
      </c>
      <c r="D29" t="s">
        <v>31</v>
      </c>
      <c r="E29">
        <v>0.32485446959800002</v>
      </c>
      <c r="F29">
        <v>0.204037451392</v>
      </c>
    </row>
    <row r="30" spans="2:6" x14ac:dyDescent="0.45">
      <c r="B30">
        <v>22</v>
      </c>
      <c r="C30" t="s">
        <v>50</v>
      </c>
      <c r="D30" t="s">
        <v>31</v>
      </c>
      <c r="E30">
        <v>-0.43856128772000003</v>
      </c>
      <c r="F30">
        <v>0.318213047774</v>
      </c>
    </row>
    <row r="31" spans="2:6" x14ac:dyDescent="0.45">
      <c r="B31">
        <v>24</v>
      </c>
      <c r="C31" t="s">
        <v>51</v>
      </c>
      <c r="D31" t="s">
        <v>31</v>
      </c>
      <c r="E31">
        <v>0.239019734309</v>
      </c>
      <c r="F31">
        <v>0.118684885778</v>
      </c>
    </row>
    <row r="32" spans="2:6" x14ac:dyDescent="0.45">
      <c r="B32">
        <v>25</v>
      </c>
      <c r="C32" t="s">
        <v>52</v>
      </c>
      <c r="D32" t="s">
        <v>31</v>
      </c>
      <c r="E32">
        <v>-0.30115653367700002</v>
      </c>
      <c r="F32">
        <v>0.15726577946500001</v>
      </c>
    </row>
    <row r="33" spans="2:6" x14ac:dyDescent="0.45">
      <c r="B33">
        <v>26</v>
      </c>
      <c r="C33" t="s">
        <v>53</v>
      </c>
      <c r="D33" t="s">
        <v>31</v>
      </c>
      <c r="E33">
        <v>-0.56373515910799998</v>
      </c>
      <c r="F33">
        <v>0.25328633007399998</v>
      </c>
    </row>
    <row r="34" spans="2:6" x14ac:dyDescent="0.45">
      <c r="B34">
        <v>28</v>
      </c>
      <c r="C34" t="s">
        <v>54</v>
      </c>
      <c r="D34" t="s">
        <v>31</v>
      </c>
      <c r="E34">
        <v>0.31959884056900001</v>
      </c>
      <c r="F34">
        <v>0.22861927141800001</v>
      </c>
    </row>
    <row r="35" spans="2:6" x14ac:dyDescent="0.45">
      <c r="B35">
        <v>29</v>
      </c>
      <c r="C35" t="s">
        <v>55</v>
      </c>
      <c r="D35" t="s">
        <v>31</v>
      </c>
      <c r="E35">
        <v>0.57068696704599997</v>
      </c>
      <c r="F35">
        <v>0.28285417099100002</v>
      </c>
    </row>
    <row r="36" spans="2:6" x14ac:dyDescent="0.45">
      <c r="B36">
        <v>31</v>
      </c>
      <c r="C36" t="s">
        <v>56</v>
      </c>
      <c r="D36" t="s">
        <v>31</v>
      </c>
      <c r="E36">
        <v>2.9250059989500001</v>
      </c>
      <c r="F36">
        <v>1.2854634766599999</v>
      </c>
    </row>
    <row r="37" spans="2:6" x14ac:dyDescent="0.45">
      <c r="B37">
        <v>32</v>
      </c>
      <c r="C37" t="s">
        <v>57</v>
      </c>
      <c r="D37" t="s">
        <v>31</v>
      </c>
      <c r="E37">
        <v>1.2969669216299999</v>
      </c>
      <c r="F37">
        <v>0.553290083268</v>
      </c>
    </row>
    <row r="38" spans="2:6" x14ac:dyDescent="0.45">
      <c r="B38">
        <v>34</v>
      </c>
      <c r="C38" t="s">
        <v>58</v>
      </c>
      <c r="D38" t="s">
        <v>31</v>
      </c>
      <c r="E38">
        <v>-2.59112200624</v>
      </c>
      <c r="F38">
        <v>0.67748006502500002</v>
      </c>
    </row>
    <row r="39" spans="2:6" x14ac:dyDescent="0.45">
      <c r="B39">
        <v>35</v>
      </c>
      <c r="C39" t="s">
        <v>59</v>
      </c>
      <c r="D39" t="s">
        <v>31</v>
      </c>
      <c r="E39">
        <v>-1.0636437007299999</v>
      </c>
      <c r="F39">
        <v>0.67287579243399998</v>
      </c>
    </row>
    <row r="40" spans="2:6" x14ac:dyDescent="0.45">
      <c r="B40">
        <v>36</v>
      </c>
      <c r="C40" t="s">
        <v>60</v>
      </c>
      <c r="D40" t="s">
        <v>31</v>
      </c>
      <c r="E40">
        <v>-0.53660640919000002</v>
      </c>
      <c r="F40">
        <v>0.28655587340499999</v>
      </c>
    </row>
    <row r="41" spans="2:6" x14ac:dyDescent="0.45">
      <c r="B41">
        <v>37</v>
      </c>
      <c r="C41" t="s">
        <v>61</v>
      </c>
      <c r="D41" t="s">
        <v>31</v>
      </c>
      <c r="E41">
        <v>0.28589368992800002</v>
      </c>
      <c r="F41">
        <v>0.26930228656600003</v>
      </c>
    </row>
    <row r="42" spans="2:6" x14ac:dyDescent="0.45">
      <c r="B42">
        <v>38</v>
      </c>
      <c r="C42" t="s">
        <v>62</v>
      </c>
      <c r="D42" t="s">
        <v>31</v>
      </c>
      <c r="E42">
        <v>0.64783551265499995</v>
      </c>
      <c r="F42">
        <v>0.37530750296900001</v>
      </c>
    </row>
    <row r="43" spans="2:6" x14ac:dyDescent="0.45">
      <c r="B43">
        <v>41</v>
      </c>
      <c r="C43" t="s">
        <v>63</v>
      </c>
      <c r="D43" t="s">
        <v>31</v>
      </c>
      <c r="E43">
        <v>-0.47288768158</v>
      </c>
      <c r="F43">
        <v>0.28996962859499997</v>
      </c>
    </row>
    <row r="44" spans="2:6" x14ac:dyDescent="0.45">
      <c r="B44">
        <v>42</v>
      </c>
      <c r="C44" t="s">
        <v>64</v>
      </c>
      <c r="D44" t="s">
        <v>31</v>
      </c>
      <c r="E44">
        <v>-1.73045435445</v>
      </c>
      <c r="F44">
        <v>0.60204136834499999</v>
      </c>
    </row>
    <row r="45" spans="2:6" x14ac:dyDescent="0.45">
      <c r="B45">
        <v>43</v>
      </c>
      <c r="C45" t="s">
        <v>65</v>
      </c>
      <c r="D45" t="s">
        <v>31</v>
      </c>
      <c r="E45">
        <v>2.0718120356499998</v>
      </c>
      <c r="F45">
        <v>0.25112785750200001</v>
      </c>
    </row>
    <row r="46" spans="2:6" x14ac:dyDescent="0.45">
      <c r="B46">
        <v>44</v>
      </c>
      <c r="C46" t="s">
        <v>66</v>
      </c>
      <c r="D46" t="s">
        <v>31</v>
      </c>
      <c r="E46">
        <v>0.60728378971399999</v>
      </c>
      <c r="F46">
        <v>0.181439147627</v>
      </c>
    </row>
    <row r="47" spans="2:6" x14ac:dyDescent="0.45">
      <c r="B47">
        <v>45</v>
      </c>
      <c r="C47" t="s">
        <v>67</v>
      </c>
      <c r="D47" t="s">
        <v>31</v>
      </c>
      <c r="E47">
        <v>-0.71462161389500001</v>
      </c>
      <c r="F47">
        <v>0.32036605145399999</v>
      </c>
    </row>
    <row r="48" spans="2:6" x14ac:dyDescent="0.45">
      <c r="B48">
        <v>46</v>
      </c>
      <c r="C48" t="s">
        <v>68</v>
      </c>
      <c r="D48" t="s">
        <v>31</v>
      </c>
      <c r="E48">
        <v>-1.4356778668800001</v>
      </c>
      <c r="F48">
        <v>0.571538197034</v>
      </c>
    </row>
    <row r="49" spans="2:6" x14ac:dyDescent="0.45">
      <c r="B49">
        <v>47</v>
      </c>
      <c r="C49" t="s">
        <v>69</v>
      </c>
      <c r="D49" t="s">
        <v>31</v>
      </c>
      <c r="E49">
        <v>-1.45349726543</v>
      </c>
      <c r="F49">
        <v>0.40356684826</v>
      </c>
    </row>
    <row r="50" spans="2:6" x14ac:dyDescent="0.45">
      <c r="B50">
        <v>48</v>
      </c>
      <c r="C50" t="s">
        <v>70</v>
      </c>
      <c r="D50" t="s">
        <v>31</v>
      </c>
      <c r="E50">
        <v>-1.0930755785699999</v>
      </c>
      <c r="F50">
        <v>0.126439275741</v>
      </c>
    </row>
    <row r="51" spans="2:6" x14ac:dyDescent="0.45">
      <c r="B51">
        <v>49</v>
      </c>
      <c r="C51" t="s">
        <v>71</v>
      </c>
      <c r="D51" t="s">
        <v>31</v>
      </c>
      <c r="E51">
        <v>0.14078168516299999</v>
      </c>
      <c r="F51">
        <v>0.12041492006899999</v>
      </c>
    </row>
    <row r="52" spans="2:6" x14ac:dyDescent="0.45">
      <c r="B52">
        <v>50</v>
      </c>
      <c r="C52" t="s">
        <v>72</v>
      </c>
      <c r="D52" t="s">
        <v>31</v>
      </c>
      <c r="E52">
        <v>0.188609995585</v>
      </c>
      <c r="F52">
        <v>0.169738586315</v>
      </c>
    </row>
    <row r="53" spans="2:6" x14ac:dyDescent="0.45">
      <c r="B53">
        <v>51</v>
      </c>
      <c r="C53" t="s">
        <v>73</v>
      </c>
      <c r="D53" t="s">
        <v>31</v>
      </c>
      <c r="E53">
        <v>-0.58492078305700002</v>
      </c>
      <c r="F53">
        <v>0.39231975258899998</v>
      </c>
    </row>
    <row r="54" spans="2:6" x14ac:dyDescent="0.45">
      <c r="B54">
        <v>52</v>
      </c>
      <c r="C54" t="s">
        <v>74</v>
      </c>
      <c r="D54" t="s">
        <v>31</v>
      </c>
      <c r="E54">
        <v>-1.0058660612699999</v>
      </c>
      <c r="F54">
        <v>0.1591759079</v>
      </c>
    </row>
    <row r="55" spans="2:6" x14ac:dyDescent="0.45">
      <c r="B55">
        <v>53</v>
      </c>
      <c r="C55" t="s">
        <v>75</v>
      </c>
      <c r="D55" t="s">
        <v>31</v>
      </c>
      <c r="E55">
        <v>0.22559840834</v>
      </c>
      <c r="F55">
        <v>0.13586187288400001</v>
      </c>
    </row>
    <row r="56" spans="2:6" x14ac:dyDescent="0.45">
      <c r="B56">
        <v>54</v>
      </c>
      <c r="C56" t="s">
        <v>76</v>
      </c>
      <c r="D56" t="s">
        <v>31</v>
      </c>
      <c r="E56">
        <v>0.34302043279099997</v>
      </c>
      <c r="F56">
        <v>0.18564049817600001</v>
      </c>
    </row>
    <row r="57" spans="2:6" x14ac:dyDescent="0.45">
      <c r="B57">
        <v>55</v>
      </c>
      <c r="C57" t="s">
        <v>77</v>
      </c>
      <c r="D57" t="s">
        <v>31</v>
      </c>
      <c r="E57">
        <v>-0.53538167154600003</v>
      </c>
      <c r="F57">
        <v>0.46253383393000003</v>
      </c>
    </row>
    <row r="58" spans="2:6" x14ac:dyDescent="0.45">
      <c r="B58">
        <v>56</v>
      </c>
      <c r="C58" t="s">
        <v>78</v>
      </c>
      <c r="D58" t="s">
        <v>31</v>
      </c>
      <c r="E58">
        <v>-0.52697142353899995</v>
      </c>
      <c r="F58">
        <v>0.21878082256199999</v>
      </c>
    </row>
    <row r="59" spans="2:6" x14ac:dyDescent="0.45">
      <c r="B59">
        <v>57</v>
      </c>
      <c r="C59" t="s">
        <v>79</v>
      </c>
      <c r="D59" t="s">
        <v>31</v>
      </c>
      <c r="E59">
        <v>0.21517789340999999</v>
      </c>
      <c r="F59">
        <v>0.24686726698100001</v>
      </c>
    </row>
    <row r="60" spans="2:6" x14ac:dyDescent="0.45">
      <c r="B60">
        <v>58</v>
      </c>
      <c r="C60" t="s">
        <v>80</v>
      </c>
      <c r="D60" t="s">
        <v>31</v>
      </c>
      <c r="E60">
        <v>-0.978212790971</v>
      </c>
      <c r="F60">
        <v>0.55972952825599998</v>
      </c>
    </row>
    <row r="61" spans="2:6" x14ac:dyDescent="0.45">
      <c r="B61">
        <v>59</v>
      </c>
      <c r="C61" t="s">
        <v>81</v>
      </c>
      <c r="D61" t="s">
        <v>31</v>
      </c>
      <c r="E61">
        <v>-0.42495698544999999</v>
      </c>
      <c r="F61" s="86">
        <v>9.3174665093100004E-2</v>
      </c>
    </row>
    <row r="62" spans="2:6" x14ac:dyDescent="0.45">
      <c r="B62">
        <v>60</v>
      </c>
      <c r="C62" t="s">
        <v>82</v>
      </c>
      <c r="D62" t="s">
        <v>31</v>
      </c>
      <c r="E62">
        <v>-0.11124462416</v>
      </c>
      <c r="F62" s="86">
        <v>1.9324554676499999E-2</v>
      </c>
    </row>
    <row r="63" spans="2:6" x14ac:dyDescent="0.45">
      <c r="B63">
        <v>63</v>
      </c>
      <c r="C63" t="s">
        <v>83</v>
      </c>
      <c r="D63" t="s">
        <v>31</v>
      </c>
      <c r="E63">
        <v>-1.2627495896200001</v>
      </c>
      <c r="F63">
        <v>1.15568726918</v>
      </c>
    </row>
    <row r="64" spans="2:6" x14ac:dyDescent="0.45">
      <c r="B64">
        <v>69</v>
      </c>
      <c r="C64" t="s">
        <v>84</v>
      </c>
      <c r="D64" t="s">
        <v>31</v>
      </c>
      <c r="E64">
        <v>-0.182881856812</v>
      </c>
      <c r="F64" s="86">
        <v>9.1832192679999994E-2</v>
      </c>
    </row>
    <row r="65" spans="2:11" x14ac:dyDescent="0.45">
      <c r="B65">
        <v>72</v>
      </c>
      <c r="C65" t="s">
        <v>85</v>
      </c>
      <c r="D65" t="s">
        <v>31</v>
      </c>
      <c r="E65">
        <v>0.14811075420100001</v>
      </c>
      <c r="F65" s="86">
        <v>5.9982749063499999E-2</v>
      </c>
    </row>
    <row r="66" spans="2:11" x14ac:dyDescent="0.45">
      <c r="B66">
        <v>73</v>
      </c>
      <c r="C66" t="s">
        <v>86</v>
      </c>
      <c r="D66" t="s">
        <v>31</v>
      </c>
      <c r="E66" s="86">
        <v>7.1458236224400005E-4</v>
      </c>
      <c r="F66" s="86">
        <v>1.9087285637099999E-4</v>
      </c>
    </row>
    <row r="67" spans="2:11" x14ac:dyDescent="0.45">
      <c r="B67">
        <v>75</v>
      </c>
      <c r="C67" t="s">
        <v>87</v>
      </c>
      <c r="D67" t="s">
        <v>31</v>
      </c>
      <c r="E67">
        <v>0.29597958689600001</v>
      </c>
      <c r="F67" s="86">
        <v>7.8942367252999995E-2</v>
      </c>
    </row>
    <row r="68" spans="2:11" x14ac:dyDescent="0.45">
      <c r="B68">
        <v>76</v>
      </c>
      <c r="C68" t="s">
        <v>88</v>
      </c>
      <c r="D68" t="s">
        <v>31</v>
      </c>
      <c r="E68">
        <v>0.19796492273399999</v>
      </c>
      <c r="F68" s="86">
        <v>3.4156307751499998E-2</v>
      </c>
    </row>
    <row r="69" spans="2:11" x14ac:dyDescent="0.45">
      <c r="B69">
        <v>77</v>
      </c>
      <c r="C69" t="s">
        <v>89</v>
      </c>
      <c r="D69" t="s">
        <v>31</v>
      </c>
      <c r="E69">
        <v>0.27817460170199998</v>
      </c>
      <c r="F69">
        <v>0.17839332841300001</v>
      </c>
    </row>
    <row r="70" spans="2:11" x14ac:dyDescent="0.45">
      <c r="B70">
        <v>83</v>
      </c>
      <c r="C70" t="s">
        <v>90</v>
      </c>
      <c r="D70" t="s">
        <v>31</v>
      </c>
      <c r="E70">
        <v>-0.77256225305799997</v>
      </c>
      <c r="F70">
        <v>0.454505526996</v>
      </c>
    </row>
    <row r="71" spans="2:11" x14ac:dyDescent="0.45">
      <c r="B71">
        <v>-1</v>
      </c>
    </row>
    <row r="72" spans="2:11" x14ac:dyDescent="0.45">
      <c r="B72">
        <v>3942</v>
      </c>
      <c r="C72" s="86">
        <v>-5314.5725053400001</v>
      </c>
      <c r="D72" s="86">
        <v>-6344.40425082</v>
      </c>
      <c r="E72" s="86">
        <v>-3915.8071334400001</v>
      </c>
    </row>
    <row r="73" spans="2:11" x14ac:dyDescent="0.45">
      <c r="B73">
        <v>8</v>
      </c>
      <c r="C73" t="s">
        <v>156</v>
      </c>
      <c r="D73" t="s">
        <v>153</v>
      </c>
      <c r="E73">
        <v>3</v>
      </c>
      <c r="F73" t="s">
        <v>154</v>
      </c>
      <c r="G73">
        <v>12</v>
      </c>
    </row>
    <row r="74" spans="2:11" x14ac:dyDescent="0.4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4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4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4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4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4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4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4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4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4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4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4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4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4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4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4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4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4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4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4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4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4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4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4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4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4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4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4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4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4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4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4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4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4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4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4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4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4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4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4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4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4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4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4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4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4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4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4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4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4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4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4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4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4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4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4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4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4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4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4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4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4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4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4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4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4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4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4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4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4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4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4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4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4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4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4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4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4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4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4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4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4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4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4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4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4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4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4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4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4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4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4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4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4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4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4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4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4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4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4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4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4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4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4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4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4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4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4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4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4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4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4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4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4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4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4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4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4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4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4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4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4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4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4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4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4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4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4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4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4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4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4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4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4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4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4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4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4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4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4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4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4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4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4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4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4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4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4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4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4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4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4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4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4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4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4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4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4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4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4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4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4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4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4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4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4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4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4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4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4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4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4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4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4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4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4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4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A62"/>
  <sheetViews>
    <sheetView workbookViewId="0">
      <selection activeCell="D10" sqref="D10"/>
    </sheetView>
  </sheetViews>
  <sheetFormatPr defaultRowHeight="14.25" x14ac:dyDescent="0.45"/>
  <cols>
    <col min="19" max="19" bestFit="true" customWidth="true" width="15.3984375" collapsed="true"/>
    <col min="20" max="20" bestFit="true" customWidth="true" width="9.3984375" collapsed="true"/>
    <col min="21" max="22" bestFit="true" customWidth="true" width="14.3984375" collapsed="true"/>
    <col min="26" max="27" bestFit="true" customWidth="true" width="14.3984375" collapsed="true"/>
  </cols>
  <sheetData>
    <row r="1" spans="1:27" x14ac:dyDescent="0.45">
      <c r="X1" s="92" t="s">
        <v>164</v>
      </c>
    </row>
    <row r="2" spans="1:27" x14ac:dyDescent="0.45">
      <c r="C2" t="s">
        <v>137</v>
      </c>
      <c r="K2" t="s">
        <v>166</v>
      </c>
      <c r="Z2" t="s">
        <v>162</v>
      </c>
      <c r="AA2" t="s">
        <v>163</v>
      </c>
    </row>
    <row r="3" spans="1:27" x14ac:dyDescent="0.45">
      <c r="A3" s="92" t="s">
        <v>139</v>
      </c>
      <c r="X3" s="96">
        <v>1</v>
      </c>
      <c r="Y3" s="96" t="s">
        <v>30</v>
      </c>
      <c r="Z3" s="100">
        <f>VehAvailCoefficient!E11</f>
        <v>-3.7471395627100001</v>
      </c>
      <c r="AA3" s="99">
        <f>V6</f>
        <v>-3.7471395627100001</v>
      </c>
    </row>
    <row ht="14.65" r="4" spans="1:27" thickBot="1" x14ac:dyDescent="0.5">
      <c r="A4" s="12"/>
      <c r="B4" s="10" t="s">
        <v>1</v>
      </c>
      <c r="C4" s="9"/>
      <c r="D4" s="9"/>
      <c r="E4" s="9"/>
      <c r="F4" s="9"/>
      <c r="G4" s="9"/>
      <c r="I4" s="12"/>
      <c r="J4" s="10" t="s">
        <v>1</v>
      </c>
      <c r="K4" s="9"/>
      <c r="L4" s="9"/>
      <c r="M4" s="9"/>
      <c r="N4" s="9"/>
      <c r="O4" s="9"/>
      <c r="X4" s="96">
        <v>2</v>
      </c>
      <c r="Y4" s="96" t="s">
        <v>32</v>
      </c>
      <c r="Z4" s="100">
        <f>VehAvailCoefficient!E12</f>
        <v>-2.1297115852199999</v>
      </c>
      <c r="AA4" s="99">
        <f ref="AA4:AA19" si="0" t="shared">V7</f>
        <v>-2.1297115852199999</v>
      </c>
    </row>
    <row r="5" spans="1:27" x14ac:dyDescent="0.45">
      <c r="A5" s="11" t="s">
        <v>0</v>
      </c>
      <c r="B5" s="2">
        <v>0</v>
      </c>
      <c r="C5" s="2">
        <v>1</v>
      </c>
      <c r="D5" s="2">
        <v>2</v>
      </c>
      <c r="E5" s="2">
        <v>3</v>
      </c>
      <c r="F5" s="2" t="s">
        <v>2</v>
      </c>
      <c r="G5" s="2" t="s">
        <v>3</v>
      </c>
      <c r="I5" s="11" t="s">
        <v>0</v>
      </c>
      <c r="J5" s="2">
        <v>0</v>
      </c>
      <c r="K5" s="2">
        <v>1</v>
      </c>
      <c r="L5" s="2">
        <v>2</v>
      </c>
      <c r="M5" s="2">
        <v>3</v>
      </c>
      <c r="N5" s="2" t="s">
        <v>2</v>
      </c>
      <c r="O5" s="2" t="s">
        <v>3</v>
      </c>
      <c r="Q5" s="93" t="s">
        <v>141</v>
      </c>
      <c r="R5" s="93" t="s">
        <v>93</v>
      </c>
      <c r="S5" s="93" t="s">
        <v>142</v>
      </c>
      <c r="T5" s="93" t="s">
        <v>143</v>
      </c>
      <c r="U5" s="93" t="s">
        <v>144</v>
      </c>
      <c r="V5" s="93" t="s">
        <v>145</v>
      </c>
      <c r="X5" s="96">
        <v>3</v>
      </c>
      <c r="Y5" s="96" t="s">
        <v>33</v>
      </c>
      <c r="Z5" s="100">
        <f>VehAvailCoefficient!E13</f>
        <v>-3.96633437255</v>
      </c>
      <c r="AA5" s="99">
        <f si="0" t="shared"/>
        <v>-3.96633437255</v>
      </c>
    </row>
    <row r="6" spans="1:27" x14ac:dyDescent="0.45">
      <c r="A6" s="3">
        <v>1</v>
      </c>
      <c r="B6" s="4">
        <f>Vehicles_by_HHDrivers!B16</f>
        <v>15000</v>
      </c>
      <c r="C6" s="4">
        <f>Vehicles_by_HHDrivers!C16</f>
        <v>401000</v>
      </c>
      <c r="D6" s="4">
        <f>Vehicles_by_HHDrivers!D16</f>
        <v>51000</v>
      </c>
      <c r="E6" s="4">
        <f>Vehicles_by_HHDrivers!E16</f>
        <v>13000</v>
      </c>
      <c r="F6" s="4">
        <f>Vehicles_by_HHDrivers!F16</f>
        <v>7000</v>
      </c>
      <c r="G6" s="4">
        <f>SUM(B6:F6)</f>
        <v>487000</v>
      </c>
      <c r="I6" s="3">
        <v>1</v>
      </c>
      <c r="J6" s="4">
        <f>Vehicles_by_HHDrivers!R16</f>
        <v>15000</v>
      </c>
      <c r="K6" s="4">
        <f>Vehicles_by_HHDrivers!S16</f>
        <v>401000</v>
      </c>
      <c r="L6" s="4">
        <f>Vehicles_by_HHDrivers!T16</f>
        <v>51000</v>
      </c>
      <c r="M6" s="4">
        <f>Vehicles_by_HHDrivers!U16</f>
        <v>13000</v>
      </c>
      <c r="N6" s="4">
        <f>Vehicles_by_HHDrivers!V16</f>
        <v>7000</v>
      </c>
      <c r="O6" s="4">
        <f>SUM(J6:N6)</f>
        <v>487000</v>
      </c>
      <c r="Q6">
        <v>1</v>
      </c>
      <c r="R6" t="s">
        <v>94</v>
      </c>
      <c r="S6" s="97">
        <f>Z3</f>
        <v>-3.7471395627100001</v>
      </c>
      <c r="T6" s="94">
        <f>B15/J15</f>
        <v>1</v>
      </c>
      <c r="U6" s="97">
        <f>LN(T6)-LN($T$22)</f>
        <v>0</v>
      </c>
      <c r="V6" s="97">
        <f>S6+U6</f>
        <v>-3.7471395627100001</v>
      </c>
      <c r="X6" s="96">
        <v>4</v>
      </c>
      <c r="Y6" s="96" t="s">
        <v>34</v>
      </c>
      <c r="Z6" s="100">
        <f>VehAvailCoefficient!E14</f>
        <v>-11.219392631330001</v>
      </c>
      <c r="AA6" s="99">
        <f si="0" t="shared"/>
        <v>-11.838431839736224</v>
      </c>
    </row>
    <row r="7" spans="1:27" x14ac:dyDescent="0.45">
      <c r="A7" s="3">
        <v>2</v>
      </c>
      <c r="B7" s="4">
        <f>Vehicles_by_HHDrivers!B17</f>
        <v>0</v>
      </c>
      <c r="C7" s="4">
        <f>Vehicles_by_HHDrivers!C17</f>
        <v>99000</v>
      </c>
      <c r="D7" s="4">
        <f>Vehicles_by_HHDrivers!D17</f>
        <v>465000</v>
      </c>
      <c r="E7" s="4">
        <f>Vehicles_by_HHDrivers!E17</f>
        <v>123000</v>
      </c>
      <c r="F7" s="4">
        <f>Vehicles_by_HHDrivers!F17</f>
        <v>49000</v>
      </c>
      <c r="G7" s="4">
        <f ref="G7:G10" si="1" t="shared">SUM(B7:F7)</f>
        <v>736000</v>
      </c>
      <c r="I7" s="3">
        <v>2</v>
      </c>
      <c r="J7" s="4">
        <f>Vehicles_by_HHDrivers!R17</f>
        <v>0</v>
      </c>
      <c r="K7" s="4">
        <f>Vehicles_by_HHDrivers!S17</f>
        <v>99000</v>
      </c>
      <c r="L7" s="4">
        <f>Vehicles_by_HHDrivers!T17</f>
        <v>465000</v>
      </c>
      <c r="M7" s="4">
        <f>Vehicles_by_HHDrivers!U17</f>
        <v>123000</v>
      </c>
      <c r="N7" s="4">
        <f>Vehicles_by_HHDrivers!V17</f>
        <v>49000</v>
      </c>
      <c r="O7" s="4">
        <f ref="O7:O10" si="2" t="shared">SUM(J7:N7)</f>
        <v>736000</v>
      </c>
      <c r="Q7">
        <v>2</v>
      </c>
      <c r="R7" t="s">
        <v>94</v>
      </c>
      <c r="S7" s="97">
        <f ref="S7:S22" si="3" t="shared">Z4</f>
        <v>-2.1297115852199999</v>
      </c>
      <c r="T7" s="94">
        <f>D15/L15</f>
        <v>1</v>
      </c>
      <c r="U7" s="97">
        <f ref="U7:U22" si="4" t="shared">LN(T7)-LN($T$22)</f>
        <v>0</v>
      </c>
      <c r="V7" s="97">
        <f ref="V7:V22" si="5" t="shared">S7+U7</f>
        <v>-2.1297115852199999</v>
      </c>
      <c r="X7" s="96">
        <v>5</v>
      </c>
      <c r="Y7" s="96" t="s">
        <v>35</v>
      </c>
      <c r="Z7" s="100">
        <f>VehAvailCoefficient!E15</f>
        <v>-5.0125223934900003</v>
      </c>
      <c r="AA7" s="99" t="e">
        <f si="0" t="shared"/>
        <v>#DIV/0!</v>
      </c>
    </row>
    <row r="8" spans="1:27" x14ac:dyDescent="0.45">
      <c r="A8" s="3">
        <v>3</v>
      </c>
      <c r="B8" s="4">
        <f>Vehicles_by_HHDrivers!B18</f>
        <v>0</v>
      </c>
      <c r="C8" s="4">
        <f>Vehicles_by_HHDrivers!C18</f>
        <v>11000</v>
      </c>
      <c r="D8" s="4">
        <f>Vehicles_by_HHDrivers!D18</f>
        <v>39000</v>
      </c>
      <c r="E8" s="4">
        <f>Vehicles_by_HHDrivers!E18</f>
        <v>76000</v>
      </c>
      <c r="F8" s="4">
        <f>Vehicles_by_HHDrivers!F18</f>
        <v>31000</v>
      </c>
      <c r="G8" s="4">
        <f si="1" t="shared"/>
        <v>157000</v>
      </c>
      <c r="I8" s="3">
        <v>3</v>
      </c>
      <c r="J8" s="4">
        <f>Vehicles_by_HHDrivers!R18</f>
        <v>0</v>
      </c>
      <c r="K8" s="4">
        <f>Vehicles_by_HHDrivers!S18</f>
        <v>11000</v>
      </c>
      <c r="L8" s="4">
        <f>Vehicles_by_HHDrivers!T18</f>
        <v>39000</v>
      </c>
      <c r="M8" s="4">
        <f>Vehicles_by_HHDrivers!U18</f>
        <v>76000</v>
      </c>
      <c r="N8" s="4">
        <f>Vehicles_by_HHDrivers!V18</f>
        <v>31000</v>
      </c>
      <c r="O8" s="4">
        <f si="2" t="shared"/>
        <v>157000</v>
      </c>
      <c r="Q8">
        <v>3</v>
      </c>
      <c r="R8" t="s">
        <v>94</v>
      </c>
      <c r="S8" s="97">
        <f si="3" t="shared"/>
        <v>-3.96633437255</v>
      </c>
      <c r="T8" s="94">
        <f>E15/M15</f>
        <v>1</v>
      </c>
      <c r="U8" s="97">
        <f si="4" t="shared"/>
        <v>0</v>
      </c>
      <c r="V8" s="97">
        <f si="5" t="shared"/>
        <v>-3.96633437255</v>
      </c>
      <c r="X8" s="96">
        <v>6</v>
      </c>
      <c r="Y8" s="96" t="s">
        <v>36</v>
      </c>
      <c r="Z8" s="100">
        <f>VehAvailCoefficient!E16</f>
        <v>-1.8563745465099999</v>
      </c>
      <c r="AA8" s="99">
        <f si="0" t="shared"/>
        <v>-1.8563745465099999</v>
      </c>
    </row>
    <row r="9" spans="1:27" x14ac:dyDescent="0.45">
      <c r="A9" s="5" t="s">
        <v>2</v>
      </c>
      <c r="B9" s="4">
        <f>Vehicles_by_HHDrivers!B19</f>
        <v>0</v>
      </c>
      <c r="C9" s="4">
        <f>Vehicles_by_HHDrivers!C19</f>
        <v>1000</v>
      </c>
      <c r="D9" s="4">
        <f>Vehicles_by_HHDrivers!D19</f>
        <v>10000</v>
      </c>
      <c r="E9" s="4">
        <f>Vehicles_by_HHDrivers!E19</f>
        <v>12000</v>
      </c>
      <c r="F9" s="4">
        <f>Vehicles_by_HHDrivers!F19</f>
        <v>37000</v>
      </c>
      <c r="G9" s="6">
        <f si="1" t="shared"/>
        <v>60000</v>
      </c>
      <c r="I9" s="5" t="s">
        <v>2</v>
      </c>
      <c r="J9" s="4">
        <f>Vehicles_by_HHDrivers!R19</f>
        <v>0</v>
      </c>
      <c r="K9" s="4">
        <f>Vehicles_by_HHDrivers!S19</f>
        <v>1000</v>
      </c>
      <c r="L9" s="4">
        <f>Vehicles_by_HHDrivers!T19</f>
        <v>10000</v>
      </c>
      <c r="M9" s="4">
        <f>Vehicles_by_HHDrivers!U19</f>
        <v>12000</v>
      </c>
      <c r="N9" s="4">
        <f>Vehicles_by_HHDrivers!V19</f>
        <v>37000</v>
      </c>
      <c r="O9" s="6">
        <f si="2" t="shared"/>
        <v>60000</v>
      </c>
      <c r="Q9">
        <v>4</v>
      </c>
      <c r="R9" t="s">
        <v>94</v>
      </c>
      <c r="S9" s="97">
        <f si="3" t="shared"/>
        <v>-11.219392631330001</v>
      </c>
      <c r="T9" s="94">
        <f>F15/M15</f>
        <v>0.53846153846153855</v>
      </c>
      <c r="U9" s="97">
        <f si="4" t="shared"/>
        <v>-0.61903920840622328</v>
      </c>
      <c r="V9" s="97">
        <f si="5" t="shared"/>
        <v>-11.838431839736224</v>
      </c>
      <c r="X9" s="96">
        <v>7</v>
      </c>
      <c r="Y9" s="96" t="s">
        <v>37</v>
      </c>
      <c r="Z9" s="100">
        <f>VehAvailCoefficient!E17</f>
        <v>-1.3964239432800001</v>
      </c>
      <c r="AA9" s="99">
        <f si="0" t="shared"/>
        <v>-1.3964239432800001</v>
      </c>
    </row>
    <row ht="14.65" r="10" spans="1:27" thickBot="1" x14ac:dyDescent="0.5">
      <c r="A10" s="7" t="s">
        <v>3</v>
      </c>
      <c r="B10" s="8">
        <f>SUM(B6:B9)</f>
        <v>15000</v>
      </c>
      <c r="C10" s="8">
        <f ref="C10:F10" si="6" t="shared">SUM(C6:C9)</f>
        <v>512000</v>
      </c>
      <c r="D10" s="8">
        <f si="6" t="shared"/>
        <v>565000</v>
      </c>
      <c r="E10" s="8">
        <f si="6" t="shared"/>
        <v>224000</v>
      </c>
      <c r="F10" s="8">
        <f si="6" t="shared"/>
        <v>124000</v>
      </c>
      <c r="G10" s="8">
        <f si="1" t="shared"/>
        <v>1440000</v>
      </c>
      <c r="I10" s="7" t="s">
        <v>3</v>
      </c>
      <c r="J10" s="8">
        <f>SUM(J6:J9)</f>
        <v>15000</v>
      </c>
      <c r="K10" s="8">
        <f ref="K10:N10" si="7" t="shared">SUM(K6:K9)</f>
        <v>512000</v>
      </c>
      <c r="L10" s="8">
        <f si="7" t="shared"/>
        <v>565000</v>
      </c>
      <c r="M10" s="8">
        <f si="7" t="shared"/>
        <v>224000</v>
      </c>
      <c r="N10" s="8">
        <f si="7" t="shared"/>
        <v>124000</v>
      </c>
      <c r="O10" s="8">
        <f si="2" t="shared"/>
        <v>1440000</v>
      </c>
      <c r="Q10">
        <v>5</v>
      </c>
      <c r="R10" t="s">
        <v>95</v>
      </c>
      <c r="S10" s="97">
        <f si="3" t="shared"/>
        <v>-5.0125223934900003</v>
      </c>
      <c r="T10" s="94" t="e">
        <f>B16/J16</f>
        <v>#DIV/0!</v>
      </c>
      <c r="U10" s="97" t="e">
        <f si="4" t="shared"/>
        <v>#DIV/0!</v>
      </c>
      <c r="V10" s="97" t="e">
        <f si="5" t="shared"/>
        <v>#DIV/0!</v>
      </c>
      <c r="X10" s="96">
        <v>8</v>
      </c>
      <c r="Y10" s="96" t="s">
        <v>38</v>
      </c>
      <c r="Z10" s="100">
        <f>VehAvailCoefficient!E18</f>
        <v>-2.3942936803500001</v>
      </c>
      <c r="AA10" s="99">
        <f si="0" t="shared"/>
        <v>-2.3942936803500001</v>
      </c>
    </row>
    <row r="11" spans="1:27" x14ac:dyDescent="0.45">
      <c r="G11" s="4"/>
      <c r="O11" s="4"/>
      <c r="Q11">
        <v>6</v>
      </c>
      <c r="R11" t="s">
        <v>95</v>
      </c>
      <c r="S11" s="97">
        <f si="3" t="shared"/>
        <v>-1.8563745465099999</v>
      </c>
      <c r="T11" s="94">
        <f>C16/K16</f>
        <v>1</v>
      </c>
      <c r="U11" s="97">
        <f si="4" t="shared"/>
        <v>0</v>
      </c>
      <c r="V11" s="97">
        <f si="5" t="shared"/>
        <v>-1.8563745465099999</v>
      </c>
      <c r="X11" s="96">
        <v>9</v>
      </c>
      <c r="Y11" s="96" t="s">
        <v>39</v>
      </c>
      <c r="Z11" s="100">
        <f>VehAvailCoefficient!E19</f>
        <v>-4.9201833156500001</v>
      </c>
      <c r="AA11" s="99" t="e">
        <f si="0" t="shared"/>
        <v>#DIV/0!</v>
      </c>
    </row>
    <row r="12" spans="1:27" x14ac:dyDescent="0.45">
      <c r="A12" s="92" t="s">
        <v>140</v>
      </c>
      <c r="Q12">
        <v>7</v>
      </c>
      <c r="R12" t="s">
        <v>95</v>
      </c>
      <c r="S12" s="97">
        <f si="3" t="shared"/>
        <v>-1.3964239432800001</v>
      </c>
      <c r="T12" s="94">
        <f>E16/M16</f>
        <v>1</v>
      </c>
      <c r="U12" s="97">
        <f si="4" t="shared"/>
        <v>0</v>
      </c>
      <c r="V12" s="97">
        <f si="5" t="shared"/>
        <v>-1.3964239432800001</v>
      </c>
      <c r="X12" s="96">
        <v>10</v>
      </c>
      <c r="Y12" s="96" t="s">
        <v>40</v>
      </c>
      <c r="Z12" s="100">
        <f>VehAvailCoefficient!E20</f>
        <v>-2.29401614977</v>
      </c>
      <c r="AA12" s="99">
        <f si="0" t="shared"/>
        <v>-2.29401614977</v>
      </c>
    </row>
    <row ht="14.65" r="13" spans="1:27" thickBot="1" x14ac:dyDescent="0.5">
      <c r="A13" s="12"/>
      <c r="B13" s="10" t="s">
        <v>1</v>
      </c>
      <c r="C13" s="9"/>
      <c r="D13" s="9"/>
      <c r="E13" s="9"/>
      <c r="F13" s="9"/>
      <c r="G13" s="9"/>
      <c r="I13" s="12"/>
      <c r="J13" s="10" t="s">
        <v>1</v>
      </c>
      <c r="K13" s="9"/>
      <c r="L13" s="9"/>
      <c r="M13" s="9"/>
      <c r="N13" s="9"/>
      <c r="O13" s="9"/>
      <c r="Q13">
        <v>8</v>
      </c>
      <c r="R13" t="s">
        <v>95</v>
      </c>
      <c r="S13" s="97">
        <f si="3" t="shared"/>
        <v>-2.3942936803500001</v>
      </c>
      <c r="T13" s="94">
        <f>F16/N16</f>
        <v>1</v>
      </c>
      <c r="U13" s="97">
        <f si="4" t="shared"/>
        <v>0</v>
      </c>
      <c r="V13" s="97">
        <f si="5" t="shared"/>
        <v>-2.3942936803500001</v>
      </c>
      <c r="X13" s="96">
        <v>11</v>
      </c>
      <c r="Y13" s="96" t="s">
        <v>41</v>
      </c>
      <c r="Z13" s="100">
        <f>VehAvailCoefficient!E21</f>
        <v>-1.4446352364099999</v>
      </c>
      <c r="AA13" s="99">
        <f si="0" t="shared"/>
        <v>-1.4446352364099999</v>
      </c>
    </row>
    <row r="14" spans="1:27" x14ac:dyDescent="0.45">
      <c r="A14" s="11" t="s">
        <v>0</v>
      </c>
      <c r="B14" s="2">
        <v>0</v>
      </c>
      <c r="C14" s="2">
        <v>1</v>
      </c>
      <c r="D14" s="2">
        <v>2</v>
      </c>
      <c r="E14" s="2">
        <v>3</v>
      </c>
      <c r="F14" s="2" t="s">
        <v>2</v>
      </c>
      <c r="G14" s="2" t="s">
        <v>3</v>
      </c>
      <c r="I14" s="11" t="s">
        <v>0</v>
      </c>
      <c r="J14" s="2">
        <v>0</v>
      </c>
      <c r="K14" s="2">
        <v>1</v>
      </c>
      <c r="L14" s="2">
        <v>2</v>
      </c>
      <c r="M14" s="2">
        <v>3</v>
      </c>
      <c r="N14" s="2" t="s">
        <v>2</v>
      </c>
      <c r="O14" s="2" t="s">
        <v>3</v>
      </c>
      <c r="Q14">
        <v>9</v>
      </c>
      <c r="R14" t="s">
        <v>96</v>
      </c>
      <c r="S14" s="97">
        <f si="3" t="shared"/>
        <v>-4.9201833156500001</v>
      </c>
      <c r="T14" s="94" t="e">
        <f>B17/J17</f>
        <v>#DIV/0!</v>
      </c>
      <c r="U14" s="97" t="e">
        <f si="4" t="shared"/>
        <v>#DIV/0!</v>
      </c>
      <c r="V14" s="97" t="e">
        <f si="5" t="shared"/>
        <v>#DIV/0!</v>
      </c>
      <c r="X14" s="96">
        <v>12</v>
      </c>
      <c r="Y14" s="96" t="s">
        <v>42</v>
      </c>
      <c r="Z14" s="100">
        <f>VehAvailCoefficient!E22</f>
        <v>-0.81535992723999995</v>
      </c>
      <c r="AA14" s="99">
        <f si="0" t="shared"/>
        <v>-0.81535992723999995</v>
      </c>
    </row>
    <row r="15" spans="1:27" x14ac:dyDescent="0.45">
      <c r="A15" s="3">
        <v>1</v>
      </c>
      <c r="B15" s="17">
        <f>B6/$G$10</f>
        <v>1.0416666666666666E-2</v>
      </c>
      <c r="C15" s="17">
        <f ref="C15:G15" si="8" t="shared">C6/$G$10</f>
        <v>0.27847222222222223</v>
      </c>
      <c r="D15" s="17">
        <f si="8" t="shared"/>
        <v>3.5416666666666666E-2</v>
      </c>
      <c r="E15" s="17">
        <f si="8" t="shared"/>
        <v>9.0277777777777769E-3</v>
      </c>
      <c r="F15" s="17">
        <f si="8" t="shared"/>
        <v>4.8611111111111112E-3</v>
      </c>
      <c r="G15" s="17">
        <f si="8" t="shared"/>
        <v>0.33819444444444446</v>
      </c>
      <c r="I15" s="3">
        <v>1</v>
      </c>
      <c r="J15" s="17">
        <f>J6/$O$10</f>
        <v>1.0416666666666666E-2</v>
      </c>
      <c r="K15" s="17">
        <f ref="K15:O15" si="9" t="shared">K6/$O$10</f>
        <v>0.27847222222222223</v>
      </c>
      <c r="L15" s="17">
        <f si="9" t="shared"/>
        <v>3.5416666666666666E-2</v>
      </c>
      <c r="M15" s="17">
        <f si="9" t="shared"/>
        <v>9.0277777777777769E-3</v>
      </c>
      <c r="N15" s="17">
        <f si="9" t="shared"/>
        <v>4.8611111111111112E-3</v>
      </c>
      <c r="O15" s="17">
        <f si="9" t="shared"/>
        <v>0.33819444444444446</v>
      </c>
      <c r="Q15">
        <v>10</v>
      </c>
      <c r="R15" t="s">
        <v>96</v>
      </c>
      <c r="S15" s="97">
        <f si="3" t="shared"/>
        <v>-2.29401614977</v>
      </c>
      <c r="T15" s="94">
        <f>C17/K17</f>
        <v>1</v>
      </c>
      <c r="U15" s="97">
        <f si="4" t="shared"/>
        <v>0</v>
      </c>
      <c r="V15" s="97">
        <f si="5" t="shared"/>
        <v>-2.29401614977</v>
      </c>
      <c r="X15" s="96">
        <v>13</v>
      </c>
      <c r="Y15" s="96" t="s">
        <v>43</v>
      </c>
      <c r="Z15" s="100">
        <f>VehAvailCoefficient!E23</f>
        <v>-5.3216543706600001</v>
      </c>
      <c r="AA15" s="99" t="e">
        <f si="0" t="shared"/>
        <v>#DIV/0!</v>
      </c>
    </row>
    <row r="16" spans="1:27" x14ac:dyDescent="0.45">
      <c r="A16" s="3">
        <v>2</v>
      </c>
      <c r="B16" s="17">
        <f ref="B16:G16" si="10" t="shared">B7/$G$10</f>
        <v>0</v>
      </c>
      <c r="C16" s="17">
        <f si="10" t="shared"/>
        <v>6.8750000000000006E-2</v>
      </c>
      <c r="D16" s="17">
        <f si="10" t="shared"/>
        <v>0.32291666666666669</v>
      </c>
      <c r="E16" s="17">
        <f si="10" t="shared"/>
        <v>8.5416666666666669E-2</v>
      </c>
      <c r="F16" s="17">
        <f si="10" t="shared"/>
        <v>3.4027777777777775E-2</v>
      </c>
      <c r="G16" s="17">
        <f si="10" t="shared"/>
        <v>0.51111111111111107</v>
      </c>
      <c r="I16" s="3">
        <v>2</v>
      </c>
      <c r="J16" s="17">
        <f ref="J16:O16" si="11" t="shared">J7/$O$10</f>
        <v>0</v>
      </c>
      <c r="K16" s="17">
        <f si="11" t="shared"/>
        <v>6.8750000000000006E-2</v>
      </c>
      <c r="L16" s="17">
        <f si="11" t="shared"/>
        <v>0.32291666666666669</v>
      </c>
      <c r="M16" s="17">
        <f si="11" t="shared"/>
        <v>8.5416666666666669E-2</v>
      </c>
      <c r="N16" s="17">
        <f si="11" t="shared"/>
        <v>3.4027777777777775E-2</v>
      </c>
      <c r="O16" s="17">
        <f si="11" t="shared"/>
        <v>0.51111111111111107</v>
      </c>
      <c r="Q16">
        <v>11</v>
      </c>
      <c r="R16" t="s">
        <v>96</v>
      </c>
      <c r="S16" s="97">
        <f si="3" t="shared"/>
        <v>-1.4446352364099999</v>
      </c>
      <c r="T16" s="94">
        <f>D17/L17</f>
        <v>1</v>
      </c>
      <c r="U16" s="97">
        <f si="4" t="shared"/>
        <v>0</v>
      </c>
      <c r="V16" s="97">
        <f si="5" t="shared"/>
        <v>-1.4446352364099999</v>
      </c>
      <c r="X16" s="96">
        <v>14</v>
      </c>
      <c r="Y16" s="96" t="s">
        <v>44</v>
      </c>
      <c r="Z16" s="100">
        <f>VehAvailCoefficient!E24</f>
        <v>-1.1261276811700001</v>
      </c>
      <c r="AA16" s="99">
        <f si="0" t="shared"/>
        <v>-1.1261276811700001</v>
      </c>
    </row>
    <row r="17" spans="1:27" x14ac:dyDescent="0.45">
      <c r="A17" s="3">
        <v>3</v>
      </c>
      <c r="B17" s="17">
        <f ref="B17:G17" si="12" t="shared">B8/$G$10</f>
        <v>0</v>
      </c>
      <c r="C17" s="17">
        <f si="12" t="shared"/>
        <v>7.6388888888888886E-3</v>
      </c>
      <c r="D17" s="17">
        <f si="12" t="shared"/>
        <v>2.7083333333333334E-2</v>
      </c>
      <c r="E17" s="17">
        <f si="12" t="shared"/>
        <v>5.2777777777777778E-2</v>
      </c>
      <c r="F17" s="17">
        <f si="12" t="shared"/>
        <v>2.1527777777777778E-2</v>
      </c>
      <c r="G17" s="17">
        <f si="12" t="shared"/>
        <v>0.10902777777777778</v>
      </c>
      <c r="I17" s="3">
        <v>3</v>
      </c>
      <c r="J17" s="17">
        <f ref="J17:O17" si="13" t="shared">J8/$O$10</f>
        <v>0</v>
      </c>
      <c r="K17" s="17">
        <f si="13" t="shared"/>
        <v>7.6388888888888886E-3</v>
      </c>
      <c r="L17" s="17">
        <f si="13" t="shared"/>
        <v>2.7083333333333334E-2</v>
      </c>
      <c r="M17" s="17">
        <f si="13" t="shared"/>
        <v>5.2777777777777778E-2</v>
      </c>
      <c r="N17" s="17">
        <f si="13" t="shared"/>
        <v>2.1527777777777778E-2</v>
      </c>
      <c r="O17" s="17">
        <f si="13" t="shared"/>
        <v>0.10902777777777778</v>
      </c>
      <c r="Q17">
        <v>12</v>
      </c>
      <c r="R17" t="s">
        <v>96</v>
      </c>
      <c r="S17" s="97">
        <f si="3" t="shared"/>
        <v>-0.81535992723999995</v>
      </c>
      <c r="T17" s="94">
        <f>F17/N17</f>
        <v>1</v>
      </c>
      <c r="U17" s="97">
        <f si="4" t="shared"/>
        <v>0</v>
      </c>
      <c r="V17" s="97">
        <f si="5" t="shared"/>
        <v>-0.81535992723999995</v>
      </c>
      <c r="X17" s="96">
        <v>15</v>
      </c>
      <c r="Y17" s="96" t="s">
        <v>45</v>
      </c>
      <c r="Z17" s="100">
        <f>VehAvailCoefficient!E25</f>
        <v>-1.6372198765899999</v>
      </c>
      <c r="AA17" s="99">
        <f si="0" t="shared"/>
        <v>-1.6372198765899999</v>
      </c>
    </row>
    <row r="18" spans="1:27" x14ac:dyDescent="0.45">
      <c r="A18" s="5" t="s">
        <v>2</v>
      </c>
      <c r="B18" s="18">
        <f ref="B18:G18" si="14" t="shared">B9/$G$10</f>
        <v>0</v>
      </c>
      <c r="C18" s="18">
        <f si="14" t="shared"/>
        <v>6.9444444444444447E-4</v>
      </c>
      <c r="D18" s="18">
        <f si="14" t="shared"/>
        <v>6.9444444444444441E-3</v>
      </c>
      <c r="E18" s="18">
        <f si="14" t="shared"/>
        <v>8.3333333333333332E-3</v>
      </c>
      <c r="F18" s="18">
        <f si="14" t="shared"/>
        <v>2.5694444444444443E-2</v>
      </c>
      <c r="G18" s="17">
        <f si="14" t="shared"/>
        <v>4.1666666666666664E-2</v>
      </c>
      <c r="I18" s="5" t="s">
        <v>2</v>
      </c>
      <c r="J18" s="17">
        <f ref="J18:O18" si="15" t="shared">J9/$O$10</f>
        <v>0</v>
      </c>
      <c r="K18" s="17">
        <f si="15" t="shared"/>
        <v>6.9444444444444447E-4</v>
      </c>
      <c r="L18" s="17">
        <f si="15" t="shared"/>
        <v>6.9444444444444441E-3</v>
      </c>
      <c r="M18" s="17">
        <f si="15" t="shared"/>
        <v>8.3333333333333332E-3</v>
      </c>
      <c r="N18" s="17">
        <f si="15" t="shared"/>
        <v>2.5694444444444443E-2</v>
      </c>
      <c r="O18" s="17">
        <f si="15" t="shared"/>
        <v>4.1666666666666664E-2</v>
      </c>
      <c r="Q18">
        <v>13</v>
      </c>
      <c r="R18" t="s">
        <v>97</v>
      </c>
      <c r="S18" s="97">
        <f si="3" t="shared"/>
        <v>-5.3216543706600001</v>
      </c>
      <c r="T18" s="94" t="e">
        <f>B18/J18</f>
        <v>#DIV/0!</v>
      </c>
      <c r="U18" s="97" t="e">
        <f si="4" t="shared"/>
        <v>#DIV/0!</v>
      </c>
      <c r="V18" s="97" t="e">
        <f si="5" t="shared"/>
        <v>#DIV/0!</v>
      </c>
      <c r="X18" s="96">
        <v>16</v>
      </c>
      <c r="Y18" s="96" t="s">
        <v>46</v>
      </c>
      <c r="Z18" s="100">
        <f>VehAvailCoefficient!E26</f>
        <v>-0.59991414110999997</v>
      </c>
      <c r="AA18" s="99">
        <f si="0" t="shared"/>
        <v>-0.59991414110999997</v>
      </c>
    </row>
    <row ht="14.65" r="19" spans="1:27" thickBot="1" x14ac:dyDescent="0.5">
      <c r="A19" s="7" t="s">
        <v>3</v>
      </c>
      <c r="B19" s="19">
        <f>B10/$G$10</f>
        <v>1.0416666666666666E-2</v>
      </c>
      <c r="C19" s="19">
        <f ref="C19:G19" si="16" t="shared">C10/$G$10</f>
        <v>0.35555555555555557</v>
      </c>
      <c r="D19" s="19">
        <f si="16" t="shared"/>
        <v>0.3923611111111111</v>
      </c>
      <c r="E19" s="19">
        <f si="16" t="shared"/>
        <v>0.15555555555555556</v>
      </c>
      <c r="F19" s="19">
        <f si="16" t="shared"/>
        <v>8.611111111111111E-2</v>
      </c>
      <c r="G19" s="19">
        <f si="16" t="shared"/>
        <v>1</v>
      </c>
      <c r="I19" s="7" t="s">
        <v>3</v>
      </c>
      <c r="J19" s="19">
        <f>J10/$O$10</f>
        <v>1.0416666666666666E-2</v>
      </c>
      <c r="K19" s="19">
        <f ref="K19:N19" si="17" t="shared">K10/$O$10</f>
        <v>0.35555555555555557</v>
      </c>
      <c r="L19" s="19">
        <f si="17" t="shared"/>
        <v>0.3923611111111111</v>
      </c>
      <c r="M19" s="19">
        <f si="17" t="shared"/>
        <v>0.15555555555555556</v>
      </c>
      <c r="N19" s="19">
        <f si="17" t="shared"/>
        <v>8.611111111111111E-2</v>
      </c>
      <c r="O19" s="19">
        <f ref="O19" si="18" t="shared">SUM(J19:N19)</f>
        <v>1</v>
      </c>
      <c r="Q19">
        <v>14</v>
      </c>
      <c r="R19" t="s">
        <v>97</v>
      </c>
      <c r="S19" s="97">
        <f si="3" t="shared"/>
        <v>-1.1261276811700001</v>
      </c>
      <c r="T19" s="94">
        <f>C18/K18</f>
        <v>1</v>
      </c>
      <c r="U19" s="97">
        <f si="4" t="shared"/>
        <v>0</v>
      </c>
      <c r="V19" s="97">
        <f si="5" t="shared"/>
        <v>-1.1261276811700001</v>
      </c>
      <c r="X19" s="96">
        <v>18</v>
      </c>
      <c r="Y19" s="96" t="s">
        <v>47</v>
      </c>
      <c r="Z19" s="100">
        <f>VehAvailCoefficient!E27</f>
        <v>0.39953921787000002</v>
      </c>
      <c r="AA19" s="99">
        <f si="0" t="shared"/>
        <v>0.39953921787000002</v>
      </c>
    </row>
    <row r="20" spans="1:27" x14ac:dyDescent="0.45">
      <c r="Q20">
        <v>15</v>
      </c>
      <c r="R20" t="s">
        <v>97</v>
      </c>
      <c r="S20" s="97">
        <f si="3" t="shared"/>
        <v>-1.6372198765899999</v>
      </c>
      <c r="T20" s="94">
        <f>D18/L18</f>
        <v>1</v>
      </c>
      <c r="U20" s="97">
        <f si="4" t="shared"/>
        <v>0</v>
      </c>
      <c r="V20" s="97">
        <f si="5" t="shared"/>
        <v>-1.6372198765899999</v>
      </c>
      <c r="X20">
        <v>19</v>
      </c>
      <c r="Y20" t="s">
        <v>48</v>
      </c>
      <c r="Z20" s="98">
        <f>VehAvailCoefficient!E28</f>
        <v>0.69903044631199995</v>
      </c>
      <c r="AA20" s="99">
        <v>0.69903044631199995</v>
      </c>
    </row>
    <row r="21" spans="1:27" x14ac:dyDescent="0.45">
      <c r="Q21">
        <v>16</v>
      </c>
      <c r="R21" t="s">
        <v>97</v>
      </c>
      <c r="S21" s="97">
        <f si="3" t="shared"/>
        <v>-0.59991414110999997</v>
      </c>
      <c r="T21" s="94">
        <f>E18/M18</f>
        <v>1</v>
      </c>
      <c r="U21" s="97">
        <f si="4" t="shared"/>
        <v>0</v>
      </c>
      <c r="V21" s="97">
        <f si="5" t="shared"/>
        <v>-0.59991414110999997</v>
      </c>
      <c r="X21">
        <v>20</v>
      </c>
      <c r="Y21" t="s">
        <v>49</v>
      </c>
      <c r="Z21" s="98">
        <f>VehAvailCoefficient!E29</f>
        <v>0.32485446959800002</v>
      </c>
      <c r="AA21" s="99">
        <v>0.32485446959800002</v>
      </c>
    </row>
    <row ht="14.65" r="22" spans="1:27" thickBot="1" x14ac:dyDescent="0.5">
      <c r="Q22" s="101">
        <v>18</v>
      </c>
      <c r="R22" s="104" t="s">
        <v>165</v>
      </c>
      <c r="S22" s="102">
        <f si="3" t="shared"/>
        <v>0.39953921787000002</v>
      </c>
      <c r="T22" s="103">
        <f>(C15+D16+E17+F18)/(K15+L16+M17+N18)</f>
        <v>1</v>
      </c>
      <c r="U22" s="102">
        <f si="4" t="shared"/>
        <v>0</v>
      </c>
      <c r="V22" s="102">
        <f si="5" t="shared"/>
        <v>0.39953921787000002</v>
      </c>
      <c r="X22">
        <v>22</v>
      </c>
      <c r="Y22" t="s">
        <v>50</v>
      </c>
      <c r="Z22" s="98">
        <f>VehAvailCoefficient!E30</f>
        <v>-0.43856128772000003</v>
      </c>
      <c r="AA22" s="99">
        <v>-0.43856128772000003</v>
      </c>
    </row>
    <row r="23" spans="1:27" x14ac:dyDescent="0.45">
      <c r="X23">
        <v>24</v>
      </c>
      <c r="Y23" t="s">
        <v>51</v>
      </c>
      <c r="Z23" s="98">
        <f>VehAvailCoefficient!E31</f>
        <v>0.239019734309</v>
      </c>
      <c r="AA23" s="99">
        <v>0.239019734309</v>
      </c>
    </row>
    <row r="24" spans="1:27" x14ac:dyDescent="0.45">
      <c r="X24">
        <v>25</v>
      </c>
      <c r="Y24" t="s">
        <v>52</v>
      </c>
      <c r="Z24" s="98">
        <f>VehAvailCoefficient!E32</f>
        <v>-0.30115653367700002</v>
      </c>
      <c r="AA24" s="99">
        <v>-0.30115653367700002</v>
      </c>
    </row>
    <row r="25" spans="1:27" x14ac:dyDescent="0.45">
      <c r="X25">
        <v>26</v>
      </c>
      <c r="Y25" t="s">
        <v>53</v>
      </c>
      <c r="Z25" s="98">
        <f>VehAvailCoefficient!E33</f>
        <v>-0.56373515910799998</v>
      </c>
      <c r="AA25" s="99">
        <v>-0.56373515910799998</v>
      </c>
    </row>
    <row r="26" spans="1:27" x14ac:dyDescent="0.45">
      <c r="X26">
        <v>28</v>
      </c>
      <c r="Y26" t="s">
        <v>54</v>
      </c>
      <c r="Z26" s="98">
        <f>VehAvailCoefficient!E34</f>
        <v>0.31959884056900001</v>
      </c>
      <c r="AA26" s="99">
        <v>0.31959884056900001</v>
      </c>
    </row>
    <row r="27" spans="1:27" x14ac:dyDescent="0.45">
      <c r="X27">
        <v>29</v>
      </c>
      <c r="Y27" t="s">
        <v>55</v>
      </c>
      <c r="Z27" s="98">
        <f>VehAvailCoefficient!E35</f>
        <v>0.57068696704599997</v>
      </c>
      <c r="AA27" s="99">
        <v>0.57068696704599997</v>
      </c>
    </row>
    <row r="28" spans="1:27" x14ac:dyDescent="0.45">
      <c r="X28">
        <v>31</v>
      </c>
      <c r="Y28" t="s">
        <v>56</v>
      </c>
      <c r="Z28" s="98">
        <f>VehAvailCoefficient!E36</f>
        <v>2.9250059989500001</v>
      </c>
      <c r="AA28" s="99">
        <v>2.9250059989500001</v>
      </c>
    </row>
    <row r="29" spans="1:27" x14ac:dyDescent="0.45">
      <c r="X29">
        <v>32</v>
      </c>
      <c r="Y29" t="s">
        <v>57</v>
      </c>
      <c r="Z29" s="98">
        <f>VehAvailCoefficient!E37</f>
        <v>1.2969669216299999</v>
      </c>
      <c r="AA29" s="99">
        <v>1.2969669216299999</v>
      </c>
    </row>
    <row r="30" spans="1:27" x14ac:dyDescent="0.45">
      <c r="X30">
        <v>34</v>
      </c>
      <c r="Y30" t="s">
        <v>58</v>
      </c>
      <c r="Z30" s="98">
        <f>VehAvailCoefficient!E38</f>
        <v>-2.59112200624</v>
      </c>
      <c r="AA30" s="99">
        <v>-2.59112200624</v>
      </c>
    </row>
    <row r="31" spans="1:27" x14ac:dyDescent="0.45">
      <c r="X31">
        <v>35</v>
      </c>
      <c r="Y31" t="s">
        <v>59</v>
      </c>
      <c r="Z31" s="98">
        <f>VehAvailCoefficient!E39</f>
        <v>-1.0636437007299999</v>
      </c>
      <c r="AA31" s="99">
        <v>-1.0636437007299999</v>
      </c>
    </row>
    <row r="32" spans="1:27" x14ac:dyDescent="0.45">
      <c r="X32">
        <v>36</v>
      </c>
      <c r="Y32" t="s">
        <v>60</v>
      </c>
      <c r="Z32" s="98">
        <f>VehAvailCoefficient!E40</f>
        <v>-0.53660640919000002</v>
      </c>
      <c r="AA32" s="99">
        <v>-0.53660640919000002</v>
      </c>
    </row>
    <row r="33" spans="24:27" x14ac:dyDescent="0.45">
      <c r="X33">
        <v>37</v>
      </c>
      <c r="Y33" t="s">
        <v>61</v>
      </c>
      <c r="Z33" s="98">
        <f>VehAvailCoefficient!E41</f>
        <v>0.28589368992800002</v>
      </c>
      <c r="AA33" s="99">
        <v>0.28589368992800002</v>
      </c>
    </row>
    <row r="34" spans="24:27" x14ac:dyDescent="0.45">
      <c r="X34">
        <v>38</v>
      </c>
      <c r="Y34" t="s">
        <v>62</v>
      </c>
      <c r="Z34" s="98">
        <f>VehAvailCoefficient!E42</f>
        <v>0.64783551265499995</v>
      </c>
      <c r="AA34" s="99">
        <v>0.64783551265499995</v>
      </c>
    </row>
    <row r="35" spans="24:27" x14ac:dyDescent="0.45">
      <c r="X35">
        <v>41</v>
      </c>
      <c r="Y35" t="s">
        <v>63</v>
      </c>
      <c r="Z35" s="98">
        <f>VehAvailCoefficient!E43</f>
        <v>-0.47288768158</v>
      </c>
      <c r="AA35" s="99">
        <v>-0.47288768158</v>
      </c>
    </row>
    <row r="36" spans="24:27" x14ac:dyDescent="0.45">
      <c r="X36">
        <v>42</v>
      </c>
      <c r="Y36" t="s">
        <v>64</v>
      </c>
      <c r="Z36" s="98">
        <f>VehAvailCoefficient!E44</f>
        <v>-1.73045435445</v>
      </c>
      <c r="AA36" s="99">
        <v>-1.73045435445</v>
      </c>
    </row>
    <row r="37" spans="24:27" x14ac:dyDescent="0.45">
      <c r="X37">
        <v>43</v>
      </c>
      <c r="Y37" t="s">
        <v>65</v>
      </c>
      <c r="Z37" s="98">
        <f>VehAvailCoefficient!E45</f>
        <v>2.0718120356499998</v>
      </c>
      <c r="AA37" s="99">
        <v>2.0718120356499998</v>
      </c>
    </row>
    <row r="38" spans="24:27" x14ac:dyDescent="0.45">
      <c r="X38">
        <v>44</v>
      </c>
      <c r="Y38" t="s">
        <v>66</v>
      </c>
      <c r="Z38" s="98">
        <f>VehAvailCoefficient!E46</f>
        <v>0.60728378971399999</v>
      </c>
      <c r="AA38" s="99">
        <v>0.60728378971399999</v>
      </c>
    </row>
    <row r="39" spans="24:27" x14ac:dyDescent="0.45">
      <c r="X39">
        <v>45</v>
      </c>
      <c r="Y39" t="s">
        <v>67</v>
      </c>
      <c r="Z39" s="98">
        <f>VehAvailCoefficient!E47</f>
        <v>-0.71462161389500001</v>
      </c>
      <c r="AA39" s="99">
        <v>-0.71462161389500001</v>
      </c>
    </row>
    <row r="40" spans="24:27" x14ac:dyDescent="0.45">
      <c r="X40">
        <v>46</v>
      </c>
      <c r="Y40" t="s">
        <v>68</v>
      </c>
      <c r="Z40" s="98">
        <f>VehAvailCoefficient!E48</f>
        <v>-1.4356778668800001</v>
      </c>
      <c r="AA40" s="99">
        <v>-1.4356778668800001</v>
      </c>
    </row>
    <row r="41" spans="24:27" x14ac:dyDescent="0.45">
      <c r="X41">
        <v>47</v>
      </c>
      <c r="Y41" t="s">
        <v>69</v>
      </c>
      <c r="Z41" s="98">
        <f>VehAvailCoefficient!E49</f>
        <v>-1.45349726543</v>
      </c>
      <c r="AA41" s="99">
        <v>-1.45349726543</v>
      </c>
    </row>
    <row r="42" spans="24:27" x14ac:dyDescent="0.45">
      <c r="X42">
        <v>48</v>
      </c>
      <c r="Y42" t="s">
        <v>70</v>
      </c>
      <c r="Z42" s="98">
        <f>VehAvailCoefficient!E50</f>
        <v>-1.0930755785699999</v>
      </c>
      <c r="AA42" s="99">
        <v>-1.0930755785699999</v>
      </c>
    </row>
    <row r="43" spans="24:27" x14ac:dyDescent="0.45">
      <c r="X43">
        <v>49</v>
      </c>
      <c r="Y43" t="s">
        <v>71</v>
      </c>
      <c r="Z43" s="98">
        <f>VehAvailCoefficient!E51</f>
        <v>0.14078168516299999</v>
      </c>
      <c r="AA43" s="99">
        <v>0.14078168516299999</v>
      </c>
    </row>
    <row r="44" spans="24:27" x14ac:dyDescent="0.45">
      <c r="X44">
        <v>50</v>
      </c>
      <c r="Y44" t="s">
        <v>72</v>
      </c>
      <c r="Z44" s="98">
        <f>VehAvailCoefficient!E52</f>
        <v>0.188609995585</v>
      </c>
      <c r="AA44" s="99">
        <v>0.188609995585</v>
      </c>
    </row>
    <row r="45" spans="24:27" x14ac:dyDescent="0.45">
      <c r="X45">
        <v>51</v>
      </c>
      <c r="Y45" t="s">
        <v>73</v>
      </c>
      <c r="Z45" s="98">
        <f>VehAvailCoefficient!E53</f>
        <v>-0.58492078305700002</v>
      </c>
      <c r="AA45" s="99">
        <v>-0.58492078305700002</v>
      </c>
    </row>
    <row r="46" spans="24:27" x14ac:dyDescent="0.45">
      <c r="X46">
        <v>52</v>
      </c>
      <c r="Y46" t="s">
        <v>74</v>
      </c>
      <c r="Z46" s="98">
        <f>VehAvailCoefficient!E54</f>
        <v>-1.0058660612699999</v>
      </c>
      <c r="AA46" s="99">
        <v>-1.0058660612699999</v>
      </c>
    </row>
    <row r="47" spans="24:27" x14ac:dyDescent="0.45">
      <c r="X47">
        <v>53</v>
      </c>
      <c r="Y47" t="s">
        <v>75</v>
      </c>
      <c r="Z47" s="98">
        <f>VehAvailCoefficient!E55</f>
        <v>0.22559840834</v>
      </c>
      <c r="AA47" s="99">
        <v>0.22559840834</v>
      </c>
    </row>
    <row r="48" spans="24:27" x14ac:dyDescent="0.45">
      <c r="X48">
        <v>54</v>
      </c>
      <c r="Y48" t="s">
        <v>76</v>
      </c>
      <c r="Z48" s="98">
        <f>VehAvailCoefficient!E56</f>
        <v>0.34302043279099997</v>
      </c>
      <c r="AA48" s="99">
        <v>0.34302043279099997</v>
      </c>
    </row>
    <row r="49" spans="24:27" x14ac:dyDescent="0.45">
      <c r="X49">
        <v>55</v>
      </c>
      <c r="Y49" t="s">
        <v>77</v>
      </c>
      <c r="Z49" s="98">
        <f>VehAvailCoefficient!E57</f>
        <v>-0.53538167154600003</v>
      </c>
      <c r="AA49" s="99">
        <v>-0.53538167154600003</v>
      </c>
    </row>
    <row r="50" spans="24:27" x14ac:dyDescent="0.45">
      <c r="X50">
        <v>56</v>
      </c>
      <c r="Y50" t="s">
        <v>78</v>
      </c>
      <c r="Z50" s="98">
        <f>VehAvailCoefficient!E58</f>
        <v>-0.52697142353899995</v>
      </c>
      <c r="AA50" s="99">
        <v>-0.52697142353899995</v>
      </c>
    </row>
    <row r="51" spans="24:27" x14ac:dyDescent="0.45">
      <c r="X51">
        <v>57</v>
      </c>
      <c r="Y51" t="s">
        <v>79</v>
      </c>
      <c r="Z51" s="98">
        <f>VehAvailCoefficient!E59</f>
        <v>0.21517789340999999</v>
      </c>
      <c r="AA51" s="99">
        <v>0.21517789340999999</v>
      </c>
    </row>
    <row r="52" spans="24:27" x14ac:dyDescent="0.45">
      <c r="X52">
        <v>58</v>
      </c>
      <c r="Y52" t="s">
        <v>80</v>
      </c>
      <c r="Z52" s="98">
        <f>VehAvailCoefficient!E60</f>
        <v>-0.978212790971</v>
      </c>
      <c r="AA52" s="99">
        <v>-0.978212790971</v>
      </c>
    </row>
    <row r="53" spans="24:27" x14ac:dyDescent="0.45">
      <c r="X53">
        <v>59</v>
      </c>
      <c r="Y53" t="s">
        <v>81</v>
      </c>
      <c r="Z53" s="98">
        <f>VehAvailCoefficient!E61</f>
        <v>-0.42495698544999999</v>
      </c>
      <c r="AA53" s="99">
        <v>-0.42495698544999999</v>
      </c>
    </row>
    <row r="54" spans="24:27" x14ac:dyDescent="0.45">
      <c r="X54">
        <v>60</v>
      </c>
      <c r="Y54" t="s">
        <v>82</v>
      </c>
      <c r="Z54" s="98">
        <f>VehAvailCoefficient!E62</f>
        <v>-0.11124462416</v>
      </c>
      <c r="AA54" s="99">
        <v>-0.11124462416</v>
      </c>
    </row>
    <row r="55" spans="24:27" x14ac:dyDescent="0.45">
      <c r="X55">
        <v>63</v>
      </c>
      <c r="Y55" t="s">
        <v>83</v>
      </c>
      <c r="Z55" s="98">
        <f>VehAvailCoefficient!E63</f>
        <v>-1.2627495896200001</v>
      </c>
      <c r="AA55" s="99">
        <v>-1.2627495896200001</v>
      </c>
    </row>
    <row r="56" spans="24:27" x14ac:dyDescent="0.45">
      <c r="X56">
        <v>69</v>
      </c>
      <c r="Y56" t="s">
        <v>84</v>
      </c>
      <c r="Z56" s="98">
        <f>VehAvailCoefficient!E64</f>
        <v>-0.182881856812</v>
      </c>
      <c r="AA56" s="99">
        <v>-0.182881856812</v>
      </c>
    </row>
    <row r="57" spans="24:27" x14ac:dyDescent="0.45">
      <c r="X57">
        <v>72</v>
      </c>
      <c r="Y57" t="s">
        <v>85</v>
      </c>
      <c r="Z57" s="98">
        <f>VehAvailCoefficient!E65</f>
        <v>0.14811075420100001</v>
      </c>
      <c r="AA57" s="99">
        <v>0.14811075420100001</v>
      </c>
    </row>
    <row r="58" spans="24:27" x14ac:dyDescent="0.45">
      <c r="X58">
        <v>73</v>
      </c>
      <c r="Y58" t="s">
        <v>86</v>
      </c>
      <c r="Z58" s="98">
        <f>VehAvailCoefficient!E66</f>
        <v>7.1458236224400005E-4</v>
      </c>
      <c r="AA58" s="99">
        <v>7.1458236224400005E-4</v>
      </c>
    </row>
    <row r="59" spans="24:27" x14ac:dyDescent="0.45">
      <c r="X59">
        <v>75</v>
      </c>
      <c r="Y59" t="s">
        <v>87</v>
      </c>
      <c r="Z59" s="98">
        <f>VehAvailCoefficient!E67</f>
        <v>0.29597958689600001</v>
      </c>
      <c r="AA59" s="99">
        <v>0.29597958689600001</v>
      </c>
    </row>
    <row r="60" spans="24:27" x14ac:dyDescent="0.45">
      <c r="X60">
        <v>76</v>
      </c>
      <c r="Y60" t="s">
        <v>88</v>
      </c>
      <c r="Z60" s="98">
        <f>VehAvailCoefficient!E68</f>
        <v>0.19796492273399999</v>
      </c>
      <c r="AA60" s="99">
        <v>0.19796492273399999</v>
      </c>
    </row>
    <row r="61" spans="24:27" x14ac:dyDescent="0.45">
      <c r="X61">
        <v>77</v>
      </c>
      <c r="Y61" t="s">
        <v>89</v>
      </c>
      <c r="Z61" s="98">
        <f>VehAvailCoefficient!E69</f>
        <v>0.27817460170199998</v>
      </c>
      <c r="AA61" s="99">
        <v>0.27817460170199998</v>
      </c>
    </row>
    <row r="62" spans="24:27" x14ac:dyDescent="0.45">
      <c r="X62">
        <v>83</v>
      </c>
      <c r="Y62" t="s">
        <v>90</v>
      </c>
      <c r="Z62" s="98">
        <f>VehAvailCoefficient!E70</f>
        <v>-0.77256225305799997</v>
      </c>
      <c r="AA62" s="9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Peter Andrews</cp:lastModifiedBy>
  <dcterms:modified xsi:type="dcterms:W3CDTF">2016-07-01T21:02:29Z</dcterms:modified>
</cp:coreProperties>
</file>