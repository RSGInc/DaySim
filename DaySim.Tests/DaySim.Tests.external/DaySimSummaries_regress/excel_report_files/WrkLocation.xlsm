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activeTab="6" windowHeight="6180" windowWidth="25230" xWindow="-23" yWindow="-23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5">WorkAtHome!$F$18:$F$24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71027"/>
</workbook>
</file>

<file path=xl/calcChain.xml><?xml version="1.0" encoding="utf-8"?>
<calcChain xmlns="http://schemas.openxmlformats.org/spreadsheetml/2006/main">
  <c i="1" l="1" r="A40"/>
  <c i="1" r="A39"/>
  <c i="1" r="A38"/>
  <c i="1" r="A37"/>
  <c i="1" r="A36"/>
  <c i="1" r="A35"/>
  <c i="1" r="A34"/>
  <c i="1" r="I33"/>
  <c i="1" r="H33"/>
  <c i="1" r="G33"/>
  <c i="1" r="F33"/>
  <c i="1" r="E33"/>
  <c i="1" r="D33"/>
  <c i="1" r="C33"/>
  <c i="1" r="B33"/>
  <c i="1" r="A26"/>
  <c i="1" r="A25"/>
  <c i="1" r="A24"/>
  <c i="1" r="A23"/>
  <c i="1" r="A22"/>
  <c i="1" r="A21"/>
  <c i="1" r="A20"/>
  <c i="1" r="I19"/>
  <c i="1" r="H19"/>
  <c i="1" r="G19"/>
  <c i="1" r="F19"/>
  <c i="1" r="E19"/>
  <c i="1" r="D19"/>
  <c i="1" r="C19"/>
  <c i="1" r="B19"/>
  <c i="8" l="1" r="F25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" l="1" r="J26"/>
  <c i="1" r="G26"/>
  <c i="1" r="H26"/>
  <c i="1" r="B26"/>
  <c i="1" r="C26"/>
  <c i="1" r="F26"/>
  <c i="1" r="D26"/>
  <c i="1" r="E26"/>
  <c i="1" r="I26"/>
  <c i="12" r="J16"/>
  <c i="12" r="J15"/>
  <c i="12" r="J17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7"/>
  <c i="12" r="B14"/>
  <c i="12" r="O14" s="1"/>
  <c i="12" r="P14" s="1"/>
  <c i="12" r="Q14" s="1"/>
  <c i="12" r="W8" s="1"/>
  <c i="12" r="I15"/>
  <c i="12" r="K16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L24"/>
  <c i="8" r="E24"/>
  <c i="8" r="L13"/>
  <c i="8" r="E13"/>
  <c i="12" l="1" r="E16"/>
  <c i="12" r="I17"/>
  <c i="12" r="H17"/>
  <c i="12" r="P15"/>
  <c i="12" r="Q15" s="1"/>
  <c i="12" r="W9" s="1"/>
  <c i="12" r="C17"/>
  <c i="12" r="K14"/>
  <c i="12" r="K17" s="1"/>
  <c i="12" r="E15"/>
  <c i="12" r="D17"/>
  <c i="12" r="P16"/>
  <c i="12" r="Q16" s="1"/>
  <c i="12" r="W10" s="1"/>
  <c i="8" r="S13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O35"/>
  <c i="8" r="H35"/>
  <c i="8" r="A35"/>
  <c i="8" r="A24"/>
  <c i="8" r="H24"/>
  <c i="8" r="O24"/>
  <c i="8" r="V24"/>
  <c i="8" r="V13"/>
  <c i="8" r="O13"/>
  <c i="8" r="H13"/>
  <c i="12" l="1" r="E17"/>
  <c i="8" r="X25"/>
  <c i="8" r="Y25"/>
  <c i="8" r="Z25"/>
  <c i="8" r="W25"/>
  <c i="8" r="X14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C36" s="1"/>
  <c i="8" r="D14"/>
  <c i="8" r="D36" s="1"/>
  <c i="8" r="B14"/>
  <c i="8" r="J14"/>
  <c i="8" r="J36" s="1"/>
  <c i="8" r="K14"/>
  <c i="8" r="K36" s="1"/>
  <c i="8" r="I14"/>
  <c i="8" l="1" r="Q36"/>
  <c i="8" r="B36"/>
  <c i="8" r="I36"/>
  <c i="8" r="X36"/>
  <c i="8" r="R36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8" l="1" r="P36"/>
  <c i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1" l="1" r="J24"/>
  <c i="1" r="G24"/>
  <c i="1" r="H24"/>
  <c i="1" r="B24"/>
  <c i="1" r="F24"/>
  <c i="1" r="C24"/>
  <c i="1" r="D24"/>
  <c i="1" r="I24"/>
  <c i="1" r="E24"/>
  <c i="1" r="J22"/>
  <c i="1" r="F22"/>
  <c i="1" r="D22"/>
  <c i="1" r="H22"/>
  <c i="1" r="E22"/>
  <c i="1" r="C22"/>
  <c i="1" r="B22"/>
  <c i="1" r="G22"/>
  <c i="1" r="I22"/>
  <c i="1" r="J23"/>
  <c i="1" r="D23"/>
  <c i="1" r="F23"/>
  <c i="1" r="C23"/>
  <c i="1" r="B23"/>
  <c i="1" r="I23"/>
  <c i="1" r="G23"/>
  <c i="1" r="H23"/>
  <c i="1" r="E23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Q31" s="1"/>
  <c i="8" r="K31"/>
  <c i="8" r="R31" s="1"/>
  <c i="8" r="L31"/>
  <c i="8" r="S31" s="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8" l="1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J25"/>
  <c i="1" r="G25"/>
  <c i="1" r="D25"/>
  <c i="1" r="H25"/>
  <c i="1" r="I25"/>
  <c i="1" r="E25"/>
  <c i="1" r="C25"/>
  <c i="1" r="B25"/>
  <c i="1" r="F25"/>
  <c i="1" r="J21"/>
  <c i="1" r="I21"/>
  <c i="1" r="E21"/>
  <c i="1" r="B21"/>
  <c i="1" r="D21"/>
  <c i="1" r="F21"/>
  <c i="1" r="C21"/>
  <c i="1" r="H21"/>
  <c i="1" r="G21"/>
  <c i="1" r="J20"/>
  <c i="1" r="B20"/>
  <c i="1" r="B28" s="1"/>
  <c i="1" r="D20"/>
  <c i="1" r="E20"/>
  <c i="1" r="F20"/>
  <c i="1" r="F28" s="1"/>
  <c i="1" r="C20"/>
  <c i="1" r="C28" s="1"/>
  <c i="1" r="G20"/>
  <c i="1" r="G28" s="1"/>
  <c i="1" r="I20"/>
  <c i="1" r="I28" s="1"/>
  <c i="1" r="H20"/>
  <c i="1" r="H28" s="1"/>
  <c i="1" r="U27"/>
  <c i="1" r="U28" s="1"/>
  <c i="1" r="M28"/>
  <c i="8" r="P24"/>
  <c i="1" r="J15"/>
  <c i="1" r="J34" s="1"/>
  <c i="1" l="1" r="J28"/>
  <c i="1" r="E28"/>
  <c i="1" r="D28"/>
  <c i="1" r="J35"/>
  <c i="1" r="B35"/>
  <c i="1" r="G38"/>
  <c i="1" r="D34"/>
  <c i="1" r="E34"/>
  <c i="1" r="C36"/>
  <c i="1" r="E36"/>
  <c i="1" r="I36"/>
  <c i="1" r="H40"/>
  <c i="1" r="H41"/>
  <c i="1" r="C34"/>
  <c i="1" r="C35"/>
  <c i="1" r="H38"/>
  <c i="1" r="H36"/>
  <c i="1" r="F40"/>
  <c i="1" r="E37"/>
  <c i="1" r="C41"/>
  <c i="1" r="F38"/>
  <c i="1" r="D35"/>
  <c i="1" r="I38"/>
  <c i="1" r="F34"/>
  <c i="1" r="B37"/>
  <c i="1" r="F37"/>
  <c i="1" r="C38"/>
  <c i="1" r="E35"/>
  <c i="1" r="G34"/>
  <c i="1" r="B40"/>
  <c i="1" r="D37"/>
  <c i="1" r="B41"/>
  <c i="1" r="D41"/>
  <c i="1" r="B38"/>
  <c i="1" r="F35"/>
  <c i="1" r="B39"/>
  <c i="1" r="H34"/>
  <c i="1" r="G36"/>
  <c i="1" r="D40"/>
  <c i="1" r="E40"/>
  <c i="1" r="G40"/>
  <c i="1" r="H37"/>
  <c i="1" r="F41"/>
  <c i="1" r="G35"/>
  <c i="1" r="C39"/>
  <c i="1" r="I34"/>
  <c i="1" r="B36"/>
  <c i="1" r="D36"/>
  <c i="1" r="E41"/>
  <c i="1" r="E38"/>
  <c i="1" r="H35"/>
  <c i="1" r="D39"/>
  <c i="1" r="G37"/>
  <c i="1" r="I35"/>
  <c i="1" r="E39"/>
  <c i="1" r="B34"/>
  <c i="1" r="F39"/>
  <c i="1" r="G39"/>
  <c i="1" r="H39"/>
  <c i="1" r="I39"/>
  <c i="1" r="F36"/>
  <c i="1" r="C40"/>
  <c i="1" r="C37"/>
  <c i="1" r="I40"/>
  <c i="1" r="G41"/>
  <c i="1" r="D38"/>
  <c i="1" r="I37"/>
  <c i="1" r="I41"/>
  <c i="1" r="J40"/>
  <c i="1" r="J38"/>
  <c i="1" r="J36"/>
  <c i="1" r="J37"/>
  <c i="1" r="J41"/>
  <c i="1" r="J39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42"/>
  <c i="1" r="C42"/>
  <c i="1" r="B42"/>
  <c i="1" r="E42"/>
  <c i="1" r="H42"/>
  <c i="1" r="F42"/>
  <c i="1" r="D42"/>
  <c i="1" r="G42"/>
  <c i="1" r="I42"/>
  <c i="1" r="S42"/>
  <c i="1" r="U40"/>
  <c i="8" r="S7"/>
  <c i="8" r="L14"/>
  <c i="8" r="S18"/>
  <c i="8" r="L25"/>
  <c i="8" r="S24"/>
  <c i="8" r="L29"/>
  <c i="8" r="J35"/>
  <c i="8" r="L30"/>
  <c i="8" r="K35"/>
  <c i="8" r="L34"/>
  <c i="8" r="I35"/>
  <c i="12" l="1" r="H26"/>
  <c i="8" r="L36"/>
  <c i="8" r="S36" s="1"/>
  <c i="8" r="S25"/>
  <c i="12" r="H27"/>
  <c i="12" r="H32" s="1"/>
  <c i="8" r="S14"/>
  <c i="8" r="L35"/>
  <c i="12" l="1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B29"/>
  <c i="8" r="P29" s="1"/>
  <c i="8" r="R24"/>
  <c i="8" r="Q24"/>
  <c i="8" r="R13"/>
  <c i="8" r="Q13"/>
  <c i="8" r="P13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8" r="B35"/>
  <c i="8" r="P35" s="1"/>
  <c i="10" r="Q11"/>
  <c i="10" r="Q15"/>
  <c i="10" r="Q21"/>
  <c i="10" r="Q19"/>
  <c i="10" r="Q20"/>
  <c i="10" r="Q17"/>
  <c i="10" r="Q16"/>
  <c i="10" r="Q13"/>
  <c i="10" r="Q12"/>
  <c i="10" r="Q18"/>
  <c i="10" r="Q14"/>
  <c i="8" r="D35"/>
  <c i="8" r="R35" s="1"/>
  <c i="8" r="C35"/>
  <c i="8" r="Q35" s="1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8" r="E35"/>
  <c i="8" r="S35" s="1"/>
  <c i="1" l="1" r="AD40"/>
  <c i="1" r="AD54" s="1"/>
  <c i="1" r="AD39"/>
  <c i="1" r="AD53" s="1"/>
  <c i="1" r="AC40"/>
  <c i="1" r="AC54" s="1"/>
  <c i="1" r="AD41"/>
  <c i="1" r="AD55" s="1"/>
  <c i="1" r="AB40"/>
  <c i="1" r="AB54" s="1"/>
  <c i="1" r="AA40"/>
  <c i="1" r="AA54" s="1"/>
  <c i="1" r="AD36"/>
  <c i="1" r="AD50" s="1"/>
  <c i="1" r="Z40"/>
  <c i="1" r="Z54" s="1"/>
  <c i="1" r="AD34"/>
  <c i="1" r="AD48" s="1"/>
  <c i="1" r="AE40"/>
  <c i="1" r="AE54" s="1"/>
  <c i="1" r="AD38"/>
  <c i="1" r="AD52" s="1"/>
  <c i="1" r="AD37"/>
  <c i="1" r="AD51" s="1"/>
  <c i="1" r="AD35"/>
  <c i="1" r="AD49" s="1"/>
  <c i="1" r="X40"/>
  <c i="1" r="X54" s="1"/>
  <c i="1" r="Y40"/>
  <c i="1" r="Y54" s="1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41"/>
  <c i="1" r="X55" s="1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41"/>
  <c i="1" r="AE55" s="1"/>
  <c i="1" r="AA36"/>
  <c i="1" r="AA50" s="1"/>
  <c i="1" r="Y34"/>
  <c i="1" r="Y48" s="1"/>
  <c i="1" r="AC36"/>
  <c i="1" r="AC50" s="1"/>
  <c i="1" r="AE37"/>
  <c i="1" r="AE51" s="1"/>
  <c i="1" r="AE35"/>
  <c i="1" r="AE49" s="1"/>
  <c i="1" r="AE38"/>
  <c i="1" r="AE52" s="1"/>
  <c i="1" r="AE36"/>
  <c i="1" r="AE50" s="1"/>
  <c i="1" r="AE34"/>
  <c i="1" r="AE48" s="1"/>
  <c i="1" r="AE39"/>
  <c i="1" r="AE53" s="1"/>
  <c i="1" r="AB41"/>
  <c i="1" r="AB55" s="1"/>
  <c i="1" r="AC41"/>
  <c i="1" r="AC55" s="1"/>
  <c i="1" r="AA41"/>
  <c i="1" r="AA55" s="1"/>
  <c i="1" r="Y41"/>
  <c i="1" r="Y55" s="1"/>
  <c i="1" r="Z41"/>
  <c i="1" r="Z55" s="1"/>
  <c i="1" l="1" r="AF40"/>
  <c i="1" r="AF54" s="1"/>
  <c i="1" r="AD42"/>
  <c i="1" r="AD56"/>
  <c i="1" r="AF34"/>
  <c i="1" r="AF48" s="1"/>
  <c i="1" r="AA42"/>
  <c i="1" r="AE42"/>
  <c i="1" r="X42"/>
  <c i="1" r="AF37"/>
  <c i="1" r="AF51" s="1"/>
  <c i="1" r="AF35"/>
  <c i="1" r="AF49" s="1"/>
  <c i="1" r="AF38"/>
  <c i="1" r="AF52" s="1"/>
  <c i="1" r="AF36"/>
  <c i="1" r="AF50" s="1"/>
  <c i="1" r="AB42"/>
  <c i="1" r="Y42"/>
  <c i="1" r="AF39"/>
  <c i="1" r="AF53" s="1"/>
  <c i="1" r="Z42"/>
  <c i="1" r="AF41"/>
  <c i="1" r="AF55" s="1"/>
  <c i="1" r="AC42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l="1" r="P42"/>
  <c i="1" r="U38"/>
  <c i="1" r="U35"/>
  <c i="1" r="U37"/>
  <c i="1" r="U41"/>
  <c i="1" r="U34"/>
  <c i="1" r="AE56"/>
  <c i="1" r="N42"/>
  <c i="1" r="U39"/>
  <c i="1" r="R42"/>
  <c i="1" r="T42"/>
  <c i="1" r="M42"/>
  <c i="1" r="Q42"/>
  <c i="1" r="U36"/>
  <c i="1" r="O42"/>
  <c i="1" l="1" r="Y56"/>
  <c i="1" r="AB56"/>
  <c i="1" r="AC56"/>
  <c i="1" r="Z56"/>
  <c i="1" r="AA56"/>
  <c i="1" r="X56"/>
  <c i="1" r="U42"/>
  <c i="1" l="1" r="AF56"/>
</calcChain>
</file>

<file path=xl/sharedStrings.xml><?xml version="1.0" encoding="utf-8"?>
<sst xmlns="http://schemas.openxmlformats.org/spreadsheetml/2006/main" count="815" uniqueCount="295">
  <si>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</si>
  <si>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</si>
  <si>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</si>
  <si>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</si>
  <si>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</si>
  <si>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</si>
  <si>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</si>
  <si>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</si>
  <si>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</si>
  <si>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</si>
  <si>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</si>
  <si>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</si>
  <si>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</si>
  <si>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</si>
  <si>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</si>
  <si>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</si>
  <si>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</si>
  <si>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</si>
  <si>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</si>
  <si>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</si>
  <si>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</si>
  <si>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</si>
  <si>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</si>
  <si>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</si>
  <si>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</si>
  <si>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</si>
  <si>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</si>
  <si>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</si>
  <si>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</si>
  <si>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</si>
  <si>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</si>
  <si>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</si>
  <si>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</si>
  <si>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</si>
  <si>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</si>
  <si>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</si>
  <si>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</si>
  <si>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</si>
  <si>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</si>
  <si>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</si>
  <si>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</si>
  <si>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</si>
  <si>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DaySim</t>
  </si>
  <si>
    <t>Table X. Average Trip Length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</si>
  <si>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</si>
  <si>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</si>
  <si>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</si>
  <si>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</si>
  <si>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</si>
  <si>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</si>
  <si>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</si>
  <si>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</si>
  <si>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</si>
  <si>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</si>
  <si>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</si>
  <si>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</si>
  <si>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</si>
  <si>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</si>
  <si>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</si>
  <si>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</si>
  <si>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</si>
  <si>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</si>
  <si>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</si>
  <si>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</si>
  <si>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</si>
  <si>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</si>
  <si>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</si>
  <si>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</si>
  <si>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</si>
  <si>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</si>
  <si>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</si>
  <si>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</si>
  <si>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</si>
  <si>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</si>
  <si>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</si>
  <si>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</si>
  <si>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</si>
  <si>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</si>
  <si>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</si>
  <si>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</si>
  <si>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</si>
  <si>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</si>
  <si>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</si>
  <si>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</si>
  <si>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</si>
  <si>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</si>
  <si>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</si>
  <si>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</si>
  <si>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</si>
  <si>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</si>
  <si>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</si>
  <si>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</si>
  <si>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</si>
  <si>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</si>
  <si>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</si>
  <si>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</si>
  <si>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</si>
  <si>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</si>
  <si>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</si>
  <si>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</si>
  <si>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</si>
  <si>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</si>
  <si>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</si>
  <si>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</si>
  <si>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</si>
  <si>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</si>
  <si>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</si>
  <si>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</si>
  <si>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</si>
  <si>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</si>
  <si>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</si>
  <si>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</si>
  <si>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</si>
  <si>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</si>
  <si>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</si>
  <si>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</si>
  <si>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</si>
  <si>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</si>
  <si>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</si>
  <si>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</si>
  <si>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</si>
  <si>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</si>
  <si>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</si>
  <si>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</si>
  <si>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</si>
  <si>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</si>
  <si>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</si>
  <si>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</si>
  <si>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</si>
  <si>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</si>
  <si>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</si>
  <si>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</si>
  <si>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</si>
  <si>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</si>
  <si>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</si>
  <si>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</si>
  <si>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</si>
  <si>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</si>
  <si>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</si>
  <si>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</si>
  <si>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</si>
  <si>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</si>
  <si>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</si>
  <si>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</si>
  <si>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</si>
  <si>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</si>
  <si>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</si>
  <si>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</si>
  <si>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</si>
  <si>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</si>
  <si>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</si>
  <si>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</si>
  <si>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</si>
  <si>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</si>
  <si>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</si>
  <si>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</si>
  <si>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</si>
  <si>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</si>
  <si>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</si>
  <si>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</si>
  <si>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</si>
  <si>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</si>
  <si>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</si>
  <si>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</si>
  <si>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</si>
  <si>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</si>
  <si>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</si>
  <si>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</si>
  <si>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</si>
  <si>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</si>
  <si>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</si>
  <si>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</si>
  <si>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</si>
  <si>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</si>
  <si>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</si>
  <si>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</si>
  <si>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</si>
  <si>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</si>
  <si>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</si>
  <si>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</si>
  <si>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</si>
  <si>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</si>
  <si>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</si>
  <si>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</si>
  <si>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</si>
  <si>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</si>
  <si>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</si>
  <si>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</si>
  <si>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</si>
  <si>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</si>
  <si>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</si>
  <si>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</si>
  <si>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</si>
  <si>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</si>
  <si>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</si>
  <si>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</si>
  <si>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</si>
  <si>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</si>
  <si>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</si>
  <si>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</si>
  <si>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</si>
  <si>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</si>
  <si>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</si>
  <si>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</si>
  <si>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</si>
  <si>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</si>
  <si>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</si>
  <si>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</si>
  <si>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</si>
  <si>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</si>
  <si>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</si>
  <si>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</si>
  <si>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</si>
  <si>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</si>
  <si>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</si>
  <si>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</si>
  <si>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</si>
  <si>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</si>
  <si>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</si>
  <si>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</si>
  <si>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</si>
  <si>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</si>
  <si>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</si>
  <si>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</si>
  <si>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</si>
  <si>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</si>
  <si>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</si>
  <si>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</si>
  <si>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</si>
  <si>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</si>
  <si>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</si>
  <si>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</si>
  <si>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</si>
  <si>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</si>
  <si>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</si>
  <si>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</si>
  <si>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</si>
  <si>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</si>
  <si>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</si>
  <si>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</si>
  <si>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</si>
  <si>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</si>
  <si>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</si>
  <si>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</si>
  <si>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</si>
  <si>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</si>
  <si>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</si>
  <si>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</si>
  <si>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</si>
  <si>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</si>
  <si>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</si>
  <si>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</si>
  <si>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</si>
  <si>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</si>
  <si>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</si>
  <si>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</si>
  <si>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</si>
  <si>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</si>
  <si>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</si>
  <si>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</si>
  <si>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</si>
  <si>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</si>
  <si>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</si>
  <si>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</si>
  <si>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</si>
  <si>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</si>
  <si>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</si>
  <si>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</si>
  <si>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Missing Work Locations</t>
  </si>
  <si>
    <t>Table X. Adjusted Worker Flows by County</t>
  </si>
  <si>
    <t>Observed Sources: Reference (2009) &amp; CTPP (2000 and/or ACS?), 4-county Jacksonville Region only</t>
  </si>
  <si>
    <t>Reference</t>
  </si>
  <si>
    <t>Observed Sources: Reference &amp; CTPP</t>
  </si>
  <si>
    <t>Observed Sources: Reference, 4-county Jacksonville Region only</t>
  </si>
  <si>
    <t>Table X. Weighted Work at Home Counts by County: Reference</t>
  </si>
  <si>
    <t>Table X. Weighted Counts by County: Reference</t>
  </si>
  <si>
    <t>Table X. Weighted Work at Home Shares by County: Reference</t>
  </si>
  <si>
    <t>Reference Preparation</t>
  </si>
  <si>
    <t>Households in the JAX (4-county) region were isolated from Reference data and geocoded to TAZs using x-y coordinates with the spatial join feature in ArcGIS</t>
  </si>
  <si>
    <t>In Reference data, persons whose home coordinates matched their usual workplace coordinates were filtered out since this would mean they usually work at home</t>
  </si>
  <si>
    <t>In Reference, PPTYP was used to determine the class of worker whereas in DaySim, PERSTYPE was used</t>
  </si>
  <si>
    <t>Within those, persons with same home and workplace coordinates/parcels (for Reference and DaySim respectively) were assumed to be working at home</t>
  </si>
  <si>
    <t>Table X. New Trip Lengths</t>
  </si>
  <si>
    <t>Table X. New Trip Durations</t>
  </si>
  <si>
    <t>Table X. New Worker Flows by County</t>
  </si>
  <si>
    <t>Table X. New Worker Flows by County: New</t>
  </si>
  <si>
    <t>Table X. New Work at Home Counts by County</t>
  </si>
  <si>
    <t>Table X. New Counts by County</t>
  </si>
  <si>
    <t>Table X. New Work at Home Shares by County</t>
  </si>
  <si>
    <t>Table X. Reference Trip Lengths: Reference</t>
  </si>
  <si>
    <t>Table X. Reference Trip Durations: Reference</t>
  </si>
  <si>
    <t>Table X. Reference Trip Durations: Census (ACS/2006-08)</t>
  </si>
  <si>
    <t>Table X. Reference Worker Flows by County: Reference</t>
  </si>
  <si>
    <t>Table X. Reference Worker Flows by County: Census (ACS/2006-08)</t>
  </si>
  <si>
    <t>Table X. Reference Worker Flows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</si>
</sst>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mm/dd/yyyy\ hh:mm:ss"/>
    <numFmt numFmtId="166" formatCode="0.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Alignment="1" applyBorder="1" borderId="1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Fill="1" applyNumberFormat="1" borderId="0" fillId="2" fontId="0" numFmtId="2" xfId="0"/>
    <xf applyBorder="1" applyFill="1" applyNumberFormat="1" borderId="3" fillId="2" fontId="0" numFmtId="2" xfId="0"/>
    <xf applyBorder="1" applyFill="1" applyNumberFormat="1" borderId="1" fillId="2" fontId="0" numFmtId="2" xfId="0"/>
    <xf applyAlignment="1" applyBorder="1" applyFill="1" borderId="2" fillId="2" fontId="0" numFmtId="0" xfId="0">
      <alignment horizontal="center"/>
    </xf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NumberFormat="1" borderId="3" fillId="0" fontId="0" numFmtId="1" xfId="0"/>
    <xf applyBorder="1" applyFont="1" applyNumberFormat="1" borderId="5" fillId="0" fontId="0" numFmtId="3" xfId="0"/>
    <xf applyBorder="1" applyNumberFormat="1" borderId="5" fillId="0" fontId="0" numFmtId="1" xfId="0"/>
    <xf applyBorder="1" applyFill="1" applyFont="1" applyNumberFormat="1" borderId="4" fillId="0" fontId="0" numFmtId="3" xfId="0"/>
    <xf applyBorder="1" applyFill="1" applyNumberFormat="1" borderId="4" fillId="0" fontId="0" numFmtId="1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Reference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188000</c:v>
                </c:pt>
                <c:pt idx="1">
                  <c:v>110000</c:v>
                </c:pt>
                <c:pt idx="2">
                  <c:v>139000</c:v>
                </c:pt>
                <c:pt idx="3">
                  <c:v>116000</c:v>
                </c:pt>
                <c:pt idx="4">
                  <c:v>115000</c:v>
                </c:pt>
                <c:pt idx="5">
                  <c:v>108000</c:v>
                </c:pt>
                <c:pt idx="6">
                  <c:v>102000</c:v>
                </c:pt>
                <c:pt idx="7">
                  <c:v>67000</c:v>
                </c:pt>
                <c:pt idx="8">
                  <c:v>77000</c:v>
                </c:pt>
                <c:pt idx="9">
                  <c:v>65000</c:v>
                </c:pt>
                <c:pt idx="10">
                  <c:v>74000</c:v>
                </c:pt>
                <c:pt idx="11">
                  <c:v>63000</c:v>
                </c:pt>
                <c:pt idx="12">
                  <c:v>46000</c:v>
                </c:pt>
                <c:pt idx="13">
                  <c:v>43000</c:v>
                </c:pt>
                <c:pt idx="14">
                  <c:v>34000</c:v>
                </c:pt>
                <c:pt idx="15">
                  <c:v>52000</c:v>
                </c:pt>
                <c:pt idx="16">
                  <c:v>35000</c:v>
                </c:pt>
                <c:pt idx="17">
                  <c:v>33000</c:v>
                </c:pt>
                <c:pt idx="18">
                  <c:v>36000</c:v>
                </c:pt>
                <c:pt idx="19">
                  <c:v>33000</c:v>
                </c:pt>
                <c:pt idx="20">
                  <c:v>27000</c:v>
                </c:pt>
                <c:pt idx="21">
                  <c:v>28000</c:v>
                </c:pt>
                <c:pt idx="22">
                  <c:v>31000</c:v>
                </c:pt>
                <c:pt idx="23">
                  <c:v>14000</c:v>
                </c:pt>
                <c:pt idx="24">
                  <c:v>33000</c:v>
                </c:pt>
                <c:pt idx="25">
                  <c:v>14000</c:v>
                </c:pt>
                <c:pt idx="26">
                  <c:v>12000</c:v>
                </c:pt>
                <c:pt idx="27">
                  <c:v>14000</c:v>
                </c:pt>
                <c:pt idx="28">
                  <c:v>15000</c:v>
                </c:pt>
                <c:pt idx="29">
                  <c:v>13000</c:v>
                </c:pt>
                <c:pt idx="30">
                  <c:v>15000</c:v>
                </c:pt>
                <c:pt idx="31">
                  <c:v>8000</c:v>
                </c:pt>
                <c:pt idx="32">
                  <c:v>9000</c:v>
                </c:pt>
                <c:pt idx="33">
                  <c:v>2000</c:v>
                </c:pt>
                <c:pt idx="34">
                  <c:v>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0</c:v>
                </c:pt>
                <c:pt idx="39">
                  <c:v>0</c:v>
                </c:pt>
                <c:pt idx="40">
                  <c:v>1000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1000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35-4A2D-A72D-28685CCDF1B1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188000</c:v>
                </c:pt>
                <c:pt idx="1">
                  <c:v>110000</c:v>
                </c:pt>
                <c:pt idx="2">
                  <c:v>139000</c:v>
                </c:pt>
                <c:pt idx="3">
                  <c:v>116000</c:v>
                </c:pt>
                <c:pt idx="4">
                  <c:v>115000</c:v>
                </c:pt>
                <c:pt idx="5">
                  <c:v>108000</c:v>
                </c:pt>
                <c:pt idx="6">
                  <c:v>102000</c:v>
                </c:pt>
                <c:pt idx="7">
                  <c:v>67000</c:v>
                </c:pt>
                <c:pt idx="8">
                  <c:v>77000</c:v>
                </c:pt>
                <c:pt idx="9">
                  <c:v>65000</c:v>
                </c:pt>
                <c:pt idx="10">
                  <c:v>74000</c:v>
                </c:pt>
                <c:pt idx="11">
                  <c:v>63000</c:v>
                </c:pt>
                <c:pt idx="12">
                  <c:v>46000</c:v>
                </c:pt>
                <c:pt idx="13">
                  <c:v>43000</c:v>
                </c:pt>
                <c:pt idx="14">
                  <c:v>34000</c:v>
                </c:pt>
                <c:pt idx="15">
                  <c:v>52000</c:v>
                </c:pt>
                <c:pt idx="16">
                  <c:v>35000</c:v>
                </c:pt>
                <c:pt idx="17">
                  <c:v>33000</c:v>
                </c:pt>
                <c:pt idx="18">
                  <c:v>36000</c:v>
                </c:pt>
                <c:pt idx="19">
                  <c:v>33000</c:v>
                </c:pt>
                <c:pt idx="20">
                  <c:v>27000</c:v>
                </c:pt>
                <c:pt idx="21">
                  <c:v>28000</c:v>
                </c:pt>
                <c:pt idx="22">
                  <c:v>31000</c:v>
                </c:pt>
                <c:pt idx="23">
                  <c:v>14000</c:v>
                </c:pt>
                <c:pt idx="24">
                  <c:v>33000</c:v>
                </c:pt>
                <c:pt idx="25">
                  <c:v>14000</c:v>
                </c:pt>
                <c:pt idx="26">
                  <c:v>12000</c:v>
                </c:pt>
                <c:pt idx="27">
                  <c:v>14000</c:v>
                </c:pt>
                <c:pt idx="28">
                  <c:v>15000</c:v>
                </c:pt>
                <c:pt idx="29">
                  <c:v>13000</c:v>
                </c:pt>
                <c:pt idx="30">
                  <c:v>15000</c:v>
                </c:pt>
                <c:pt idx="31">
                  <c:v>8000</c:v>
                </c:pt>
                <c:pt idx="32">
                  <c:v>9000</c:v>
                </c:pt>
                <c:pt idx="33">
                  <c:v>2000</c:v>
                </c:pt>
                <c:pt idx="34">
                  <c:v>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0</c:v>
                </c:pt>
                <c:pt idx="39">
                  <c:v>0</c:v>
                </c:pt>
                <c:pt idx="40">
                  <c:v>1000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1000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35-4A2D-A72D-28685CCDF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371120"/>
        <c:axId val="185371680"/>
      </c:lineChart>
      <c:catAx>
        <c:axId val="18537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371680"/>
        <c:crosses val="autoZero"/>
        <c:auto val="1"/>
        <c:lblAlgn val="ctr"/>
        <c:lblOffset val="100"/>
        <c:tickLblSkip val="10"/>
        <c:noMultiLvlLbl val="0"/>
      </c:catAx>
      <c:valAx>
        <c:axId val="185371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85371120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Reference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100000</c:v>
                </c:pt>
                <c:pt idx="1">
                  <c:v>30000</c:v>
                </c:pt>
                <c:pt idx="2">
                  <c:v>5000</c:v>
                </c:pt>
                <c:pt idx="3">
                  <c:v>7000</c:v>
                </c:pt>
                <c:pt idx="4">
                  <c:v>10000</c:v>
                </c:pt>
                <c:pt idx="5">
                  <c:v>18000</c:v>
                </c:pt>
                <c:pt idx="6">
                  <c:v>30000</c:v>
                </c:pt>
                <c:pt idx="7">
                  <c:v>46000</c:v>
                </c:pt>
                <c:pt idx="8">
                  <c:v>39000</c:v>
                </c:pt>
                <c:pt idx="9">
                  <c:v>49000</c:v>
                </c:pt>
                <c:pt idx="10">
                  <c:v>44000</c:v>
                </c:pt>
                <c:pt idx="11">
                  <c:v>48000</c:v>
                </c:pt>
                <c:pt idx="12">
                  <c:v>55000</c:v>
                </c:pt>
                <c:pt idx="13">
                  <c:v>67000</c:v>
                </c:pt>
                <c:pt idx="14">
                  <c:v>59000</c:v>
                </c:pt>
                <c:pt idx="15">
                  <c:v>58000</c:v>
                </c:pt>
                <c:pt idx="16">
                  <c:v>52000</c:v>
                </c:pt>
                <c:pt idx="17">
                  <c:v>60000</c:v>
                </c:pt>
                <c:pt idx="18">
                  <c:v>54000</c:v>
                </c:pt>
                <c:pt idx="19">
                  <c:v>51000</c:v>
                </c:pt>
                <c:pt idx="20">
                  <c:v>43000</c:v>
                </c:pt>
                <c:pt idx="21">
                  <c:v>48000</c:v>
                </c:pt>
                <c:pt idx="22">
                  <c:v>43000</c:v>
                </c:pt>
                <c:pt idx="23">
                  <c:v>43000</c:v>
                </c:pt>
                <c:pt idx="24">
                  <c:v>40000</c:v>
                </c:pt>
                <c:pt idx="25">
                  <c:v>25000</c:v>
                </c:pt>
                <c:pt idx="26">
                  <c:v>44000</c:v>
                </c:pt>
                <c:pt idx="27">
                  <c:v>45000</c:v>
                </c:pt>
                <c:pt idx="28">
                  <c:v>29000</c:v>
                </c:pt>
                <c:pt idx="29">
                  <c:v>27000</c:v>
                </c:pt>
                <c:pt idx="30">
                  <c:v>16000</c:v>
                </c:pt>
                <c:pt idx="31">
                  <c:v>26000</c:v>
                </c:pt>
                <c:pt idx="32">
                  <c:v>25000</c:v>
                </c:pt>
                <c:pt idx="33">
                  <c:v>21000</c:v>
                </c:pt>
                <c:pt idx="34">
                  <c:v>28000</c:v>
                </c:pt>
                <c:pt idx="35">
                  <c:v>21000</c:v>
                </c:pt>
                <c:pt idx="36">
                  <c:v>22000</c:v>
                </c:pt>
                <c:pt idx="37">
                  <c:v>16000</c:v>
                </c:pt>
                <c:pt idx="38">
                  <c:v>22000</c:v>
                </c:pt>
                <c:pt idx="39">
                  <c:v>32000</c:v>
                </c:pt>
                <c:pt idx="40">
                  <c:v>15000</c:v>
                </c:pt>
                <c:pt idx="41">
                  <c:v>15000</c:v>
                </c:pt>
                <c:pt idx="42">
                  <c:v>16000</c:v>
                </c:pt>
                <c:pt idx="43">
                  <c:v>13000</c:v>
                </c:pt>
                <c:pt idx="44">
                  <c:v>12000</c:v>
                </c:pt>
                <c:pt idx="45">
                  <c:v>17000</c:v>
                </c:pt>
                <c:pt idx="46">
                  <c:v>11000</c:v>
                </c:pt>
                <c:pt idx="47">
                  <c:v>15000</c:v>
                </c:pt>
                <c:pt idx="48">
                  <c:v>14000</c:v>
                </c:pt>
                <c:pt idx="49">
                  <c:v>12000</c:v>
                </c:pt>
                <c:pt idx="50">
                  <c:v>8000</c:v>
                </c:pt>
                <c:pt idx="51">
                  <c:v>10000</c:v>
                </c:pt>
                <c:pt idx="52">
                  <c:v>10000</c:v>
                </c:pt>
                <c:pt idx="53">
                  <c:v>14000</c:v>
                </c:pt>
                <c:pt idx="54">
                  <c:v>5000</c:v>
                </c:pt>
                <c:pt idx="55">
                  <c:v>7000</c:v>
                </c:pt>
                <c:pt idx="56">
                  <c:v>9000</c:v>
                </c:pt>
                <c:pt idx="57">
                  <c:v>8000</c:v>
                </c:pt>
                <c:pt idx="58">
                  <c:v>5000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2000</c:v>
                </c:pt>
                <c:pt idx="63">
                  <c:v>2000</c:v>
                </c:pt>
                <c:pt idx="64">
                  <c:v>5000</c:v>
                </c:pt>
                <c:pt idx="65">
                  <c:v>5000</c:v>
                </c:pt>
                <c:pt idx="66">
                  <c:v>4000</c:v>
                </c:pt>
                <c:pt idx="67">
                  <c:v>7000</c:v>
                </c:pt>
                <c:pt idx="68">
                  <c:v>5000</c:v>
                </c:pt>
                <c:pt idx="69">
                  <c:v>3000</c:v>
                </c:pt>
                <c:pt idx="70">
                  <c:v>0</c:v>
                </c:pt>
                <c:pt idx="71">
                  <c:v>1000</c:v>
                </c:pt>
                <c:pt idx="72">
                  <c:v>2000</c:v>
                </c:pt>
                <c:pt idx="73">
                  <c:v>2000</c:v>
                </c:pt>
                <c:pt idx="74">
                  <c:v>0</c:v>
                </c:pt>
                <c:pt idx="75">
                  <c:v>2000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1000</c:v>
                </c:pt>
                <c:pt idx="82">
                  <c:v>0</c:v>
                </c:pt>
                <c:pt idx="83">
                  <c:v>0</c:v>
                </c:pt>
                <c:pt idx="84">
                  <c:v>1000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6-4976-8FED-67667565DEC0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100000</c:v>
                </c:pt>
                <c:pt idx="1">
                  <c:v>30000</c:v>
                </c:pt>
                <c:pt idx="2">
                  <c:v>5000</c:v>
                </c:pt>
                <c:pt idx="3">
                  <c:v>7000</c:v>
                </c:pt>
                <c:pt idx="4">
                  <c:v>10000</c:v>
                </c:pt>
                <c:pt idx="5">
                  <c:v>18000</c:v>
                </c:pt>
                <c:pt idx="6">
                  <c:v>30000</c:v>
                </c:pt>
                <c:pt idx="7">
                  <c:v>46000</c:v>
                </c:pt>
                <c:pt idx="8">
                  <c:v>39000</c:v>
                </c:pt>
                <c:pt idx="9">
                  <c:v>49000</c:v>
                </c:pt>
                <c:pt idx="10">
                  <c:v>44000</c:v>
                </c:pt>
                <c:pt idx="11">
                  <c:v>48000</c:v>
                </c:pt>
                <c:pt idx="12">
                  <c:v>55000</c:v>
                </c:pt>
                <c:pt idx="13">
                  <c:v>67000</c:v>
                </c:pt>
                <c:pt idx="14">
                  <c:v>59000</c:v>
                </c:pt>
                <c:pt idx="15">
                  <c:v>58000</c:v>
                </c:pt>
                <c:pt idx="16">
                  <c:v>52000</c:v>
                </c:pt>
                <c:pt idx="17">
                  <c:v>60000</c:v>
                </c:pt>
                <c:pt idx="18">
                  <c:v>54000</c:v>
                </c:pt>
                <c:pt idx="19">
                  <c:v>51000</c:v>
                </c:pt>
                <c:pt idx="20">
                  <c:v>43000</c:v>
                </c:pt>
                <c:pt idx="21">
                  <c:v>48000</c:v>
                </c:pt>
                <c:pt idx="22">
                  <c:v>43000</c:v>
                </c:pt>
                <c:pt idx="23">
                  <c:v>43000</c:v>
                </c:pt>
                <c:pt idx="24">
                  <c:v>40000</c:v>
                </c:pt>
                <c:pt idx="25">
                  <c:v>25000</c:v>
                </c:pt>
                <c:pt idx="26">
                  <c:v>44000</c:v>
                </c:pt>
                <c:pt idx="27">
                  <c:v>45000</c:v>
                </c:pt>
                <c:pt idx="28">
                  <c:v>29000</c:v>
                </c:pt>
                <c:pt idx="29">
                  <c:v>27000</c:v>
                </c:pt>
                <c:pt idx="30">
                  <c:v>16000</c:v>
                </c:pt>
                <c:pt idx="31">
                  <c:v>26000</c:v>
                </c:pt>
                <c:pt idx="32">
                  <c:v>25000</c:v>
                </c:pt>
                <c:pt idx="33">
                  <c:v>21000</c:v>
                </c:pt>
                <c:pt idx="34">
                  <c:v>28000</c:v>
                </c:pt>
                <c:pt idx="35">
                  <c:v>21000</c:v>
                </c:pt>
                <c:pt idx="36">
                  <c:v>22000</c:v>
                </c:pt>
                <c:pt idx="37">
                  <c:v>16000</c:v>
                </c:pt>
                <c:pt idx="38">
                  <c:v>22000</c:v>
                </c:pt>
                <c:pt idx="39">
                  <c:v>32000</c:v>
                </c:pt>
                <c:pt idx="40">
                  <c:v>15000</c:v>
                </c:pt>
                <c:pt idx="41">
                  <c:v>15000</c:v>
                </c:pt>
                <c:pt idx="42">
                  <c:v>16000</c:v>
                </c:pt>
                <c:pt idx="43">
                  <c:v>13000</c:v>
                </c:pt>
                <c:pt idx="44">
                  <c:v>12000</c:v>
                </c:pt>
                <c:pt idx="45">
                  <c:v>17000</c:v>
                </c:pt>
                <c:pt idx="46">
                  <c:v>11000</c:v>
                </c:pt>
                <c:pt idx="47">
                  <c:v>15000</c:v>
                </c:pt>
                <c:pt idx="48">
                  <c:v>14000</c:v>
                </c:pt>
                <c:pt idx="49">
                  <c:v>12000</c:v>
                </c:pt>
                <c:pt idx="50">
                  <c:v>8000</c:v>
                </c:pt>
                <c:pt idx="51">
                  <c:v>10000</c:v>
                </c:pt>
                <c:pt idx="52">
                  <c:v>10000</c:v>
                </c:pt>
                <c:pt idx="53">
                  <c:v>14000</c:v>
                </c:pt>
                <c:pt idx="54">
                  <c:v>5000</c:v>
                </c:pt>
                <c:pt idx="55">
                  <c:v>7000</c:v>
                </c:pt>
                <c:pt idx="56">
                  <c:v>9000</c:v>
                </c:pt>
                <c:pt idx="57">
                  <c:v>8000</c:v>
                </c:pt>
                <c:pt idx="58">
                  <c:v>5000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2000</c:v>
                </c:pt>
                <c:pt idx="63">
                  <c:v>2000</c:v>
                </c:pt>
                <c:pt idx="64">
                  <c:v>5000</c:v>
                </c:pt>
                <c:pt idx="65">
                  <c:v>5000</c:v>
                </c:pt>
                <c:pt idx="66">
                  <c:v>4000</c:v>
                </c:pt>
                <c:pt idx="67">
                  <c:v>7000</c:v>
                </c:pt>
                <c:pt idx="68">
                  <c:v>5000</c:v>
                </c:pt>
                <c:pt idx="69">
                  <c:v>3000</c:v>
                </c:pt>
                <c:pt idx="70">
                  <c:v>0</c:v>
                </c:pt>
                <c:pt idx="71">
                  <c:v>1000</c:v>
                </c:pt>
                <c:pt idx="72">
                  <c:v>2000</c:v>
                </c:pt>
                <c:pt idx="73">
                  <c:v>2000</c:v>
                </c:pt>
                <c:pt idx="74">
                  <c:v>0</c:v>
                </c:pt>
                <c:pt idx="75">
                  <c:v>2000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1000</c:v>
                </c:pt>
                <c:pt idx="82">
                  <c:v>0</c:v>
                </c:pt>
                <c:pt idx="83">
                  <c:v>0</c:v>
                </c:pt>
                <c:pt idx="84">
                  <c:v>1000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C6-4976-8FED-67667565D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374480"/>
        <c:axId val="185375040"/>
      </c:lineChart>
      <c:catAx>
        <c:axId val="18537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375040"/>
        <c:crosses val="autoZero"/>
        <c:auto val="1"/>
        <c:lblAlgn val="ctr"/>
        <c:lblOffset val="100"/>
        <c:tickLblSkip val="10"/>
        <c:noMultiLvlLbl val="0"/>
      </c:catAx>
      <c:valAx>
        <c:axId val="1853750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8537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K10" sqref="K10"/>
    </sheetView>
  </sheetViews>
  <sheetFormatPr defaultRowHeight="14.25" x14ac:dyDescent="0.45"/>
  <cols>
    <col min="1" max="1" customWidth="true" width="13.53125" collapsed="true"/>
    <col min="5" max="5" bestFit="true" customWidth="true" width="9.53125" collapsed="true"/>
  </cols>
  <sheetData>
    <row r="1" spans="1:23" x14ac:dyDescent="0.45">
      <c r="A1" t="s">
        <v>1</v>
      </c>
    </row>
    <row r="2" spans="1:23" x14ac:dyDescent="0.45">
      <c r="A2" t="s">
        <v>270</v>
      </c>
    </row>
    <row r="3" spans="1:23" x14ac:dyDescent="0.45">
      <c r="A3" t="s">
        <v>252</v>
      </c>
    </row>
    <row r="4" spans="1:23" x14ac:dyDescent="0.45">
      <c r="A4" t="s">
        <v>5</v>
      </c>
    </row>
    <row r="5" spans="1:23" x14ac:dyDescent="0.45">
      <c r="A5" t="s">
        <v>6</v>
      </c>
    </row>
    <row r="6" spans="1:23" x14ac:dyDescent="0.45">
      <c r="A6" t="s">
        <v>7</v>
      </c>
    </row>
    <row r="7" spans="1:23" x14ac:dyDescent="0.45">
      <c r="A7" t="s">
        <v>15</v>
      </c>
    </row>
    <row ht="14.65" r="9" spans="1:23" thickBot="1" x14ac:dyDescent="0.5">
      <c r="A9" s="4" t="s">
        <v>289</v>
      </c>
      <c r="B9" s="1"/>
      <c r="C9" s="1"/>
      <c r="D9" s="1"/>
      <c r="E9" s="1"/>
      <c r="G9" s="4" t="s">
        <v>282</v>
      </c>
      <c r="H9" s="1"/>
      <c r="I9" s="1"/>
      <c r="J9" s="1"/>
      <c r="K9" s="1"/>
      <c r="M9" s="38" t="s">
        <v>43</v>
      </c>
      <c r="N9" s="35"/>
      <c r="O9" s="35"/>
    </row>
    <row r="10" spans="1:23" x14ac:dyDescent="0.4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271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42</v>
      </c>
      <c r="M10" s="34"/>
      <c r="N10" s="39" t="s">
        <v>271</v>
      </c>
      <c r="O10" s="39" t="s">
        <v>42</v>
      </c>
    </row>
    <row r="11" spans="1:23" x14ac:dyDescent="0.45">
      <c r="A11">
        <v>0</v>
      </c>
      <c r="B11" s="9" t="n">
        <v>60000.0</v>
      </c>
      <c r="C11" s="9" t="n">
        <v>70000.0</v>
      </c>
      <c r="D11" s="9" t="n">
        <v>20000.0</v>
      </c>
      <c r="E11" s="9">
        <f>SUM(B11:D11)</f>
        <v>188000</v>
      </c>
      <c r="G11">
        <v>0</v>
      </c>
      <c r="H11" s="16" t="n">
        <v>60000.0</v>
      </c>
      <c r="I11" s="16" t="n">
        <v>70000.0</v>
      </c>
      <c r="J11" s="16" t="n">
        <v>20000.0</v>
      </c>
      <c r="K11">
        <f>SUM(H11:J11)</f>
        <v>188000</v>
      </c>
      <c r="M11" s="35" t="s">
        <v>12</v>
      </c>
      <c r="N11" s="40" t="n">
        <v>11.222328105951759</v>
      </c>
      <c r="O11" s="40" t="n">
        <v>11.222328105951759</v>
      </c>
    </row>
    <row r="12" spans="1:23" x14ac:dyDescent="0.45">
      <c r="A12">
        <v>1</v>
      </c>
      <c r="B12" s="9" t="n">
        <v>50000.0</v>
      </c>
      <c r="C12" s="9" t="n">
        <v>50000.0</v>
      </c>
      <c r="D12" s="9" t="n">
        <v>40000.0</v>
      </c>
      <c r="E12" s="9">
        <f ref="E12:E75" si="0" t="shared">SUM(B12:D12)</f>
        <v>110000</v>
      </c>
      <c r="G12">
        <v>1</v>
      </c>
      <c r="H12" s="16" t="n">
        <v>50000.0</v>
      </c>
      <c r="I12" s="16" t="n">
        <v>50000.0</v>
      </c>
      <c r="J12" s="16" t="n">
        <v>40000.0</v>
      </c>
      <c r="K12">
        <f ref="K12:K75" si="1" t="shared">SUM(H12:J12)</f>
        <v>110000</v>
      </c>
      <c r="M12" s="35" t="s">
        <v>13</v>
      </c>
      <c r="N12" s="40" t="n">
        <v>7.182891066185107</v>
      </c>
      <c r="O12" s="40" t="n">
        <v>7.182891066185107</v>
      </c>
    </row>
    <row r="13" spans="1:23" x14ac:dyDescent="0.45">
      <c r="A13">
        <v>2</v>
      </c>
      <c r="B13" s="9" t="n">
        <v>90000.0</v>
      </c>
      <c r="C13" s="9" t="n">
        <v>40000.0</v>
      </c>
      <c r="D13" s="9" t="n">
        <v>30000.0</v>
      </c>
      <c r="E13" s="9">
        <f si="0" t="shared"/>
        <v>139000</v>
      </c>
      <c r="G13">
        <v>2</v>
      </c>
      <c r="H13" s="16" t="n">
        <v>90000.0</v>
      </c>
      <c r="I13" s="16" t="n">
        <v>40000.0</v>
      </c>
      <c r="J13" s="16" t="n">
        <v>30000.0</v>
      </c>
      <c r="K13">
        <f si="1" t="shared"/>
        <v>139000</v>
      </c>
      <c r="M13" s="37" t="s">
        <v>14</v>
      </c>
      <c r="N13" s="41" t="n">
        <v>5.037818483750549</v>
      </c>
      <c r="O13" s="41" t="n">
        <v>5.037818483750549</v>
      </c>
    </row>
    <row ht="14.65" r="14" spans="1:23" thickBot="1" x14ac:dyDescent="0.5">
      <c r="A14">
        <v>3</v>
      </c>
      <c r="B14" s="9" t="n">
        <v>70000.0</v>
      </c>
      <c r="C14" s="9" t="n">
        <v>30000.0</v>
      </c>
      <c r="D14" s="9" t="n">
        <v>20000.0</v>
      </c>
      <c r="E14" s="9">
        <f si="0" t="shared"/>
        <v>116000</v>
      </c>
      <c r="G14">
        <v>3</v>
      </c>
      <c r="H14" s="16" t="n">
        <v>70000.0</v>
      </c>
      <c r="I14" s="16" t="n">
        <v>30000.0</v>
      </c>
      <c r="J14" s="16" t="n">
        <v>20000.0</v>
      </c>
      <c r="K14">
        <f si="1" t="shared"/>
        <v>116000</v>
      </c>
      <c r="M14" s="33" t="s">
        <v>4</v>
      </c>
      <c r="N14" s="42" t="n">
        <v>9.486396710234208</v>
      </c>
      <c r="O14" s="42" t="n">
        <v>9.486396710234208</v>
      </c>
      <c r="S14" s="9"/>
    </row>
    <row r="15" spans="1:23" x14ac:dyDescent="0.45">
      <c r="A15">
        <v>4</v>
      </c>
      <c r="B15" s="9" t="n">
        <v>80000.0</v>
      </c>
      <c r="C15" s="9" t="n">
        <v>40000.0</v>
      </c>
      <c r="D15" s="9" t="n">
        <v>30000.0</v>
      </c>
      <c r="E15" s="9">
        <f si="0" t="shared"/>
        <v>115000</v>
      </c>
      <c r="G15">
        <v>4</v>
      </c>
      <c r="H15" s="16" t="n">
        <v>80000.0</v>
      </c>
      <c r="I15" s="16" t="n">
        <v>40000.0</v>
      </c>
      <c r="J15" s="16" t="n">
        <v>30000.0</v>
      </c>
      <c r="K15">
        <f si="1" t="shared"/>
        <v>115000</v>
      </c>
      <c r="W15" s="9"/>
    </row>
    <row r="16" spans="1:23" x14ac:dyDescent="0.45">
      <c r="A16">
        <v>5</v>
      </c>
      <c r="B16" s="9" t="n">
        <v>80000.0</v>
      </c>
      <c r="C16" s="9" t="n">
        <v>20000.0</v>
      </c>
      <c r="D16" s="9" t="n">
        <v>10000.0</v>
      </c>
      <c r="E16" s="9">
        <f si="0" t="shared"/>
        <v>108000</v>
      </c>
      <c r="G16">
        <v>5</v>
      </c>
      <c r="H16" s="16" t="n">
        <v>80000.0</v>
      </c>
      <c r="I16" s="16" t="n">
        <v>20000.0</v>
      </c>
      <c r="J16" s="16" t="n">
        <v>10000.0</v>
      </c>
      <c r="K16">
        <f si="1" t="shared"/>
        <v>108000</v>
      </c>
      <c r="W16" s="9"/>
    </row>
    <row r="17" spans="1:23" x14ac:dyDescent="0.45">
      <c r="A17">
        <v>6</v>
      </c>
      <c r="B17" s="9" t="n">
        <v>60000.0</v>
      </c>
      <c r="C17" s="9" t="n">
        <v>10000.0</v>
      </c>
      <c r="D17" s="9" t="n">
        <v>20000.0</v>
      </c>
      <c r="E17" s="9">
        <f si="0" t="shared"/>
        <v>102000</v>
      </c>
      <c r="G17">
        <v>6</v>
      </c>
      <c r="H17" s="16" t="n">
        <v>60000.0</v>
      </c>
      <c r="I17" s="16" t="n">
        <v>10000.0</v>
      </c>
      <c r="J17" s="16" t="n">
        <v>20000.0</v>
      </c>
      <c r="K17">
        <f si="1" t="shared"/>
        <v>102000</v>
      </c>
      <c r="W17" s="9"/>
    </row>
    <row r="18" spans="1:23" x14ac:dyDescent="0.45">
      <c r="A18">
        <v>7</v>
      </c>
      <c r="B18" s="9" t="n">
        <v>50000.0</v>
      </c>
      <c r="C18" s="9" t="n">
        <v>10000.0</v>
      </c>
      <c r="D18" s="9" t="n">
        <v>10000.0</v>
      </c>
      <c r="E18" s="9">
        <f si="0" t="shared"/>
        <v>67000</v>
      </c>
      <c r="G18">
        <v>7</v>
      </c>
      <c r="H18" s="16" t="n">
        <v>50000.0</v>
      </c>
      <c r="I18" s="16" t="n">
        <v>10000.0</v>
      </c>
      <c r="J18" s="16" t="n">
        <v>10000.0</v>
      </c>
      <c r="K18">
        <f si="1" t="shared"/>
        <v>67000</v>
      </c>
      <c r="W18" s="9"/>
    </row>
    <row r="19" spans="1:23" x14ac:dyDescent="0.45">
      <c r="A19">
        <v>8</v>
      </c>
      <c r="B19" s="9" t="n">
        <v>30000.0</v>
      </c>
      <c r="C19" s="9" t="n">
        <v>10000.0</v>
      </c>
      <c r="D19" s="9" t="n">
        <v>10000.0</v>
      </c>
      <c r="E19" s="9">
        <f si="0" t="shared"/>
        <v>77000</v>
      </c>
      <c r="G19">
        <v>8</v>
      </c>
      <c r="H19" s="16" t="n">
        <v>30000.0</v>
      </c>
      <c r="I19" s="16" t="n">
        <v>10000.0</v>
      </c>
      <c r="J19" s="16" t="n">
        <v>10000.0</v>
      </c>
      <c r="K19">
        <f si="1" t="shared"/>
        <v>77000</v>
      </c>
      <c r="W19" s="9"/>
    </row>
    <row r="20" spans="1:23" x14ac:dyDescent="0.45">
      <c r="A20">
        <v>9</v>
      </c>
      <c r="B20" s="9" t="n">
        <v>50000.0</v>
      </c>
      <c r="C20" s="9" t="n">
        <v>30000.0</v>
      </c>
      <c r="D20" s="9" t="n">
        <v>10000.0</v>
      </c>
      <c r="E20" s="9">
        <f si="0" t="shared"/>
        <v>65000</v>
      </c>
      <c r="G20">
        <v>9</v>
      </c>
      <c r="H20" s="16" t="n">
        <v>50000.0</v>
      </c>
      <c r="I20" s="16" t="n">
        <v>30000.0</v>
      </c>
      <c r="J20" s="16" t="n">
        <v>10000.0</v>
      </c>
      <c r="K20">
        <f si="1" t="shared"/>
        <v>65000</v>
      </c>
      <c r="W20" s="9"/>
    </row>
    <row r="21" spans="1:23" x14ac:dyDescent="0.45">
      <c r="A21">
        <v>10</v>
      </c>
      <c r="B21" s="9" t="n">
        <v>60000.0</v>
      </c>
      <c r="C21" s="9" t="n">
        <v>10000.0</v>
      </c>
      <c r="D21" s="9" t="n">
        <v>10000.0</v>
      </c>
      <c r="E21" s="9">
        <f si="0" t="shared"/>
        <v>74000</v>
      </c>
      <c r="G21">
        <v>10</v>
      </c>
      <c r="H21" s="16" t="n">
        <v>60000.0</v>
      </c>
      <c r="I21" s="16" t="n">
        <v>10000.0</v>
      </c>
      <c r="J21" s="16" t="n">
        <v>10000.0</v>
      </c>
      <c r="K21">
        <f si="1" t="shared"/>
        <v>74000</v>
      </c>
      <c r="W21" s="9"/>
    </row>
    <row r="22" spans="1:23" x14ac:dyDescent="0.45">
      <c r="A22">
        <v>11</v>
      </c>
      <c r="B22" s="9" t="n">
        <v>50000.0</v>
      </c>
      <c r="C22" s="9" t="n">
        <v>0.0</v>
      </c>
      <c r="D22" s="9" t="n">
        <v>10000.0</v>
      </c>
      <c r="E22" s="9">
        <f si="0" t="shared"/>
        <v>63000</v>
      </c>
      <c r="G22">
        <v>11</v>
      </c>
      <c r="H22" s="16" t="n">
        <v>50000.0</v>
      </c>
      <c r="I22" s="16" t="n">
        <v>0.0</v>
      </c>
      <c r="J22" s="16" t="n">
        <v>10000.0</v>
      </c>
      <c r="K22">
        <f si="1" t="shared"/>
        <v>63000</v>
      </c>
      <c r="W22" s="9"/>
    </row>
    <row r="23" spans="1:23" x14ac:dyDescent="0.45">
      <c r="A23">
        <v>12</v>
      </c>
      <c r="B23" s="9" t="n">
        <v>20000.0</v>
      </c>
      <c r="C23" s="9" t="n">
        <v>30000.0</v>
      </c>
      <c r="D23" s="9" t="n">
        <v>0.0</v>
      </c>
      <c r="E23" s="9">
        <f si="0" t="shared"/>
        <v>46000</v>
      </c>
      <c r="G23">
        <v>12</v>
      </c>
      <c r="H23" s="16" t="n">
        <v>20000.0</v>
      </c>
      <c r="I23" s="16" t="n">
        <v>30000.0</v>
      </c>
      <c r="J23" s="16" t="n">
        <v>0.0</v>
      </c>
      <c r="K23">
        <f si="1" t="shared"/>
        <v>46000</v>
      </c>
      <c r="W23" s="9"/>
    </row>
    <row r="24" spans="1:23" x14ac:dyDescent="0.45">
      <c r="A24">
        <v>13</v>
      </c>
      <c r="B24" s="9" t="n">
        <v>50000.0</v>
      </c>
      <c r="C24" s="9" t="n">
        <v>0.0</v>
      </c>
      <c r="D24" s="9" t="n">
        <v>0.0</v>
      </c>
      <c r="E24" s="9">
        <f si="0" t="shared"/>
        <v>43000</v>
      </c>
      <c r="G24">
        <v>13</v>
      </c>
      <c r="H24" s="16" t="n">
        <v>50000.0</v>
      </c>
      <c r="I24" s="16" t="n">
        <v>0.0</v>
      </c>
      <c r="J24" s="16" t="n">
        <v>0.0</v>
      </c>
      <c r="K24">
        <f si="1" t="shared"/>
        <v>43000</v>
      </c>
      <c r="W24" s="9"/>
    </row>
    <row r="25" spans="1:23" x14ac:dyDescent="0.45">
      <c r="A25">
        <v>14</v>
      </c>
      <c r="B25" s="9" t="n">
        <v>30000.0</v>
      </c>
      <c r="C25" s="9" t="n">
        <v>0.0</v>
      </c>
      <c r="D25" s="9" t="n">
        <v>0.0</v>
      </c>
      <c r="E25" s="9">
        <f si="0" t="shared"/>
        <v>34000</v>
      </c>
      <c r="G25">
        <v>14</v>
      </c>
      <c r="H25" s="16" t="n">
        <v>30000.0</v>
      </c>
      <c r="I25" s="16" t="n">
        <v>0.0</v>
      </c>
      <c r="J25" s="16" t="n">
        <v>0.0</v>
      </c>
      <c r="K25">
        <f si="1" t="shared"/>
        <v>34000</v>
      </c>
      <c r="W25" s="9"/>
    </row>
    <row r="26" spans="1:23" x14ac:dyDescent="0.45">
      <c r="A26">
        <v>15</v>
      </c>
      <c r="B26" s="9" t="n">
        <v>30000.0</v>
      </c>
      <c r="C26" s="9" t="n">
        <v>10000.0</v>
      </c>
      <c r="D26" s="9" t="n">
        <v>10000.0</v>
      </c>
      <c r="E26" s="9">
        <f si="0" t="shared"/>
        <v>52000</v>
      </c>
      <c r="G26">
        <v>15</v>
      </c>
      <c r="H26" s="16" t="n">
        <v>30000.0</v>
      </c>
      <c r="I26" s="16" t="n">
        <v>10000.0</v>
      </c>
      <c r="J26" s="16" t="n">
        <v>10000.0</v>
      </c>
      <c r="K26">
        <f si="1" t="shared"/>
        <v>52000</v>
      </c>
      <c r="W26" s="9"/>
    </row>
    <row r="27" spans="1:23" x14ac:dyDescent="0.45">
      <c r="A27">
        <v>16</v>
      </c>
      <c r="B27" s="9" t="n">
        <v>10000.0</v>
      </c>
      <c r="C27" s="9" t="n">
        <v>20000.0</v>
      </c>
      <c r="D27" s="9" t="n">
        <v>0.0</v>
      </c>
      <c r="E27" s="9">
        <f si="0" t="shared"/>
        <v>35000</v>
      </c>
      <c r="G27">
        <v>16</v>
      </c>
      <c r="H27" s="16" t="n">
        <v>10000.0</v>
      </c>
      <c r="I27" s="16" t="n">
        <v>20000.0</v>
      </c>
      <c r="J27" s="16" t="n">
        <v>0.0</v>
      </c>
      <c r="K27">
        <f si="1" t="shared"/>
        <v>35000</v>
      </c>
      <c r="W27" s="9"/>
    </row>
    <row r="28" spans="1:23" x14ac:dyDescent="0.45">
      <c r="A28">
        <v>17</v>
      </c>
      <c r="B28" s="9" t="n">
        <v>0.0</v>
      </c>
      <c r="C28" s="9" t="n">
        <v>10000.0</v>
      </c>
      <c r="D28" s="9" t="n">
        <v>0.0</v>
      </c>
      <c r="E28" s="9">
        <f si="0" t="shared"/>
        <v>33000</v>
      </c>
      <c r="G28">
        <v>17</v>
      </c>
      <c r="H28" s="16" t="n">
        <v>0.0</v>
      </c>
      <c r="I28" s="16" t="n">
        <v>10000.0</v>
      </c>
      <c r="J28" s="16" t="n">
        <v>0.0</v>
      </c>
      <c r="K28">
        <f si="1" t="shared"/>
        <v>33000</v>
      </c>
      <c r="W28" s="9"/>
    </row>
    <row r="29" spans="1:23" x14ac:dyDescent="0.45">
      <c r="A29">
        <v>18</v>
      </c>
      <c r="B29" s="9" t="n">
        <v>40000.0</v>
      </c>
      <c r="C29" s="9" t="n">
        <v>20000.0</v>
      </c>
      <c r="D29" s="9" t="n">
        <v>0.0</v>
      </c>
      <c r="E29" s="9">
        <f si="0" t="shared"/>
        <v>36000</v>
      </c>
      <c r="G29">
        <v>18</v>
      </c>
      <c r="H29" s="16" t="n">
        <v>40000.0</v>
      </c>
      <c r="I29" s="16" t="n">
        <v>20000.0</v>
      </c>
      <c r="J29" s="16" t="n">
        <v>0.0</v>
      </c>
      <c r="K29">
        <f si="1" t="shared"/>
        <v>36000</v>
      </c>
      <c r="W29" s="9"/>
    </row>
    <row r="30" spans="1:23" x14ac:dyDescent="0.45">
      <c r="A30">
        <v>19</v>
      </c>
      <c r="B30" s="9" t="n">
        <v>40000.0</v>
      </c>
      <c r="C30" s="9" t="n">
        <v>0.0</v>
      </c>
      <c r="D30" s="9" t="n">
        <v>0.0</v>
      </c>
      <c r="E30" s="9">
        <f si="0" t="shared"/>
        <v>33000</v>
      </c>
      <c r="G30">
        <v>19</v>
      </c>
      <c r="H30" s="16" t="n">
        <v>40000.0</v>
      </c>
      <c r="I30" s="16" t="n">
        <v>0.0</v>
      </c>
      <c r="J30" s="16" t="n">
        <v>0.0</v>
      </c>
      <c r="K30">
        <f si="1" t="shared"/>
        <v>33000</v>
      </c>
      <c r="W30" s="9"/>
    </row>
    <row r="31" spans="1:23" x14ac:dyDescent="0.45">
      <c r="A31">
        <v>20</v>
      </c>
      <c r="B31" s="9" t="n">
        <v>30000.0</v>
      </c>
      <c r="C31" s="9" t="n">
        <v>0.0</v>
      </c>
      <c r="D31" s="9" t="n">
        <v>0.0</v>
      </c>
      <c r="E31" s="9">
        <f si="0" t="shared"/>
        <v>27000</v>
      </c>
      <c r="G31">
        <v>20</v>
      </c>
      <c r="H31" s="16" t="n">
        <v>30000.0</v>
      </c>
      <c r="I31" s="16" t="n">
        <v>0.0</v>
      </c>
      <c r="J31" s="16" t="n">
        <v>0.0</v>
      </c>
      <c r="K31">
        <f si="1" t="shared"/>
        <v>27000</v>
      </c>
      <c r="W31" s="9"/>
    </row>
    <row r="32" spans="1:23" x14ac:dyDescent="0.45">
      <c r="A32">
        <v>21</v>
      </c>
      <c r="B32" s="9" t="n">
        <v>20000.0</v>
      </c>
      <c r="C32" s="9" t="n">
        <v>10000.0</v>
      </c>
      <c r="D32" s="9" t="n">
        <v>0.0</v>
      </c>
      <c r="E32" s="9">
        <f si="0" t="shared"/>
        <v>28000</v>
      </c>
      <c r="G32">
        <v>21</v>
      </c>
      <c r="H32" s="16" t="n">
        <v>20000.0</v>
      </c>
      <c r="I32" s="16" t="n">
        <v>10000.0</v>
      </c>
      <c r="J32" s="16" t="n">
        <v>0.0</v>
      </c>
      <c r="K32">
        <f si="1" t="shared"/>
        <v>28000</v>
      </c>
      <c r="W32" s="9"/>
    </row>
    <row r="33" spans="1:23" x14ac:dyDescent="0.45">
      <c r="A33">
        <v>22</v>
      </c>
      <c r="B33" s="9" t="n">
        <v>20000.0</v>
      </c>
      <c r="C33" s="9" t="n">
        <v>0.0</v>
      </c>
      <c r="D33" s="9" t="n">
        <v>0.0</v>
      </c>
      <c r="E33" s="9">
        <f si="0" t="shared"/>
        <v>31000</v>
      </c>
      <c r="G33">
        <v>22</v>
      </c>
      <c r="H33" s="16" t="n">
        <v>20000.0</v>
      </c>
      <c r="I33" s="16" t="n">
        <v>0.0</v>
      </c>
      <c r="J33" s="16" t="n">
        <v>0.0</v>
      </c>
      <c r="K33">
        <f si="1" t="shared"/>
        <v>31000</v>
      </c>
      <c r="W33" s="9"/>
    </row>
    <row r="34" spans="1:23" x14ac:dyDescent="0.45">
      <c r="A34">
        <v>23</v>
      </c>
      <c r="B34" s="9" t="n">
        <v>20000.0</v>
      </c>
      <c r="C34" s="9" t="n">
        <v>0.0</v>
      </c>
      <c r="D34" s="9" t="n">
        <v>0.0</v>
      </c>
      <c r="E34" s="9">
        <f si="0" t="shared"/>
        <v>14000</v>
      </c>
      <c r="G34">
        <v>23</v>
      </c>
      <c r="H34" s="16" t="n">
        <v>20000.0</v>
      </c>
      <c r="I34" s="16" t="n">
        <v>0.0</v>
      </c>
      <c r="J34" s="16" t="n">
        <v>0.0</v>
      </c>
      <c r="K34">
        <f si="1" t="shared"/>
        <v>14000</v>
      </c>
      <c r="W34" s="9"/>
    </row>
    <row r="35" spans="1:23" x14ac:dyDescent="0.45">
      <c r="A35">
        <v>24</v>
      </c>
      <c r="B35" s="9" t="n">
        <v>10000.0</v>
      </c>
      <c r="C35" s="9" t="n">
        <v>0.0</v>
      </c>
      <c r="D35" s="9" t="n">
        <v>0.0</v>
      </c>
      <c r="E35" s="9">
        <f si="0" t="shared"/>
        <v>33000</v>
      </c>
      <c r="G35">
        <v>24</v>
      </c>
      <c r="H35" s="16" t="n">
        <v>10000.0</v>
      </c>
      <c r="I35" s="16" t="n">
        <v>0.0</v>
      </c>
      <c r="J35" s="16" t="n">
        <v>0.0</v>
      </c>
      <c r="K35">
        <f si="1" t="shared"/>
        <v>33000</v>
      </c>
      <c r="W35" s="9"/>
    </row>
    <row r="36" spans="1:23" x14ac:dyDescent="0.45">
      <c r="A36">
        <v>25</v>
      </c>
      <c r="B36" s="9" t="n">
        <v>10000.0</v>
      </c>
      <c r="C36" s="9" t="n">
        <v>0.0</v>
      </c>
      <c r="D36" s="9" t="n">
        <v>0.0</v>
      </c>
      <c r="E36" s="9">
        <f si="0" t="shared"/>
        <v>14000</v>
      </c>
      <c r="G36">
        <v>25</v>
      </c>
      <c r="H36" s="16" t="n">
        <v>10000.0</v>
      </c>
      <c r="I36" s="16" t="n">
        <v>0.0</v>
      </c>
      <c r="J36" s="16" t="n">
        <v>0.0</v>
      </c>
      <c r="K36">
        <f si="1" t="shared"/>
        <v>14000</v>
      </c>
      <c r="W36" s="9"/>
    </row>
    <row r="37" spans="1:23" x14ac:dyDescent="0.45">
      <c r="A37">
        <v>26</v>
      </c>
      <c r="B37" s="9" t="n">
        <v>10000.0</v>
      </c>
      <c r="C37" s="9" t="n">
        <v>0.0</v>
      </c>
      <c r="D37" s="9" t="n">
        <v>0.0</v>
      </c>
      <c r="E37" s="9">
        <f si="0" t="shared"/>
        <v>12000</v>
      </c>
      <c r="G37">
        <v>26</v>
      </c>
      <c r="H37" s="16" t="n">
        <v>10000.0</v>
      </c>
      <c r="I37" s="16" t="n">
        <v>0.0</v>
      </c>
      <c r="J37" s="16" t="n">
        <v>0.0</v>
      </c>
      <c r="K37">
        <f si="1" t="shared"/>
        <v>12000</v>
      </c>
      <c r="W37" s="9"/>
    </row>
    <row r="38" spans="1:23" x14ac:dyDescent="0.45">
      <c r="A38">
        <v>27</v>
      </c>
      <c r="B38" s="9" t="n">
        <v>10000.0</v>
      </c>
      <c r="C38" s="9" t="n">
        <v>0.0</v>
      </c>
      <c r="D38" s="9" t="n">
        <v>0.0</v>
      </c>
      <c r="E38" s="9">
        <f si="0" t="shared"/>
        <v>14000</v>
      </c>
      <c r="G38">
        <v>27</v>
      </c>
      <c r="H38" s="16" t="n">
        <v>10000.0</v>
      </c>
      <c r="I38" s="16" t="n">
        <v>0.0</v>
      </c>
      <c r="J38" s="16" t="n">
        <v>0.0</v>
      </c>
      <c r="K38">
        <f si="1" t="shared"/>
        <v>14000</v>
      </c>
      <c r="W38" s="9"/>
    </row>
    <row r="39" spans="1:23" x14ac:dyDescent="0.45">
      <c r="A39">
        <v>28</v>
      </c>
      <c r="B39" s="9" t="n">
        <v>20000.0</v>
      </c>
      <c r="C39" s="9" t="n">
        <v>0.0</v>
      </c>
      <c r="D39" s="9" t="n">
        <v>0.0</v>
      </c>
      <c r="E39" s="9">
        <f si="0" t="shared"/>
        <v>15000</v>
      </c>
      <c r="G39">
        <v>28</v>
      </c>
      <c r="H39" s="16" t="n">
        <v>20000.0</v>
      </c>
      <c r="I39" s="16" t="n">
        <v>0.0</v>
      </c>
      <c r="J39" s="16" t="n">
        <v>0.0</v>
      </c>
      <c r="K39">
        <f si="1" t="shared"/>
        <v>15000</v>
      </c>
      <c r="W39" s="9"/>
    </row>
    <row r="40" spans="1:23" x14ac:dyDescent="0.45">
      <c r="A40">
        <v>29</v>
      </c>
      <c r="B40" s="9" t="n">
        <v>30000.0</v>
      </c>
      <c r="C40" s="9" t="n">
        <v>0.0</v>
      </c>
      <c r="D40" s="9" t="n">
        <v>0.0</v>
      </c>
      <c r="E40" s="9">
        <f si="0" t="shared"/>
        <v>13000</v>
      </c>
      <c r="G40">
        <v>29</v>
      </c>
      <c r="H40" s="16" t="n">
        <v>30000.0</v>
      </c>
      <c r="I40" s="16" t="n">
        <v>0.0</v>
      </c>
      <c r="J40" s="16" t="n">
        <v>0.0</v>
      </c>
      <c r="K40">
        <f si="1" t="shared"/>
        <v>13000</v>
      </c>
      <c r="W40" s="9"/>
    </row>
    <row r="41" spans="1:23" x14ac:dyDescent="0.45">
      <c r="A41">
        <v>30</v>
      </c>
      <c r="B41" s="9" t="n">
        <v>10000.0</v>
      </c>
      <c r="C41" s="9" t="n">
        <v>10000.0</v>
      </c>
      <c r="D41" s="9" t="n">
        <v>0.0</v>
      </c>
      <c r="E41" s="9">
        <f si="0" t="shared"/>
        <v>15000</v>
      </c>
      <c r="G41">
        <v>30</v>
      </c>
      <c r="H41" s="16" t="n">
        <v>10000.0</v>
      </c>
      <c r="I41" s="16" t="n">
        <v>10000.0</v>
      </c>
      <c r="J41" s="16" t="n">
        <v>0.0</v>
      </c>
      <c r="K41">
        <f si="1" t="shared"/>
        <v>15000</v>
      </c>
      <c r="W41" s="9"/>
    </row>
    <row r="42" spans="1:23" x14ac:dyDescent="0.45">
      <c r="A42">
        <v>31</v>
      </c>
      <c r="B42" s="9" t="n">
        <v>0.0</v>
      </c>
      <c r="C42" s="9" t="n">
        <v>0.0</v>
      </c>
      <c r="D42" s="9" t="n">
        <v>0.0</v>
      </c>
      <c r="E42" s="9">
        <f si="0" t="shared"/>
        <v>8000</v>
      </c>
      <c r="G42">
        <v>31</v>
      </c>
      <c r="H42" s="16" t="n">
        <v>0.0</v>
      </c>
      <c r="I42" s="16" t="n">
        <v>0.0</v>
      </c>
      <c r="J42" s="16" t="n">
        <v>0.0</v>
      </c>
      <c r="K42">
        <f si="1" t="shared"/>
        <v>8000</v>
      </c>
      <c r="W42" s="9"/>
    </row>
    <row r="43" spans="1:23" x14ac:dyDescent="0.45">
      <c r="A43">
        <v>32</v>
      </c>
      <c r="B43" s="9" t="n">
        <v>10000.0</v>
      </c>
      <c r="C43" s="9" t="n">
        <v>0.0</v>
      </c>
      <c r="D43" s="9" t="n">
        <v>0.0</v>
      </c>
      <c r="E43" s="9">
        <f si="0" t="shared"/>
        <v>9000</v>
      </c>
      <c r="G43">
        <v>32</v>
      </c>
      <c r="H43" s="16" t="n">
        <v>10000.0</v>
      </c>
      <c r="I43" s="16" t="n">
        <v>0.0</v>
      </c>
      <c r="J43" s="16" t="n">
        <v>0.0</v>
      </c>
      <c r="K43">
        <f si="1" t="shared"/>
        <v>9000</v>
      </c>
      <c r="W43" s="9"/>
    </row>
    <row r="44" spans="1:23" x14ac:dyDescent="0.45">
      <c r="A44">
        <v>33</v>
      </c>
      <c r="B44" s="9" t="n">
        <v>0.0</v>
      </c>
      <c r="C44" s="9" t="n">
        <v>0.0</v>
      </c>
      <c r="D44" s="9" t="n">
        <v>0.0</v>
      </c>
      <c r="E44" s="9">
        <f si="0" t="shared"/>
        <v>2000</v>
      </c>
      <c r="G44">
        <v>33</v>
      </c>
      <c r="H44" s="16" t="n">
        <v>0.0</v>
      </c>
      <c r="I44" s="16" t="n">
        <v>0.0</v>
      </c>
      <c r="J44" s="16" t="n">
        <v>0.0</v>
      </c>
      <c r="K44">
        <f si="1" t="shared"/>
        <v>2000</v>
      </c>
      <c r="W44" s="9"/>
    </row>
    <row r="45" spans="1:23" x14ac:dyDescent="0.45">
      <c r="A45">
        <v>34</v>
      </c>
      <c r="B45" s="9" t="n">
        <v>0.0</v>
      </c>
      <c r="C45" s="9" t="n">
        <v>0.0</v>
      </c>
      <c r="D45" s="9" t="n">
        <v>0.0</v>
      </c>
      <c r="E45" s="9">
        <f si="0" t="shared"/>
        <v>0</v>
      </c>
      <c r="G45">
        <v>34</v>
      </c>
      <c r="H45" s="16" t="n">
        <v>0.0</v>
      </c>
      <c r="I45" s="16" t="n">
        <v>0.0</v>
      </c>
      <c r="J45" s="16" t="n">
        <v>0.0</v>
      </c>
      <c r="K45">
        <f si="1" t="shared"/>
        <v>0</v>
      </c>
      <c r="W45" s="9"/>
    </row>
    <row r="46" spans="1:23" x14ac:dyDescent="0.45">
      <c r="A46">
        <v>35</v>
      </c>
      <c r="B46" s="9" t="n">
        <v>0.0</v>
      </c>
      <c r="C46" s="9" t="n">
        <v>0.0</v>
      </c>
      <c r="D46" s="9" t="n">
        <v>0.0</v>
      </c>
      <c r="E46" s="9">
        <f si="0" t="shared"/>
        <v>1000</v>
      </c>
      <c r="G46">
        <v>35</v>
      </c>
      <c r="H46" s="16" t="n">
        <v>0.0</v>
      </c>
      <c r="I46" s="16" t="n">
        <v>0.0</v>
      </c>
      <c r="J46" s="16" t="n">
        <v>0.0</v>
      </c>
      <c r="K46">
        <f si="1" t="shared"/>
        <v>1000</v>
      </c>
      <c r="W46" s="9"/>
    </row>
    <row r="47" spans="1:23" x14ac:dyDescent="0.45">
      <c r="A47">
        <v>36</v>
      </c>
      <c r="B47" s="9" t="n">
        <v>10000.0</v>
      </c>
      <c r="C47" s="9" t="n">
        <v>0.0</v>
      </c>
      <c r="D47" s="9" t="n">
        <v>0.0</v>
      </c>
      <c r="E47" s="9">
        <f si="0" t="shared"/>
        <v>1000</v>
      </c>
      <c r="G47">
        <v>36</v>
      </c>
      <c r="H47" s="16" t="n">
        <v>10000.0</v>
      </c>
      <c r="I47" s="16" t="n">
        <v>0.0</v>
      </c>
      <c r="J47" s="16" t="n">
        <v>0.0</v>
      </c>
      <c r="K47">
        <f si="1" t="shared"/>
        <v>1000</v>
      </c>
      <c r="W47" s="9"/>
    </row>
    <row r="48" spans="1:23" x14ac:dyDescent="0.45">
      <c r="A48">
        <v>37</v>
      </c>
      <c r="B48" s="9" t="n">
        <v>0.0</v>
      </c>
      <c r="C48" s="9" t="n">
        <v>0.0</v>
      </c>
      <c r="D48" s="9" t="n">
        <v>0.0</v>
      </c>
      <c r="E48" s="9">
        <f si="0" t="shared"/>
        <v>1000</v>
      </c>
      <c r="G48">
        <v>37</v>
      </c>
      <c r="H48" s="16" t="n">
        <v>0.0</v>
      </c>
      <c r="I48" s="16" t="n">
        <v>0.0</v>
      </c>
      <c r="J48" s="16" t="n">
        <v>0.0</v>
      </c>
      <c r="K48">
        <f si="1" t="shared"/>
        <v>1000</v>
      </c>
      <c r="W48" s="9"/>
    </row>
    <row r="49" spans="1:23" x14ac:dyDescent="0.45">
      <c r="A49">
        <v>38</v>
      </c>
      <c r="B49" s="9" t="n">
        <v>0.0</v>
      </c>
      <c r="C49" s="9" t="n">
        <v>0.0</v>
      </c>
      <c r="D49" s="9" t="n">
        <v>0.0</v>
      </c>
      <c r="E49" s="9">
        <f si="0" t="shared"/>
        <v>0</v>
      </c>
      <c r="G49">
        <v>38</v>
      </c>
      <c r="H49" s="16" t="n">
        <v>0.0</v>
      </c>
      <c r="I49" s="16" t="n">
        <v>0.0</v>
      </c>
      <c r="J49" s="16" t="n">
        <v>0.0</v>
      </c>
      <c r="K49">
        <f si="1" t="shared"/>
        <v>0</v>
      </c>
      <c r="W49" s="9"/>
    </row>
    <row r="50" spans="1:23" x14ac:dyDescent="0.45">
      <c r="A50">
        <v>39</v>
      </c>
      <c r="B50" s="9" t="n">
        <v>0.0</v>
      </c>
      <c r="C50" s="9" t="n">
        <v>0.0</v>
      </c>
      <c r="D50" s="9" t="n">
        <v>0.0</v>
      </c>
      <c r="E50" s="9">
        <f si="0" t="shared"/>
        <v>0</v>
      </c>
      <c r="G50">
        <v>39</v>
      </c>
      <c r="H50" s="16" t="n">
        <v>0.0</v>
      </c>
      <c r="I50" s="16" t="n">
        <v>0.0</v>
      </c>
      <c r="J50" s="16" t="n">
        <v>0.0</v>
      </c>
      <c r="K50">
        <f si="1" t="shared"/>
        <v>0</v>
      </c>
      <c r="W50" s="9"/>
    </row>
    <row r="51" spans="1:23" x14ac:dyDescent="0.45">
      <c r="A51">
        <v>40</v>
      </c>
      <c r="B51" s="9" t="n">
        <v>0.0</v>
      </c>
      <c r="C51" s="9" t="n">
        <v>0.0</v>
      </c>
      <c r="D51" s="9" t="n">
        <v>0.0</v>
      </c>
      <c r="E51" s="9">
        <f si="0" t="shared"/>
        <v>1000</v>
      </c>
      <c r="G51">
        <v>40</v>
      </c>
      <c r="H51" s="16" t="n">
        <v>0.0</v>
      </c>
      <c r="I51" s="16" t="n">
        <v>0.0</v>
      </c>
      <c r="J51" s="16" t="n">
        <v>0.0</v>
      </c>
      <c r="K51">
        <f si="1" t="shared"/>
        <v>1000</v>
      </c>
      <c r="W51" s="9"/>
    </row>
    <row r="52" spans="1:23" x14ac:dyDescent="0.45">
      <c r="A52">
        <v>41</v>
      </c>
      <c r="B52" s="9" t="n">
        <v>0.0</v>
      </c>
      <c r="C52" s="9" t="n">
        <v>0.0</v>
      </c>
      <c r="D52" s="9" t="n">
        <v>0.0</v>
      </c>
      <c r="E52" s="9">
        <f si="0" t="shared"/>
        <v>0</v>
      </c>
      <c r="G52">
        <v>41</v>
      </c>
      <c r="H52" s="16" t="n">
        <v>0.0</v>
      </c>
      <c r="I52" s="16" t="n">
        <v>0.0</v>
      </c>
      <c r="J52" s="16" t="n">
        <v>0.0</v>
      </c>
      <c r="K52">
        <f si="1" t="shared"/>
        <v>0</v>
      </c>
      <c r="W52" s="9"/>
    </row>
    <row r="53" spans="1:23" x14ac:dyDescent="0.45">
      <c r="A53">
        <v>42</v>
      </c>
      <c r="B53" s="9" t="n">
        <v>0.0</v>
      </c>
      <c r="C53" s="9" t="n">
        <v>0.0</v>
      </c>
      <c r="D53" s="9" t="n">
        <v>0.0</v>
      </c>
      <c r="E53" s="9">
        <f si="0" t="shared"/>
        <v>0</v>
      </c>
      <c r="G53">
        <v>42</v>
      </c>
      <c r="H53" s="16" t="n">
        <v>0.0</v>
      </c>
      <c r="I53" s="16" t="n">
        <v>0.0</v>
      </c>
      <c r="J53" s="16" t="n">
        <v>0.0</v>
      </c>
      <c r="K53">
        <f si="1" t="shared"/>
        <v>0</v>
      </c>
      <c r="W53" s="9"/>
    </row>
    <row r="54" spans="1:23" x14ac:dyDescent="0.45">
      <c r="A54">
        <v>43</v>
      </c>
      <c r="B54" s="9" t="n">
        <v>0.0</v>
      </c>
      <c r="C54" s="9" t="n">
        <v>0.0</v>
      </c>
      <c r="D54" s="9" t="n">
        <v>0.0</v>
      </c>
      <c r="E54" s="9">
        <f si="0" t="shared"/>
        <v>0</v>
      </c>
      <c r="G54">
        <v>43</v>
      </c>
      <c r="H54" s="16" t="n">
        <v>0.0</v>
      </c>
      <c r="I54" s="16" t="n">
        <v>0.0</v>
      </c>
      <c r="J54" s="16" t="n">
        <v>0.0</v>
      </c>
      <c r="K54">
        <f si="1" t="shared"/>
        <v>0</v>
      </c>
      <c r="W54" s="9"/>
    </row>
    <row r="55" spans="1:23" x14ac:dyDescent="0.45">
      <c r="A55">
        <v>44</v>
      </c>
      <c r="B55" s="9" t="n">
        <v>0.0</v>
      </c>
      <c r="C55" s="9" t="n">
        <v>0.0</v>
      </c>
      <c r="D55" s="9" t="n">
        <v>0.0</v>
      </c>
      <c r="E55" s="9">
        <f si="0" t="shared"/>
        <v>0</v>
      </c>
      <c r="G55">
        <v>44</v>
      </c>
      <c r="H55" s="16" t="n">
        <v>0.0</v>
      </c>
      <c r="I55" s="16" t="n">
        <v>0.0</v>
      </c>
      <c r="J55" s="16" t="n">
        <v>0.0</v>
      </c>
      <c r="K55">
        <f si="1" t="shared"/>
        <v>0</v>
      </c>
      <c r="W55" s="9"/>
    </row>
    <row r="56" spans="1:23" x14ac:dyDescent="0.45">
      <c r="A56">
        <v>45</v>
      </c>
      <c r="B56" s="9" t="n">
        <v>0.0</v>
      </c>
      <c r="C56" s="9" t="n">
        <v>0.0</v>
      </c>
      <c r="D56" s="9" t="n">
        <v>0.0</v>
      </c>
      <c r="E56" s="9">
        <f si="0" t="shared"/>
        <v>0</v>
      </c>
      <c r="G56">
        <v>45</v>
      </c>
      <c r="H56" s="16" t="n">
        <v>0.0</v>
      </c>
      <c r="I56" s="16" t="n">
        <v>0.0</v>
      </c>
      <c r="J56" s="16" t="n">
        <v>0.0</v>
      </c>
      <c r="K56">
        <f si="1" t="shared"/>
        <v>0</v>
      </c>
      <c r="W56" s="9"/>
    </row>
    <row r="57" spans="1:23" x14ac:dyDescent="0.45">
      <c r="A57">
        <v>46</v>
      </c>
      <c r="B57" s="9" t="n">
        <v>0.0</v>
      </c>
      <c r="C57" s="9" t="n">
        <v>0.0</v>
      </c>
      <c r="D57" s="9" t="n">
        <v>0.0</v>
      </c>
      <c r="E57" s="9">
        <f si="0" t="shared"/>
        <v>0</v>
      </c>
      <c r="G57">
        <v>46</v>
      </c>
      <c r="H57" s="16" t="n">
        <v>0.0</v>
      </c>
      <c r="I57" s="16" t="n">
        <v>0.0</v>
      </c>
      <c r="J57" s="16" t="n">
        <v>0.0</v>
      </c>
      <c r="K57">
        <f si="1" t="shared"/>
        <v>0</v>
      </c>
      <c r="W57" s="9"/>
    </row>
    <row r="58" spans="1:23" x14ac:dyDescent="0.45">
      <c r="A58">
        <v>47</v>
      </c>
      <c r="B58" s="9" t="n">
        <v>0.0</v>
      </c>
      <c r="C58" s="9" t="n">
        <v>0.0</v>
      </c>
      <c r="D58" s="9" t="n">
        <v>0.0</v>
      </c>
      <c r="E58" s="9">
        <f si="0" t="shared"/>
        <v>1000</v>
      </c>
      <c r="G58">
        <v>47</v>
      </c>
      <c r="H58" s="16" t="n">
        <v>0.0</v>
      </c>
      <c r="I58" s="16" t="n">
        <v>0.0</v>
      </c>
      <c r="J58" s="16" t="n">
        <v>0.0</v>
      </c>
      <c r="K58">
        <f si="1" t="shared"/>
        <v>1000</v>
      </c>
      <c r="W58" s="9"/>
    </row>
    <row r="59" spans="1:23" x14ac:dyDescent="0.45">
      <c r="A59">
        <v>48</v>
      </c>
      <c r="B59" s="9" t="n">
        <v>0.0</v>
      </c>
      <c r="C59" s="9" t="n">
        <v>0.0</v>
      </c>
      <c r="D59" s="9" t="n">
        <v>0.0</v>
      </c>
      <c r="E59" s="9">
        <f si="0" t="shared"/>
        <v>0</v>
      </c>
      <c r="G59">
        <v>48</v>
      </c>
      <c r="H59" s="16" t="n">
        <v>0.0</v>
      </c>
      <c r="I59" s="16" t="n">
        <v>0.0</v>
      </c>
      <c r="J59" s="16" t="n">
        <v>0.0</v>
      </c>
      <c r="K59">
        <f si="1" t="shared"/>
        <v>0</v>
      </c>
      <c r="W59" s="9"/>
    </row>
    <row r="60" spans="1:23" x14ac:dyDescent="0.45">
      <c r="A60">
        <v>49</v>
      </c>
      <c r="B60" s="9" t="n">
        <v>0.0</v>
      </c>
      <c r="C60" s="9" t="n">
        <v>0.0</v>
      </c>
      <c r="D60" s="9" t="n">
        <v>0.0</v>
      </c>
      <c r="E60" s="9">
        <f si="0" t="shared"/>
        <v>0</v>
      </c>
      <c r="G60">
        <v>49</v>
      </c>
      <c r="H60" s="16" t="n">
        <v>0.0</v>
      </c>
      <c r="I60" s="16" t="n">
        <v>0.0</v>
      </c>
      <c r="J60" s="16" t="n">
        <v>0.0</v>
      </c>
      <c r="K60">
        <f si="1" t="shared"/>
        <v>0</v>
      </c>
      <c r="W60" s="9"/>
    </row>
    <row r="61" spans="1:23" x14ac:dyDescent="0.45">
      <c r="A61">
        <v>50</v>
      </c>
      <c r="B61" s="9" t="n">
        <v>0.0</v>
      </c>
      <c r="C61" s="9" t="n">
        <v>0.0</v>
      </c>
      <c r="D61" s="9" t="n">
        <v>0.0</v>
      </c>
      <c r="E61" s="9">
        <f si="0" t="shared"/>
        <v>0</v>
      </c>
      <c r="G61">
        <v>50</v>
      </c>
      <c r="H61" s="16" t="n">
        <v>0.0</v>
      </c>
      <c r="I61" s="16" t="n">
        <v>0.0</v>
      </c>
      <c r="J61" s="16" t="n">
        <v>0.0</v>
      </c>
      <c r="K61">
        <f si="1" t="shared"/>
        <v>0</v>
      </c>
      <c r="W61" s="9"/>
    </row>
    <row r="62" spans="1:23" x14ac:dyDescent="0.45">
      <c r="A62">
        <v>51</v>
      </c>
      <c r="B62" s="9" t="n">
        <v>0.0</v>
      </c>
      <c r="C62" s="9" t="n">
        <v>0.0</v>
      </c>
      <c r="D62" s="9" t="n">
        <v>0.0</v>
      </c>
      <c r="E62" s="9">
        <f si="0" t="shared"/>
        <v>0</v>
      </c>
      <c r="G62">
        <v>51</v>
      </c>
      <c r="H62" s="16" t="n">
        <v>0.0</v>
      </c>
      <c r="I62" s="16" t="n">
        <v>0.0</v>
      </c>
      <c r="J62" s="16" t="n">
        <v>0.0</v>
      </c>
      <c r="K62">
        <f si="1" t="shared"/>
        <v>0</v>
      </c>
      <c r="W62" s="9"/>
    </row>
    <row r="63" spans="1:23" x14ac:dyDescent="0.45">
      <c r="A63">
        <v>52</v>
      </c>
      <c r="B63" s="9" t="n">
        <v>0.0</v>
      </c>
      <c r="C63" s="9" t="n">
        <v>0.0</v>
      </c>
      <c r="D63" s="9" t="n">
        <v>0.0</v>
      </c>
      <c r="E63" s="9">
        <f si="0" t="shared"/>
        <v>0</v>
      </c>
      <c r="G63">
        <v>52</v>
      </c>
      <c r="H63" s="16" t="n">
        <v>0.0</v>
      </c>
      <c r="I63" s="16" t="n">
        <v>0.0</v>
      </c>
      <c r="J63" s="16" t="n">
        <v>0.0</v>
      </c>
      <c r="K63">
        <f si="1" t="shared"/>
        <v>0</v>
      </c>
      <c r="W63" s="9"/>
    </row>
    <row r="64" spans="1:23" x14ac:dyDescent="0.45">
      <c r="A64">
        <v>53</v>
      </c>
      <c r="B64" s="9" t="n">
        <v>0.0</v>
      </c>
      <c r="C64" s="9" t="n">
        <v>0.0</v>
      </c>
      <c r="D64" s="9" t="n">
        <v>0.0</v>
      </c>
      <c r="E64" s="9">
        <f si="0" t="shared"/>
        <v>0</v>
      </c>
      <c r="G64">
        <v>53</v>
      </c>
      <c r="H64" s="16" t="n">
        <v>0.0</v>
      </c>
      <c r="I64" s="16" t="n">
        <v>0.0</v>
      </c>
      <c r="J64" s="16" t="n">
        <v>0.0</v>
      </c>
      <c r="K64">
        <f si="1" t="shared"/>
        <v>0</v>
      </c>
      <c r="W64" s="9"/>
    </row>
    <row r="65" spans="1:23" x14ac:dyDescent="0.45">
      <c r="A65">
        <v>54</v>
      </c>
      <c r="B65" s="9" t="n">
        <v>0.0</v>
      </c>
      <c r="C65" s="9" t="n">
        <v>0.0</v>
      </c>
      <c r="D65" s="9" t="n">
        <v>0.0</v>
      </c>
      <c r="E65" s="9">
        <f si="0" t="shared"/>
        <v>0</v>
      </c>
      <c r="G65">
        <v>54</v>
      </c>
      <c r="H65" s="16" t="n">
        <v>0.0</v>
      </c>
      <c r="I65" s="16" t="n">
        <v>0.0</v>
      </c>
      <c r="J65" s="16" t="n">
        <v>0.0</v>
      </c>
      <c r="K65">
        <f si="1" t="shared"/>
        <v>0</v>
      </c>
      <c r="W65" s="9"/>
    </row>
    <row r="66" spans="1:23" x14ac:dyDescent="0.45">
      <c r="A66">
        <v>55</v>
      </c>
      <c r="B66" s="9" t="n">
        <v>0.0</v>
      </c>
      <c r="C66" s="9" t="n">
        <v>0.0</v>
      </c>
      <c r="D66" s="9" t="n">
        <v>0.0</v>
      </c>
      <c r="E66" s="9">
        <f si="0" t="shared"/>
        <v>0</v>
      </c>
      <c r="G66">
        <v>55</v>
      </c>
      <c r="H66" s="16" t="n">
        <v>0.0</v>
      </c>
      <c r="I66" s="16" t="n">
        <v>0.0</v>
      </c>
      <c r="J66" s="16" t="n">
        <v>0.0</v>
      </c>
      <c r="K66">
        <f si="1" t="shared"/>
        <v>0</v>
      </c>
      <c r="W66" s="9"/>
    </row>
    <row r="67" spans="1:23" x14ac:dyDescent="0.45">
      <c r="A67">
        <v>56</v>
      </c>
      <c r="B67" s="9" t="n">
        <v>0.0</v>
      </c>
      <c r="C67" s="9" t="n">
        <v>0.0</v>
      </c>
      <c r="D67" s="9" t="n">
        <v>0.0</v>
      </c>
      <c r="E67" s="9">
        <f si="0" t="shared"/>
        <v>0</v>
      </c>
      <c r="G67">
        <v>56</v>
      </c>
      <c r="H67" s="16" t="n">
        <v>0.0</v>
      </c>
      <c r="I67" s="16" t="n">
        <v>0.0</v>
      </c>
      <c r="J67" s="16" t="n">
        <v>0.0</v>
      </c>
      <c r="K67">
        <f si="1" t="shared"/>
        <v>0</v>
      </c>
      <c r="W67" s="9"/>
    </row>
    <row r="68" spans="1:23" x14ac:dyDescent="0.45">
      <c r="A68">
        <v>57</v>
      </c>
      <c r="B68" s="9" t="n">
        <v>0.0</v>
      </c>
      <c r="C68" s="9" t="n">
        <v>0.0</v>
      </c>
      <c r="D68" s="9" t="n">
        <v>0.0</v>
      </c>
      <c r="E68" s="9">
        <f si="0" t="shared"/>
        <v>0</v>
      </c>
      <c r="G68">
        <v>57</v>
      </c>
      <c r="H68" s="16" t="n">
        <v>0.0</v>
      </c>
      <c r="I68" s="16" t="n">
        <v>0.0</v>
      </c>
      <c r="J68" s="16" t="n">
        <v>0.0</v>
      </c>
      <c r="K68">
        <f si="1" t="shared"/>
        <v>0</v>
      </c>
      <c r="W68" s="9"/>
    </row>
    <row r="69" spans="1:23" x14ac:dyDescent="0.45">
      <c r="A69">
        <v>58</v>
      </c>
      <c r="B69" s="9" t="n">
        <v>0.0</v>
      </c>
      <c r="C69" s="9" t="n">
        <v>0.0</v>
      </c>
      <c r="D69" s="9" t="n">
        <v>0.0</v>
      </c>
      <c r="E69" s="9">
        <f si="0" t="shared"/>
        <v>0</v>
      </c>
      <c r="G69">
        <v>58</v>
      </c>
      <c r="H69" s="16" t="n">
        <v>0.0</v>
      </c>
      <c r="I69" s="16" t="n">
        <v>0.0</v>
      </c>
      <c r="J69" s="16" t="n">
        <v>0.0</v>
      </c>
      <c r="K69">
        <f si="1" t="shared"/>
        <v>0</v>
      </c>
      <c r="W69" s="9"/>
    </row>
    <row r="70" spans="1:23" x14ac:dyDescent="0.45">
      <c r="A70">
        <v>59</v>
      </c>
      <c r="B70" s="9" t="n">
        <v>0.0</v>
      </c>
      <c r="C70" s="9" t="n">
        <v>0.0</v>
      </c>
      <c r="D70" s="9" t="n">
        <v>0.0</v>
      </c>
      <c r="E70" s="9">
        <f si="0" t="shared"/>
        <v>0</v>
      </c>
      <c r="G70">
        <v>59</v>
      </c>
      <c r="H70" s="16" t="n">
        <v>0.0</v>
      </c>
      <c r="I70" s="16" t="n">
        <v>0.0</v>
      </c>
      <c r="J70" s="16" t="n">
        <v>0.0</v>
      </c>
      <c r="K70">
        <f si="1" t="shared"/>
        <v>0</v>
      </c>
      <c r="W70" s="9"/>
    </row>
    <row r="71" spans="1:23" x14ac:dyDescent="0.45">
      <c r="A71">
        <v>60</v>
      </c>
      <c r="B71" s="9" t="n">
        <v>0.0</v>
      </c>
      <c r="C71" s="9" t="n">
        <v>0.0</v>
      </c>
      <c r="D71" s="9" t="n">
        <v>0.0</v>
      </c>
      <c r="E71" s="9">
        <f si="0" t="shared"/>
        <v>0</v>
      </c>
      <c r="G71">
        <v>60</v>
      </c>
      <c r="H71" s="16" t="n">
        <v>0.0</v>
      </c>
      <c r="I71" s="16" t="n">
        <v>0.0</v>
      </c>
      <c r="J71" s="16" t="n">
        <v>0.0</v>
      </c>
      <c r="K71">
        <f si="1" t="shared"/>
        <v>0</v>
      </c>
      <c r="W71" s="9"/>
    </row>
    <row r="72" spans="1:23" x14ac:dyDescent="0.45">
      <c r="A72">
        <v>61</v>
      </c>
      <c r="B72" s="9" t="n">
        <v>0.0</v>
      </c>
      <c r="C72" s="9" t="n">
        <v>0.0</v>
      </c>
      <c r="D72" s="9" t="n">
        <v>0.0</v>
      </c>
      <c r="E72" s="9">
        <f si="0" t="shared"/>
        <v>0</v>
      </c>
      <c r="G72">
        <v>61</v>
      </c>
      <c r="H72" s="16" t="n">
        <v>0.0</v>
      </c>
      <c r="I72" s="16" t="n">
        <v>0.0</v>
      </c>
      <c r="J72" s="16" t="n">
        <v>0.0</v>
      </c>
      <c r="K72">
        <f si="1" t="shared"/>
        <v>0</v>
      </c>
      <c r="W72" s="9"/>
    </row>
    <row r="73" spans="1:23" x14ac:dyDescent="0.45">
      <c r="A73">
        <v>62</v>
      </c>
      <c r="B73" s="9" t="n">
        <v>0.0</v>
      </c>
      <c r="C73" s="9" t="n">
        <v>0.0</v>
      </c>
      <c r="D73" s="9" t="n">
        <v>0.0</v>
      </c>
      <c r="E73" s="9">
        <f si="0" t="shared"/>
        <v>0</v>
      </c>
      <c r="G73">
        <v>62</v>
      </c>
      <c r="H73" s="16" t="n">
        <v>0.0</v>
      </c>
      <c r="I73" s="16" t="n">
        <v>0.0</v>
      </c>
      <c r="J73" s="16" t="n">
        <v>0.0</v>
      </c>
      <c r="K73">
        <f si="1" t="shared"/>
        <v>0</v>
      </c>
      <c r="W73" s="9"/>
    </row>
    <row r="74" spans="1:23" x14ac:dyDescent="0.45">
      <c r="A74">
        <v>63</v>
      </c>
      <c r="B74" s="9" t="n">
        <v>0.0</v>
      </c>
      <c r="C74" s="9" t="n">
        <v>0.0</v>
      </c>
      <c r="D74" s="9" t="n">
        <v>0.0</v>
      </c>
      <c r="E74" s="9">
        <f si="0" t="shared"/>
        <v>0</v>
      </c>
      <c r="G74">
        <v>63</v>
      </c>
      <c r="H74" s="16" t="n">
        <v>0.0</v>
      </c>
      <c r="I74" s="16" t="n">
        <v>0.0</v>
      </c>
      <c r="J74" s="16" t="n">
        <v>0.0</v>
      </c>
      <c r="K74">
        <f si="1" t="shared"/>
        <v>0</v>
      </c>
      <c r="W74" s="9"/>
    </row>
    <row r="75" spans="1:23" x14ac:dyDescent="0.45">
      <c r="A75">
        <v>64</v>
      </c>
      <c r="B75" s="9" t="n">
        <v>0.0</v>
      </c>
      <c r="C75" s="9" t="n">
        <v>0.0</v>
      </c>
      <c r="D75" s="9" t="n">
        <v>0.0</v>
      </c>
      <c r="E75" s="9">
        <f si="0" t="shared"/>
        <v>0</v>
      </c>
      <c r="G75">
        <v>64</v>
      </c>
      <c r="H75" s="16" t="n">
        <v>0.0</v>
      </c>
      <c r="I75" s="16" t="n">
        <v>0.0</v>
      </c>
      <c r="J75" s="16" t="n">
        <v>0.0</v>
      </c>
      <c r="K75">
        <f si="1" t="shared"/>
        <v>0</v>
      </c>
      <c r="W75" s="9"/>
    </row>
    <row r="76" spans="1:23" x14ac:dyDescent="0.45">
      <c r="A76">
        <v>65</v>
      </c>
      <c r="B76" s="9" t="n">
        <v>0.0</v>
      </c>
      <c r="C76" s="9" t="n">
        <v>0.0</v>
      </c>
      <c r="D76" s="9" t="n">
        <v>0.0</v>
      </c>
      <c r="E76" s="9">
        <f ref="E76:E100" si="2" t="shared">SUM(B76:D76)</f>
        <v>0</v>
      </c>
      <c r="G76">
        <v>65</v>
      </c>
      <c r="H76" s="16" t="n">
        <v>0.0</v>
      </c>
      <c r="I76" s="16" t="n">
        <v>0.0</v>
      </c>
      <c r="J76" s="16" t="n">
        <v>0.0</v>
      </c>
      <c r="K76">
        <f ref="K76:K101" si="3" t="shared">SUM(H76:J76)</f>
        <v>0</v>
      </c>
      <c r="W76" s="9"/>
    </row>
    <row r="77" spans="1:23" x14ac:dyDescent="0.45">
      <c r="A77">
        <v>66</v>
      </c>
      <c r="B77" s="9" t="n">
        <v>0.0</v>
      </c>
      <c r="C77" s="9" t="n">
        <v>0.0</v>
      </c>
      <c r="D77" s="9" t="n">
        <v>0.0</v>
      </c>
      <c r="E77" s="9">
        <f si="2" t="shared"/>
        <v>0</v>
      </c>
      <c r="G77">
        <v>66</v>
      </c>
      <c r="H77" s="16" t="n">
        <v>0.0</v>
      </c>
      <c r="I77" s="16" t="n">
        <v>0.0</v>
      </c>
      <c r="J77" s="16" t="n">
        <v>0.0</v>
      </c>
      <c r="K77">
        <f si="3" t="shared"/>
        <v>0</v>
      </c>
      <c r="W77" s="9"/>
    </row>
    <row r="78" spans="1:23" x14ac:dyDescent="0.45">
      <c r="A78">
        <v>67</v>
      </c>
      <c r="B78" s="9" t="n">
        <v>0.0</v>
      </c>
      <c r="C78" s="9" t="n">
        <v>0.0</v>
      </c>
      <c r="D78" s="9" t="n">
        <v>0.0</v>
      </c>
      <c r="E78" s="9">
        <f si="2" t="shared"/>
        <v>0</v>
      </c>
      <c r="G78">
        <v>67</v>
      </c>
      <c r="H78" s="16" t="n">
        <v>0.0</v>
      </c>
      <c r="I78" s="16" t="n">
        <v>0.0</v>
      </c>
      <c r="J78" s="16" t="n">
        <v>0.0</v>
      </c>
      <c r="K78">
        <f si="3" t="shared"/>
        <v>0</v>
      </c>
      <c r="W78" s="9"/>
    </row>
    <row r="79" spans="1:23" x14ac:dyDescent="0.45">
      <c r="A79">
        <v>68</v>
      </c>
      <c r="B79" s="9" t="n">
        <v>0.0</v>
      </c>
      <c r="C79" s="9" t="n">
        <v>0.0</v>
      </c>
      <c r="D79" s="9" t="n">
        <v>0.0</v>
      </c>
      <c r="E79" s="9">
        <f si="2" t="shared"/>
        <v>0</v>
      </c>
      <c r="G79">
        <v>68</v>
      </c>
      <c r="H79" s="16" t="n">
        <v>0.0</v>
      </c>
      <c r="I79" s="16" t="n">
        <v>0.0</v>
      </c>
      <c r="J79" s="16" t="n">
        <v>0.0</v>
      </c>
      <c r="K79">
        <f si="3" t="shared"/>
        <v>0</v>
      </c>
      <c r="W79" s="9"/>
    </row>
    <row r="80" spans="1:23" x14ac:dyDescent="0.45">
      <c r="A80">
        <v>69</v>
      </c>
      <c r="B80" s="9" t="n">
        <v>0.0</v>
      </c>
      <c r="C80" s="9" t="n">
        <v>0.0</v>
      </c>
      <c r="D80" s="9" t="n">
        <v>0.0</v>
      </c>
      <c r="E80" s="9">
        <f si="2" t="shared"/>
        <v>0</v>
      </c>
      <c r="G80">
        <v>69</v>
      </c>
      <c r="H80" s="16" t="n">
        <v>0.0</v>
      </c>
      <c r="I80" s="16" t="n">
        <v>0.0</v>
      </c>
      <c r="J80" s="16" t="n">
        <v>0.0</v>
      </c>
      <c r="K80">
        <f si="3" t="shared"/>
        <v>0</v>
      </c>
      <c r="W80" s="9"/>
    </row>
    <row r="81" spans="1:23" x14ac:dyDescent="0.45">
      <c r="A81">
        <v>70</v>
      </c>
      <c r="B81" s="9" t="n">
        <v>0.0</v>
      </c>
      <c r="C81" s="9" t="n">
        <v>0.0</v>
      </c>
      <c r="D81" s="9" t="n">
        <v>0.0</v>
      </c>
      <c r="E81" s="9">
        <f si="2" t="shared"/>
        <v>0</v>
      </c>
      <c r="G81">
        <v>70</v>
      </c>
      <c r="H81" s="16" t="n">
        <v>0.0</v>
      </c>
      <c r="I81" s="16" t="n">
        <v>0.0</v>
      </c>
      <c r="J81" s="16" t="n">
        <v>0.0</v>
      </c>
      <c r="K81">
        <f si="3" t="shared"/>
        <v>0</v>
      </c>
      <c r="W81" s="9"/>
    </row>
    <row r="82" spans="1:23" x14ac:dyDescent="0.45">
      <c r="A82">
        <v>71</v>
      </c>
      <c r="B82" s="9" t="n">
        <v>0.0</v>
      </c>
      <c r="C82" s="9" t="n">
        <v>0.0</v>
      </c>
      <c r="D82" s="9" t="n">
        <v>0.0</v>
      </c>
      <c r="E82" s="9">
        <f si="2" t="shared"/>
        <v>0</v>
      </c>
      <c r="G82">
        <v>71</v>
      </c>
      <c r="H82" s="16" t="n">
        <v>0.0</v>
      </c>
      <c r="I82" s="16" t="n">
        <v>0.0</v>
      </c>
      <c r="J82" s="16" t="n">
        <v>0.0</v>
      </c>
      <c r="K82">
        <f si="3" t="shared"/>
        <v>0</v>
      </c>
      <c r="W82" s="9"/>
    </row>
    <row r="83" spans="1:23" x14ac:dyDescent="0.45">
      <c r="A83">
        <v>72</v>
      </c>
      <c r="B83" s="9" t="n">
        <v>0.0</v>
      </c>
      <c r="C83" s="9" t="n">
        <v>0.0</v>
      </c>
      <c r="D83" s="9" t="n">
        <v>0.0</v>
      </c>
      <c r="E83" s="9">
        <f si="2" t="shared"/>
        <v>0</v>
      </c>
      <c r="G83">
        <v>72</v>
      </c>
      <c r="H83" s="16" t="n">
        <v>0.0</v>
      </c>
      <c r="I83" s="16" t="n">
        <v>0.0</v>
      </c>
      <c r="J83" s="16" t="n">
        <v>0.0</v>
      </c>
      <c r="K83">
        <f si="3" t="shared"/>
        <v>0</v>
      </c>
      <c r="W83" s="9"/>
    </row>
    <row r="84" spans="1:23" x14ac:dyDescent="0.45">
      <c r="A84">
        <v>73</v>
      </c>
      <c r="B84" s="9" t="n">
        <v>0.0</v>
      </c>
      <c r="C84" s="9" t="n">
        <v>0.0</v>
      </c>
      <c r="D84" s="9" t="n">
        <v>0.0</v>
      </c>
      <c r="E84" s="9">
        <f si="2" t="shared"/>
        <v>0</v>
      </c>
      <c r="G84">
        <v>73</v>
      </c>
      <c r="H84" s="16" t="n">
        <v>0.0</v>
      </c>
      <c r="I84" t="n">
        <v>0.0</v>
      </c>
      <c r="J84" s="16" t="n">
        <v>0.0</v>
      </c>
      <c r="K84">
        <f si="3" t="shared"/>
        <v>0</v>
      </c>
      <c r="W84" s="9"/>
    </row>
    <row r="85" spans="1:23" x14ac:dyDescent="0.45">
      <c r="A85">
        <v>74</v>
      </c>
      <c r="B85" s="9" t="n">
        <v>0.0</v>
      </c>
      <c r="C85" s="9" t="n">
        <v>0.0</v>
      </c>
      <c r="D85" s="9" t="n">
        <v>0.0</v>
      </c>
      <c r="E85" s="9">
        <f si="2" t="shared"/>
        <v>0</v>
      </c>
      <c r="G85">
        <v>74</v>
      </c>
      <c r="H85" s="16" t="n">
        <v>0.0</v>
      </c>
      <c r="I85" s="16" t="n">
        <v>0.0</v>
      </c>
      <c r="J85" s="16" t="n">
        <v>0.0</v>
      </c>
      <c r="K85">
        <f si="3" t="shared"/>
        <v>0</v>
      </c>
      <c r="W85" s="9"/>
    </row>
    <row r="86" spans="1:23" x14ac:dyDescent="0.45">
      <c r="A86">
        <v>75</v>
      </c>
      <c r="B86" s="9" t="n">
        <v>0.0</v>
      </c>
      <c r="C86" s="9" t="n">
        <v>0.0</v>
      </c>
      <c r="D86" s="9" t="n">
        <v>0.0</v>
      </c>
      <c r="E86" s="9">
        <f si="2" t="shared"/>
        <v>0</v>
      </c>
      <c r="G86">
        <v>75</v>
      </c>
      <c r="H86" s="16" t="n">
        <v>0.0</v>
      </c>
      <c r="I86" t="n">
        <v>0.0</v>
      </c>
      <c r="J86" s="16" t="n">
        <v>0.0</v>
      </c>
      <c r="K86">
        <f si="3" t="shared"/>
        <v>0</v>
      </c>
      <c r="W86" s="9"/>
    </row>
    <row r="87" spans="1:23" x14ac:dyDescent="0.45">
      <c r="A87">
        <v>76</v>
      </c>
      <c r="B87" s="9" t="n">
        <v>0.0</v>
      </c>
      <c r="C87" s="9" t="n">
        <v>0.0</v>
      </c>
      <c r="D87" s="9" t="n">
        <v>0.0</v>
      </c>
      <c r="E87" s="9">
        <f si="2" t="shared"/>
        <v>0</v>
      </c>
      <c r="G87">
        <v>76</v>
      </c>
      <c r="H87" s="16" t="n">
        <v>0.0</v>
      </c>
      <c r="I87" t="n">
        <v>0.0</v>
      </c>
      <c r="J87" s="16" t="n">
        <v>0.0</v>
      </c>
      <c r="K87">
        <f si="3" t="shared"/>
        <v>0</v>
      </c>
      <c r="W87" s="9"/>
    </row>
    <row r="88" spans="1:23" x14ac:dyDescent="0.45">
      <c r="A88">
        <v>77</v>
      </c>
      <c r="B88" s="9" t="n">
        <v>0.0</v>
      </c>
      <c r="C88" s="9" t="n">
        <v>0.0</v>
      </c>
      <c r="D88" s="9" t="n">
        <v>0.0</v>
      </c>
      <c r="E88" s="9">
        <f si="2" t="shared"/>
        <v>0</v>
      </c>
      <c r="G88">
        <v>77</v>
      </c>
      <c r="H88" s="16" t="n">
        <v>0.0</v>
      </c>
      <c r="I88" t="n">
        <v>0.0</v>
      </c>
      <c r="J88" t="n">
        <v>0.0</v>
      </c>
      <c r="K88">
        <f si="3" t="shared"/>
        <v>0</v>
      </c>
      <c r="W88" s="9"/>
    </row>
    <row r="89" spans="1:23" x14ac:dyDescent="0.45">
      <c r="A89">
        <v>78</v>
      </c>
      <c r="B89" s="9" t="n">
        <v>0.0</v>
      </c>
      <c r="C89" s="9" t="n">
        <v>0.0</v>
      </c>
      <c r="D89" s="9" t="n">
        <v>0.0</v>
      </c>
      <c r="E89" s="9">
        <f si="2" t="shared"/>
        <v>0</v>
      </c>
      <c r="G89">
        <v>78</v>
      </c>
      <c r="H89" s="16" t="n">
        <v>0.0</v>
      </c>
      <c r="I89" t="n">
        <v>0.0</v>
      </c>
      <c r="J89" t="n">
        <v>0.0</v>
      </c>
      <c r="K89">
        <f si="3" t="shared"/>
        <v>0</v>
      </c>
      <c r="W89" s="9"/>
    </row>
    <row r="90" spans="1:23" x14ac:dyDescent="0.45">
      <c r="A90">
        <v>79</v>
      </c>
      <c r="B90" s="9" t="n">
        <v>0.0</v>
      </c>
      <c r="C90" s="9" t="n">
        <v>0.0</v>
      </c>
      <c r="D90" s="9" t="n">
        <v>0.0</v>
      </c>
      <c r="E90" s="9">
        <f si="2" t="shared"/>
        <v>0</v>
      </c>
      <c r="G90">
        <v>79</v>
      </c>
      <c r="H90" s="16" t="n">
        <v>0.0</v>
      </c>
      <c r="I90" t="n">
        <v>0.0</v>
      </c>
      <c r="J90" t="n">
        <v>0.0</v>
      </c>
      <c r="K90">
        <f si="3" t="shared"/>
        <v>0</v>
      </c>
      <c r="W90" s="9"/>
    </row>
    <row r="91" spans="1:23" x14ac:dyDescent="0.45">
      <c r="A91">
        <v>80</v>
      </c>
      <c r="B91" s="9" t="n">
        <v>0.0</v>
      </c>
      <c r="C91" s="9" t="n">
        <v>0.0</v>
      </c>
      <c r="D91" s="9" t="n">
        <v>0.0</v>
      </c>
      <c r="E91" s="9">
        <f si="2" t="shared"/>
        <v>0</v>
      </c>
      <c r="G91">
        <v>80</v>
      </c>
      <c r="H91" s="16" t="n">
        <v>0.0</v>
      </c>
      <c r="I91" t="n">
        <v>0.0</v>
      </c>
      <c r="J91" t="n">
        <v>0.0</v>
      </c>
      <c r="K91">
        <f si="3" t="shared"/>
        <v>0</v>
      </c>
      <c r="W91" s="9"/>
    </row>
    <row r="92" spans="1:23" x14ac:dyDescent="0.45">
      <c r="A92">
        <v>81</v>
      </c>
      <c r="B92" s="9" t="n">
        <v>0.0</v>
      </c>
      <c r="C92" s="9" t="n">
        <v>0.0</v>
      </c>
      <c r="D92" s="9" t="n">
        <v>0.0</v>
      </c>
      <c r="E92" s="9">
        <f si="2" t="shared"/>
        <v>0</v>
      </c>
      <c r="G92">
        <v>81</v>
      </c>
      <c r="H92" s="16" t="n">
        <v>0.0</v>
      </c>
      <c r="I92" t="n">
        <v>0.0</v>
      </c>
      <c r="J92" t="n">
        <v>0.0</v>
      </c>
      <c r="K92">
        <f si="3" t="shared"/>
        <v>0</v>
      </c>
      <c r="W92" s="9"/>
    </row>
    <row r="93" spans="1:23" x14ac:dyDescent="0.45">
      <c r="A93">
        <v>82</v>
      </c>
      <c r="B93" s="9" t="n">
        <v>0.0</v>
      </c>
      <c r="C93" s="9" t="n">
        <v>0.0</v>
      </c>
      <c r="D93" s="9" t="n">
        <v>0.0</v>
      </c>
      <c r="E93" s="9">
        <f si="2" t="shared"/>
        <v>0</v>
      </c>
      <c r="G93">
        <v>82</v>
      </c>
      <c r="H93" s="16" t="n">
        <v>0.0</v>
      </c>
      <c r="I93" t="n">
        <v>0.0</v>
      </c>
      <c r="J93" t="n">
        <v>0.0</v>
      </c>
      <c r="K93">
        <f si="3" t="shared"/>
        <v>0</v>
      </c>
      <c r="W93" s="9"/>
    </row>
    <row r="94" spans="1:23" x14ac:dyDescent="0.45">
      <c r="A94">
        <v>83</v>
      </c>
      <c r="B94" s="9" t="n">
        <v>0.0</v>
      </c>
      <c r="C94" s="9" t="n">
        <v>0.0</v>
      </c>
      <c r="D94" s="9" t="n">
        <v>0.0</v>
      </c>
      <c r="E94" s="9">
        <f si="2" t="shared"/>
        <v>0</v>
      </c>
      <c r="G94">
        <v>83</v>
      </c>
      <c r="H94" s="16" t="n">
        <v>0.0</v>
      </c>
      <c r="I94" t="n">
        <v>0.0</v>
      </c>
      <c r="J94" t="n">
        <v>0.0</v>
      </c>
      <c r="K94">
        <f si="3" t="shared"/>
        <v>0</v>
      </c>
      <c r="W94" s="9"/>
    </row>
    <row r="95" spans="1:23" x14ac:dyDescent="0.45">
      <c r="A95">
        <v>84</v>
      </c>
      <c r="B95" s="9" t="n">
        <v>0.0</v>
      </c>
      <c r="C95" s="9" t="n">
        <v>0.0</v>
      </c>
      <c r="D95" s="9" t="n">
        <v>0.0</v>
      </c>
      <c r="E95" s="9">
        <f si="2" t="shared"/>
        <v>0</v>
      </c>
      <c r="G95">
        <v>84</v>
      </c>
      <c r="H95" s="16" t="n">
        <v>0.0</v>
      </c>
      <c r="I95" t="n">
        <v>0.0</v>
      </c>
      <c r="J95" t="n">
        <v>0.0</v>
      </c>
      <c r="K95">
        <f si="3" t="shared"/>
        <v>0</v>
      </c>
      <c r="W95" s="9"/>
    </row>
    <row r="96" spans="1:23" x14ac:dyDescent="0.45">
      <c r="A96">
        <v>85</v>
      </c>
      <c r="B96" s="9" t="n">
        <v>0.0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0.0</v>
      </c>
      <c r="I96" t="n">
        <v>0.0</v>
      </c>
      <c r="J96" t="n">
        <v>0.0</v>
      </c>
      <c r="K96">
        <f si="3" t="shared"/>
        <v>0</v>
      </c>
      <c r="W96" s="9"/>
    </row>
    <row r="97" spans="1:23" x14ac:dyDescent="0.45">
      <c r="A97">
        <v>86</v>
      </c>
      <c r="B97" s="9" t="n">
        <v>0.0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0.0</v>
      </c>
      <c r="I97" t="n">
        <v>0.0</v>
      </c>
      <c r="J97" t="n">
        <v>0.0</v>
      </c>
      <c r="K97">
        <f si="3" t="shared"/>
        <v>0</v>
      </c>
      <c r="W97" s="9"/>
    </row>
    <row r="98" spans="1:23" x14ac:dyDescent="0.45">
      <c r="A98">
        <v>87</v>
      </c>
      <c r="B98" s="9" t="n">
        <v>0.0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0.0</v>
      </c>
      <c r="I98" t="n">
        <v>0.0</v>
      </c>
      <c r="J98" t="n">
        <v>0.0</v>
      </c>
      <c r="K98">
        <f si="3" t="shared"/>
        <v>0</v>
      </c>
      <c r="W98" s="9"/>
    </row>
    <row r="99" spans="1:23" x14ac:dyDescent="0.45">
      <c r="A99">
        <v>88</v>
      </c>
      <c r="B99" s="9" t="n">
        <v>0.0</v>
      </c>
      <c r="C99" s="9" t="n">
        <v>0.0</v>
      </c>
      <c r="D99" s="9" t="n">
        <v>0.0</v>
      </c>
      <c r="E99" s="9">
        <f si="2" t="shared"/>
        <v>0</v>
      </c>
      <c r="G99">
        <v>88</v>
      </c>
      <c r="H99" s="16" t="n">
        <v>0.0</v>
      </c>
      <c r="I99" t="n">
        <v>0.0</v>
      </c>
      <c r="J99" t="n">
        <v>0.0</v>
      </c>
      <c r="K99">
        <f si="3" t="shared"/>
        <v>0</v>
      </c>
      <c r="W99" s="9"/>
    </row>
    <row r="100" spans="1:23" x14ac:dyDescent="0.45">
      <c r="A100">
        <v>89</v>
      </c>
      <c r="B100" s="9" t="n">
        <v>0.0</v>
      </c>
      <c r="C100" s="9" t="n">
        <v>0.0</v>
      </c>
      <c r="D100" s="9" t="n">
        <v>0.0</v>
      </c>
      <c r="E100" s="9">
        <f si="2" t="shared"/>
        <v>0</v>
      </c>
      <c r="G100">
        <v>89</v>
      </c>
      <c r="H100" s="16" t="n">
        <v>0.0</v>
      </c>
      <c r="I100" t="n">
        <v>0.0</v>
      </c>
      <c r="J100" t="n">
        <v>0.0</v>
      </c>
      <c r="K100">
        <f si="3" t="shared"/>
        <v>0</v>
      </c>
      <c r="W100" s="9"/>
    </row>
    <row ht="14.65" r="101" spans="1:23" thickBot="1" x14ac:dyDescent="0.5">
      <c r="A101" s="1" t="s">
        <v>267</v>
      </c>
      <c r="B101" s="10" t="n">
        <v>0.0</v>
      </c>
      <c r="C101" s="10" t="n">
        <v>0.0</v>
      </c>
      <c r="D101" s="10" t="n">
        <v>0.0</v>
      </c>
      <c r="E101" s="10">
        <f>SUM(B101:D101)</f>
        <v>0</v>
      </c>
      <c r="G101" s="1" t="s">
        <v>267</v>
      </c>
      <c r="H101" s="17" t="n">
        <v>0.0</v>
      </c>
      <c r="I101" s="1" t="n">
        <v>0.0</v>
      </c>
      <c r="J101" s="1" t="n">
        <v>0.0</v>
      </c>
      <c r="K101" s="1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W14" sqref="W14"/>
    </sheetView>
  </sheetViews>
  <sheetFormatPr defaultRowHeight="14.25" x14ac:dyDescent="0.45"/>
  <sheetData>
    <row r="1" spans="1:23" x14ac:dyDescent="0.45">
      <c r="A1" t="s">
        <v>0</v>
      </c>
    </row>
    <row r="2" spans="1:23" x14ac:dyDescent="0.45">
      <c r="A2" t="s">
        <v>270</v>
      </c>
    </row>
    <row r="3" spans="1:23" x14ac:dyDescent="0.45">
      <c r="A3" t="s">
        <v>9</v>
      </c>
    </row>
    <row r="4" spans="1:23" x14ac:dyDescent="0.45">
      <c r="A4" t="s">
        <v>8</v>
      </c>
    </row>
    <row r="5" spans="1:23" x14ac:dyDescent="0.45">
      <c r="A5" t="s">
        <v>10</v>
      </c>
    </row>
    <row r="6" spans="1:23" x14ac:dyDescent="0.45">
      <c r="A6" t="s">
        <v>11</v>
      </c>
    </row>
    <row r="7" spans="1:23" x14ac:dyDescent="0.45">
      <c r="A7" t="s">
        <v>15</v>
      </c>
    </row>
    <row ht="14.65" r="9" spans="1:23" thickBot="1" x14ac:dyDescent="0.5">
      <c r="A9" s="4" t="s">
        <v>290</v>
      </c>
      <c r="B9" s="1"/>
      <c r="C9" s="1"/>
      <c r="D9" s="1"/>
      <c r="E9" s="1"/>
      <c r="G9" s="4" t="s">
        <v>283</v>
      </c>
      <c r="H9" s="1"/>
      <c r="I9" s="1"/>
      <c r="J9" s="1"/>
      <c r="K9" s="1"/>
      <c r="M9" s="11" t="s">
        <v>44</v>
      </c>
      <c r="W9" s="9"/>
    </row>
    <row r="10" spans="1:23" x14ac:dyDescent="0.45">
      <c r="A10" s="2" t="s">
        <v>26</v>
      </c>
      <c r="B10" s="5" t="s">
        <v>12</v>
      </c>
      <c r="C10" s="5" t="s">
        <v>13</v>
      </c>
      <c r="D10" s="5" t="s">
        <v>14</v>
      </c>
      <c r="E10" s="5" t="s">
        <v>271</v>
      </c>
      <c r="G10" s="2" t="s">
        <v>26</v>
      </c>
      <c r="H10" s="5" t="s">
        <v>12</v>
      </c>
      <c r="I10" s="5" t="s">
        <v>13</v>
      </c>
      <c r="J10" s="5" t="s">
        <v>14</v>
      </c>
      <c r="K10" s="5" t="s">
        <v>42</v>
      </c>
      <c r="M10" s="2"/>
      <c r="N10" s="5" t="s">
        <v>271</v>
      </c>
      <c r="O10" s="5" t="s">
        <v>42</v>
      </c>
      <c r="W10" s="9"/>
    </row>
    <row r="11" spans="1:23" x14ac:dyDescent="0.45">
      <c r="A11">
        <v>0</v>
      </c>
      <c r="B11" s="9" t="n">
        <v>30000.0</v>
      </c>
      <c r="C11" s="9" t="n">
        <v>50000.0</v>
      </c>
      <c r="D11" s="9" t="n">
        <v>0.0</v>
      </c>
      <c r="E11" s="9">
        <f>SUM(B11:D11)</f>
        <v>100000</v>
      </c>
      <c r="G11">
        <v>0</v>
      </c>
      <c r="H11" s="16" t="n">
        <v>30000.0</v>
      </c>
      <c r="I11" s="16" t="n">
        <v>50000.0</v>
      </c>
      <c r="J11" s="16" t="n">
        <v>0.0</v>
      </c>
      <c r="K11">
        <f>SUM(H11:J11)</f>
        <v>100000</v>
      </c>
      <c r="M11" t="s">
        <v>12</v>
      </c>
      <c r="N11" s="9" t="n">
        <v>27.44149379822059</v>
      </c>
      <c r="O11" s="9" t="n">
        <v>27.44149379822059</v>
      </c>
      <c r="W11" s="9"/>
    </row>
    <row r="12" spans="1:23" x14ac:dyDescent="0.45">
      <c r="A12">
        <v>1</v>
      </c>
      <c r="B12" s="9" t="n">
        <v>20000.0</v>
      </c>
      <c r="C12" s="9" t="n">
        <v>10000.0</v>
      </c>
      <c r="D12" s="9" t="n">
        <v>0.0</v>
      </c>
      <c r="E12" s="9">
        <f ref="E12:E75" si="0" t="shared">SUM(B12:D12)</f>
        <v>30000</v>
      </c>
      <c r="G12">
        <v>1</v>
      </c>
      <c r="H12" s="16" t="n">
        <v>20000.0</v>
      </c>
      <c r="I12" s="16" t="n">
        <v>10000.0</v>
      </c>
      <c r="J12" s="16" t="n">
        <v>0.0</v>
      </c>
      <c r="K12">
        <f ref="K12:K75" si="1" t="shared">SUM(H12:J12)</f>
        <v>30000</v>
      </c>
      <c r="M12" t="s">
        <v>13</v>
      </c>
      <c r="N12" s="9" t="n">
        <v>19.053988868653136</v>
      </c>
      <c r="O12" s="9" t="n">
        <v>19.053988868653136</v>
      </c>
      <c r="W12" s="9"/>
    </row>
    <row r="13" spans="1:23" x14ac:dyDescent="0.45">
      <c r="A13">
        <v>2</v>
      </c>
      <c r="B13" s="9" t="n">
        <v>0.0</v>
      </c>
      <c r="C13" s="9" t="n">
        <v>10000.0</v>
      </c>
      <c r="D13" s="9" t="n">
        <v>0.0</v>
      </c>
      <c r="E13" s="9">
        <f si="0" t="shared"/>
        <v>5000</v>
      </c>
      <c r="G13">
        <v>2</v>
      </c>
      <c r="H13" s="16" t="n">
        <v>0.0</v>
      </c>
      <c r="I13" s="16" t="n">
        <v>10000.0</v>
      </c>
      <c r="J13" s="16" t="n">
        <v>0.0</v>
      </c>
      <c r="K13">
        <f si="1" t="shared"/>
        <v>5000</v>
      </c>
      <c r="M13" s="6" t="s">
        <v>14</v>
      </c>
      <c r="N13" s="14" t="n">
        <v>16.44364456600269</v>
      </c>
      <c r="O13" s="14" t="n">
        <v>16.44364456600269</v>
      </c>
      <c r="W13" s="9"/>
    </row>
    <row ht="14.65" r="14" spans="1:23" thickBot="1" x14ac:dyDescent="0.5">
      <c r="A14">
        <v>3</v>
      </c>
      <c r="B14" s="9" t="n">
        <v>0.0</v>
      </c>
      <c r="C14" s="9" t="n">
        <v>0.0</v>
      </c>
      <c r="D14" s="9" t="n">
        <v>0.0</v>
      </c>
      <c r="E14" s="9">
        <f si="0" t="shared"/>
        <v>7000</v>
      </c>
      <c r="G14">
        <v>3</v>
      </c>
      <c r="H14" s="16" t="n">
        <v>0.0</v>
      </c>
      <c r="I14" s="16" t="n">
        <v>0.0</v>
      </c>
      <c r="J14" s="16" t="n">
        <v>0.0</v>
      </c>
      <c r="K14">
        <f si="1" t="shared"/>
        <v>7000</v>
      </c>
      <c r="M14" s="1" t="s">
        <v>4</v>
      </c>
      <c r="N14" s="15" t="n">
        <v>24.0699924558447</v>
      </c>
      <c r="O14" s="15" t="n">
        <v>24.0699924558447</v>
      </c>
      <c r="W14" s="9"/>
    </row>
    <row r="15" spans="1:23" x14ac:dyDescent="0.45">
      <c r="A15">
        <v>4</v>
      </c>
      <c r="B15" s="9" t="n">
        <v>0.0</v>
      </c>
      <c r="C15" s="9" t="n">
        <v>0.0</v>
      </c>
      <c r="D15" s="9" t="n">
        <v>10000.0</v>
      </c>
      <c r="E15" s="9">
        <f si="0" t="shared"/>
        <v>10000</v>
      </c>
      <c r="G15">
        <v>4</v>
      </c>
      <c r="H15" s="16" t="n">
        <v>0.0</v>
      </c>
      <c r="I15" s="16" t="n">
        <v>0.0</v>
      </c>
      <c r="J15" s="16" t="n">
        <v>10000.0</v>
      </c>
      <c r="K15">
        <f si="1" t="shared"/>
        <v>10000</v>
      </c>
      <c r="W15" s="9"/>
    </row>
    <row r="16" spans="1:23" x14ac:dyDescent="0.45">
      <c r="A16">
        <v>5</v>
      </c>
      <c r="B16" s="9" t="n">
        <v>10000.0</v>
      </c>
      <c r="C16" s="9" t="n">
        <v>0.0</v>
      </c>
      <c r="D16" s="9" t="n">
        <v>10000.0</v>
      </c>
      <c r="E16" s="9">
        <f si="0" t="shared"/>
        <v>18000</v>
      </c>
      <c r="G16">
        <v>5</v>
      </c>
      <c r="H16" s="16" t="n">
        <v>10000.0</v>
      </c>
      <c r="I16" s="16" t="n">
        <v>0.0</v>
      </c>
      <c r="J16" s="16" t="n">
        <v>10000.0</v>
      </c>
      <c r="K16">
        <f si="1" t="shared"/>
        <v>18000</v>
      </c>
      <c r="W16" s="9"/>
    </row>
    <row r="17" spans="1:23" x14ac:dyDescent="0.45">
      <c r="A17">
        <v>6</v>
      </c>
      <c r="B17" s="9" t="n">
        <v>10000.0</v>
      </c>
      <c r="C17" s="9" t="n">
        <v>10000.0</v>
      </c>
      <c r="D17" s="9" t="n">
        <v>10000.0</v>
      </c>
      <c r="E17" s="9">
        <f si="0" t="shared"/>
        <v>30000</v>
      </c>
      <c r="G17">
        <v>6</v>
      </c>
      <c r="H17" s="16" t="n">
        <v>10000.0</v>
      </c>
      <c r="I17" s="16" t="n">
        <v>10000.0</v>
      </c>
      <c r="J17" s="16" t="n">
        <v>10000.0</v>
      </c>
      <c r="K17">
        <f si="1" t="shared"/>
        <v>30000</v>
      </c>
      <c r="W17" s="9"/>
    </row>
    <row r="18" spans="1:23" x14ac:dyDescent="0.45">
      <c r="A18">
        <v>7</v>
      </c>
      <c r="B18" s="9" t="n">
        <v>10000.0</v>
      </c>
      <c r="C18" s="9" t="n">
        <v>10000.0</v>
      </c>
      <c r="D18" s="9" t="n">
        <v>0.0</v>
      </c>
      <c r="E18" s="9">
        <f si="0" t="shared"/>
        <v>46000</v>
      </c>
      <c r="G18">
        <v>7</v>
      </c>
      <c r="H18" s="16" t="n">
        <v>10000.0</v>
      </c>
      <c r="I18" s="16" t="n">
        <v>10000.0</v>
      </c>
      <c r="J18" s="16" t="n">
        <v>0.0</v>
      </c>
      <c r="K18">
        <f si="1" t="shared"/>
        <v>46000</v>
      </c>
      <c r="W18" s="9"/>
    </row>
    <row r="19" spans="1:23" x14ac:dyDescent="0.45">
      <c r="A19">
        <v>8</v>
      </c>
      <c r="B19" s="9" t="n">
        <v>0.0</v>
      </c>
      <c r="C19" s="9" t="n">
        <v>20000.0</v>
      </c>
      <c r="D19" s="9" t="n">
        <v>10000.0</v>
      </c>
      <c r="E19" s="9">
        <f si="0" t="shared"/>
        <v>39000</v>
      </c>
      <c r="G19">
        <v>8</v>
      </c>
      <c r="H19" s="16" t="n">
        <v>0.0</v>
      </c>
      <c r="I19" s="16" t="n">
        <v>20000.0</v>
      </c>
      <c r="J19" s="16" t="n">
        <v>10000.0</v>
      </c>
      <c r="K19">
        <f si="1" t="shared"/>
        <v>39000</v>
      </c>
      <c r="W19" s="9"/>
    </row>
    <row r="20" spans="1:23" x14ac:dyDescent="0.45">
      <c r="A20">
        <v>9</v>
      </c>
      <c r="B20" s="9" t="n">
        <v>20000.0</v>
      </c>
      <c r="C20" s="9" t="n">
        <v>30000.0</v>
      </c>
      <c r="D20" s="9" t="n">
        <v>20000.0</v>
      </c>
      <c r="E20" s="9">
        <f si="0" t="shared"/>
        <v>49000</v>
      </c>
      <c r="G20">
        <v>9</v>
      </c>
      <c r="H20" s="16" t="n">
        <v>20000.0</v>
      </c>
      <c r="I20" s="16" t="n">
        <v>30000.0</v>
      </c>
      <c r="J20" s="16" t="n">
        <v>20000.0</v>
      </c>
      <c r="K20">
        <f si="1" t="shared"/>
        <v>49000</v>
      </c>
      <c r="W20" s="9"/>
    </row>
    <row r="21" spans="1:23" x14ac:dyDescent="0.45">
      <c r="A21">
        <v>10</v>
      </c>
      <c r="B21" s="9" t="n">
        <v>30000.0</v>
      </c>
      <c r="C21" s="9" t="n">
        <v>0.0</v>
      </c>
      <c r="D21" s="9" t="n">
        <v>0.0</v>
      </c>
      <c r="E21" s="9">
        <f si="0" t="shared"/>
        <v>44000</v>
      </c>
      <c r="G21">
        <v>10</v>
      </c>
      <c r="H21" s="16" t="n">
        <v>30000.0</v>
      </c>
      <c r="I21" s="16" t="n">
        <v>0.0</v>
      </c>
      <c r="J21" s="16" t="n">
        <v>0.0</v>
      </c>
      <c r="K21">
        <f si="1" t="shared"/>
        <v>44000</v>
      </c>
      <c r="W21" s="9"/>
    </row>
    <row r="22" spans="1:23" x14ac:dyDescent="0.45">
      <c r="A22">
        <v>11</v>
      </c>
      <c r="B22" s="9" t="n">
        <v>20000.0</v>
      </c>
      <c r="C22" s="9" t="n">
        <v>10000.0</v>
      </c>
      <c r="D22" s="9" t="n">
        <v>10000.0</v>
      </c>
      <c r="E22" s="9">
        <f si="0" t="shared"/>
        <v>48000</v>
      </c>
      <c r="G22">
        <v>11</v>
      </c>
      <c r="H22" s="16" t="n">
        <v>20000.0</v>
      </c>
      <c r="I22" s="16" t="n">
        <v>10000.0</v>
      </c>
      <c r="J22" s="16" t="n">
        <v>10000.0</v>
      </c>
      <c r="K22">
        <f si="1" t="shared"/>
        <v>48000</v>
      </c>
      <c r="W22" s="9"/>
    </row>
    <row r="23" spans="1:23" x14ac:dyDescent="0.45">
      <c r="A23">
        <v>12</v>
      </c>
      <c r="B23" s="9" t="n">
        <v>40000.0</v>
      </c>
      <c r="C23" s="9" t="n">
        <v>20000.0</v>
      </c>
      <c r="D23" s="9" t="n">
        <v>10000.0</v>
      </c>
      <c r="E23" s="9">
        <f si="0" t="shared"/>
        <v>55000</v>
      </c>
      <c r="G23">
        <v>12</v>
      </c>
      <c r="H23" s="16" t="n">
        <v>40000.0</v>
      </c>
      <c r="I23" s="16" t="n">
        <v>20000.0</v>
      </c>
      <c r="J23" s="16" t="n">
        <v>10000.0</v>
      </c>
      <c r="K23">
        <f si="1" t="shared"/>
        <v>55000</v>
      </c>
      <c r="W23" s="9"/>
    </row>
    <row r="24" spans="1:23" x14ac:dyDescent="0.45">
      <c r="A24">
        <v>13</v>
      </c>
      <c r="B24" s="9" t="n">
        <v>30000.0</v>
      </c>
      <c r="C24" s="9" t="n">
        <v>20000.0</v>
      </c>
      <c r="D24" s="9" t="n">
        <v>10000.0</v>
      </c>
      <c r="E24" s="9">
        <f si="0" t="shared"/>
        <v>67000</v>
      </c>
      <c r="G24">
        <v>13</v>
      </c>
      <c r="H24" s="16" t="n">
        <v>30000.0</v>
      </c>
      <c r="I24" s="16" t="n">
        <v>20000.0</v>
      </c>
      <c r="J24" s="16" t="n">
        <v>10000.0</v>
      </c>
      <c r="K24">
        <f si="1" t="shared"/>
        <v>67000</v>
      </c>
      <c r="W24" s="9"/>
    </row>
    <row r="25" spans="1:23" x14ac:dyDescent="0.45">
      <c r="A25">
        <v>14</v>
      </c>
      <c r="B25" s="9" t="n">
        <v>70000.0</v>
      </c>
      <c r="C25" s="9" t="n">
        <v>30000.0</v>
      </c>
      <c r="D25" s="9" t="n">
        <v>20000.0</v>
      </c>
      <c r="E25" s="9">
        <f si="0" t="shared"/>
        <v>59000</v>
      </c>
      <c r="G25">
        <v>14</v>
      </c>
      <c r="H25" s="16" t="n">
        <v>70000.0</v>
      </c>
      <c r="I25" s="16" t="n">
        <v>30000.0</v>
      </c>
      <c r="J25" s="16" t="n">
        <v>20000.0</v>
      </c>
      <c r="K25">
        <f si="1" t="shared"/>
        <v>59000</v>
      </c>
      <c r="W25" s="9"/>
    </row>
    <row r="26" spans="1:23" x14ac:dyDescent="0.45">
      <c r="A26">
        <v>15</v>
      </c>
      <c r="B26" s="9" t="n">
        <v>20000.0</v>
      </c>
      <c r="C26" s="9" t="n">
        <v>40000.0</v>
      </c>
      <c r="D26" s="9" t="n">
        <v>20000.0</v>
      </c>
      <c r="E26" s="9">
        <f si="0" t="shared"/>
        <v>58000</v>
      </c>
      <c r="G26">
        <v>15</v>
      </c>
      <c r="H26" s="16" t="n">
        <v>20000.0</v>
      </c>
      <c r="I26" s="16" t="n">
        <v>40000.0</v>
      </c>
      <c r="J26" s="16" t="n">
        <v>20000.0</v>
      </c>
      <c r="K26">
        <f si="1" t="shared"/>
        <v>58000</v>
      </c>
      <c r="W26" s="9"/>
    </row>
    <row r="27" spans="1:23" x14ac:dyDescent="0.45">
      <c r="A27">
        <v>16</v>
      </c>
      <c r="B27" s="9" t="n">
        <v>70000.0</v>
      </c>
      <c r="C27" s="9" t="n">
        <v>0.0</v>
      </c>
      <c r="D27" s="9" t="n">
        <v>10000.0</v>
      </c>
      <c r="E27" s="9">
        <f si="0" t="shared"/>
        <v>52000</v>
      </c>
      <c r="G27">
        <v>16</v>
      </c>
      <c r="H27" s="16" t="n">
        <v>70000.0</v>
      </c>
      <c r="I27" s="16" t="n">
        <v>0.0</v>
      </c>
      <c r="J27" s="16" t="n">
        <v>10000.0</v>
      </c>
      <c r="K27">
        <f si="1" t="shared"/>
        <v>52000</v>
      </c>
      <c r="W27" s="9"/>
    </row>
    <row r="28" spans="1:23" x14ac:dyDescent="0.45">
      <c r="A28">
        <v>17</v>
      </c>
      <c r="B28" s="9" t="n">
        <v>50000.0</v>
      </c>
      <c r="C28" s="9" t="n">
        <v>10000.0</v>
      </c>
      <c r="D28" s="9" t="n">
        <v>0.0</v>
      </c>
      <c r="E28" s="9">
        <f si="0" t="shared"/>
        <v>60000</v>
      </c>
      <c r="G28">
        <v>17</v>
      </c>
      <c r="H28" s="16" t="n">
        <v>50000.0</v>
      </c>
      <c r="I28" s="16" t="n">
        <v>10000.0</v>
      </c>
      <c r="J28" s="16" t="n">
        <v>0.0</v>
      </c>
      <c r="K28">
        <f si="1" t="shared"/>
        <v>60000</v>
      </c>
      <c r="W28" s="9"/>
    </row>
    <row r="29" spans="1:23" x14ac:dyDescent="0.45">
      <c r="A29">
        <v>18</v>
      </c>
      <c r="B29" s="9" t="n">
        <v>40000.0</v>
      </c>
      <c r="C29" s="9" t="n">
        <v>0.0</v>
      </c>
      <c r="D29" s="9" t="n">
        <v>10000.0</v>
      </c>
      <c r="E29" s="9">
        <f si="0" t="shared"/>
        <v>54000</v>
      </c>
      <c r="G29">
        <v>18</v>
      </c>
      <c r="H29" s="16" t="n">
        <v>40000.0</v>
      </c>
      <c r="I29" s="16" t="n">
        <v>0.0</v>
      </c>
      <c r="J29" s="16" t="n">
        <v>10000.0</v>
      </c>
      <c r="K29">
        <f si="1" t="shared"/>
        <v>54000</v>
      </c>
      <c r="W29" s="9"/>
    </row>
    <row r="30" spans="1:23" x14ac:dyDescent="0.45">
      <c r="A30">
        <v>19</v>
      </c>
      <c r="B30" s="9" t="n">
        <v>30000.0</v>
      </c>
      <c r="C30" s="9" t="n">
        <v>10000.0</v>
      </c>
      <c r="D30" s="9" t="n">
        <v>10000.0</v>
      </c>
      <c r="E30" s="9">
        <f si="0" t="shared"/>
        <v>51000</v>
      </c>
      <c r="G30">
        <v>19</v>
      </c>
      <c r="H30" s="16" t="n">
        <v>30000.0</v>
      </c>
      <c r="I30" s="16" t="n">
        <v>10000.0</v>
      </c>
      <c r="J30" s="16" t="n">
        <v>10000.0</v>
      </c>
      <c r="K30">
        <f si="1" t="shared"/>
        <v>51000</v>
      </c>
      <c r="W30" s="9"/>
    </row>
    <row r="31" spans="1:23" x14ac:dyDescent="0.45">
      <c r="A31">
        <v>20</v>
      </c>
      <c r="B31" s="9" t="n">
        <v>40000.0</v>
      </c>
      <c r="C31" s="9" t="n">
        <v>0.0</v>
      </c>
      <c r="D31" s="9" t="n">
        <v>0.0</v>
      </c>
      <c r="E31" s="9">
        <f si="0" t="shared"/>
        <v>43000</v>
      </c>
      <c r="G31">
        <v>20</v>
      </c>
      <c r="H31" s="16" t="n">
        <v>40000.0</v>
      </c>
      <c r="I31" s="16" t="n">
        <v>0.0</v>
      </c>
      <c r="J31" s="16" t="n">
        <v>0.0</v>
      </c>
      <c r="K31">
        <f si="1" t="shared"/>
        <v>43000</v>
      </c>
      <c r="W31" s="9"/>
    </row>
    <row r="32" spans="1:23" x14ac:dyDescent="0.45">
      <c r="A32">
        <v>21</v>
      </c>
      <c r="B32" s="9" t="n">
        <v>40000.0</v>
      </c>
      <c r="C32" s="9" t="n">
        <v>0.0</v>
      </c>
      <c r="D32" s="9" t="n">
        <v>30000.0</v>
      </c>
      <c r="E32" s="9">
        <f si="0" t="shared"/>
        <v>48000</v>
      </c>
      <c r="G32">
        <v>21</v>
      </c>
      <c r="H32" s="16" t="n">
        <v>40000.0</v>
      </c>
      <c r="I32" s="16" t="n">
        <v>0.0</v>
      </c>
      <c r="J32" s="16" t="n">
        <v>30000.0</v>
      </c>
      <c r="K32">
        <f si="1" t="shared"/>
        <v>48000</v>
      </c>
      <c r="W32" s="9"/>
    </row>
    <row r="33" spans="1:23" x14ac:dyDescent="0.45">
      <c r="A33">
        <v>22</v>
      </c>
      <c r="B33" s="9" t="n">
        <v>50000.0</v>
      </c>
      <c r="C33" s="9" t="n">
        <v>0.0</v>
      </c>
      <c r="D33" s="9" t="n">
        <v>0.0</v>
      </c>
      <c r="E33" s="9">
        <f si="0" t="shared"/>
        <v>43000</v>
      </c>
      <c r="G33">
        <v>22</v>
      </c>
      <c r="H33" s="16" t="n">
        <v>50000.0</v>
      </c>
      <c r="I33" s="16" t="n">
        <v>0.0</v>
      </c>
      <c r="J33" s="16" t="n">
        <v>0.0</v>
      </c>
      <c r="K33">
        <f si="1" t="shared"/>
        <v>43000</v>
      </c>
      <c r="W33" s="9"/>
    </row>
    <row r="34" spans="1:23" x14ac:dyDescent="0.45">
      <c r="A34">
        <v>23</v>
      </c>
      <c r="B34" s="9" t="n">
        <v>30000.0</v>
      </c>
      <c r="C34" s="9" t="n">
        <v>10000.0</v>
      </c>
      <c r="D34" s="9" t="n">
        <v>10000.0</v>
      </c>
      <c r="E34" s="9">
        <f si="0" t="shared"/>
        <v>43000</v>
      </c>
      <c r="G34">
        <v>23</v>
      </c>
      <c r="H34" s="16" t="n">
        <v>30000.0</v>
      </c>
      <c r="I34" s="16" t="n">
        <v>10000.0</v>
      </c>
      <c r="J34" s="16" t="n">
        <v>10000.0</v>
      </c>
      <c r="K34">
        <f si="1" t="shared"/>
        <v>43000</v>
      </c>
      <c r="W34" s="9"/>
    </row>
    <row r="35" spans="1:23" x14ac:dyDescent="0.45">
      <c r="A35">
        <v>24</v>
      </c>
      <c r="B35" s="9" t="n">
        <v>0.0</v>
      </c>
      <c r="C35" s="9" t="n">
        <v>0.0</v>
      </c>
      <c r="D35" s="9" t="n">
        <v>0.0</v>
      </c>
      <c r="E35" s="9">
        <f si="0" t="shared"/>
        <v>40000</v>
      </c>
      <c r="G35">
        <v>24</v>
      </c>
      <c r="H35" s="16" t="n">
        <v>0.0</v>
      </c>
      <c r="I35" s="16" t="n">
        <v>0.0</v>
      </c>
      <c r="J35" s="16" t="n">
        <v>0.0</v>
      </c>
      <c r="K35">
        <f si="1" t="shared"/>
        <v>40000</v>
      </c>
      <c r="W35" s="9"/>
    </row>
    <row r="36" spans="1:23" x14ac:dyDescent="0.45">
      <c r="A36">
        <v>25</v>
      </c>
      <c r="B36" s="9" t="n">
        <v>10000.0</v>
      </c>
      <c r="C36" s="9" t="n">
        <v>0.0</v>
      </c>
      <c r="D36" s="9" t="n">
        <v>10000.0</v>
      </c>
      <c r="E36" s="9">
        <f si="0" t="shared"/>
        <v>25000</v>
      </c>
      <c r="G36">
        <v>25</v>
      </c>
      <c r="H36" s="16" t="n">
        <v>10000.0</v>
      </c>
      <c r="I36" s="16" t="n">
        <v>0.0</v>
      </c>
      <c r="J36" s="16" t="n">
        <v>10000.0</v>
      </c>
      <c r="K36">
        <f si="1" t="shared"/>
        <v>25000</v>
      </c>
      <c r="W36" s="9"/>
    </row>
    <row r="37" spans="1:23" x14ac:dyDescent="0.45">
      <c r="A37">
        <v>26</v>
      </c>
      <c r="B37" s="9" t="n">
        <v>40000.0</v>
      </c>
      <c r="C37" s="9" t="n">
        <v>20000.0</v>
      </c>
      <c r="D37" s="9" t="n">
        <v>0.0</v>
      </c>
      <c r="E37" s="9">
        <f si="0" t="shared"/>
        <v>44000</v>
      </c>
      <c r="G37">
        <v>26</v>
      </c>
      <c r="H37" s="16" t="n">
        <v>40000.0</v>
      </c>
      <c r="I37" s="16" t="n">
        <v>20000.0</v>
      </c>
      <c r="J37" s="16" t="n">
        <v>0.0</v>
      </c>
      <c r="K37">
        <f si="1" t="shared"/>
        <v>44000</v>
      </c>
      <c r="W37" s="9"/>
    </row>
    <row r="38" spans="1:23" x14ac:dyDescent="0.45">
      <c r="A38">
        <v>27</v>
      </c>
      <c r="B38" s="9" t="n">
        <v>10000.0</v>
      </c>
      <c r="C38" s="9" t="n">
        <v>20000.0</v>
      </c>
      <c r="D38" s="9" t="n">
        <v>0.0</v>
      </c>
      <c r="E38" s="9">
        <f si="0" t="shared"/>
        <v>45000</v>
      </c>
      <c r="G38">
        <v>27</v>
      </c>
      <c r="H38" s="16" t="n">
        <v>10000.0</v>
      </c>
      <c r="I38" s="16" t="n">
        <v>20000.0</v>
      </c>
      <c r="J38" s="16" t="n">
        <v>0.0</v>
      </c>
      <c r="K38">
        <f si="1" t="shared"/>
        <v>45000</v>
      </c>
      <c r="W38" s="9"/>
    </row>
    <row r="39" spans="1:23" x14ac:dyDescent="0.45">
      <c r="A39">
        <v>28</v>
      </c>
      <c r="B39" s="9" t="n">
        <v>20000.0</v>
      </c>
      <c r="C39" s="9" t="n">
        <v>0.0</v>
      </c>
      <c r="D39" s="9" t="n">
        <v>0.0</v>
      </c>
      <c r="E39" s="9">
        <f si="0" t="shared"/>
        <v>29000</v>
      </c>
      <c r="G39">
        <v>28</v>
      </c>
      <c r="H39" s="16" t="n">
        <v>20000.0</v>
      </c>
      <c r="I39" s="16" t="n">
        <v>0.0</v>
      </c>
      <c r="J39" s="16" t="n">
        <v>0.0</v>
      </c>
      <c r="K39">
        <f si="1" t="shared"/>
        <v>29000</v>
      </c>
      <c r="W39" s="9"/>
    </row>
    <row r="40" spans="1:23" x14ac:dyDescent="0.45">
      <c r="A40">
        <v>29</v>
      </c>
      <c r="B40" s="9" t="n">
        <v>0.0</v>
      </c>
      <c r="C40" s="9" t="n">
        <v>30000.0</v>
      </c>
      <c r="D40" s="9" t="n">
        <v>10000.0</v>
      </c>
      <c r="E40" s="9">
        <f si="0" t="shared"/>
        <v>27000</v>
      </c>
      <c r="G40">
        <v>29</v>
      </c>
      <c r="H40" s="16" t="n">
        <v>0.0</v>
      </c>
      <c r="I40" s="16" t="n">
        <v>30000.0</v>
      </c>
      <c r="J40" s="16" t="n">
        <v>10000.0</v>
      </c>
      <c r="K40">
        <f si="1" t="shared"/>
        <v>27000</v>
      </c>
      <c r="W40" s="9"/>
    </row>
    <row r="41" spans="1:23" x14ac:dyDescent="0.45">
      <c r="A41">
        <v>30</v>
      </c>
      <c r="B41" s="9" t="n">
        <v>10000.0</v>
      </c>
      <c r="C41" s="9" t="n">
        <v>0.0</v>
      </c>
      <c r="D41" s="9" t="n">
        <v>0.0</v>
      </c>
      <c r="E41" s="9">
        <f si="0" t="shared"/>
        <v>16000</v>
      </c>
      <c r="G41">
        <v>30</v>
      </c>
      <c r="H41" s="16" t="n">
        <v>10000.0</v>
      </c>
      <c r="I41" s="16" t="n">
        <v>0.0</v>
      </c>
      <c r="J41" s="16" t="n">
        <v>0.0</v>
      </c>
      <c r="K41">
        <f si="1" t="shared"/>
        <v>16000</v>
      </c>
      <c r="W41" s="9"/>
    </row>
    <row r="42" spans="1:23" x14ac:dyDescent="0.45">
      <c r="A42">
        <v>31</v>
      </c>
      <c r="B42" s="9" t="n">
        <v>10000.0</v>
      </c>
      <c r="C42" s="9" t="n">
        <v>0.0</v>
      </c>
      <c r="D42" s="9" t="n">
        <v>0.0</v>
      </c>
      <c r="E42" s="9">
        <f si="0" t="shared"/>
        <v>26000</v>
      </c>
      <c r="G42">
        <v>31</v>
      </c>
      <c r="H42" s="16" t="n">
        <v>10000.0</v>
      </c>
      <c r="I42" s="16" t="n">
        <v>0.0</v>
      </c>
      <c r="J42" s="16" t="n">
        <v>0.0</v>
      </c>
      <c r="K42">
        <f si="1" t="shared"/>
        <v>26000</v>
      </c>
      <c r="W42" s="9"/>
    </row>
    <row r="43" spans="1:23" x14ac:dyDescent="0.45">
      <c r="A43">
        <v>32</v>
      </c>
      <c r="B43" s="9" t="n">
        <v>30000.0</v>
      </c>
      <c r="C43" s="9" t="n">
        <v>0.0</v>
      </c>
      <c r="D43" s="9" t="n">
        <v>0.0</v>
      </c>
      <c r="E43" s="9">
        <f si="0" t="shared"/>
        <v>25000</v>
      </c>
      <c r="G43">
        <v>32</v>
      </c>
      <c r="H43" s="16" t="n">
        <v>30000.0</v>
      </c>
      <c r="I43" s="16" t="n">
        <v>0.0</v>
      </c>
      <c r="J43" s="16" t="n">
        <v>0.0</v>
      </c>
      <c r="K43">
        <f si="1" t="shared"/>
        <v>25000</v>
      </c>
      <c r="W43" s="9"/>
    </row>
    <row r="44" spans="1:23" x14ac:dyDescent="0.45">
      <c r="A44">
        <v>33</v>
      </c>
      <c r="B44" s="9" t="n">
        <v>10000.0</v>
      </c>
      <c r="C44" s="9" t="n">
        <v>10000.0</v>
      </c>
      <c r="D44" s="9" t="n">
        <v>0.0</v>
      </c>
      <c r="E44" s="9">
        <f si="0" t="shared"/>
        <v>21000</v>
      </c>
      <c r="G44">
        <v>33</v>
      </c>
      <c r="H44" s="16" t="n">
        <v>10000.0</v>
      </c>
      <c r="I44" s="16" t="n">
        <v>10000.0</v>
      </c>
      <c r="J44" s="16" t="n">
        <v>0.0</v>
      </c>
      <c r="K44">
        <f si="1" t="shared"/>
        <v>21000</v>
      </c>
      <c r="W44" s="9"/>
    </row>
    <row r="45" spans="1:23" x14ac:dyDescent="0.45">
      <c r="A45">
        <v>34</v>
      </c>
      <c r="B45" s="9" t="n">
        <v>30000.0</v>
      </c>
      <c r="C45" s="9" t="n">
        <v>10000.0</v>
      </c>
      <c r="D45" s="9" t="n">
        <v>0.0</v>
      </c>
      <c r="E45" s="9">
        <f si="0" t="shared"/>
        <v>28000</v>
      </c>
      <c r="G45">
        <v>34</v>
      </c>
      <c r="H45" s="16" t="n">
        <v>30000.0</v>
      </c>
      <c r="I45" s="16" t="n">
        <v>10000.0</v>
      </c>
      <c r="J45" s="16" t="n">
        <v>0.0</v>
      </c>
      <c r="K45">
        <f si="1" t="shared"/>
        <v>28000</v>
      </c>
      <c r="W45" s="9"/>
    </row>
    <row r="46" spans="1:23" x14ac:dyDescent="0.45">
      <c r="A46">
        <v>35</v>
      </c>
      <c r="B46" s="9" t="n">
        <v>10000.0</v>
      </c>
      <c r="C46" s="9" t="n">
        <v>0.0</v>
      </c>
      <c r="D46" s="9" t="n">
        <v>0.0</v>
      </c>
      <c r="E46" s="9">
        <f si="0" t="shared"/>
        <v>21000</v>
      </c>
      <c r="G46">
        <v>35</v>
      </c>
      <c r="H46" s="16" t="n">
        <v>10000.0</v>
      </c>
      <c r="I46" s="16" t="n">
        <v>0.0</v>
      </c>
      <c r="J46" s="16" t="n">
        <v>0.0</v>
      </c>
      <c r="K46">
        <f si="1" t="shared"/>
        <v>21000</v>
      </c>
      <c r="W46" s="9"/>
    </row>
    <row r="47" spans="1:23" x14ac:dyDescent="0.45">
      <c r="A47">
        <v>36</v>
      </c>
      <c r="B47" s="9" t="n">
        <v>20000.0</v>
      </c>
      <c r="C47" s="9" t="n">
        <v>10000.0</v>
      </c>
      <c r="D47" s="9" t="n">
        <v>0.0</v>
      </c>
      <c r="E47" s="9">
        <f si="0" t="shared"/>
        <v>22000</v>
      </c>
      <c r="G47">
        <v>36</v>
      </c>
      <c r="H47" s="16" t="n">
        <v>20000.0</v>
      </c>
      <c r="I47" s="16" t="n">
        <v>10000.0</v>
      </c>
      <c r="J47" s="16" t="n">
        <v>0.0</v>
      </c>
      <c r="K47">
        <f si="1" t="shared"/>
        <v>22000</v>
      </c>
      <c r="W47" s="9"/>
    </row>
    <row r="48" spans="1:23" x14ac:dyDescent="0.45">
      <c r="A48">
        <v>37</v>
      </c>
      <c r="B48" s="9" t="n">
        <v>20000.0</v>
      </c>
      <c r="C48" s="9" t="n">
        <v>0.0</v>
      </c>
      <c r="D48" s="9" t="n">
        <v>0.0</v>
      </c>
      <c r="E48" s="9">
        <f si="0" t="shared"/>
        <v>16000</v>
      </c>
      <c r="G48">
        <v>37</v>
      </c>
      <c r="H48" s="16" t="n">
        <v>20000.0</v>
      </c>
      <c r="I48" s="16" t="n">
        <v>0.0</v>
      </c>
      <c r="J48" s="16" t="n">
        <v>0.0</v>
      </c>
      <c r="K48">
        <f si="1" t="shared"/>
        <v>16000</v>
      </c>
      <c r="W48" s="9"/>
    </row>
    <row r="49" spans="1:23" x14ac:dyDescent="0.45">
      <c r="A49">
        <v>38</v>
      </c>
      <c r="B49" s="9" t="n">
        <v>0.0</v>
      </c>
      <c r="C49" s="9" t="n">
        <v>0.0</v>
      </c>
      <c r="D49" s="9" t="n">
        <v>0.0</v>
      </c>
      <c r="E49" s="9">
        <f si="0" t="shared"/>
        <v>22000</v>
      </c>
      <c r="G49">
        <v>38</v>
      </c>
      <c r="H49" s="16" t="n">
        <v>0.0</v>
      </c>
      <c r="I49" s="16" t="n">
        <v>0.0</v>
      </c>
      <c r="J49" s="16" t="n">
        <v>0.0</v>
      </c>
      <c r="K49">
        <f si="1" t="shared"/>
        <v>22000</v>
      </c>
      <c r="W49" s="9"/>
    </row>
    <row r="50" spans="1:23" x14ac:dyDescent="0.45">
      <c r="A50">
        <v>39</v>
      </c>
      <c r="B50" s="9" t="n">
        <v>30000.0</v>
      </c>
      <c r="C50" s="9" t="n">
        <v>0.0</v>
      </c>
      <c r="D50" s="9" t="n">
        <v>0.0</v>
      </c>
      <c r="E50" s="9">
        <f si="0" t="shared"/>
        <v>32000</v>
      </c>
      <c r="G50">
        <v>39</v>
      </c>
      <c r="H50" s="16" t="n">
        <v>30000.0</v>
      </c>
      <c r="I50" s="16" t="n">
        <v>0.0</v>
      </c>
      <c r="J50" s="16" t="n">
        <v>0.0</v>
      </c>
      <c r="K50">
        <f si="1" t="shared"/>
        <v>32000</v>
      </c>
      <c r="W50" s="9"/>
    </row>
    <row r="51" spans="1:23" x14ac:dyDescent="0.45">
      <c r="A51">
        <v>40</v>
      </c>
      <c r="B51" s="9" t="n">
        <v>10000.0</v>
      </c>
      <c r="C51" s="9" t="n">
        <v>10000.0</v>
      </c>
      <c r="D51" s="9" t="n">
        <v>10000.0</v>
      </c>
      <c r="E51" s="9">
        <f si="0" t="shared"/>
        <v>15000</v>
      </c>
      <c r="G51">
        <v>40</v>
      </c>
      <c r="H51" s="16" t="n">
        <v>10000.0</v>
      </c>
      <c r="I51" s="16" t="n">
        <v>10000.0</v>
      </c>
      <c r="J51" s="16" t="n">
        <v>10000.0</v>
      </c>
      <c r="K51">
        <f si="1" t="shared"/>
        <v>15000</v>
      </c>
      <c r="W51" s="9"/>
    </row>
    <row r="52" spans="1:23" x14ac:dyDescent="0.45">
      <c r="A52">
        <v>41</v>
      </c>
      <c r="B52" s="9" t="n">
        <v>0.0</v>
      </c>
      <c r="C52" s="9" t="n">
        <v>0.0</v>
      </c>
      <c r="D52" s="9" t="n">
        <v>0.0</v>
      </c>
      <c r="E52" s="9">
        <f si="0" t="shared"/>
        <v>15000</v>
      </c>
      <c r="G52">
        <v>41</v>
      </c>
      <c r="H52" s="16" t="n">
        <v>0.0</v>
      </c>
      <c r="I52" s="16" t="n">
        <v>0.0</v>
      </c>
      <c r="J52" s="16" t="n">
        <v>0.0</v>
      </c>
      <c r="K52">
        <f si="1" t="shared"/>
        <v>15000</v>
      </c>
      <c r="W52" s="9"/>
    </row>
    <row r="53" spans="1:23" x14ac:dyDescent="0.45">
      <c r="A53">
        <v>42</v>
      </c>
      <c r="B53" s="9" t="n">
        <v>40000.0</v>
      </c>
      <c r="C53" s="9" t="n">
        <v>0.0</v>
      </c>
      <c r="D53" s="9" t="n">
        <v>0.0</v>
      </c>
      <c r="E53" s="9">
        <f si="0" t="shared"/>
        <v>16000</v>
      </c>
      <c r="G53">
        <v>42</v>
      </c>
      <c r="H53" s="16" t="n">
        <v>40000.0</v>
      </c>
      <c r="I53" s="16" t="n">
        <v>0.0</v>
      </c>
      <c r="J53" s="16" t="n">
        <v>0.0</v>
      </c>
      <c r="K53">
        <f si="1" t="shared"/>
        <v>16000</v>
      </c>
      <c r="W53" s="9"/>
    </row>
    <row r="54" spans="1:23" x14ac:dyDescent="0.45">
      <c r="A54">
        <v>43</v>
      </c>
      <c r="B54" s="9" t="n">
        <v>0.0</v>
      </c>
      <c r="C54" s="9" t="n">
        <v>0.0</v>
      </c>
      <c r="D54" s="9" t="n">
        <v>0.0</v>
      </c>
      <c r="E54" s="9">
        <f si="0" t="shared"/>
        <v>13000</v>
      </c>
      <c r="G54">
        <v>43</v>
      </c>
      <c r="H54" s="16" t="n">
        <v>0.0</v>
      </c>
      <c r="I54" s="16" t="n">
        <v>0.0</v>
      </c>
      <c r="J54" s="16" t="n">
        <v>0.0</v>
      </c>
      <c r="K54">
        <f si="1" t="shared"/>
        <v>13000</v>
      </c>
      <c r="W54" s="9"/>
    </row>
    <row r="55" spans="1:23" x14ac:dyDescent="0.45">
      <c r="A55">
        <v>44</v>
      </c>
      <c r="B55" s="9" t="n">
        <v>10000.0</v>
      </c>
      <c r="C55" s="9" t="n">
        <v>0.0</v>
      </c>
      <c r="D55" s="9" t="n">
        <v>0.0</v>
      </c>
      <c r="E55" s="9">
        <f si="0" t="shared"/>
        <v>12000</v>
      </c>
      <c r="G55">
        <v>44</v>
      </c>
      <c r="H55" s="16" t="n">
        <v>10000.0</v>
      </c>
      <c r="I55" s="16" t="n">
        <v>0.0</v>
      </c>
      <c r="J55" s="16" t="n">
        <v>0.0</v>
      </c>
      <c r="K55">
        <f si="1" t="shared"/>
        <v>12000</v>
      </c>
      <c r="W55" s="9"/>
    </row>
    <row r="56" spans="1:23" x14ac:dyDescent="0.45">
      <c r="A56">
        <v>45</v>
      </c>
      <c r="B56" s="9" t="n">
        <v>10000.0</v>
      </c>
      <c r="C56" s="9" t="n">
        <v>0.0</v>
      </c>
      <c r="D56" s="9" t="n">
        <v>0.0</v>
      </c>
      <c r="E56" s="9">
        <f si="0" t="shared"/>
        <v>17000</v>
      </c>
      <c r="G56">
        <v>45</v>
      </c>
      <c r="H56" s="16" t="n">
        <v>10000.0</v>
      </c>
      <c r="I56" s="16" t="n">
        <v>0.0</v>
      </c>
      <c r="J56" s="16" t="n">
        <v>0.0</v>
      </c>
      <c r="K56">
        <f si="1" t="shared"/>
        <v>17000</v>
      </c>
      <c r="W56" s="9"/>
    </row>
    <row r="57" spans="1:23" x14ac:dyDescent="0.45">
      <c r="A57">
        <v>46</v>
      </c>
      <c r="B57" s="9" t="n">
        <v>0.0</v>
      </c>
      <c r="C57" s="9" t="n">
        <v>0.0</v>
      </c>
      <c r="D57" s="9" t="n">
        <v>0.0</v>
      </c>
      <c r="E57" s="9">
        <f si="0" t="shared"/>
        <v>11000</v>
      </c>
      <c r="G57">
        <v>46</v>
      </c>
      <c r="H57" s="16" t="n">
        <v>0.0</v>
      </c>
      <c r="I57" s="16" t="n">
        <v>0.0</v>
      </c>
      <c r="J57" s="16" t="n">
        <v>0.0</v>
      </c>
      <c r="K57">
        <f si="1" t="shared"/>
        <v>11000</v>
      </c>
      <c r="W57" s="9"/>
    </row>
    <row r="58" spans="1:23" x14ac:dyDescent="0.45">
      <c r="A58">
        <v>47</v>
      </c>
      <c r="B58" s="9" t="n">
        <v>10000.0</v>
      </c>
      <c r="C58" s="9" t="n">
        <v>0.0</v>
      </c>
      <c r="D58" s="9" t="n">
        <v>0.0</v>
      </c>
      <c r="E58" s="9">
        <f si="0" t="shared"/>
        <v>15000</v>
      </c>
      <c r="G58">
        <v>47</v>
      </c>
      <c r="H58" s="16" t="n">
        <v>10000.0</v>
      </c>
      <c r="I58" s="16" t="n">
        <v>0.0</v>
      </c>
      <c r="J58" s="16" t="n">
        <v>0.0</v>
      </c>
      <c r="K58">
        <f si="1" t="shared"/>
        <v>15000</v>
      </c>
      <c r="W58" s="9"/>
    </row>
    <row r="59" spans="1:23" x14ac:dyDescent="0.45">
      <c r="A59">
        <v>48</v>
      </c>
      <c r="B59" s="9" t="n">
        <v>0.0</v>
      </c>
      <c r="C59" s="9" t="n">
        <v>10000.0</v>
      </c>
      <c r="D59" s="9" t="n">
        <v>0.0</v>
      </c>
      <c r="E59" s="9">
        <f si="0" t="shared"/>
        <v>14000</v>
      </c>
      <c r="G59">
        <v>48</v>
      </c>
      <c r="H59" s="16" t="n">
        <v>0.0</v>
      </c>
      <c r="I59" s="16" t="n">
        <v>10000.0</v>
      </c>
      <c r="J59" s="16" t="n">
        <v>0.0</v>
      </c>
      <c r="K59">
        <f si="1" t="shared"/>
        <v>14000</v>
      </c>
      <c r="W59" s="9"/>
    </row>
    <row r="60" spans="1:23" x14ac:dyDescent="0.45">
      <c r="A60">
        <v>49</v>
      </c>
      <c r="B60" s="9" t="n">
        <v>10000.0</v>
      </c>
      <c r="C60" s="9" t="n">
        <v>0.0</v>
      </c>
      <c r="D60" s="9" t="n">
        <v>0.0</v>
      </c>
      <c r="E60" s="9">
        <f si="0" t="shared"/>
        <v>12000</v>
      </c>
      <c r="G60">
        <v>49</v>
      </c>
      <c r="H60" s="16" t="n">
        <v>10000.0</v>
      </c>
      <c r="I60" s="16" t="n">
        <v>0.0</v>
      </c>
      <c r="J60" s="16" t="n">
        <v>0.0</v>
      </c>
      <c r="K60">
        <f si="1" t="shared"/>
        <v>12000</v>
      </c>
      <c r="W60" s="9"/>
    </row>
    <row r="61" spans="1:23" x14ac:dyDescent="0.45">
      <c r="A61">
        <v>50</v>
      </c>
      <c r="B61" s="9" t="n">
        <v>10000.0</v>
      </c>
      <c r="C61" s="9" t="n">
        <v>0.0</v>
      </c>
      <c r="D61" s="9" t="n">
        <v>0.0</v>
      </c>
      <c r="E61" s="9">
        <f si="0" t="shared"/>
        <v>8000</v>
      </c>
      <c r="G61">
        <v>50</v>
      </c>
      <c r="H61" s="16" t="n">
        <v>10000.0</v>
      </c>
      <c r="I61" s="16" t="n">
        <v>0.0</v>
      </c>
      <c r="J61" s="16" t="n">
        <v>0.0</v>
      </c>
      <c r="K61">
        <f si="1" t="shared"/>
        <v>8000</v>
      </c>
      <c r="W61" s="9"/>
    </row>
    <row r="62" spans="1:23" x14ac:dyDescent="0.45">
      <c r="A62">
        <v>51</v>
      </c>
      <c r="B62" s="9" t="n">
        <v>10000.0</v>
      </c>
      <c r="C62" s="9" t="n">
        <v>0.0</v>
      </c>
      <c r="D62" s="9" t="n">
        <v>0.0</v>
      </c>
      <c r="E62" s="9">
        <f si="0" t="shared"/>
        <v>10000</v>
      </c>
      <c r="G62">
        <v>51</v>
      </c>
      <c r="H62" s="16" t="n">
        <v>10000.0</v>
      </c>
      <c r="I62" s="16" t="n">
        <v>0.0</v>
      </c>
      <c r="J62" s="16" t="n">
        <v>0.0</v>
      </c>
      <c r="K62">
        <f si="1" t="shared"/>
        <v>10000</v>
      </c>
      <c r="W62" s="9"/>
    </row>
    <row r="63" spans="1:23" x14ac:dyDescent="0.45">
      <c r="A63">
        <v>52</v>
      </c>
      <c r="B63" s="9" t="n">
        <v>20000.0</v>
      </c>
      <c r="C63" s="9" t="n">
        <v>0.0</v>
      </c>
      <c r="D63" s="9" t="n">
        <v>0.0</v>
      </c>
      <c r="E63" s="9">
        <f si="0" t="shared"/>
        <v>10000</v>
      </c>
      <c r="G63">
        <v>52</v>
      </c>
      <c r="H63" s="16" t="n">
        <v>20000.0</v>
      </c>
      <c r="I63" s="16" t="n">
        <v>0.0</v>
      </c>
      <c r="J63" s="16" t="n">
        <v>0.0</v>
      </c>
      <c r="K63">
        <f si="1" t="shared"/>
        <v>10000</v>
      </c>
      <c r="W63" s="9"/>
    </row>
    <row r="64" spans="1:23" x14ac:dyDescent="0.45">
      <c r="A64">
        <v>53</v>
      </c>
      <c r="B64" s="9" t="n">
        <v>40000.0</v>
      </c>
      <c r="C64" s="9" t="n">
        <v>0.0</v>
      </c>
      <c r="D64" s="9" t="n">
        <v>0.0</v>
      </c>
      <c r="E64" s="9">
        <f si="0" t="shared"/>
        <v>14000</v>
      </c>
      <c r="G64">
        <v>53</v>
      </c>
      <c r="H64" s="16" t="n">
        <v>40000.0</v>
      </c>
      <c r="I64" s="16" t="n">
        <v>0.0</v>
      </c>
      <c r="J64" s="16" t="n">
        <v>0.0</v>
      </c>
      <c r="K64">
        <f si="1" t="shared"/>
        <v>14000</v>
      </c>
      <c r="W64" s="9"/>
    </row>
    <row r="65" spans="1:23" x14ac:dyDescent="0.45">
      <c r="A65">
        <v>54</v>
      </c>
      <c r="B65" s="9" t="n">
        <v>0.0</v>
      </c>
      <c r="C65" s="9" t="n">
        <v>0.0</v>
      </c>
      <c r="D65" s="9" t="n">
        <v>0.0</v>
      </c>
      <c r="E65" s="9">
        <f si="0" t="shared"/>
        <v>5000</v>
      </c>
      <c r="G65">
        <v>54</v>
      </c>
      <c r="H65" s="16" t="n">
        <v>0.0</v>
      </c>
      <c r="I65" s="16" t="n">
        <v>0.0</v>
      </c>
      <c r="J65" s="16" t="n">
        <v>0.0</v>
      </c>
      <c r="K65">
        <f si="1" t="shared"/>
        <v>5000</v>
      </c>
      <c r="W65" s="9"/>
    </row>
    <row r="66" spans="1:23" x14ac:dyDescent="0.45">
      <c r="A66">
        <v>55</v>
      </c>
      <c r="B66" s="9" t="n">
        <v>0.0</v>
      </c>
      <c r="C66" s="9" t="n">
        <v>0.0</v>
      </c>
      <c r="D66" s="9" t="n">
        <v>0.0</v>
      </c>
      <c r="E66" s="9">
        <f si="0" t="shared"/>
        <v>7000</v>
      </c>
      <c r="G66">
        <v>55</v>
      </c>
      <c r="H66" s="16" t="n">
        <v>0.0</v>
      </c>
      <c r="I66" s="16" t="n">
        <v>0.0</v>
      </c>
      <c r="J66" s="16" t="n">
        <v>0.0</v>
      </c>
      <c r="K66">
        <f si="1" t="shared"/>
        <v>7000</v>
      </c>
      <c r="W66" s="9"/>
    </row>
    <row r="67" spans="1:23" x14ac:dyDescent="0.45">
      <c r="A67">
        <v>56</v>
      </c>
      <c r="B67" s="9" t="n">
        <v>0.0</v>
      </c>
      <c r="C67" s="9" t="n">
        <v>0.0</v>
      </c>
      <c r="D67" s="9" t="n">
        <v>0.0</v>
      </c>
      <c r="E67" s="9">
        <f si="0" t="shared"/>
        <v>9000</v>
      </c>
      <c r="G67">
        <v>56</v>
      </c>
      <c r="H67" s="16" t="n">
        <v>0.0</v>
      </c>
      <c r="I67" s="16" t="n">
        <v>0.0</v>
      </c>
      <c r="J67" s="16" t="n">
        <v>0.0</v>
      </c>
      <c r="K67">
        <f si="1" t="shared"/>
        <v>9000</v>
      </c>
      <c r="W67" s="9"/>
    </row>
    <row r="68" spans="1:23" x14ac:dyDescent="0.45">
      <c r="A68">
        <v>57</v>
      </c>
      <c r="B68" s="9" t="n">
        <v>0.0</v>
      </c>
      <c r="C68" s="9" t="n">
        <v>0.0</v>
      </c>
      <c r="D68" s="9" t="n">
        <v>0.0</v>
      </c>
      <c r="E68" s="9">
        <f si="0" t="shared"/>
        <v>8000</v>
      </c>
      <c r="G68">
        <v>57</v>
      </c>
      <c r="H68" s="16" t="n">
        <v>0.0</v>
      </c>
      <c r="I68" s="16" t="n">
        <v>0.0</v>
      </c>
      <c r="J68" s="16" t="n">
        <v>0.0</v>
      </c>
      <c r="K68">
        <f si="1" t="shared"/>
        <v>8000</v>
      </c>
      <c r="W68" s="9"/>
    </row>
    <row r="69" spans="1:23" x14ac:dyDescent="0.45">
      <c r="A69">
        <v>58</v>
      </c>
      <c r="B69" s="9" t="n">
        <v>0.0</v>
      </c>
      <c r="C69" s="9" t="n">
        <v>0.0</v>
      </c>
      <c r="D69" s="9" t="n">
        <v>0.0</v>
      </c>
      <c r="E69" s="9">
        <f si="0" t="shared"/>
        <v>5000</v>
      </c>
      <c r="G69">
        <v>58</v>
      </c>
      <c r="H69" s="16" t="n">
        <v>0.0</v>
      </c>
      <c r="I69" s="16" t="n">
        <v>0.0</v>
      </c>
      <c r="J69" s="16" t="n">
        <v>0.0</v>
      </c>
      <c r="K69">
        <f si="1" t="shared"/>
        <v>5000</v>
      </c>
      <c r="W69" s="9"/>
    </row>
    <row r="70" spans="1:23" x14ac:dyDescent="0.45">
      <c r="A70">
        <v>59</v>
      </c>
      <c r="B70" s="9" t="n">
        <v>10000.0</v>
      </c>
      <c r="C70" s="9" t="n">
        <v>0.0</v>
      </c>
      <c r="D70" s="9" t="n">
        <v>0.0</v>
      </c>
      <c r="E70" s="9">
        <f si="0" t="shared"/>
        <v>5000</v>
      </c>
      <c r="G70">
        <v>59</v>
      </c>
      <c r="H70" s="16" t="n">
        <v>10000.0</v>
      </c>
      <c r="I70" s="16" t="n">
        <v>0.0</v>
      </c>
      <c r="J70" s="16" t="n">
        <v>0.0</v>
      </c>
      <c r="K70">
        <f si="1" t="shared"/>
        <v>5000</v>
      </c>
      <c r="W70" s="9"/>
    </row>
    <row r="71" spans="1:23" x14ac:dyDescent="0.45">
      <c r="A71">
        <v>60</v>
      </c>
      <c r="B71" s="9" t="n">
        <v>0.0</v>
      </c>
      <c r="C71" s="9" t="n">
        <v>0.0</v>
      </c>
      <c r="D71" s="9" t="n">
        <v>0.0</v>
      </c>
      <c r="E71" s="9">
        <f si="0" t="shared"/>
        <v>9000</v>
      </c>
      <c r="G71">
        <v>60</v>
      </c>
      <c r="H71" s="16" t="n">
        <v>0.0</v>
      </c>
      <c r="I71" s="16" t="n">
        <v>0.0</v>
      </c>
      <c r="J71" s="16" t="n">
        <v>0.0</v>
      </c>
      <c r="K71">
        <f si="1" t="shared"/>
        <v>9000</v>
      </c>
      <c r="W71" s="9"/>
    </row>
    <row r="72" spans="1:23" x14ac:dyDescent="0.45">
      <c r="A72">
        <v>61</v>
      </c>
      <c r="B72" s="9" t="n">
        <v>10000.0</v>
      </c>
      <c r="C72" s="9" t="n">
        <v>0.0</v>
      </c>
      <c r="D72" s="9" t="n">
        <v>0.0</v>
      </c>
      <c r="E72" s="9">
        <f si="0" t="shared"/>
        <v>6000</v>
      </c>
      <c r="G72">
        <v>61</v>
      </c>
      <c r="H72" s="16" t="n">
        <v>10000.0</v>
      </c>
      <c r="I72" s="16" t="n">
        <v>0.0</v>
      </c>
      <c r="J72" s="16" t="n">
        <v>0.0</v>
      </c>
      <c r="K72">
        <f si="1" t="shared"/>
        <v>6000</v>
      </c>
      <c r="W72" s="9"/>
    </row>
    <row r="73" spans="1:23" x14ac:dyDescent="0.45">
      <c r="A73">
        <v>62</v>
      </c>
      <c r="B73" s="9" t="n">
        <v>0.0</v>
      </c>
      <c r="C73" s="9" t="n">
        <v>0.0</v>
      </c>
      <c r="D73" s="9" t="n">
        <v>0.0</v>
      </c>
      <c r="E73" s="9">
        <f si="0" t="shared"/>
        <v>2000</v>
      </c>
      <c r="G73">
        <v>62</v>
      </c>
      <c r="H73" s="16" t="n">
        <v>0.0</v>
      </c>
      <c r="I73" s="16" t="n">
        <v>0.0</v>
      </c>
      <c r="J73" s="16" t="n">
        <v>0.0</v>
      </c>
      <c r="K73">
        <f si="1" t="shared"/>
        <v>2000</v>
      </c>
      <c r="W73" s="9"/>
    </row>
    <row r="74" spans="1:23" x14ac:dyDescent="0.45">
      <c r="A74">
        <v>63</v>
      </c>
      <c r="B74" s="9" t="n">
        <v>0.0</v>
      </c>
      <c r="C74" s="9" t="n">
        <v>0.0</v>
      </c>
      <c r="D74" s="9" t="n">
        <v>0.0</v>
      </c>
      <c r="E74" s="9">
        <f si="0" t="shared"/>
        <v>2000</v>
      </c>
      <c r="G74">
        <v>63</v>
      </c>
      <c r="H74" s="16" t="n">
        <v>0.0</v>
      </c>
      <c r="I74" s="16" t="n">
        <v>0.0</v>
      </c>
      <c r="J74" s="16" t="n">
        <v>0.0</v>
      </c>
      <c r="K74">
        <f si="1" t="shared"/>
        <v>2000</v>
      </c>
      <c r="W74" s="9"/>
    </row>
    <row r="75" spans="1:23" x14ac:dyDescent="0.45">
      <c r="A75">
        <v>64</v>
      </c>
      <c r="B75" s="9" t="n">
        <v>0.0</v>
      </c>
      <c r="C75" s="9" t="n">
        <v>10000.0</v>
      </c>
      <c r="D75" s="9" t="n">
        <v>0.0</v>
      </c>
      <c r="E75" s="9">
        <f si="0" t="shared"/>
        <v>5000</v>
      </c>
      <c r="G75">
        <v>64</v>
      </c>
      <c r="H75" s="16" t="n">
        <v>0.0</v>
      </c>
      <c r="I75" s="16" t="n">
        <v>10000.0</v>
      </c>
      <c r="J75" s="16" t="n">
        <v>0.0</v>
      </c>
      <c r="K75">
        <f si="1" t="shared"/>
        <v>5000</v>
      </c>
      <c r="W75" s="9"/>
    </row>
    <row r="76" spans="1:23" x14ac:dyDescent="0.45">
      <c r="A76">
        <v>65</v>
      </c>
      <c r="B76" s="9" t="n">
        <v>0.0</v>
      </c>
      <c r="C76" s="9" t="n">
        <v>0.0</v>
      </c>
      <c r="D76" s="9" t="n">
        <v>0.0</v>
      </c>
      <c r="E76" s="9">
        <f ref="E76:E101" si="2" t="shared">SUM(B76:D76)</f>
        <v>5000</v>
      </c>
      <c r="G76">
        <v>65</v>
      </c>
      <c r="H76" s="16" t="n">
        <v>0.0</v>
      </c>
      <c r="I76" s="16" t="n">
        <v>0.0</v>
      </c>
      <c r="J76" s="16" t="n">
        <v>0.0</v>
      </c>
      <c r="K76">
        <f ref="K76:K101" si="3" t="shared">SUM(H76:J76)</f>
        <v>5000</v>
      </c>
      <c r="W76" s="9"/>
    </row>
    <row r="77" spans="1:23" x14ac:dyDescent="0.45">
      <c r="A77">
        <v>66</v>
      </c>
      <c r="B77" s="9" t="n">
        <v>0.0</v>
      </c>
      <c r="C77" s="9" t="n">
        <v>0.0</v>
      </c>
      <c r="D77" s="9" t="n">
        <v>0.0</v>
      </c>
      <c r="E77" s="9">
        <f si="2" t="shared"/>
        <v>4000</v>
      </c>
      <c r="G77">
        <v>66</v>
      </c>
      <c r="H77" s="16" t="n">
        <v>0.0</v>
      </c>
      <c r="I77" s="16" t="n">
        <v>0.0</v>
      </c>
      <c r="J77" s="16" t="n">
        <v>0.0</v>
      </c>
      <c r="K77">
        <f si="3" t="shared"/>
        <v>4000</v>
      </c>
      <c r="W77" s="9"/>
    </row>
    <row r="78" spans="1:23" x14ac:dyDescent="0.45">
      <c r="A78">
        <v>67</v>
      </c>
      <c r="B78" s="9" t="n">
        <v>20000.0</v>
      </c>
      <c r="C78" s="9" t="n">
        <v>0.0</v>
      </c>
      <c r="D78" s="9" t="n">
        <v>0.0</v>
      </c>
      <c r="E78" s="9">
        <f si="2" t="shared"/>
        <v>7000</v>
      </c>
      <c r="G78">
        <v>67</v>
      </c>
      <c r="H78" s="16" t="n">
        <v>20000.0</v>
      </c>
      <c r="I78" s="16" t="n">
        <v>0.0</v>
      </c>
      <c r="J78" s="16" t="n">
        <v>0.0</v>
      </c>
      <c r="K78">
        <f si="3" t="shared"/>
        <v>7000</v>
      </c>
      <c r="W78" s="9"/>
    </row>
    <row r="79" spans="1:23" x14ac:dyDescent="0.45">
      <c r="A79">
        <v>68</v>
      </c>
      <c r="B79" s="9" t="n">
        <v>20000.0</v>
      </c>
      <c r="C79" s="9" t="n">
        <v>0.0</v>
      </c>
      <c r="D79" s="9" t="n">
        <v>0.0</v>
      </c>
      <c r="E79" s="9">
        <f si="2" t="shared"/>
        <v>5000</v>
      </c>
      <c r="G79">
        <v>68</v>
      </c>
      <c r="H79" s="16" t="n">
        <v>20000.0</v>
      </c>
      <c r="I79" s="16" t="n">
        <v>0.0</v>
      </c>
      <c r="J79" s="16" t="n">
        <v>0.0</v>
      </c>
      <c r="K79">
        <f si="3" t="shared"/>
        <v>5000</v>
      </c>
      <c r="W79" s="9"/>
    </row>
    <row r="80" spans="1:23" x14ac:dyDescent="0.45">
      <c r="A80">
        <v>69</v>
      </c>
      <c r="B80" s="9" t="n">
        <v>0.0</v>
      </c>
      <c r="C80" s="9" t="n">
        <v>10000.0</v>
      </c>
      <c r="D80" s="9" t="n">
        <v>0.0</v>
      </c>
      <c r="E80" s="9">
        <f si="2" t="shared"/>
        <v>3000</v>
      </c>
      <c r="G80">
        <v>69</v>
      </c>
      <c r="H80" s="16" t="n">
        <v>0.0</v>
      </c>
      <c r="I80" s="16" t="n">
        <v>10000.0</v>
      </c>
      <c r="J80" s="16" t="n">
        <v>0.0</v>
      </c>
      <c r="K80">
        <f si="3" t="shared"/>
        <v>3000</v>
      </c>
      <c r="W80" s="9"/>
    </row>
    <row r="81" spans="1:23" x14ac:dyDescent="0.45">
      <c r="A81">
        <v>70</v>
      </c>
      <c r="B81" s="9" t="n">
        <v>0.0</v>
      </c>
      <c r="C81" s="9" t="n">
        <v>0.0</v>
      </c>
      <c r="D81" s="9" t="n">
        <v>0.0</v>
      </c>
      <c r="E81" s="9">
        <f si="2" t="shared"/>
        <v>0</v>
      </c>
      <c r="G81">
        <v>70</v>
      </c>
      <c r="H81" s="16" t="n">
        <v>0.0</v>
      </c>
      <c r="I81" s="16" t="n">
        <v>0.0</v>
      </c>
      <c r="J81" s="16" t="n">
        <v>0.0</v>
      </c>
      <c r="K81">
        <f si="3" t="shared"/>
        <v>0</v>
      </c>
      <c r="W81" s="9"/>
    </row>
    <row r="82" spans="1:23" x14ac:dyDescent="0.45">
      <c r="A82">
        <v>71</v>
      </c>
      <c r="B82" s="9" t="n">
        <v>10000.0</v>
      </c>
      <c r="C82" s="9" t="n">
        <v>0.0</v>
      </c>
      <c r="D82" s="9" t="n">
        <v>0.0</v>
      </c>
      <c r="E82" s="9">
        <f si="2" t="shared"/>
        <v>1000</v>
      </c>
      <c r="G82">
        <v>71</v>
      </c>
      <c r="H82" s="16" t="n">
        <v>10000.0</v>
      </c>
      <c r="I82" s="16" t="n">
        <v>0.0</v>
      </c>
      <c r="J82" s="16" t="n">
        <v>0.0</v>
      </c>
      <c r="K82">
        <f si="3" t="shared"/>
        <v>1000</v>
      </c>
      <c r="W82" s="9"/>
    </row>
    <row r="83" spans="1:23" x14ac:dyDescent="0.45">
      <c r="A83">
        <v>72</v>
      </c>
      <c r="B83" s="9" t="n">
        <v>0.0</v>
      </c>
      <c r="C83" s="9" t="n">
        <v>0.0</v>
      </c>
      <c r="D83" s="9" t="n">
        <v>0.0</v>
      </c>
      <c r="E83" s="9">
        <f si="2" t="shared"/>
        <v>2000</v>
      </c>
      <c r="G83">
        <v>72</v>
      </c>
      <c r="H83" s="16" t="n">
        <v>0.0</v>
      </c>
      <c r="I83" s="16" t="n">
        <v>0.0</v>
      </c>
      <c r="J83" s="16" t="n">
        <v>0.0</v>
      </c>
      <c r="K83">
        <f si="3" t="shared"/>
        <v>2000</v>
      </c>
      <c r="W83" s="9"/>
    </row>
    <row r="84" spans="1:23" x14ac:dyDescent="0.45">
      <c r="A84">
        <v>73</v>
      </c>
      <c r="B84" s="9" t="n">
        <v>0.0</v>
      </c>
      <c r="C84" s="9" t="n">
        <v>0.0</v>
      </c>
      <c r="D84" s="9" t="n">
        <v>0.0</v>
      </c>
      <c r="E84" s="9">
        <f si="2" t="shared"/>
        <v>2000</v>
      </c>
      <c r="G84">
        <v>73</v>
      </c>
      <c r="H84" s="16" t="n">
        <v>0.0</v>
      </c>
      <c r="I84" s="16" t="n">
        <v>0.0</v>
      </c>
      <c r="J84" s="16" t="n">
        <v>0.0</v>
      </c>
      <c r="K84">
        <f si="3" t="shared"/>
        <v>2000</v>
      </c>
      <c r="W84" s="9"/>
    </row>
    <row r="85" spans="1:23" x14ac:dyDescent="0.45">
      <c r="A85">
        <v>74</v>
      </c>
      <c r="B85" s="9" t="n">
        <v>0.0</v>
      </c>
      <c r="C85" s="9" t="n">
        <v>0.0</v>
      </c>
      <c r="D85" s="9" t="n">
        <v>0.0</v>
      </c>
      <c r="E85" s="9">
        <f si="2" t="shared"/>
        <v>0</v>
      </c>
      <c r="G85">
        <v>74</v>
      </c>
      <c r="H85" s="16" t="n">
        <v>0.0</v>
      </c>
      <c r="I85" s="16" t="n">
        <v>0.0</v>
      </c>
      <c r="J85" s="16" t="n">
        <v>0.0</v>
      </c>
      <c r="K85">
        <f si="3" t="shared"/>
        <v>0</v>
      </c>
      <c r="W85" s="9"/>
    </row>
    <row r="86" spans="1:23" x14ac:dyDescent="0.45">
      <c r="A86">
        <v>75</v>
      </c>
      <c r="B86" s="9" t="n">
        <v>10000.0</v>
      </c>
      <c r="C86" s="9" t="n">
        <v>0.0</v>
      </c>
      <c r="D86" s="9" t="n">
        <v>0.0</v>
      </c>
      <c r="E86" s="9">
        <f si="2" t="shared"/>
        <v>2000</v>
      </c>
      <c r="G86">
        <v>75</v>
      </c>
      <c r="H86" s="16" t="n">
        <v>10000.0</v>
      </c>
      <c r="I86" s="16" t="n">
        <v>0.0</v>
      </c>
      <c r="J86" s="16" t="n">
        <v>0.0</v>
      </c>
      <c r="K86">
        <f si="3" t="shared"/>
        <v>2000</v>
      </c>
      <c r="W86" s="9"/>
    </row>
    <row r="87" spans="1:23" x14ac:dyDescent="0.45">
      <c r="A87">
        <v>76</v>
      </c>
      <c r="B87" s="9" t="n">
        <v>0.0</v>
      </c>
      <c r="C87" s="9" t="n">
        <v>0.0</v>
      </c>
      <c r="D87" s="9" t="n">
        <v>0.0</v>
      </c>
      <c r="E87" s="9">
        <f si="2" t="shared"/>
        <v>0</v>
      </c>
      <c r="G87">
        <v>76</v>
      </c>
      <c r="H87" s="16" t="n">
        <v>0.0</v>
      </c>
      <c r="I87" s="16" t="n">
        <v>0.0</v>
      </c>
      <c r="J87" s="16" t="n">
        <v>0.0</v>
      </c>
      <c r="K87">
        <f si="3" t="shared"/>
        <v>0</v>
      </c>
      <c r="W87" s="9"/>
    </row>
    <row r="88" spans="1:23" x14ac:dyDescent="0.45">
      <c r="A88">
        <v>77</v>
      </c>
      <c r="B88" s="9" t="n">
        <v>0.0</v>
      </c>
      <c r="C88" s="9" t="n">
        <v>0.0</v>
      </c>
      <c r="D88" s="9" t="n">
        <v>0.0</v>
      </c>
      <c r="E88" s="9">
        <f si="2" t="shared"/>
        <v>0</v>
      </c>
      <c r="G88">
        <v>77</v>
      </c>
      <c r="H88" s="16" t="n">
        <v>0.0</v>
      </c>
      <c r="I88" s="16" t="n">
        <v>0.0</v>
      </c>
      <c r="J88" s="16" t="n">
        <v>0.0</v>
      </c>
      <c r="K88">
        <f si="3" t="shared"/>
        <v>0</v>
      </c>
      <c r="W88" s="9"/>
    </row>
    <row r="89" spans="1:23" x14ac:dyDescent="0.45">
      <c r="A89">
        <v>78</v>
      </c>
      <c r="B89" s="9" t="n">
        <v>0.0</v>
      </c>
      <c r="C89" s="9" t="n">
        <v>0.0</v>
      </c>
      <c r="D89" s="9" t="n">
        <v>0.0</v>
      </c>
      <c r="E89" s="9">
        <f si="2" t="shared"/>
        <v>0</v>
      </c>
      <c r="G89">
        <v>78</v>
      </c>
      <c r="H89" s="16" t="n">
        <v>0.0</v>
      </c>
      <c r="I89" s="16" t="n">
        <v>0.0</v>
      </c>
      <c r="J89" s="16" t="n">
        <v>0.0</v>
      </c>
      <c r="K89">
        <f si="3" t="shared"/>
        <v>0</v>
      </c>
      <c r="W89" s="9"/>
    </row>
    <row r="90" spans="1:23" x14ac:dyDescent="0.45">
      <c r="A90">
        <v>79</v>
      </c>
      <c r="B90" s="9" t="n">
        <v>0.0</v>
      </c>
      <c r="C90" s="9" t="n">
        <v>0.0</v>
      </c>
      <c r="D90" s="9" t="n">
        <v>0.0</v>
      </c>
      <c r="E90" s="9">
        <f si="2" t="shared"/>
        <v>0</v>
      </c>
      <c r="G90">
        <v>79</v>
      </c>
      <c r="H90" s="16" t="n">
        <v>0.0</v>
      </c>
      <c r="I90" s="16" t="n">
        <v>0.0</v>
      </c>
      <c r="J90" s="16" t="n">
        <v>0.0</v>
      </c>
      <c r="K90">
        <f si="3" t="shared"/>
        <v>0</v>
      </c>
      <c r="W90" s="9"/>
    </row>
    <row r="91" spans="1:23" x14ac:dyDescent="0.45">
      <c r="A91">
        <v>80</v>
      </c>
      <c r="B91" s="9" t="n">
        <v>0.0</v>
      </c>
      <c r="C91" s="9" t="n">
        <v>0.0</v>
      </c>
      <c r="D91" s="9" t="n">
        <v>0.0</v>
      </c>
      <c r="E91" s="9">
        <f si="2" t="shared"/>
        <v>0</v>
      </c>
      <c r="G91">
        <v>80</v>
      </c>
      <c r="H91" s="16" t="n">
        <v>0.0</v>
      </c>
      <c r="I91" s="16" t="n">
        <v>0.0</v>
      </c>
      <c r="J91" s="16" t="n">
        <v>0.0</v>
      </c>
      <c r="K91">
        <f si="3" t="shared"/>
        <v>0</v>
      </c>
      <c r="W91" s="9"/>
    </row>
    <row r="92" spans="1:23" x14ac:dyDescent="0.45">
      <c r="A92">
        <v>81</v>
      </c>
      <c r="B92" s="9" t="n">
        <v>0.0</v>
      </c>
      <c r="C92" s="9" t="n">
        <v>0.0</v>
      </c>
      <c r="D92" s="9" t="n">
        <v>0.0</v>
      </c>
      <c r="E92" s="9">
        <f si="2" t="shared"/>
        <v>1000</v>
      </c>
      <c r="G92">
        <v>81</v>
      </c>
      <c r="H92" s="16" t="n">
        <v>0.0</v>
      </c>
      <c r="I92" s="16" t="n">
        <v>0.0</v>
      </c>
      <c r="J92" s="16" t="n">
        <v>0.0</v>
      </c>
      <c r="K92">
        <f si="3" t="shared"/>
        <v>1000</v>
      </c>
      <c r="W92" s="9"/>
    </row>
    <row r="93" spans="1:23" x14ac:dyDescent="0.45">
      <c r="A93">
        <v>82</v>
      </c>
      <c r="B93" s="9" t="n">
        <v>0.0</v>
      </c>
      <c r="C93" s="9" t="n">
        <v>0.0</v>
      </c>
      <c r="D93" s="9" t="n">
        <v>0.0</v>
      </c>
      <c r="E93" s="9">
        <f si="2" t="shared"/>
        <v>0</v>
      </c>
      <c r="G93">
        <v>82</v>
      </c>
      <c r="H93" s="16" t="n">
        <v>0.0</v>
      </c>
      <c r="I93" s="16" t="n">
        <v>0.0</v>
      </c>
      <c r="J93" s="16" t="n">
        <v>0.0</v>
      </c>
      <c r="K93">
        <f si="3" t="shared"/>
        <v>0</v>
      </c>
      <c r="W93" s="9"/>
    </row>
    <row r="94" spans="1:23" x14ac:dyDescent="0.45">
      <c r="A94">
        <v>83</v>
      </c>
      <c r="B94" s="9" t="n">
        <v>0.0</v>
      </c>
      <c r="C94" s="9" t="n">
        <v>0.0</v>
      </c>
      <c r="D94" s="9" t="n">
        <v>0.0</v>
      </c>
      <c r="E94" s="9">
        <f si="2" t="shared"/>
        <v>0</v>
      </c>
      <c r="G94">
        <v>83</v>
      </c>
      <c r="H94" s="16" t="n">
        <v>0.0</v>
      </c>
      <c r="I94" s="16" t="n">
        <v>0.0</v>
      </c>
      <c r="J94" t="n">
        <v>0.0</v>
      </c>
      <c r="K94">
        <f si="3" t="shared"/>
        <v>0</v>
      </c>
      <c r="W94" s="9"/>
    </row>
    <row ht="14.65" r="95" spans="1:23" thickBot="1" x14ac:dyDescent="0.5">
      <c r="A95">
        <v>84</v>
      </c>
      <c r="B95" s="9" t="n">
        <v>0.0</v>
      </c>
      <c r="C95" s="9" t="n">
        <v>0.0</v>
      </c>
      <c r="D95" s="9" t="n">
        <v>0.0</v>
      </c>
      <c r="E95" s="9">
        <f si="2" t="shared"/>
        <v>1000</v>
      </c>
      <c r="G95">
        <v>84</v>
      </c>
      <c r="H95" s="16" t="n">
        <v>0.0</v>
      </c>
      <c r="I95" s="16" t="n">
        <v>0.0</v>
      </c>
      <c r="J95" s="16" t="n">
        <v>0.0</v>
      </c>
      <c r="K95">
        <f si="3" t="shared"/>
        <v>1000</v>
      </c>
      <c r="W95" s="10"/>
    </row>
    <row r="96" spans="1:23" x14ac:dyDescent="0.45">
      <c r="A96">
        <v>85</v>
      </c>
      <c r="B96" s="9" t="n">
        <v>0.0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0.0</v>
      </c>
      <c r="I96" s="16" t="n">
        <v>0.0</v>
      </c>
      <c r="J96" t="n">
        <v>0.0</v>
      </c>
      <c r="K96">
        <f si="3" t="shared"/>
        <v>0</v>
      </c>
    </row>
    <row r="97" spans="1:11" x14ac:dyDescent="0.45">
      <c r="A97">
        <v>86</v>
      </c>
      <c r="B97" s="9" t="n">
        <v>0.0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0.0</v>
      </c>
      <c r="I97" s="16" t="n">
        <v>0.0</v>
      </c>
      <c r="J97" s="16" t="n">
        <v>0.0</v>
      </c>
      <c r="K97">
        <f si="3" t="shared"/>
        <v>0</v>
      </c>
    </row>
    <row r="98" spans="1:11" x14ac:dyDescent="0.45">
      <c r="A98">
        <v>87</v>
      </c>
      <c r="B98" s="9" t="n">
        <v>0.0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0.0</v>
      </c>
      <c r="I98" s="16" t="n">
        <v>0.0</v>
      </c>
      <c r="J98" s="16" t="n">
        <v>0.0</v>
      </c>
      <c r="K98">
        <f si="3" t="shared"/>
        <v>0</v>
      </c>
    </row>
    <row r="99" spans="1:11" x14ac:dyDescent="0.45">
      <c r="A99">
        <v>88</v>
      </c>
      <c r="B99" s="9" t="n">
        <v>0.0</v>
      </c>
      <c r="C99" s="9" t="n">
        <v>0.0</v>
      </c>
      <c r="D99" s="9" t="n">
        <v>0.0</v>
      </c>
      <c r="E99" s="9">
        <f si="2" t="shared"/>
        <v>0</v>
      </c>
      <c r="G99">
        <v>88</v>
      </c>
      <c r="H99" s="16" t="n">
        <v>0.0</v>
      </c>
      <c r="I99" s="16" t="n">
        <v>0.0</v>
      </c>
      <c r="J99" s="16" t="n">
        <v>0.0</v>
      </c>
      <c r="K99">
        <f si="3" t="shared"/>
        <v>0</v>
      </c>
    </row>
    <row r="100" spans="1:11" x14ac:dyDescent="0.45">
      <c r="A100">
        <v>89</v>
      </c>
      <c r="B100" s="9" t="n">
        <v>0.0</v>
      </c>
      <c r="C100" s="9" t="n">
        <v>0.0</v>
      </c>
      <c r="D100" s="9" t="n">
        <v>0.0</v>
      </c>
      <c r="E100" s="9">
        <f si="2" t="shared"/>
        <v>0</v>
      </c>
      <c r="G100">
        <v>89</v>
      </c>
      <c r="H100" s="16" t="n">
        <v>0.0</v>
      </c>
      <c r="I100" s="16" t="n">
        <v>0.0</v>
      </c>
      <c r="J100" t="n">
        <v>0.0</v>
      </c>
      <c r="K100">
        <f si="3" t="shared"/>
        <v>0</v>
      </c>
    </row>
    <row ht="14.65" r="101" spans="1:11" thickBot="1" x14ac:dyDescent="0.5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si="2" t="shared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3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R35" sqref="R35"/>
    </sheetView>
  </sheetViews>
  <sheetFormatPr defaultRowHeight="14.25" x14ac:dyDescent="0.45"/>
  <cols>
    <col min="1" max="1" customWidth="true" width="12.19921875" collapsed="true"/>
    <col min="5" max="5" bestFit="true" customWidth="true" width="9.53125" collapsed="true"/>
    <col min="7" max="7" customWidth="true" width="10.796875" collapsed="true"/>
    <col min="13" max="13" customWidth="true" width="10.796875" collapsed="true"/>
    <col min="17" max="17" bestFit="true" customWidth="true" width="9.53125" collapsed="true"/>
  </cols>
  <sheetData>
    <row r="1" spans="1:17" x14ac:dyDescent="0.45">
      <c r="A1" t="s">
        <v>28</v>
      </c>
    </row>
    <row r="2" spans="1:17" x14ac:dyDescent="0.45">
      <c r="A2" t="s">
        <v>270</v>
      </c>
    </row>
    <row r="3" spans="1:17" x14ac:dyDescent="0.45">
      <c r="A3" t="s">
        <v>9</v>
      </c>
    </row>
    <row r="4" spans="1:17" x14ac:dyDescent="0.45">
      <c r="A4" t="s">
        <v>8</v>
      </c>
    </row>
    <row r="5" spans="1:17" x14ac:dyDescent="0.45">
      <c r="A5" t="s">
        <v>10</v>
      </c>
    </row>
    <row r="6" spans="1:17" x14ac:dyDescent="0.45">
      <c r="A6" t="s">
        <v>11</v>
      </c>
    </row>
    <row r="7" spans="1:17" x14ac:dyDescent="0.45">
      <c r="A7" t="s">
        <v>15</v>
      </c>
    </row>
    <row ht="14.65" r="9" spans="1:17" thickBot="1" x14ac:dyDescent="0.5">
      <c r="A9" s="4" t="s">
        <v>290</v>
      </c>
      <c r="B9" s="1"/>
      <c r="C9" s="1"/>
      <c r="D9" s="1"/>
      <c r="E9" s="1"/>
      <c r="G9" s="4" t="s">
        <v>291</v>
      </c>
      <c r="H9" s="1"/>
      <c r="I9" s="1"/>
      <c r="J9" s="1"/>
      <c r="K9" s="1"/>
      <c r="M9" s="4" t="s">
        <v>283</v>
      </c>
      <c r="N9" s="1"/>
      <c r="O9" s="1"/>
      <c r="P9" s="1"/>
      <c r="Q9" s="1"/>
    </row>
    <row r="10" spans="1:17" x14ac:dyDescent="0.45">
      <c r="A10" s="2" t="s">
        <v>26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26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26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45">
      <c r="A11" t="s">
        <v>29</v>
      </c>
      <c r="B11" s="12">
        <f>SUM(TDFD!B11:B15)</f>
        <v>75000</v>
      </c>
      <c r="C11" s="12">
        <f>SUM(TDFD!C11:C15)</f>
        <v>66000</v>
      </c>
      <c r="D11" s="12">
        <f>SUM(TDFD!D11:D15)</f>
        <v>11000</v>
      </c>
      <c r="E11" s="12">
        <f>SUM(TDFD!E11:E15)</f>
        <v>152000</v>
      </c>
      <c r="G11" t="s">
        <v>29</v>
      </c>
      <c r="H11" s="12"/>
      <c r="I11" s="12"/>
      <c r="J11" s="12"/>
      <c r="K11" s="12">
        <v>13509</v>
      </c>
      <c r="M11" t="s">
        <v>29</v>
      </c>
      <c r="N11" s="12">
        <f>SUM(TDFD!H11:H15)</f>
        <v>75000</v>
      </c>
      <c r="O11" s="12">
        <f>SUM(TDFD!I11:I15)</f>
        <v>66000</v>
      </c>
      <c r="P11" s="12">
        <f>SUM(TDFD!J11:J15)</f>
        <v>11000</v>
      </c>
      <c r="Q11" s="12">
        <f>SUM(TDFD!K11:K15)</f>
        <v>152000</v>
      </c>
    </row>
    <row r="12" spans="1:17" x14ac:dyDescent="0.45">
      <c r="A12" t="s">
        <v>30</v>
      </c>
      <c r="B12" s="12">
        <f>SUM(TDFD!B16:B20)</f>
        <v>100000</v>
      </c>
      <c r="C12" s="12">
        <f>SUM(TDFD!C16:C20)</f>
        <v>46000</v>
      </c>
      <c r="D12" s="12">
        <f>SUM(TDFD!D16:D20)</f>
        <v>36000</v>
      </c>
      <c r="E12" s="12">
        <f>SUM(TDFD!E16:E20)</f>
        <v>182000</v>
      </c>
      <c r="G12" t="s">
        <v>30</v>
      </c>
      <c r="H12" s="12"/>
      <c r="I12" s="12"/>
      <c r="J12" s="12"/>
      <c r="K12" s="12">
        <v>48039</v>
      </c>
      <c r="M12" t="s">
        <v>30</v>
      </c>
      <c r="N12" s="12">
        <f>SUM(TDFD!H16:H20)</f>
        <v>100000</v>
      </c>
      <c r="O12" s="12">
        <f>SUM(TDFD!I16:I20)</f>
        <v>46000</v>
      </c>
      <c r="P12" s="12">
        <f>SUM(TDFD!J16:J20)</f>
        <v>36000</v>
      </c>
      <c r="Q12" s="12">
        <f>SUM(TDFD!K16:K20)</f>
        <v>182000</v>
      </c>
    </row>
    <row r="13" spans="1:17" x14ac:dyDescent="0.45">
      <c r="A13" t="s">
        <v>31</v>
      </c>
      <c r="B13" s="12">
        <f>SUM(TDFD!B21:B25)</f>
        <v>161000</v>
      </c>
      <c r="C13" s="12">
        <f>SUM(TDFD!C21:C25)</f>
        <v>62000</v>
      </c>
      <c r="D13" s="12">
        <f>SUM(TDFD!D21:D25)</f>
        <v>50000</v>
      </c>
      <c r="E13" s="12">
        <f>SUM(TDFD!E21:E25)</f>
        <v>273000</v>
      </c>
      <c r="G13" t="s">
        <v>31</v>
      </c>
      <c r="H13" s="12"/>
      <c r="I13" s="12"/>
      <c r="J13" s="12"/>
      <c r="K13" s="12">
        <v>73140</v>
      </c>
      <c r="M13" t="s">
        <v>31</v>
      </c>
      <c r="N13" s="12">
        <f>SUM(TDFD!H21:H25)</f>
        <v>161000</v>
      </c>
      <c r="O13" s="12">
        <f>SUM(TDFD!I21:I25)</f>
        <v>62000</v>
      </c>
      <c r="P13" s="12">
        <f>SUM(TDFD!J21:J25)</f>
        <v>50000</v>
      </c>
      <c r="Q13" s="12">
        <f>SUM(TDFD!K21:K25)</f>
        <v>273000</v>
      </c>
    </row>
    <row r="14" spans="1:17" x14ac:dyDescent="0.45">
      <c r="A14" t="s">
        <v>32</v>
      </c>
      <c r="B14" s="12">
        <f>SUM(TDFD!B26:B30)</f>
        <v>177000</v>
      </c>
      <c r="C14" s="12">
        <f>SUM(TDFD!C26:C30)</f>
        <v>51000</v>
      </c>
      <c r="D14" s="12">
        <f>SUM(TDFD!D26:D30)</f>
        <v>47000</v>
      </c>
      <c r="E14" s="12">
        <f>SUM(TDFD!E26:E30)</f>
        <v>275000</v>
      </c>
      <c r="G14" t="s">
        <v>32</v>
      </c>
      <c r="H14" s="12"/>
      <c r="I14" s="12"/>
      <c r="J14" s="12"/>
      <c r="K14" s="12">
        <v>91600</v>
      </c>
      <c r="M14" t="s">
        <v>32</v>
      </c>
      <c r="N14" s="12">
        <f>SUM(TDFD!H26:H30)</f>
        <v>177000</v>
      </c>
      <c r="O14" s="12">
        <f>SUM(TDFD!I26:I30)</f>
        <v>51000</v>
      </c>
      <c r="P14" s="12">
        <f>SUM(TDFD!J26:J30)</f>
        <v>47000</v>
      </c>
      <c r="Q14" s="12">
        <f>SUM(TDFD!K26:K30)</f>
        <v>275000</v>
      </c>
    </row>
    <row r="15" spans="1:17" x14ac:dyDescent="0.45">
      <c r="A15" t="s">
        <v>33</v>
      </c>
      <c r="B15" s="12">
        <f>SUM(TDFD!B31:B35)</f>
        <v>153000</v>
      </c>
      <c r="C15" s="12">
        <f>SUM(TDFD!C31:C35)</f>
        <v>38000</v>
      </c>
      <c r="D15" s="12">
        <f>SUM(TDFD!D31:D35)</f>
        <v>26000</v>
      </c>
      <c r="E15" s="12">
        <f>SUM(TDFD!E31:E35)</f>
        <v>217000</v>
      </c>
      <c r="G15" t="s">
        <v>33</v>
      </c>
      <c r="H15" s="12"/>
      <c r="I15" s="12"/>
      <c r="J15" s="12"/>
      <c r="K15" s="12">
        <v>100858</v>
      </c>
      <c r="M15" t="s">
        <v>33</v>
      </c>
      <c r="N15" s="12">
        <f>SUM(TDFD!H31:H35)</f>
        <v>153000</v>
      </c>
      <c r="O15" s="12">
        <f>SUM(TDFD!I31:I35)</f>
        <v>38000</v>
      </c>
      <c r="P15" s="12">
        <f>SUM(TDFD!J31:J35)</f>
        <v>26000</v>
      </c>
      <c r="Q15" s="12">
        <f>SUM(TDFD!K31:K35)</f>
        <v>217000</v>
      </c>
    </row>
    <row r="16" spans="1:17" x14ac:dyDescent="0.45">
      <c r="A16" t="s">
        <v>34</v>
      </c>
      <c r="B16" s="12">
        <f>SUM(TDFD!B36:B40)</f>
        <v>129000</v>
      </c>
      <c r="C16" s="12">
        <f>SUM(TDFD!C36:C40)</f>
        <v>27000</v>
      </c>
      <c r="D16" s="12">
        <f>SUM(TDFD!D36:D40)</f>
        <v>14000</v>
      </c>
      <c r="E16" s="12">
        <f>SUM(TDFD!E36:E40)</f>
        <v>170000</v>
      </c>
      <c r="G16" t="s">
        <v>34</v>
      </c>
      <c r="H16" s="12"/>
      <c r="I16" s="12"/>
      <c r="J16" s="12"/>
      <c r="K16" s="12">
        <v>40453</v>
      </c>
      <c r="M16" t="s">
        <v>34</v>
      </c>
      <c r="N16" s="12">
        <f>SUM(TDFD!H36:H40)</f>
        <v>129000</v>
      </c>
      <c r="O16" s="12">
        <f>SUM(TDFD!I36:I40)</f>
        <v>27000</v>
      </c>
      <c r="P16" s="12">
        <f>SUM(TDFD!J36:J40)</f>
        <v>14000</v>
      </c>
      <c r="Q16" s="12">
        <f>SUM(TDFD!K36:K40)</f>
        <v>170000</v>
      </c>
    </row>
    <row r="17" spans="1:17" x14ac:dyDescent="0.45">
      <c r="A17" t="s">
        <v>35</v>
      </c>
      <c r="B17" s="12">
        <f>SUM(TDFD!B41:B45)</f>
        <v>95000</v>
      </c>
      <c r="C17" s="12">
        <f>SUM(TDFD!C41:C45)</f>
        <v>16000</v>
      </c>
      <c r="D17" s="12">
        <f>SUM(TDFD!D41:D45)</f>
        <v>5000</v>
      </c>
      <c r="E17" s="12">
        <f>SUM(TDFD!E41:E45)</f>
        <v>116000</v>
      </c>
      <c r="G17" t="s">
        <v>35</v>
      </c>
      <c r="H17" s="12"/>
      <c r="I17" s="12"/>
      <c r="J17" s="12"/>
      <c r="K17" s="12">
        <v>102299</v>
      </c>
      <c r="M17" t="s">
        <v>35</v>
      </c>
      <c r="N17" s="12">
        <f>SUM(TDFD!H41:H45)</f>
        <v>95000</v>
      </c>
      <c r="O17" s="12">
        <f>SUM(TDFD!I41:I45)</f>
        <v>16000</v>
      </c>
      <c r="P17" s="12">
        <f>SUM(TDFD!J41:J45)</f>
        <v>5000</v>
      </c>
      <c r="Q17" s="12">
        <f>SUM(TDFD!K41:K45)</f>
        <v>116000</v>
      </c>
    </row>
    <row r="18" spans="1:17" x14ac:dyDescent="0.45">
      <c r="A18" t="s">
        <v>36</v>
      </c>
      <c r="B18" s="12">
        <f>SUM(TDFD!B46:B50)</f>
        <v>100000</v>
      </c>
      <c r="C18" s="12">
        <f>SUM(TDFD!C46:C50)</f>
        <v>11000</v>
      </c>
      <c r="D18" s="12">
        <f>SUM(TDFD!D46:D50)</f>
        <v>2000</v>
      </c>
      <c r="E18" s="12">
        <f>SUM(TDFD!E46:E50)</f>
        <v>113000</v>
      </c>
      <c r="G18" t="s">
        <v>36</v>
      </c>
      <c r="H18" s="12"/>
      <c r="I18" s="12"/>
      <c r="J18" s="12"/>
      <c r="K18" s="12">
        <v>17547</v>
      </c>
      <c r="M18" t="s">
        <v>36</v>
      </c>
      <c r="N18" s="12">
        <f>SUM(TDFD!H46:H50)</f>
        <v>100000</v>
      </c>
      <c r="O18" s="12">
        <f>SUM(TDFD!I46:I50)</f>
        <v>11000</v>
      </c>
      <c r="P18" s="12">
        <f>SUM(TDFD!J46:J50)</f>
        <v>2000</v>
      </c>
      <c r="Q18" s="12">
        <f>SUM(TDFD!K46:K50)</f>
        <v>113000</v>
      </c>
    </row>
    <row r="19" spans="1:17" x14ac:dyDescent="0.45">
      <c r="A19" t="s">
        <v>37</v>
      </c>
      <c r="B19" s="12">
        <f>SUM(TDFD!B51:B55)</f>
        <v>61000</v>
      </c>
      <c r="C19" s="12">
        <f>SUM(TDFD!C51:C55)</f>
        <v>9000</v>
      </c>
      <c r="D19" s="12">
        <f>SUM(TDFD!D51:D55)</f>
        <v>1000</v>
      </c>
      <c r="E19" s="12">
        <f>SUM(TDFD!E51:E55)</f>
        <v>71000</v>
      </c>
      <c r="G19" t="s">
        <v>37</v>
      </c>
      <c r="H19" s="12"/>
      <c r="I19" s="12"/>
      <c r="J19" s="12"/>
      <c r="K19" s="12">
        <v>20353</v>
      </c>
      <c r="M19" t="s">
        <v>37</v>
      </c>
      <c r="N19" s="12">
        <f>SUM(TDFD!H51:H55)</f>
        <v>61000</v>
      </c>
      <c r="O19" s="12">
        <f>SUM(TDFD!I51:I55)</f>
        <v>9000</v>
      </c>
      <c r="P19" s="12">
        <f>SUM(TDFD!J51:J55)</f>
        <v>1000</v>
      </c>
      <c r="Q19" s="12">
        <f>SUM(TDFD!K51:K55)</f>
        <v>71000</v>
      </c>
    </row>
    <row r="20" spans="1:17" x14ac:dyDescent="0.45">
      <c r="A20" t="s">
        <v>38</v>
      </c>
      <c r="B20" s="12">
        <f>SUM(TDFD!B56:B70)</f>
        <v>133000</v>
      </c>
      <c r="C20" s="12">
        <f>SUM(TDFD!C56:C70)</f>
        <v>14000</v>
      </c>
      <c r="D20" s="12">
        <f>SUM(TDFD!D56:D70)</f>
        <v>3000</v>
      </c>
      <c r="E20" s="12">
        <f>SUM(TDFD!E56:E70)</f>
        <v>150000</v>
      </c>
      <c r="G20" t="s">
        <v>38</v>
      </c>
      <c r="H20" s="12"/>
      <c r="I20" s="12"/>
      <c r="J20" s="12"/>
      <c r="K20" s="12">
        <v>49147</v>
      </c>
      <c r="M20" t="s">
        <v>38</v>
      </c>
      <c r="N20" s="12">
        <f>SUM(TDFD!H56:H70)</f>
        <v>133000</v>
      </c>
      <c r="O20" s="12">
        <f>SUM(TDFD!I56:I70)</f>
        <v>14000</v>
      </c>
      <c r="P20" s="12">
        <f>SUM(TDFD!J56:J70)</f>
        <v>3000</v>
      </c>
      <c r="Q20" s="12">
        <f>SUM(TDFD!K56:K70)</f>
        <v>150000</v>
      </c>
    </row>
    <row r="21" spans="1:17" x14ac:dyDescent="0.45">
      <c r="A21" t="s">
        <v>39</v>
      </c>
      <c r="B21" s="12">
        <f>SUM(TDFD!B71:B100)</f>
        <v>50000</v>
      </c>
      <c r="C21" s="12">
        <f>SUM(TDFD!C71:C100)</f>
        <v>5000</v>
      </c>
      <c r="D21" s="12">
        <f>SUM(TDFD!D71:D100)</f>
        <v>2000</v>
      </c>
      <c r="E21" s="12">
        <f>SUM(TDFD!E71:E100)</f>
        <v>57000</v>
      </c>
      <c r="G21" t="s">
        <v>39</v>
      </c>
      <c r="H21" s="12"/>
      <c r="I21" s="12"/>
      <c r="J21" s="12"/>
      <c r="K21" s="12">
        <v>24219</v>
      </c>
      <c r="M21" t="s">
        <v>39</v>
      </c>
      <c r="N21" s="12">
        <f>SUM(TDFD!H71:H100)</f>
        <v>50000</v>
      </c>
      <c r="O21" s="12">
        <f>SUM(TDFD!I71:I100)</f>
        <v>5000</v>
      </c>
      <c r="P21" s="12">
        <f>SUM(TDFD!J71:J100)</f>
        <v>2000</v>
      </c>
      <c r="Q21" s="12">
        <f>SUM(TDFD!K71:K100)</f>
        <v>57000</v>
      </c>
    </row>
    <row ht="14.65" r="22" spans="1:17" thickBot="1" x14ac:dyDescent="0.5">
      <c r="A22" s="1" t="s">
        <v>40</v>
      </c>
      <c r="B22" s="13">
        <f>TDFD!B101</f>
        <v>0</v>
      </c>
      <c r="C22" s="13">
        <f>TDFD!C101</f>
        <v>0</v>
      </c>
      <c r="D22" s="13">
        <f>TDFD!D101</f>
        <v>0</v>
      </c>
      <c r="E22" s="13">
        <f>TDFD!E101</f>
        <v>0</v>
      </c>
      <c r="G22" s="1" t="s">
        <v>40</v>
      </c>
      <c r="H22" s="13"/>
      <c r="I22" s="13"/>
      <c r="J22" s="13"/>
      <c r="K22" s="13">
        <v>9010</v>
      </c>
      <c r="M22" s="1" t="s">
        <v>40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workbookViewId="0" zoomScale="85" zoomScaleNormal="85">
      <selection activeCell="W32" sqref="W32"/>
    </sheetView>
  </sheetViews>
  <sheetFormatPr defaultRowHeight="14.25" x14ac:dyDescent="0.45"/>
  <cols>
    <col min="3" max="3" bestFit="true" customWidth="true" width="9.73046875" collapsed="true"/>
    <col min="4" max="4" bestFit="true" customWidth="true" width="12.265625" collapsed="true"/>
    <col min="15" max="15" customWidth="true" width="10.19921875" collapsed="true"/>
    <col min="20" max="21" bestFit="true" customWidth="true" width="9.53125" collapsed="true"/>
    <col min="26" max="26" customWidth="true" width="9.19921875" collapsed="true"/>
  </cols>
  <sheetData>
    <row r="1" spans="1:36" x14ac:dyDescent="0.45">
      <c r="A1" t="s">
        <v>2</v>
      </c>
    </row>
    <row r="2" spans="1:36" x14ac:dyDescent="0.45">
      <c r="A2" t="s">
        <v>272</v>
      </c>
    </row>
    <row r="3" spans="1:36" x14ac:dyDescent="0.45">
      <c r="A3" t="s">
        <v>18</v>
      </c>
    </row>
    <row r="4" spans="1:36" x14ac:dyDescent="0.45">
      <c r="AH4" s="7"/>
      <c r="AI4" s="7"/>
      <c r="AJ4" s="7"/>
    </row>
    <row ht="14.65" r="5" spans="1:36" thickBot="1" x14ac:dyDescent="0.5">
      <c r="A5" s="4" t="s">
        <v>292</v>
      </c>
      <c r="B5" s="1"/>
      <c r="C5" s="1"/>
      <c r="D5" s="1"/>
      <c r="E5" s="1"/>
      <c r="F5" s="1"/>
      <c r="G5" s="1"/>
      <c r="H5" s="1"/>
      <c r="I5" s="1"/>
      <c r="J5" s="1"/>
      <c r="L5" s="4" t="s">
        <v>293</v>
      </c>
      <c r="M5" s="1"/>
      <c r="N5" s="1"/>
      <c r="O5" s="1"/>
      <c r="P5" s="1"/>
      <c r="Q5" s="1"/>
      <c r="R5" s="1"/>
      <c r="S5" s="1"/>
      <c r="T5" s="1"/>
      <c r="U5" s="1"/>
      <c r="W5" s="4" t="s">
        <v>284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45">
      <c r="A6" s="2" t="s">
        <v>16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16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16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45">
      <c r="A7" s="45" t="s">
        <v>65</v>
      </c>
      <c r="B7" s="18" t="n">
        <v>1820000.0</v>
      </c>
      <c r="C7" s="18" t="n">
        <v>0.0</v>
      </c>
      <c r="D7" s="18" t="n">
        <v>0.0</v>
      </c>
      <c r="E7" s="18" t="n">
        <v>0.0</v>
      </c>
      <c r="F7" s="18" t="n">
        <v>0.0</v>
      </c>
      <c r="G7" s="18" t="n">
        <v>0.0</v>
      </c>
      <c r="H7" s="18" t="n">
        <v>0.0</v>
      </c>
      <c r="I7" s="18" t="n">
        <v>0.0</v>
      </c>
      <c r="J7" s="18">
        <f>SUM(B7:I7)</f>
        <v>1776000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1820000.0</v>
      </c>
      <c r="Y7" t="n">
        <v>0.0</v>
      </c>
      <c r="Z7" t="n">
        <v>0.0</v>
      </c>
      <c r="AA7" t="n">
        <v>0.0</v>
      </c>
      <c r="AB7" t="n">
        <v>0.0</v>
      </c>
      <c r="AC7" t="n">
        <v>0.0</v>
      </c>
      <c r="AD7" t="n">
        <v>0.0</v>
      </c>
      <c r="AE7" s="18" t="n">
        <v>0.0</v>
      </c>
      <c r="AF7" s="18">
        <f>SUM(X7:AE7)</f>
        <v>1776000</v>
      </c>
      <c r="AH7" s="19"/>
      <c r="AI7" s="19"/>
      <c r="AJ7" s="7"/>
    </row>
    <row r="8" spans="1:36" x14ac:dyDescent="0.45">
      <c r="A8" t="s">
        <v>66</v>
      </c>
      <c r="B8" s="18" t="n">
        <v>0.0</v>
      </c>
      <c r="C8" s="18" t="n">
        <v>0.0</v>
      </c>
      <c r="D8" s="18" t="n">
        <v>0.0</v>
      </c>
      <c r="E8" s="18" t="n">
        <v>0.0</v>
      </c>
      <c r="F8" s="18" t="n">
        <v>0.0</v>
      </c>
      <c r="G8" s="18" t="n">
        <v>0.0</v>
      </c>
      <c r="H8" s="18" t="n">
        <v>0.0</v>
      </c>
      <c r="I8" s="18" t="n">
        <v>0.0</v>
      </c>
      <c r="J8" s="18">
        <f>SUM(B8:I8)</f>
        <v>0</v>
      </c>
      <c r="K8" s="18"/>
      <c r="L8" t="str">
        <f>$A$8</f>
        <v>Rutherford</v>
      </c>
      <c r="T8" s="18"/>
      <c r="U8" s="18">
        <f ref="U8:U14" si="0" t="shared">SUM(M8:T8)</f>
        <v>0</v>
      </c>
      <c r="V8" s="18"/>
      <c r="W8" t="str">
        <f>$A$8</f>
        <v>Rutherford</v>
      </c>
      <c r="X8" t="n">
        <v>0.0</v>
      </c>
      <c r="Y8" t="n">
        <v>0.0</v>
      </c>
      <c r="Z8" t="n">
        <v>0.0</v>
      </c>
      <c r="AA8" t="n">
        <v>0.0</v>
      </c>
      <c r="AB8" t="n">
        <v>0.0</v>
      </c>
      <c r="AC8" t="n">
        <v>0.0</v>
      </c>
      <c r="AD8" t="n">
        <v>0.0</v>
      </c>
      <c r="AE8" s="18" t="n">
        <v>0.0</v>
      </c>
      <c r="AF8" s="18">
        <f ref="AF8:AF14" si="1" t="shared">SUM(X8:AE8)</f>
        <v>0</v>
      </c>
      <c r="AH8" s="19"/>
      <c r="AI8" s="19"/>
      <c r="AJ8" s="7"/>
    </row>
    <row r="9" spans="1:36" x14ac:dyDescent="0.45">
      <c r="A9" t="s">
        <v>67</v>
      </c>
      <c r="B9" s="18" t="n">
        <v>0.0</v>
      </c>
      <c r="C9" s="18" t="n">
        <v>0.0</v>
      </c>
      <c r="D9" s="18" t="n">
        <v>0.0</v>
      </c>
      <c r="E9" s="18" t="n">
        <v>0.0</v>
      </c>
      <c r="F9" s="18" t="n">
        <v>0.0</v>
      </c>
      <c r="G9" s="18" t="n">
        <v>0.0</v>
      </c>
      <c r="H9" s="18" t="n">
        <v>0.0</v>
      </c>
      <c r="I9" s="18" t="n">
        <v>0.0</v>
      </c>
      <c r="J9" s="18">
        <f ref="J9:J11" si="2" t="shared">SUM(B9:I9)</f>
        <v>0</v>
      </c>
      <c r="K9" s="18"/>
      <c r="L9" t="str">
        <f>$A$9</f>
        <v>Sumner</v>
      </c>
      <c r="T9" s="18"/>
      <c r="U9" s="18">
        <f si="0" t="shared"/>
        <v>0</v>
      </c>
      <c r="V9" s="18"/>
      <c r="W9" t="str">
        <f>$A$9</f>
        <v>Sumner</v>
      </c>
      <c r="X9" t="n">
        <v>0.0</v>
      </c>
      <c r="Y9" t="n">
        <v>0.0</v>
      </c>
      <c r="Z9" t="n">
        <v>0.0</v>
      </c>
      <c r="AA9" t="n">
        <v>0.0</v>
      </c>
      <c r="AB9" t="n">
        <v>0.0</v>
      </c>
      <c r="AC9" t="n">
        <v>0.0</v>
      </c>
      <c r="AD9" t="n">
        <v>0.0</v>
      </c>
      <c r="AE9" s="18" t="n">
        <v>0.0</v>
      </c>
      <c r="AF9" s="18">
        <f si="1" t="shared"/>
        <v>0</v>
      </c>
      <c r="AH9" s="19"/>
      <c r="AI9" s="19"/>
      <c r="AJ9" s="7"/>
    </row>
    <row r="10" spans="1:36" x14ac:dyDescent="0.45">
      <c r="A10" t="s">
        <v>68</v>
      </c>
      <c r="B10" s="18" t="n">
        <v>0.0</v>
      </c>
      <c r="C10" s="18" t="n">
        <v>0.0</v>
      </c>
      <c r="D10" s="18" t="n">
        <v>0.0</v>
      </c>
      <c r="E10" s="18" t="n">
        <v>0.0</v>
      </c>
      <c r="F10" s="18" t="n">
        <v>0.0</v>
      </c>
      <c r="G10" s="18" t="n">
        <v>0.0</v>
      </c>
      <c r="H10" s="18" t="n">
        <v>0.0</v>
      </c>
      <c r="I10" s="18" t="n">
        <v>0.0</v>
      </c>
      <c r="J10" s="18">
        <f si="2" t="shared"/>
        <v>0</v>
      </c>
      <c r="K10" s="18"/>
      <c r="L10" t="str">
        <f>$A$10</f>
        <v>Roberston</v>
      </c>
      <c r="T10" s="18"/>
      <c r="U10" s="18">
        <f si="0" t="shared"/>
        <v>0</v>
      </c>
      <c r="V10" s="18"/>
      <c r="W10" t="str">
        <f>$A$10</f>
        <v>Roberston</v>
      </c>
      <c r="X10" t="n">
        <v>0.0</v>
      </c>
      <c r="Y10" t="n">
        <v>0.0</v>
      </c>
      <c r="Z10" t="n">
        <v>0.0</v>
      </c>
      <c r="AA10" t="n">
        <v>0.0</v>
      </c>
      <c r="AB10" t="n">
        <v>0.0</v>
      </c>
      <c r="AC10" t="n">
        <v>0.0</v>
      </c>
      <c r="AD10" t="n">
        <v>0.0</v>
      </c>
      <c r="AE10" s="18" t="n">
        <v>0.0</v>
      </c>
      <c r="AF10" s="18">
        <f si="1" t="shared"/>
        <v>0</v>
      </c>
      <c r="AH10" s="19"/>
      <c r="AI10" s="19"/>
      <c r="AJ10" s="7"/>
    </row>
    <row r="11" spans="1:36" x14ac:dyDescent="0.45">
      <c r="A11" t="s">
        <v>69</v>
      </c>
      <c r="B11" s="18" t="n">
        <v>0.0</v>
      </c>
      <c r="C11" s="18" t="n">
        <v>0.0</v>
      </c>
      <c r="D11" s="18" t="n">
        <v>0.0</v>
      </c>
      <c r="E11" s="18" t="n">
        <v>0.0</v>
      </c>
      <c r="F11" s="18" t="n">
        <v>0.0</v>
      </c>
      <c r="G11" s="18" t="n">
        <v>0.0</v>
      </c>
      <c r="H11" s="18" t="n">
        <v>0.0</v>
      </c>
      <c r="I11" s="18" t="n">
        <v>0.0</v>
      </c>
      <c r="J11" s="18">
        <f si="2" t="shared"/>
        <v>0</v>
      </c>
      <c r="K11" s="18"/>
      <c r="L11" t="str">
        <f>$A$11</f>
        <v>Davidson</v>
      </c>
      <c r="T11" s="18"/>
      <c r="U11" s="18">
        <f si="0" t="shared"/>
        <v>0</v>
      </c>
      <c r="V11" s="18"/>
      <c r="W11" t="str">
        <f>$A$11</f>
        <v>Davidson</v>
      </c>
      <c r="X11" t="n">
        <v>0.0</v>
      </c>
      <c r="Y11" t="n">
        <v>0.0</v>
      </c>
      <c r="Z11" t="n">
        <v>0.0</v>
      </c>
      <c r="AA11" t="n">
        <v>0.0</v>
      </c>
      <c r="AB11" t="n">
        <v>0.0</v>
      </c>
      <c r="AC11" t="n">
        <v>0.0</v>
      </c>
      <c r="AD11" t="n">
        <v>0.0</v>
      </c>
      <c r="AE11" s="18" t="n">
        <v>0.0</v>
      </c>
      <c r="AF11" s="18">
        <f si="1" t="shared"/>
        <v>0</v>
      </c>
      <c r="AH11" s="19"/>
      <c r="AI11" s="19"/>
      <c r="AJ11" s="7"/>
    </row>
    <row r="12" spans="1:36" x14ac:dyDescent="0.45">
      <c r="A12" t="s">
        <v>70</v>
      </c>
      <c r="B12" s="18" t="n">
        <v>0.0</v>
      </c>
      <c r="C12" s="18" t="n">
        <v>0.0</v>
      </c>
      <c r="D12" s="18" t="n">
        <v>0.0</v>
      </c>
      <c r="E12" s="18" t="n">
        <v>0.0</v>
      </c>
      <c r="F12" s="18" t="n">
        <v>0.0</v>
      </c>
      <c r="G12" s="18" t="n">
        <v>0.0</v>
      </c>
      <c r="H12" s="18" t="n">
        <v>0.0</v>
      </c>
      <c r="I12" s="18" t="n">
        <v>0.0</v>
      </c>
      <c r="J12" s="18">
        <f>SUM(B12:I12)</f>
        <v>0</v>
      </c>
      <c r="K12" s="18"/>
      <c r="L12" t="str">
        <f>$A$12</f>
        <v>Maury</v>
      </c>
      <c r="T12" s="19"/>
      <c r="U12" s="18">
        <f si="0" t="shared"/>
        <v>0</v>
      </c>
      <c r="V12" s="19"/>
      <c r="W12" t="str">
        <f>$A$12</f>
        <v>Maury</v>
      </c>
      <c r="X12" t="n">
        <v>0.0</v>
      </c>
      <c r="Y12" t="n">
        <v>0.0</v>
      </c>
      <c r="Z12" t="n">
        <v>0.0</v>
      </c>
      <c r="AA12" t="n">
        <v>0.0</v>
      </c>
      <c r="AB12" t="n">
        <v>0.0</v>
      </c>
      <c r="AC12" t="n">
        <v>0.0</v>
      </c>
      <c r="AD12" t="n">
        <v>0.0</v>
      </c>
      <c r="AE12" s="19" t="n">
        <v>0.0</v>
      </c>
      <c r="AF12" s="18">
        <f si="1" t="shared"/>
        <v>0</v>
      </c>
      <c r="AH12" s="19"/>
      <c r="AI12" s="19"/>
      <c r="AJ12" s="7"/>
    </row>
    <row r="13" spans="1:36" x14ac:dyDescent="0.45">
      <c r="A13" t="s">
        <v>71</v>
      </c>
      <c r="B13" s="18" t="n">
        <v>0.0</v>
      </c>
      <c r="C13" s="18" t="n">
        <v>0.0</v>
      </c>
      <c r="D13" s="18" t="n">
        <v>0.0</v>
      </c>
      <c r="E13" s="18" t="n">
        <v>0.0</v>
      </c>
      <c r="F13" s="18" t="n">
        <v>0.0</v>
      </c>
      <c r="G13" s="18" t="n">
        <v>0.0</v>
      </c>
      <c r="H13" s="18" t="n">
        <v>0.0</v>
      </c>
      <c r="I13" s="18" t="n">
        <v>0.0</v>
      </c>
      <c r="J13" s="18">
        <f>SUM(B13:I13)</f>
        <v>0</v>
      </c>
      <c r="K13" s="18"/>
      <c r="L13" t="str">
        <f>$A$13</f>
        <v>Wilson</v>
      </c>
      <c r="T13" s="19"/>
      <c r="U13" s="18">
        <f si="0" t="shared"/>
        <v>0</v>
      </c>
      <c r="V13" s="19"/>
      <c r="W13" t="str">
        <f>$A$13</f>
        <v>Wilson</v>
      </c>
      <c r="X13" t="n">
        <v>0.0</v>
      </c>
      <c r="Y13" t="n">
        <v>0.0</v>
      </c>
      <c r="Z13" t="n">
        <v>0.0</v>
      </c>
      <c r="AA13" t="n">
        <v>0.0</v>
      </c>
      <c r="AB13" t="n">
        <v>0.0</v>
      </c>
      <c r="AC13" t="n">
        <v>0.0</v>
      </c>
      <c r="AD13" t="n">
        <v>0.0</v>
      </c>
      <c r="AE13" s="19" t="n">
        <v>0.0</v>
      </c>
      <c r="AF13" s="18">
        <f si="1" t="shared"/>
        <v>0</v>
      </c>
      <c r="AH13" s="19"/>
      <c r="AI13" s="19"/>
      <c r="AJ13" s="7"/>
    </row>
    <row r="14" spans="1:36" x14ac:dyDescent="0.45">
      <c r="A14" s="8" t="s">
        <v>17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17</v>
      </c>
      <c r="M14" s="20"/>
      <c r="N14" s="20"/>
      <c r="O14" s="20"/>
      <c r="P14" s="20"/>
      <c r="Q14" s="20"/>
      <c r="R14" s="20"/>
      <c r="S14" s="20"/>
      <c r="T14" s="20"/>
      <c r="U14" s="18">
        <f si="0" t="shared"/>
        <v>0</v>
      </c>
      <c r="V14" s="18"/>
      <c r="W14" s="21" t="s">
        <v>17</v>
      </c>
      <c r="X14" s="20"/>
      <c r="Y14" s="20"/>
      <c r="Z14" s="20"/>
      <c r="AA14" s="20"/>
      <c r="AB14" s="20"/>
      <c r="AC14" s="20"/>
      <c r="AD14" s="20"/>
      <c r="AE14" s="20"/>
      <c r="AF14" s="18">
        <f si="1" t="shared"/>
        <v>0</v>
      </c>
      <c r="AI14" s="19"/>
      <c r="AJ14" s="7"/>
    </row>
    <row ht="14.65" r="15" spans="1:36" thickBot="1" x14ac:dyDescent="0.5">
      <c r="A15" s="1" t="s">
        <v>4</v>
      </c>
      <c r="B15" s="22">
        <f>SUM(B7:B14)</f>
        <v>1776000</v>
      </c>
      <c r="C15" s="22">
        <f>SUM(C7:C14)</f>
        <v>0</v>
      </c>
      <c r="D15" s="22">
        <f>SUM(D7:D14)</f>
        <v>0</v>
      </c>
      <c r="E15" s="22">
        <f ref="E15:H15" si="3" t="shared">SUM(E7:E14)</f>
        <v>0</v>
      </c>
      <c r="F15" s="22">
        <f si="3" t="shared"/>
        <v>0</v>
      </c>
      <c r="G15" s="22">
        <f si="3" t="shared"/>
        <v>0</v>
      </c>
      <c r="H15" s="22">
        <f si="3" t="shared"/>
        <v>0</v>
      </c>
      <c r="I15" s="22">
        <f>SUM(I7:I14)</f>
        <v>0</v>
      </c>
      <c r="J15" s="22">
        <f>SUM(J7:J14)</f>
        <v>1776000</v>
      </c>
      <c r="K15" s="18"/>
      <c r="L15" s="22" t="s">
        <v>4</v>
      </c>
      <c r="M15" s="22">
        <f>SUM(M7:M14)</f>
        <v>0</v>
      </c>
      <c r="N15" s="22">
        <f ref="N15:U15" si="4" t="shared">SUM(N7:N14)</f>
        <v>0</v>
      </c>
      <c r="O15" s="22">
        <f si="4" t="shared"/>
        <v>0</v>
      </c>
      <c r="P15" s="22">
        <f si="4" t="shared"/>
        <v>0</v>
      </c>
      <c r="Q15" s="22">
        <f si="4" t="shared"/>
        <v>0</v>
      </c>
      <c r="R15" s="22">
        <f si="4" t="shared"/>
        <v>0</v>
      </c>
      <c r="S15" s="22">
        <f si="4" t="shared"/>
        <v>0</v>
      </c>
      <c r="T15" s="22">
        <f si="4" t="shared"/>
        <v>0</v>
      </c>
      <c r="U15" s="22">
        <f si="4" t="shared"/>
        <v>0</v>
      </c>
      <c r="V15" s="18"/>
      <c r="W15" s="22" t="s">
        <v>4</v>
      </c>
      <c r="X15" s="22">
        <f>SUM(X7:X14)</f>
        <v>1776000</v>
      </c>
      <c r="Y15" s="22">
        <f ref="Y15:AF15" si="5" t="shared">SUM(Y7:Y14)</f>
        <v>0</v>
      </c>
      <c r="Z15" s="22">
        <f si="5" t="shared"/>
        <v>0</v>
      </c>
      <c r="AA15" s="22">
        <f si="5" t="shared"/>
        <v>0</v>
      </c>
      <c r="AB15" s="22">
        <f si="5" t="shared"/>
        <v>0</v>
      </c>
      <c r="AC15" s="22">
        <f si="5" t="shared"/>
        <v>0</v>
      </c>
      <c r="AD15" s="22">
        <f si="5" t="shared"/>
        <v>0</v>
      </c>
      <c r="AE15" s="22">
        <f si="5" t="shared"/>
        <v>0</v>
      </c>
      <c r="AF15" s="22">
        <f si="5" t="shared"/>
        <v>1776000</v>
      </c>
      <c r="AH15" s="24"/>
      <c r="AI15" s="19"/>
      <c r="AJ15" s="7"/>
    </row>
    <row r="16" spans="1:36" x14ac:dyDescent="0.45">
      <c r="AH16" s="7"/>
      <c r="AI16" s="7"/>
      <c r="AJ16" s="7"/>
    </row>
    <row r="17" spans="1:36" x14ac:dyDescent="0.45">
      <c r="AH17" s="7"/>
      <c r="AI17" s="7"/>
      <c r="AJ17" s="7"/>
    </row>
    <row ht="14.65" r="18" spans="1:36" thickBot="1" x14ac:dyDescent="0.5">
      <c r="A18" s="4" t="s">
        <v>269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57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45">
      <c r="A19" s="2" t="s">
        <v>16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16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45">
      <c r="A20" t="str">
        <f>$A$7</f>
        <v>Williamson</v>
      </c>
      <c r="B20" s="18">
        <f>B7*($AF7/$J7)</f>
        <v>1776000</v>
      </c>
      <c r="C20" s="18">
        <f ref="C20:I20" si="6" t="shared">C7*($AF7/$J7)</f>
        <v>0</v>
      </c>
      <c r="D20" s="18">
        <f si="6" t="shared"/>
        <v>0</v>
      </c>
      <c r="E20" s="18">
        <f si="6" t="shared"/>
        <v>0</v>
      </c>
      <c r="F20" s="18">
        <f si="6" t="shared"/>
        <v>0</v>
      </c>
      <c r="G20" s="18">
        <f si="6" t="shared"/>
        <v>0</v>
      </c>
      <c r="H20" s="18">
        <f si="6" t="shared"/>
        <v>0</v>
      </c>
      <c r="I20" s="18">
        <f si="6" t="shared"/>
        <v>0</v>
      </c>
      <c r="J20" s="18">
        <f>J7*($AF7/$J7)</f>
        <v>1776000</v>
      </c>
      <c r="L20" t="str">
        <f>$A$7</f>
        <v>Williamson</v>
      </c>
      <c r="M20" s="18" t="e">
        <f ref="M20:T26" si="7" t="shared">M7*($AF7/$U7)</f>
        <v>#DIV/0!</v>
      </c>
      <c r="N20" s="18" t="e">
        <f si="7" t="shared"/>
        <v>#DIV/0!</v>
      </c>
      <c r="O20" s="18" t="e">
        <f si="7" t="shared"/>
        <v>#DIV/0!</v>
      </c>
      <c r="P20" s="18" t="e">
        <f si="7" t="shared"/>
        <v>#DIV/0!</v>
      </c>
      <c r="Q20" s="18" t="e">
        <f si="7" t="shared"/>
        <v>#DIV/0!</v>
      </c>
      <c r="R20" s="18" t="e">
        <f si="7" t="shared"/>
        <v>#DIV/0!</v>
      </c>
      <c r="S20" s="18" t="e">
        <f si="7" t="shared"/>
        <v>#DIV/0!</v>
      </c>
      <c r="T20" s="18" t="e">
        <f ref="T20:T25" si="8" t="shared">T7*($AF7/$U7)</f>
        <v>#DIV/0!</v>
      </c>
      <c r="U20" s="18" t="e">
        <f>SUM(M20:T20)</f>
        <v>#DIV/0!</v>
      </c>
    </row>
    <row r="21" spans="1:36" x14ac:dyDescent="0.45">
      <c r="A21" t="str">
        <f>$A$8</f>
        <v>Rutherford</v>
      </c>
      <c r="B21" s="18" t="e">
        <f ref="B21:J21" si="9" t="shared">B8*($AF8/$J8)</f>
        <v>#DIV/0!</v>
      </c>
      <c r="C21" s="18" t="e">
        <f si="9" t="shared"/>
        <v>#DIV/0!</v>
      </c>
      <c r="D21" s="18" t="e">
        <f si="9" t="shared"/>
        <v>#DIV/0!</v>
      </c>
      <c r="E21" s="18" t="e">
        <f si="9" t="shared"/>
        <v>#DIV/0!</v>
      </c>
      <c r="F21" s="18" t="e">
        <f si="9" t="shared"/>
        <v>#DIV/0!</v>
      </c>
      <c r="G21" s="18" t="e">
        <f si="9" t="shared"/>
        <v>#DIV/0!</v>
      </c>
      <c r="H21" s="18" t="e">
        <f si="9" t="shared"/>
        <v>#DIV/0!</v>
      </c>
      <c r="I21" s="18" t="e">
        <f si="9" t="shared"/>
        <v>#DIV/0!</v>
      </c>
      <c r="J21" s="18" t="e">
        <f si="9" t="shared"/>
        <v>#DIV/0!</v>
      </c>
      <c r="L21" t="str">
        <f>$A$8</f>
        <v>Rutherford</v>
      </c>
      <c r="M21" s="18" t="e">
        <f si="7" t="shared"/>
        <v>#DIV/0!</v>
      </c>
      <c r="N21" s="18" t="e">
        <f si="7" t="shared"/>
        <v>#DIV/0!</v>
      </c>
      <c r="O21" s="18" t="e">
        <f si="7" t="shared"/>
        <v>#DIV/0!</v>
      </c>
      <c r="P21" s="18" t="e">
        <f si="7" t="shared"/>
        <v>#DIV/0!</v>
      </c>
      <c r="Q21" s="18" t="e">
        <f si="7" t="shared"/>
        <v>#DIV/0!</v>
      </c>
      <c r="R21" s="18" t="e">
        <f si="7" t="shared"/>
        <v>#DIV/0!</v>
      </c>
      <c r="S21" s="18" t="e">
        <f ref="S21" si="10" t="shared">S8*($AF8/$U8)</f>
        <v>#DIV/0!</v>
      </c>
      <c r="T21" s="18" t="e">
        <f si="8" t="shared"/>
        <v>#DIV/0!</v>
      </c>
      <c r="U21" s="18" t="e">
        <f>SUM(M21:T21)</f>
        <v>#DIV/0!</v>
      </c>
    </row>
    <row r="22" spans="1:36" x14ac:dyDescent="0.45">
      <c r="A22" t="str">
        <f>$A$9</f>
        <v>Sumner</v>
      </c>
      <c r="B22" s="18" t="e">
        <f ref="B22:J22" si="11" t="shared">B9*($AF9/$J9)</f>
        <v>#DIV/0!</v>
      </c>
      <c r="C22" s="18" t="e">
        <f si="11" t="shared"/>
        <v>#DIV/0!</v>
      </c>
      <c r="D22" s="18" t="e">
        <f si="11" t="shared"/>
        <v>#DIV/0!</v>
      </c>
      <c r="E22" s="18" t="e">
        <f si="11" t="shared"/>
        <v>#DIV/0!</v>
      </c>
      <c r="F22" s="18" t="e">
        <f si="11" t="shared"/>
        <v>#DIV/0!</v>
      </c>
      <c r="G22" s="18" t="e">
        <f si="11" t="shared"/>
        <v>#DIV/0!</v>
      </c>
      <c r="H22" s="18" t="e">
        <f si="11" t="shared"/>
        <v>#DIV/0!</v>
      </c>
      <c r="I22" s="18" t="e">
        <f si="11" t="shared"/>
        <v>#DIV/0!</v>
      </c>
      <c r="J22" s="18" t="e">
        <f si="11" t="shared"/>
        <v>#DIV/0!</v>
      </c>
      <c r="L22" t="str">
        <f>$A$9</f>
        <v>Sumner</v>
      </c>
      <c r="M22" s="18" t="e">
        <f si="7" t="shared"/>
        <v>#DIV/0!</v>
      </c>
      <c r="N22" s="18" t="e">
        <f si="7" t="shared"/>
        <v>#DIV/0!</v>
      </c>
      <c r="O22" s="18" t="e">
        <f si="7" t="shared"/>
        <v>#DIV/0!</v>
      </c>
      <c r="P22" s="18" t="e">
        <f si="7" t="shared"/>
        <v>#DIV/0!</v>
      </c>
      <c r="Q22" s="18" t="e">
        <f si="7" t="shared"/>
        <v>#DIV/0!</v>
      </c>
      <c r="R22" s="18" t="e">
        <f si="7" t="shared"/>
        <v>#DIV/0!</v>
      </c>
      <c r="S22" s="18" t="e">
        <f ref="S22" si="12" t="shared">S9*($AF9/$U9)</f>
        <v>#DIV/0!</v>
      </c>
      <c r="T22" s="18" t="e">
        <f si="8" t="shared"/>
        <v>#DIV/0!</v>
      </c>
      <c r="U22" s="18" t="e">
        <f>SUM(M22:T22)</f>
        <v>#DIV/0!</v>
      </c>
    </row>
    <row r="23" spans="1:36" x14ac:dyDescent="0.45">
      <c r="A23" t="str">
        <f>$A$10</f>
        <v>Roberston</v>
      </c>
      <c r="B23" s="18" t="e">
        <f ref="B23:J23" si="13" t="shared">B10*($AF10/$J10)</f>
        <v>#DIV/0!</v>
      </c>
      <c r="C23" s="18" t="e">
        <f si="13" t="shared"/>
        <v>#DIV/0!</v>
      </c>
      <c r="D23" s="18" t="e">
        <f si="13" t="shared"/>
        <v>#DIV/0!</v>
      </c>
      <c r="E23" s="18" t="e">
        <f si="13" t="shared"/>
        <v>#DIV/0!</v>
      </c>
      <c r="F23" s="18" t="e">
        <f si="13" t="shared"/>
        <v>#DIV/0!</v>
      </c>
      <c r="G23" s="18" t="e">
        <f si="13" t="shared"/>
        <v>#DIV/0!</v>
      </c>
      <c r="H23" s="18" t="e">
        <f si="13" t="shared"/>
        <v>#DIV/0!</v>
      </c>
      <c r="I23" s="18" t="e">
        <f si="13" t="shared"/>
        <v>#DIV/0!</v>
      </c>
      <c r="J23" s="18" t="e">
        <f si="13" t="shared"/>
        <v>#DIV/0!</v>
      </c>
      <c r="L23" t="str">
        <f>$A$10</f>
        <v>Roberston</v>
      </c>
      <c r="M23" s="18" t="e">
        <f si="7" t="shared"/>
        <v>#DIV/0!</v>
      </c>
      <c r="N23" s="18" t="e">
        <f si="7" t="shared"/>
        <v>#DIV/0!</v>
      </c>
      <c r="O23" s="18" t="e">
        <f si="7" t="shared"/>
        <v>#DIV/0!</v>
      </c>
      <c r="P23" s="18" t="e">
        <f si="7" t="shared"/>
        <v>#DIV/0!</v>
      </c>
      <c r="Q23" s="18" t="e">
        <f si="7" t="shared"/>
        <v>#DIV/0!</v>
      </c>
      <c r="R23" s="18" t="e">
        <f si="7" t="shared"/>
        <v>#DIV/0!</v>
      </c>
      <c r="S23" s="18" t="e">
        <f ref="S23" si="14" t="shared">S10*($AF10/$U10)</f>
        <v>#DIV/0!</v>
      </c>
      <c r="T23" s="18" t="e">
        <f si="8" t="shared"/>
        <v>#DIV/0!</v>
      </c>
      <c r="U23" s="18" t="e">
        <f ref="U23:U26" si="15" t="shared">SUM(M23:T23)</f>
        <v>#DIV/0!</v>
      </c>
    </row>
    <row r="24" spans="1:36" x14ac:dyDescent="0.45">
      <c r="A24" t="str">
        <f>$A$11</f>
        <v>Davidson</v>
      </c>
      <c r="B24" s="18" t="e">
        <f ref="B24:J24" si="16" t="shared">B11*($AF11/$J11)</f>
        <v>#DIV/0!</v>
      </c>
      <c r="C24" s="18" t="e">
        <f si="16" t="shared"/>
        <v>#DIV/0!</v>
      </c>
      <c r="D24" s="18" t="e">
        <f si="16" t="shared"/>
        <v>#DIV/0!</v>
      </c>
      <c r="E24" s="18" t="e">
        <f si="16" t="shared"/>
        <v>#DIV/0!</v>
      </c>
      <c r="F24" s="18" t="e">
        <f si="16" t="shared"/>
        <v>#DIV/0!</v>
      </c>
      <c r="G24" s="18" t="e">
        <f si="16" t="shared"/>
        <v>#DIV/0!</v>
      </c>
      <c r="H24" s="18" t="e">
        <f si="16" t="shared"/>
        <v>#DIV/0!</v>
      </c>
      <c r="I24" s="18" t="e">
        <f si="16" t="shared"/>
        <v>#DIV/0!</v>
      </c>
      <c r="J24" s="18" t="e">
        <f si="16" t="shared"/>
        <v>#DIV/0!</v>
      </c>
      <c r="L24" t="str">
        <f>$A$11</f>
        <v>Davidson</v>
      </c>
      <c r="M24" s="18" t="e">
        <f si="7" t="shared"/>
        <v>#DIV/0!</v>
      </c>
      <c r="N24" s="18" t="e">
        <f si="7" t="shared"/>
        <v>#DIV/0!</v>
      </c>
      <c r="O24" s="18" t="e">
        <f si="7" t="shared"/>
        <v>#DIV/0!</v>
      </c>
      <c r="P24" s="18" t="e">
        <f si="7" t="shared"/>
        <v>#DIV/0!</v>
      </c>
      <c r="Q24" s="18" t="e">
        <f si="7" t="shared"/>
        <v>#DIV/0!</v>
      </c>
      <c r="R24" s="18" t="e">
        <f si="7" t="shared"/>
        <v>#DIV/0!</v>
      </c>
      <c r="S24" s="18" t="e">
        <f ref="S24" si="17" t="shared">S11*($AF11/$U11)</f>
        <v>#DIV/0!</v>
      </c>
      <c r="T24" s="18" t="e">
        <f si="8" t="shared"/>
        <v>#DIV/0!</v>
      </c>
      <c r="U24" s="18" t="e">
        <f si="15" t="shared"/>
        <v>#DIV/0!</v>
      </c>
    </row>
    <row r="25" spans="1:36" x14ac:dyDescent="0.45">
      <c r="A25" t="str">
        <f>$A$12</f>
        <v>Maury</v>
      </c>
      <c r="B25" s="18" t="e">
        <f ref="B25:J25" si="18" t="shared">B12*($AF12/$J12)</f>
        <v>#DIV/0!</v>
      </c>
      <c r="C25" s="18" t="e">
        <f si="18" t="shared"/>
        <v>#DIV/0!</v>
      </c>
      <c r="D25" s="18" t="e">
        <f si="18" t="shared"/>
        <v>#DIV/0!</v>
      </c>
      <c r="E25" s="18" t="e">
        <f si="18" t="shared"/>
        <v>#DIV/0!</v>
      </c>
      <c r="F25" s="18" t="e">
        <f si="18" t="shared"/>
        <v>#DIV/0!</v>
      </c>
      <c r="G25" s="18" t="e">
        <f si="18" t="shared"/>
        <v>#DIV/0!</v>
      </c>
      <c r="H25" s="18" t="e">
        <f si="18" t="shared"/>
        <v>#DIV/0!</v>
      </c>
      <c r="I25" s="18" t="e">
        <f si="18" t="shared"/>
        <v>#DIV/0!</v>
      </c>
      <c r="J25" s="18" t="e">
        <f si="18" t="shared"/>
        <v>#DIV/0!</v>
      </c>
      <c r="L25" t="str">
        <f>$A$12</f>
        <v>Maury</v>
      </c>
      <c r="M25" s="18" t="e">
        <f si="7" t="shared"/>
        <v>#DIV/0!</v>
      </c>
      <c r="N25" s="18" t="e">
        <f si="7" t="shared"/>
        <v>#DIV/0!</v>
      </c>
      <c r="O25" s="18" t="e">
        <f si="7" t="shared"/>
        <v>#DIV/0!</v>
      </c>
      <c r="P25" s="18" t="e">
        <f si="7" t="shared"/>
        <v>#DIV/0!</v>
      </c>
      <c r="Q25" s="18" t="e">
        <f si="7" t="shared"/>
        <v>#DIV/0!</v>
      </c>
      <c r="R25" s="18" t="e">
        <f si="7" t="shared"/>
        <v>#DIV/0!</v>
      </c>
      <c r="S25" s="18" t="e">
        <f ref="S25" si="19" t="shared">S12*($AF12/$U12)</f>
        <v>#DIV/0!</v>
      </c>
      <c r="T25" s="18" t="e">
        <f si="8" t="shared"/>
        <v>#DIV/0!</v>
      </c>
      <c r="U25" s="18" t="e">
        <f si="15" t="shared"/>
        <v>#DIV/0!</v>
      </c>
    </row>
    <row r="26" spans="1:36" x14ac:dyDescent="0.45">
      <c r="A26" t="str">
        <f>$A$13</f>
        <v>Wilson</v>
      </c>
      <c r="B26" s="18" t="e">
        <f ref="B26:J26" si="20" t="shared">B13*($AF13/$J13)</f>
        <v>#DIV/0!</v>
      </c>
      <c r="C26" s="18" t="e">
        <f si="20" t="shared"/>
        <v>#DIV/0!</v>
      </c>
      <c r="D26" s="18" t="e">
        <f si="20" t="shared"/>
        <v>#DIV/0!</v>
      </c>
      <c r="E26" s="18" t="e">
        <f si="20" t="shared"/>
        <v>#DIV/0!</v>
      </c>
      <c r="F26" s="18" t="e">
        <f si="20" t="shared"/>
        <v>#DIV/0!</v>
      </c>
      <c r="G26" s="18" t="e">
        <f si="20" t="shared"/>
        <v>#DIV/0!</v>
      </c>
      <c r="H26" s="18" t="e">
        <f si="20" t="shared"/>
        <v>#DIV/0!</v>
      </c>
      <c r="I26" s="18" t="e">
        <f si="20" t="shared"/>
        <v>#DIV/0!</v>
      </c>
      <c r="J26" s="18" t="e">
        <f si="20" t="shared"/>
        <v>#DIV/0!</v>
      </c>
      <c r="L26" t="str">
        <f>$A$13</f>
        <v>Wilson</v>
      </c>
      <c r="M26" s="18" t="e">
        <f si="7" t="shared"/>
        <v>#DIV/0!</v>
      </c>
      <c r="N26" s="18" t="e">
        <f si="7" t="shared"/>
        <v>#DIV/0!</v>
      </c>
      <c r="O26" s="18" t="e">
        <f si="7" t="shared"/>
        <v>#DIV/0!</v>
      </c>
      <c r="P26" s="18" t="e">
        <f si="7" t="shared"/>
        <v>#DIV/0!</v>
      </c>
      <c r="Q26" s="18" t="e">
        <f si="7" t="shared"/>
        <v>#DIV/0!</v>
      </c>
      <c r="R26" s="18" t="e">
        <f si="7" t="shared"/>
        <v>#DIV/0!</v>
      </c>
      <c r="S26" s="18" t="e">
        <f ref="S26" si="21" t="shared">S13*($AF13/$U13)</f>
        <v>#DIV/0!</v>
      </c>
      <c r="T26" s="18" t="e">
        <f si="7" t="shared"/>
        <v>#DIV/0!</v>
      </c>
      <c r="U26" s="18" t="e">
        <f si="15" t="shared"/>
        <v>#DIV/0!</v>
      </c>
    </row>
    <row r="27" spans="1:36" x14ac:dyDescent="0.45">
      <c r="A27" s="21" t="s">
        <v>17</v>
      </c>
      <c r="B27" s="18"/>
      <c r="C27" s="20"/>
      <c r="D27" s="20"/>
      <c r="E27" s="20"/>
      <c r="F27" s="20"/>
      <c r="G27" s="20"/>
      <c r="H27" s="18"/>
      <c r="I27" s="20"/>
      <c r="J27" s="20"/>
      <c r="L27" s="21" t="s">
        <v>17</v>
      </c>
      <c r="M27" s="20" t="e">
        <f ref="M27:S27" si="22" t="shared">M14*($AF14/$U14)</f>
        <v>#DIV/0!</v>
      </c>
      <c r="N27" s="20" t="e">
        <f si="22" t="shared"/>
        <v>#DIV/0!</v>
      </c>
      <c r="O27" s="20" t="e">
        <f si="22" t="shared"/>
        <v>#DIV/0!</v>
      </c>
      <c r="P27" s="20" t="e">
        <f si="22" t="shared"/>
        <v>#DIV/0!</v>
      </c>
      <c r="Q27" s="20" t="e">
        <f si="22" t="shared"/>
        <v>#DIV/0!</v>
      </c>
      <c r="R27" s="20" t="e">
        <f si="22" t="shared"/>
        <v>#DIV/0!</v>
      </c>
      <c r="S27" s="18" t="e">
        <f si="22" t="shared"/>
        <v>#DIV/0!</v>
      </c>
      <c r="T27" s="20" t="e">
        <f>T14*($AF14/$U14)</f>
        <v>#DIV/0!</v>
      </c>
      <c r="U27" s="20" t="e">
        <f>SUM(M27:T27)</f>
        <v>#DIV/0!</v>
      </c>
    </row>
    <row ht="14.65" r="28" spans="1:36" thickBot="1" x14ac:dyDescent="0.5">
      <c r="A28" s="22" t="s">
        <v>4</v>
      </c>
      <c r="B28" s="22" t="e">
        <f>SUM(B20:B27)</f>
        <v>#DIV/0!</v>
      </c>
      <c r="C28" s="22" t="e">
        <f ref="C28:H28" si="23" t="shared">SUM(C20:C27)</f>
        <v>#DIV/0!</v>
      </c>
      <c r="D28" s="22" t="e">
        <f si="23" t="shared"/>
        <v>#DIV/0!</v>
      </c>
      <c r="E28" s="22" t="e">
        <f si="23" t="shared"/>
        <v>#DIV/0!</v>
      </c>
      <c r="F28" s="22" t="e">
        <f si="23" t="shared"/>
        <v>#DIV/0!</v>
      </c>
      <c r="G28" s="22" t="e">
        <f si="23" t="shared"/>
        <v>#DIV/0!</v>
      </c>
      <c r="H28" s="22" t="e">
        <f si="23" t="shared"/>
        <v>#DIV/0!</v>
      </c>
      <c r="I28" s="22" t="e">
        <f>SUM(I20:I27)</f>
        <v>#DIV/0!</v>
      </c>
      <c r="J28" s="22" t="e">
        <f>SUM(J20:J27)</f>
        <v>#DIV/0!</v>
      </c>
      <c r="L28" s="22" t="s">
        <v>4</v>
      </c>
      <c r="M28" s="22" t="e">
        <f>SUM(M20:M27)</f>
        <v>#DIV/0!</v>
      </c>
      <c r="N28" s="22" t="e">
        <f ref="N28:S28" si="24" t="shared">SUM(N20:N27)</f>
        <v>#DIV/0!</v>
      </c>
      <c r="O28" s="22" t="e">
        <f si="24" t="shared"/>
        <v>#DIV/0!</v>
      </c>
      <c r="P28" s="22" t="e">
        <f si="24" t="shared"/>
        <v>#DIV/0!</v>
      </c>
      <c r="Q28" s="22" t="e">
        <f si="24" t="shared"/>
        <v>#DIV/0!</v>
      </c>
      <c r="R28" s="22" t="e">
        <f si="24" t="shared"/>
        <v>#DIV/0!</v>
      </c>
      <c r="S28" s="22" t="e">
        <f si="24" t="shared"/>
        <v>#DIV/0!</v>
      </c>
      <c r="T28" s="22" t="e">
        <f>SUM(T20:T27)</f>
        <v>#DIV/0!</v>
      </c>
      <c r="U28" s="22" t="e">
        <f>SUM(U20:U27)</f>
        <v>#DIV/0!</v>
      </c>
    </row>
    <row ht="14.65" r="32" spans="1:36" thickBot="1" x14ac:dyDescent="0.5">
      <c r="A32" s="4" t="s">
        <v>294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57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285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45">
      <c r="A33" s="2" t="s">
        <v>16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16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16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45">
      <c r="A34" t="str">
        <f>$A$7</f>
        <v>Williamson</v>
      </c>
      <c r="B34" s="28">
        <f>B7/$J$15</f>
        <v>1</v>
      </c>
      <c r="C34" s="28">
        <f ref="C34:J34" si="25" t="shared">C7/$J$15</f>
        <v>0</v>
      </c>
      <c r="D34" s="28">
        <f si="25" t="shared"/>
        <v>0</v>
      </c>
      <c r="E34" s="28">
        <f si="25" t="shared"/>
        <v>0</v>
      </c>
      <c r="F34" s="28">
        <f si="25" t="shared"/>
        <v>0</v>
      </c>
      <c r="G34" s="28">
        <f si="25" t="shared"/>
        <v>0</v>
      </c>
      <c r="H34" s="28">
        <f si="25" t="shared"/>
        <v>0</v>
      </c>
      <c r="I34" s="28">
        <f si="25" t="shared"/>
        <v>0</v>
      </c>
      <c r="J34" s="28">
        <f si="25" t="shared"/>
        <v>1</v>
      </c>
      <c r="L34" t="str">
        <f>$A$7</f>
        <v>Williamson</v>
      </c>
      <c r="M34" s="28" t="e">
        <f ref="M34:T41" si="26" t="shared">M20/$U$28</f>
        <v>#DIV/0!</v>
      </c>
      <c r="N34" s="28" t="e">
        <f si="26" t="shared"/>
        <v>#DIV/0!</v>
      </c>
      <c r="O34" s="28" t="e">
        <f si="26" t="shared"/>
        <v>#DIV/0!</v>
      </c>
      <c r="P34" s="28" t="e">
        <f si="26" t="shared"/>
        <v>#DIV/0!</v>
      </c>
      <c r="Q34" s="28" t="e">
        <f si="26" t="shared"/>
        <v>#DIV/0!</v>
      </c>
      <c r="R34" s="28" t="e">
        <f si="26" t="shared"/>
        <v>#DIV/0!</v>
      </c>
      <c r="S34" s="28" t="e">
        <f si="26" t="shared"/>
        <v>#DIV/0!</v>
      </c>
      <c r="T34" s="28" t="e">
        <f ref="T34:T39" si="27" t="shared">T20/$U$28</f>
        <v>#DIV/0!</v>
      </c>
      <c r="U34" s="28" t="e">
        <f>SUM(M34:T34)</f>
        <v>#DIV/0!</v>
      </c>
      <c r="W34" t="str">
        <f>$A$7</f>
        <v>Williamson</v>
      </c>
      <c r="X34" s="28">
        <f ref="X34:AD40" si="28" t="shared">X7/$AF$15</f>
        <v>1</v>
      </c>
      <c r="Y34" s="28">
        <f si="28" t="shared"/>
        <v>0</v>
      </c>
      <c r="Z34" s="28">
        <f si="28" t="shared"/>
        <v>0</v>
      </c>
      <c r="AA34" s="28">
        <f si="28" t="shared"/>
        <v>0</v>
      </c>
      <c r="AB34" s="28">
        <f si="28" t="shared"/>
        <v>0</v>
      </c>
      <c r="AC34" s="28">
        <f si="28" t="shared"/>
        <v>0</v>
      </c>
      <c r="AD34" s="28">
        <f si="28" t="shared"/>
        <v>0</v>
      </c>
      <c r="AE34" s="28">
        <f ref="AE34:AE40" si="29" t="shared">AE7/$AF$15</f>
        <v>0</v>
      </c>
      <c r="AF34" s="28">
        <f>SUM(X34:AE34)</f>
        <v>1</v>
      </c>
    </row>
    <row r="35" spans="1:32" x14ac:dyDescent="0.45">
      <c r="A35" t="str">
        <f>$A$8</f>
        <v>Rutherford</v>
      </c>
      <c r="B35" s="28">
        <f ref="B35:J35" si="30" t="shared">B8/$J$15</f>
        <v>0</v>
      </c>
      <c r="C35" s="28">
        <f si="30" t="shared"/>
        <v>0</v>
      </c>
      <c r="D35" s="28">
        <f si="30" t="shared"/>
        <v>0</v>
      </c>
      <c r="E35" s="28">
        <f si="30" t="shared"/>
        <v>0</v>
      </c>
      <c r="F35" s="28">
        <f si="30" t="shared"/>
        <v>0</v>
      </c>
      <c r="G35" s="28">
        <f si="30" t="shared"/>
        <v>0</v>
      </c>
      <c r="H35" s="28">
        <f si="30" t="shared"/>
        <v>0</v>
      </c>
      <c r="I35" s="28">
        <f si="30" t="shared"/>
        <v>0</v>
      </c>
      <c r="J35" s="28">
        <f si="30" t="shared"/>
        <v>0</v>
      </c>
      <c r="L35" t="str">
        <f>$A$8</f>
        <v>Rutherford</v>
      </c>
      <c r="M35" s="28" t="e">
        <f si="26" t="shared"/>
        <v>#DIV/0!</v>
      </c>
      <c r="N35" s="28" t="e">
        <f si="26" t="shared"/>
        <v>#DIV/0!</v>
      </c>
      <c r="O35" s="28" t="e">
        <f si="26" t="shared"/>
        <v>#DIV/0!</v>
      </c>
      <c r="P35" s="28" t="e">
        <f si="26" t="shared"/>
        <v>#DIV/0!</v>
      </c>
      <c r="Q35" s="28" t="e">
        <f si="26" t="shared"/>
        <v>#DIV/0!</v>
      </c>
      <c r="R35" s="28" t="e">
        <f si="26" t="shared"/>
        <v>#DIV/0!</v>
      </c>
      <c r="S35" s="28" t="e">
        <f ref="S35" si="31" t="shared">S21/$U$28</f>
        <v>#DIV/0!</v>
      </c>
      <c r="T35" s="28" t="e">
        <f si="27" t="shared"/>
        <v>#DIV/0!</v>
      </c>
      <c r="U35" s="28" t="e">
        <f>SUM(M35:T35)</f>
        <v>#DIV/0!</v>
      </c>
      <c r="W35" t="str">
        <f>$A$8</f>
        <v>Rutherford</v>
      </c>
      <c r="X35" s="28">
        <f si="28" t="shared"/>
        <v>0</v>
      </c>
      <c r="Y35" s="28">
        <f si="28" t="shared"/>
        <v>0</v>
      </c>
      <c r="Z35" s="28">
        <f si="28" t="shared"/>
        <v>0</v>
      </c>
      <c r="AA35" s="28">
        <f si="28" t="shared"/>
        <v>0</v>
      </c>
      <c r="AB35" s="28">
        <f si="28" t="shared"/>
        <v>0</v>
      </c>
      <c r="AC35" s="28">
        <f si="28" t="shared"/>
        <v>0</v>
      </c>
      <c r="AD35" s="28">
        <f ref="AD35" si="32" t="shared">AD8/$AF$15</f>
        <v>0</v>
      </c>
      <c r="AE35" s="28">
        <f si="29" t="shared"/>
        <v>0</v>
      </c>
      <c r="AF35" s="28">
        <f>SUM(X35:AE35)</f>
        <v>0</v>
      </c>
    </row>
    <row r="36" spans="1:32" x14ac:dyDescent="0.45">
      <c r="A36" t="str">
        <f>$A$9</f>
        <v>Sumner</v>
      </c>
      <c r="B36" s="28">
        <f ref="B36:J36" si="33" t="shared">B9/$J$15</f>
        <v>0</v>
      </c>
      <c r="C36" s="28">
        <f si="33" t="shared"/>
        <v>0</v>
      </c>
      <c r="D36" s="28">
        <f si="33" t="shared"/>
        <v>0</v>
      </c>
      <c r="E36" s="28">
        <f si="33" t="shared"/>
        <v>0</v>
      </c>
      <c r="F36" s="28">
        <f si="33" t="shared"/>
        <v>0</v>
      </c>
      <c r="G36" s="28">
        <f si="33" t="shared"/>
        <v>0</v>
      </c>
      <c r="H36" s="28">
        <f si="33" t="shared"/>
        <v>0</v>
      </c>
      <c r="I36" s="28">
        <f si="33" t="shared"/>
        <v>0</v>
      </c>
      <c r="J36" s="28">
        <f si="33" t="shared"/>
        <v>0</v>
      </c>
      <c r="L36" t="str">
        <f>$A$9</f>
        <v>Sumner</v>
      </c>
      <c r="M36" s="28" t="e">
        <f si="26" t="shared"/>
        <v>#DIV/0!</v>
      </c>
      <c r="N36" s="28" t="e">
        <f si="26" t="shared"/>
        <v>#DIV/0!</v>
      </c>
      <c r="O36" s="28" t="e">
        <f si="26" t="shared"/>
        <v>#DIV/0!</v>
      </c>
      <c r="P36" s="28" t="e">
        <f si="26" t="shared"/>
        <v>#DIV/0!</v>
      </c>
      <c r="Q36" s="28" t="e">
        <f si="26" t="shared"/>
        <v>#DIV/0!</v>
      </c>
      <c r="R36" s="28" t="e">
        <f si="26" t="shared"/>
        <v>#DIV/0!</v>
      </c>
      <c r="S36" s="28" t="e">
        <f ref="S36" si="34" t="shared">S22/$U$28</f>
        <v>#DIV/0!</v>
      </c>
      <c r="T36" s="28" t="e">
        <f si="27" t="shared"/>
        <v>#DIV/0!</v>
      </c>
      <c r="U36" s="28" t="e">
        <f>SUM(M36:T36)</f>
        <v>#DIV/0!</v>
      </c>
      <c r="W36" t="str">
        <f>$A$9</f>
        <v>Sumner</v>
      </c>
      <c r="X36" s="28">
        <f si="28" t="shared"/>
        <v>0</v>
      </c>
      <c r="Y36" s="28">
        <f si="28" t="shared"/>
        <v>0</v>
      </c>
      <c r="Z36" s="28">
        <f si="28" t="shared"/>
        <v>0</v>
      </c>
      <c r="AA36" s="28">
        <f si="28" t="shared"/>
        <v>0</v>
      </c>
      <c r="AB36" s="28">
        <f si="28" t="shared"/>
        <v>0</v>
      </c>
      <c r="AC36" s="28">
        <f si="28" t="shared"/>
        <v>0</v>
      </c>
      <c r="AD36" s="28">
        <f ref="AD36" si="35" t="shared">AD9/$AF$15</f>
        <v>0</v>
      </c>
      <c r="AE36" s="28">
        <f si="29" t="shared"/>
        <v>0</v>
      </c>
      <c r="AF36" s="28">
        <f>SUM(X36:AE36)</f>
        <v>0</v>
      </c>
    </row>
    <row r="37" spans="1:32" x14ac:dyDescent="0.45">
      <c r="A37" t="str">
        <f>$A$10</f>
        <v>Roberston</v>
      </c>
      <c r="B37" s="28">
        <f ref="B37:J37" si="36" t="shared">B10/$J$15</f>
        <v>0</v>
      </c>
      <c r="C37" s="28">
        <f si="36" t="shared"/>
        <v>0</v>
      </c>
      <c r="D37" s="28">
        <f si="36" t="shared"/>
        <v>0</v>
      </c>
      <c r="E37" s="28">
        <f si="36" t="shared"/>
        <v>0</v>
      </c>
      <c r="F37" s="28">
        <f si="36" t="shared"/>
        <v>0</v>
      </c>
      <c r="G37" s="28">
        <f si="36" t="shared"/>
        <v>0</v>
      </c>
      <c r="H37" s="28">
        <f si="36" t="shared"/>
        <v>0</v>
      </c>
      <c r="I37" s="28">
        <f si="36" t="shared"/>
        <v>0</v>
      </c>
      <c r="J37" s="28">
        <f si="36" t="shared"/>
        <v>0</v>
      </c>
      <c r="L37" t="str">
        <f>$A$10</f>
        <v>Roberston</v>
      </c>
      <c r="M37" s="28" t="e">
        <f si="26" t="shared"/>
        <v>#DIV/0!</v>
      </c>
      <c r="N37" s="28" t="e">
        <f si="26" t="shared"/>
        <v>#DIV/0!</v>
      </c>
      <c r="O37" s="28" t="e">
        <f si="26" t="shared"/>
        <v>#DIV/0!</v>
      </c>
      <c r="P37" s="28" t="e">
        <f si="26" t="shared"/>
        <v>#DIV/0!</v>
      </c>
      <c r="Q37" s="28" t="e">
        <f si="26" t="shared"/>
        <v>#DIV/0!</v>
      </c>
      <c r="R37" s="28" t="e">
        <f si="26" t="shared"/>
        <v>#DIV/0!</v>
      </c>
      <c r="S37" s="28" t="e">
        <f ref="S37" si="37" t="shared">S23/$U$28</f>
        <v>#DIV/0!</v>
      </c>
      <c r="T37" s="28" t="e">
        <f si="27" t="shared"/>
        <v>#DIV/0!</v>
      </c>
      <c r="U37" s="28" t="e">
        <f ref="U37:U40" si="38" t="shared">SUM(M37:T37)</f>
        <v>#DIV/0!</v>
      </c>
      <c r="W37" t="str">
        <f>$A$10</f>
        <v>Roberston</v>
      </c>
      <c r="X37" s="28">
        <f si="28" t="shared"/>
        <v>0</v>
      </c>
      <c r="Y37" s="28">
        <f si="28" t="shared"/>
        <v>0</v>
      </c>
      <c r="Z37" s="28">
        <f si="28" t="shared"/>
        <v>0</v>
      </c>
      <c r="AA37" s="28">
        <f si="28" t="shared"/>
        <v>0</v>
      </c>
      <c r="AB37" s="28">
        <f si="28" t="shared"/>
        <v>0</v>
      </c>
      <c r="AC37" s="28">
        <f si="28" t="shared"/>
        <v>0</v>
      </c>
      <c r="AD37" s="28">
        <f ref="AD37" si="39" t="shared">AD10/$AF$15</f>
        <v>0</v>
      </c>
      <c r="AE37" s="28">
        <f si="29" t="shared"/>
        <v>0</v>
      </c>
      <c r="AF37" s="28">
        <f ref="AF37:AF40" si="40" t="shared">SUM(X37:AE37)</f>
        <v>0</v>
      </c>
    </row>
    <row r="38" spans="1:32" x14ac:dyDescent="0.45">
      <c r="A38" t="str">
        <f>$A$11</f>
        <v>Davidson</v>
      </c>
      <c r="B38" s="28">
        <f ref="B38:J38" si="41" t="shared">B11/$J$15</f>
        <v>0</v>
      </c>
      <c r="C38" s="28">
        <f si="41" t="shared"/>
        <v>0</v>
      </c>
      <c r="D38" s="28">
        <f si="41" t="shared"/>
        <v>0</v>
      </c>
      <c r="E38" s="28">
        <f si="41" t="shared"/>
        <v>0</v>
      </c>
      <c r="F38" s="28">
        <f si="41" t="shared"/>
        <v>0</v>
      </c>
      <c r="G38" s="28">
        <f si="41" t="shared"/>
        <v>0</v>
      </c>
      <c r="H38" s="28">
        <f si="41" t="shared"/>
        <v>0</v>
      </c>
      <c r="I38" s="28">
        <f si="41" t="shared"/>
        <v>0</v>
      </c>
      <c r="J38" s="28">
        <f si="41" t="shared"/>
        <v>0</v>
      </c>
      <c r="L38" t="str">
        <f>$A$11</f>
        <v>Davidson</v>
      </c>
      <c r="M38" s="28" t="e">
        <f si="26" t="shared"/>
        <v>#DIV/0!</v>
      </c>
      <c r="N38" s="28" t="e">
        <f si="26" t="shared"/>
        <v>#DIV/0!</v>
      </c>
      <c r="O38" s="28" t="e">
        <f si="26" t="shared"/>
        <v>#DIV/0!</v>
      </c>
      <c r="P38" s="28" t="e">
        <f si="26" t="shared"/>
        <v>#DIV/0!</v>
      </c>
      <c r="Q38" s="28" t="e">
        <f si="26" t="shared"/>
        <v>#DIV/0!</v>
      </c>
      <c r="R38" s="28" t="e">
        <f si="26" t="shared"/>
        <v>#DIV/0!</v>
      </c>
      <c r="S38" s="28" t="e">
        <f ref="S38" si="42" t="shared">S24/$U$28</f>
        <v>#DIV/0!</v>
      </c>
      <c r="T38" s="28" t="e">
        <f si="27" t="shared"/>
        <v>#DIV/0!</v>
      </c>
      <c r="U38" s="28" t="e">
        <f si="38" t="shared"/>
        <v>#DIV/0!</v>
      </c>
      <c r="W38" t="str">
        <f>$A$11</f>
        <v>Davidson</v>
      </c>
      <c r="X38" s="28">
        <f si="28" t="shared"/>
        <v>0</v>
      </c>
      <c r="Y38" s="28">
        <f si="28" t="shared"/>
        <v>0</v>
      </c>
      <c r="Z38" s="28">
        <f si="28" t="shared"/>
        <v>0</v>
      </c>
      <c r="AA38" s="28">
        <f si="28" t="shared"/>
        <v>0</v>
      </c>
      <c r="AB38" s="28">
        <f si="28" t="shared"/>
        <v>0</v>
      </c>
      <c r="AC38" s="28">
        <f si="28" t="shared"/>
        <v>0</v>
      </c>
      <c r="AD38" s="28">
        <f ref="AD38" si="43" t="shared">AD11/$AF$15</f>
        <v>0</v>
      </c>
      <c r="AE38" s="28">
        <f si="29" t="shared"/>
        <v>0</v>
      </c>
      <c r="AF38" s="28">
        <f si="40" t="shared"/>
        <v>0</v>
      </c>
    </row>
    <row r="39" spans="1:32" x14ac:dyDescent="0.45">
      <c r="A39" t="str">
        <f>$A$12</f>
        <v>Maury</v>
      </c>
      <c r="B39" s="28">
        <f ref="B39:J39" si="44" t="shared">B12/$J$15</f>
        <v>0</v>
      </c>
      <c r="C39" s="28">
        <f si="44" t="shared"/>
        <v>0</v>
      </c>
      <c r="D39" s="28">
        <f si="44" t="shared"/>
        <v>0</v>
      </c>
      <c r="E39" s="28">
        <f si="44" t="shared"/>
        <v>0</v>
      </c>
      <c r="F39" s="28">
        <f si="44" t="shared"/>
        <v>0</v>
      </c>
      <c r="G39" s="28">
        <f si="44" t="shared"/>
        <v>0</v>
      </c>
      <c r="H39" s="28">
        <f si="44" t="shared"/>
        <v>0</v>
      </c>
      <c r="I39" s="28">
        <f si="44" t="shared"/>
        <v>0</v>
      </c>
      <c r="J39" s="28">
        <f si="44" t="shared"/>
        <v>0</v>
      </c>
      <c r="L39" t="str">
        <f>$A$12</f>
        <v>Maury</v>
      </c>
      <c r="M39" s="28" t="e">
        <f si="26" t="shared"/>
        <v>#DIV/0!</v>
      </c>
      <c r="N39" s="28" t="e">
        <f si="26" t="shared"/>
        <v>#DIV/0!</v>
      </c>
      <c r="O39" s="28" t="e">
        <f si="26" t="shared"/>
        <v>#DIV/0!</v>
      </c>
      <c r="P39" s="28" t="e">
        <f si="26" t="shared"/>
        <v>#DIV/0!</v>
      </c>
      <c r="Q39" s="28" t="e">
        <f si="26" t="shared"/>
        <v>#DIV/0!</v>
      </c>
      <c r="R39" s="28" t="e">
        <f si="26" t="shared"/>
        <v>#DIV/0!</v>
      </c>
      <c r="S39" s="28" t="e">
        <f ref="S39" si="45" t="shared">S25/$U$28</f>
        <v>#DIV/0!</v>
      </c>
      <c r="T39" s="28" t="e">
        <f si="27" t="shared"/>
        <v>#DIV/0!</v>
      </c>
      <c r="U39" s="28" t="e">
        <f si="38" t="shared"/>
        <v>#DIV/0!</v>
      </c>
      <c r="W39" t="str">
        <f>$A$12</f>
        <v>Maury</v>
      </c>
      <c r="X39" s="28">
        <f si="28" t="shared"/>
        <v>0</v>
      </c>
      <c r="Y39" s="28">
        <f si="28" t="shared"/>
        <v>0</v>
      </c>
      <c r="Z39" s="28">
        <f si="28" t="shared"/>
        <v>0</v>
      </c>
      <c r="AA39" s="28">
        <f si="28" t="shared"/>
        <v>0</v>
      </c>
      <c r="AB39" s="28">
        <f si="28" t="shared"/>
        <v>0</v>
      </c>
      <c r="AC39" s="28">
        <f si="28" t="shared"/>
        <v>0</v>
      </c>
      <c r="AD39" s="28">
        <f ref="AD39" si="46" t="shared">AD12/$AF$15</f>
        <v>0</v>
      </c>
      <c r="AE39" s="28">
        <f si="29" t="shared"/>
        <v>0</v>
      </c>
      <c r="AF39" s="28">
        <f si="40" t="shared"/>
        <v>0</v>
      </c>
    </row>
    <row r="40" spans="1:32" x14ac:dyDescent="0.45">
      <c r="A40" t="str">
        <f>$A$13</f>
        <v>Wilson</v>
      </c>
      <c r="B40" s="28">
        <f ref="B40:J40" si="47" t="shared">B13/$J$15</f>
        <v>0</v>
      </c>
      <c r="C40" s="28">
        <f si="47" t="shared"/>
        <v>0</v>
      </c>
      <c r="D40" s="28">
        <f si="47" t="shared"/>
        <v>0</v>
      </c>
      <c r="E40" s="28">
        <f si="47" t="shared"/>
        <v>0</v>
      </c>
      <c r="F40" s="28">
        <f si="47" t="shared"/>
        <v>0</v>
      </c>
      <c r="G40" s="28">
        <f si="47" t="shared"/>
        <v>0</v>
      </c>
      <c r="H40" s="28">
        <f si="47" t="shared"/>
        <v>0</v>
      </c>
      <c r="I40" s="28">
        <f si="47" t="shared"/>
        <v>0</v>
      </c>
      <c r="J40" s="28">
        <f si="47" t="shared"/>
        <v>0</v>
      </c>
      <c r="L40" t="str">
        <f>$A$13</f>
        <v>Wilson</v>
      </c>
      <c r="M40" s="28" t="e">
        <f si="26" t="shared"/>
        <v>#DIV/0!</v>
      </c>
      <c r="N40" s="28" t="e">
        <f si="26" t="shared"/>
        <v>#DIV/0!</v>
      </c>
      <c r="O40" s="28" t="e">
        <f si="26" t="shared"/>
        <v>#DIV/0!</v>
      </c>
      <c r="P40" s="28" t="e">
        <f si="26" t="shared"/>
        <v>#DIV/0!</v>
      </c>
      <c r="Q40" s="28" t="e">
        <f si="26" t="shared"/>
        <v>#DIV/0!</v>
      </c>
      <c r="R40" s="28" t="e">
        <f si="26" t="shared"/>
        <v>#DIV/0!</v>
      </c>
      <c r="S40" s="28" t="e">
        <f ref="S40" si="48" t="shared">S26/$U$28</f>
        <v>#DIV/0!</v>
      </c>
      <c r="T40" s="28" t="e">
        <f si="26" t="shared"/>
        <v>#DIV/0!</v>
      </c>
      <c r="U40" s="28" t="e">
        <f si="38" t="shared"/>
        <v>#DIV/0!</v>
      </c>
      <c r="W40" t="str">
        <f>$A$13</f>
        <v>Wilson</v>
      </c>
      <c r="X40" s="28">
        <f si="28" t="shared"/>
        <v>0</v>
      </c>
      <c r="Y40" s="28">
        <f si="28" t="shared"/>
        <v>0</v>
      </c>
      <c r="Z40" s="28">
        <f si="28" t="shared"/>
        <v>0</v>
      </c>
      <c r="AA40" s="28">
        <f si="28" t="shared"/>
        <v>0</v>
      </c>
      <c r="AB40" s="28">
        <f si="28" t="shared"/>
        <v>0</v>
      </c>
      <c r="AC40" s="28">
        <f si="28" t="shared"/>
        <v>0</v>
      </c>
      <c r="AD40" s="28">
        <f ref="AD40" si="49" t="shared">AD13/$AF$15</f>
        <v>0</v>
      </c>
      <c r="AE40" s="28">
        <f si="29" t="shared"/>
        <v>0</v>
      </c>
      <c r="AF40" s="28">
        <f si="40" t="shared"/>
        <v>0</v>
      </c>
    </row>
    <row r="41" spans="1:32" x14ac:dyDescent="0.45">
      <c r="A41" s="8" t="s">
        <v>17</v>
      </c>
      <c r="B41" s="28">
        <f ref="B41:J41" si="50" t="shared">B14/$J$15</f>
        <v>0</v>
      </c>
      <c r="C41" s="28">
        <f si="50" t="shared"/>
        <v>0</v>
      </c>
      <c r="D41" s="28">
        <f si="50" t="shared"/>
        <v>0</v>
      </c>
      <c r="E41" s="28">
        <f si="50" t="shared"/>
        <v>0</v>
      </c>
      <c r="F41" s="28">
        <f si="50" t="shared"/>
        <v>0</v>
      </c>
      <c r="G41" s="28">
        <f si="50" t="shared"/>
        <v>0</v>
      </c>
      <c r="H41" s="28">
        <f si="50" t="shared"/>
        <v>0</v>
      </c>
      <c r="I41" s="28">
        <f si="50" t="shared"/>
        <v>0</v>
      </c>
      <c r="J41" s="28">
        <f si="50" t="shared"/>
        <v>0</v>
      </c>
      <c r="L41" s="47" t="s">
        <v>17</v>
      </c>
      <c r="M41" s="28" t="e">
        <f si="26" t="shared"/>
        <v>#DIV/0!</v>
      </c>
      <c r="N41" s="28" t="e">
        <f si="26" t="shared"/>
        <v>#DIV/0!</v>
      </c>
      <c r="O41" s="28" t="e">
        <f si="26" t="shared"/>
        <v>#DIV/0!</v>
      </c>
      <c r="P41" s="28" t="e">
        <f si="26" t="shared"/>
        <v>#DIV/0!</v>
      </c>
      <c r="Q41" s="28" t="e">
        <f si="26" t="shared"/>
        <v>#DIV/0!</v>
      </c>
      <c r="R41" s="28" t="e">
        <f si="26" t="shared"/>
        <v>#DIV/0!</v>
      </c>
      <c r="S41" s="28" t="e">
        <f si="26" t="shared"/>
        <v>#DIV/0!</v>
      </c>
      <c r="T41" s="28" t="e">
        <f si="26" t="shared"/>
        <v>#DIV/0!</v>
      </c>
      <c r="U41" s="44" t="e">
        <f>SUM(M41:T41)</f>
        <v>#DIV/0!</v>
      </c>
      <c r="W41" s="8" t="s">
        <v>17</v>
      </c>
      <c r="X41" s="29">
        <f ref="X41:AD41" si="51" t="shared">X14/$AF$15</f>
        <v>0</v>
      </c>
      <c r="Y41" s="29">
        <f si="51" t="shared"/>
        <v>0</v>
      </c>
      <c r="Z41" s="29">
        <f si="51" t="shared"/>
        <v>0</v>
      </c>
      <c r="AA41" s="29">
        <f si="51" t="shared"/>
        <v>0</v>
      </c>
      <c r="AB41" s="29">
        <f si="51" t="shared"/>
        <v>0</v>
      </c>
      <c r="AC41" s="29">
        <f si="51" t="shared"/>
        <v>0</v>
      </c>
      <c r="AD41" s="29">
        <f si="51" t="shared"/>
        <v>0</v>
      </c>
      <c r="AE41" s="29">
        <f>AE14/$AF$15</f>
        <v>0</v>
      </c>
      <c r="AF41" s="29">
        <f>SUM(X41:AE41)</f>
        <v>0</v>
      </c>
    </row>
    <row ht="14.65" r="42" spans="1:32" thickBot="1" x14ac:dyDescent="0.5">
      <c r="A42" s="1" t="s">
        <v>4</v>
      </c>
      <c r="B42" s="30">
        <f>SUM(B34:B41)</f>
        <v>1</v>
      </c>
      <c r="C42" s="30">
        <f>SUM(C34:C41)</f>
        <v>0</v>
      </c>
      <c r="D42" s="30">
        <f>SUM(D34:D41)</f>
        <v>0</v>
      </c>
      <c r="E42" s="30">
        <f ref="E42:H42" si="52" t="shared">SUM(E34:E41)</f>
        <v>0</v>
      </c>
      <c r="F42" s="30">
        <f si="52" t="shared"/>
        <v>0</v>
      </c>
      <c r="G42" s="30">
        <f si="52" t="shared"/>
        <v>0</v>
      </c>
      <c r="H42" s="30">
        <f si="52" t="shared"/>
        <v>0</v>
      </c>
      <c r="I42" s="30">
        <f>SUM(I34:I41)</f>
        <v>0</v>
      </c>
      <c r="J42" s="30">
        <f>SUM(J34:J41)</f>
        <v>1</v>
      </c>
      <c r="L42" s="48" t="s">
        <v>4</v>
      </c>
      <c r="M42" s="49" t="e">
        <f>SUM(M34:M41)</f>
        <v>#DIV/0!</v>
      </c>
      <c r="N42" s="49" t="e">
        <f ref="N42:S42" si="53" t="shared">SUM(N34:N41)</f>
        <v>#DIV/0!</v>
      </c>
      <c r="O42" s="49" t="e">
        <f si="53" t="shared"/>
        <v>#DIV/0!</v>
      </c>
      <c r="P42" s="49" t="e">
        <f si="53" t="shared"/>
        <v>#DIV/0!</v>
      </c>
      <c r="Q42" s="49" t="e">
        <f si="53" t="shared"/>
        <v>#DIV/0!</v>
      </c>
      <c r="R42" s="49" t="e">
        <f si="53" t="shared"/>
        <v>#DIV/0!</v>
      </c>
      <c r="S42" s="49" t="e">
        <f si="53" t="shared"/>
        <v>#DIV/0!</v>
      </c>
      <c r="T42" s="49" t="e">
        <f>SUM(T34:T41)</f>
        <v>#DIV/0!</v>
      </c>
      <c r="U42" s="49" t="e">
        <f>SUM(U34:U41)</f>
        <v>#DIV/0!</v>
      </c>
      <c r="W42" s="1" t="s">
        <v>4</v>
      </c>
      <c r="X42" s="30">
        <f>SUM(X34:X41)</f>
        <v>1</v>
      </c>
      <c r="Y42" s="30">
        <f>SUM(Y34:Y41)</f>
        <v>0</v>
      </c>
      <c r="Z42" s="30">
        <f>SUM(Z34:Z41)</f>
        <v>0</v>
      </c>
      <c r="AA42" s="30">
        <f ref="AA42:AD42" si="54" t="shared">SUM(AA34:AA41)</f>
        <v>0</v>
      </c>
      <c r="AB42" s="30">
        <f si="54" t="shared"/>
        <v>0</v>
      </c>
      <c r="AC42" s="30">
        <f si="54" t="shared"/>
        <v>0</v>
      </c>
      <c r="AD42" s="30">
        <f si="54" t="shared"/>
        <v>0</v>
      </c>
      <c r="AE42" s="30">
        <f>SUM(AE34:AE41)</f>
        <v>0</v>
      </c>
      <c r="AF42" s="30">
        <f>SUM(AF34:AF41)</f>
        <v>1</v>
      </c>
    </row>
    <row ht="14.65" r="46" spans="1:32" thickBot="1" x14ac:dyDescent="0.5">
      <c r="W46" s="32" t="s">
        <v>58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45">
      <c r="W47" s="34" t="s">
        <v>16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3" t="s">
        <v>4</v>
      </c>
    </row>
    <row r="48" spans="1:32" x14ac:dyDescent="0.45">
      <c r="W48" t="str">
        <f>$A$7</f>
        <v>Williamson</v>
      </c>
      <c r="X48" s="36">
        <f>X34-B34</f>
        <v>0</v>
      </c>
      <c r="Y48" s="36">
        <f ref="Y48:AF48" si="55" t="shared">Y34-C34</f>
        <v>0</v>
      </c>
      <c r="Z48" s="36">
        <f si="55" t="shared"/>
        <v>0</v>
      </c>
      <c r="AA48" s="36">
        <f si="55" t="shared"/>
        <v>0</v>
      </c>
      <c r="AB48" s="36">
        <f si="55" t="shared"/>
        <v>0</v>
      </c>
      <c r="AC48" s="36">
        <f si="55" t="shared"/>
        <v>0</v>
      </c>
      <c r="AD48" s="36">
        <f si="55" t="shared"/>
        <v>0</v>
      </c>
      <c r="AE48" s="36">
        <f si="55" t="shared"/>
        <v>0</v>
      </c>
      <c r="AF48" s="36">
        <f si="55" t="shared"/>
        <v>0</v>
      </c>
    </row>
    <row r="49" spans="23:32" x14ac:dyDescent="0.45">
      <c r="W49" t="str">
        <f>$A$8</f>
        <v>Rutherford</v>
      </c>
      <c r="X49" s="36">
        <f ref="X49:X55" si="56" t="shared">X35-B35</f>
        <v>0</v>
      </c>
      <c r="Y49" s="36">
        <f ref="Y49:Y55" si="57" t="shared">Y35-C35</f>
        <v>0</v>
      </c>
      <c r="Z49" s="36">
        <f ref="Z49:Z55" si="58" t="shared">Z35-D35</f>
        <v>0</v>
      </c>
      <c r="AA49" s="36">
        <f ref="AA49:AA55" si="59" t="shared">AA35-E35</f>
        <v>0</v>
      </c>
      <c r="AB49" s="36">
        <f ref="AB49:AB55" si="60" t="shared">AB35-F35</f>
        <v>0</v>
      </c>
      <c r="AC49" s="36">
        <f ref="AC49:AC55" si="61" t="shared">AC35-G35</f>
        <v>0</v>
      </c>
      <c r="AD49" s="36">
        <f ref="AD49:AD55" si="62" t="shared">AD35-H35</f>
        <v>0</v>
      </c>
      <c r="AE49" s="36">
        <f ref="AE49:AE55" si="63" t="shared">AE35-I35</f>
        <v>0</v>
      </c>
      <c r="AF49" s="36">
        <f ref="AF49:AF55" si="64" t="shared">AF35-J35</f>
        <v>0</v>
      </c>
    </row>
    <row r="50" spans="23:32" x14ac:dyDescent="0.45">
      <c r="W50" t="str">
        <f>$A$9</f>
        <v>Sumner</v>
      </c>
      <c r="X50" s="36">
        <f si="56" t="shared"/>
        <v>0</v>
      </c>
      <c r="Y50" s="36">
        <f si="57" t="shared"/>
        <v>0</v>
      </c>
      <c r="Z50" s="36">
        <f si="58" t="shared"/>
        <v>0</v>
      </c>
      <c r="AA50" s="36">
        <f si="59" t="shared"/>
        <v>0</v>
      </c>
      <c r="AB50" s="36">
        <f si="60" t="shared"/>
        <v>0</v>
      </c>
      <c r="AC50" s="36">
        <f si="61" t="shared"/>
        <v>0</v>
      </c>
      <c r="AD50" s="36">
        <f si="62" t="shared"/>
        <v>0</v>
      </c>
      <c r="AE50" s="36">
        <f si="63" t="shared"/>
        <v>0</v>
      </c>
      <c r="AF50" s="36">
        <f si="64" t="shared"/>
        <v>0</v>
      </c>
    </row>
    <row r="51" spans="23:32" x14ac:dyDescent="0.45">
      <c r="W51" t="str">
        <f>$A$10</f>
        <v>Roberston</v>
      </c>
      <c r="X51" s="36">
        <f si="56" t="shared"/>
        <v>0</v>
      </c>
      <c r="Y51" s="36">
        <f si="57" t="shared"/>
        <v>0</v>
      </c>
      <c r="Z51" s="36">
        <f si="58" t="shared"/>
        <v>0</v>
      </c>
      <c r="AA51" s="36">
        <f si="59" t="shared"/>
        <v>0</v>
      </c>
      <c r="AB51" s="36">
        <f si="60" t="shared"/>
        <v>0</v>
      </c>
      <c r="AC51" s="36">
        <f si="61" t="shared"/>
        <v>0</v>
      </c>
      <c r="AD51" s="36">
        <f si="62" t="shared"/>
        <v>0</v>
      </c>
      <c r="AE51" s="36">
        <f si="63" t="shared"/>
        <v>0</v>
      </c>
      <c r="AF51" s="36">
        <f si="64" t="shared"/>
        <v>0</v>
      </c>
    </row>
    <row r="52" spans="23:32" x14ac:dyDescent="0.45">
      <c r="W52" t="str">
        <f>$A$11</f>
        <v>Davidson</v>
      </c>
      <c r="X52" s="36">
        <f si="56" t="shared"/>
        <v>0</v>
      </c>
      <c r="Y52" s="36">
        <f si="57" t="shared"/>
        <v>0</v>
      </c>
      <c r="Z52" s="36">
        <f si="58" t="shared"/>
        <v>0</v>
      </c>
      <c r="AA52" s="36">
        <f si="59" t="shared"/>
        <v>0</v>
      </c>
      <c r="AB52" s="36">
        <f si="60" t="shared"/>
        <v>0</v>
      </c>
      <c r="AC52" s="36">
        <f si="61" t="shared"/>
        <v>0</v>
      </c>
      <c r="AD52" s="36">
        <f si="62" t="shared"/>
        <v>0</v>
      </c>
      <c r="AE52" s="36">
        <f si="63" t="shared"/>
        <v>0</v>
      </c>
      <c r="AF52" s="36">
        <f si="64" t="shared"/>
        <v>0</v>
      </c>
    </row>
    <row r="53" spans="23:32" x14ac:dyDescent="0.45">
      <c r="W53" t="str">
        <f>$A$12</f>
        <v>Maury</v>
      </c>
      <c r="X53" s="36">
        <f si="56" t="shared"/>
        <v>0</v>
      </c>
      <c r="Y53" s="36">
        <f si="57" t="shared"/>
        <v>0</v>
      </c>
      <c r="Z53" s="36">
        <f si="58" t="shared"/>
        <v>0</v>
      </c>
      <c r="AA53" s="36">
        <f si="59" t="shared"/>
        <v>0</v>
      </c>
      <c r="AB53" s="36">
        <f si="60" t="shared"/>
        <v>0</v>
      </c>
      <c r="AC53" s="36">
        <f si="61" t="shared"/>
        <v>0</v>
      </c>
      <c r="AD53" s="36">
        <f si="62" t="shared"/>
        <v>0</v>
      </c>
      <c r="AE53" s="36">
        <f si="63" t="shared"/>
        <v>0</v>
      </c>
      <c r="AF53" s="36">
        <f si="64" t="shared"/>
        <v>0</v>
      </c>
    </row>
    <row r="54" spans="23:32" x14ac:dyDescent="0.45">
      <c r="W54" t="str">
        <f>$A$13</f>
        <v>Wilson</v>
      </c>
      <c r="X54" s="36">
        <f si="56" t="shared"/>
        <v>0</v>
      </c>
      <c r="Y54" s="36">
        <f si="57" t="shared"/>
        <v>0</v>
      </c>
      <c r="Z54" s="36">
        <f si="58" t="shared"/>
        <v>0</v>
      </c>
      <c r="AA54" s="36">
        <f si="59" t="shared"/>
        <v>0</v>
      </c>
      <c r="AB54" s="36">
        <f si="60" t="shared"/>
        <v>0</v>
      </c>
      <c r="AC54" s="36">
        <f si="61" t="shared"/>
        <v>0</v>
      </c>
      <c r="AD54" s="36">
        <f si="62" t="shared"/>
        <v>0</v>
      </c>
      <c r="AE54" s="36">
        <f si="63" t="shared"/>
        <v>0</v>
      </c>
      <c r="AF54" s="36">
        <f si="64" t="shared"/>
        <v>0</v>
      </c>
    </row>
    <row r="55" spans="23:32" x14ac:dyDescent="0.45">
      <c r="W55" s="37" t="s">
        <v>17</v>
      </c>
      <c r="X55" s="36">
        <f si="56" t="shared"/>
        <v>0</v>
      </c>
      <c r="Y55" s="36">
        <f si="57" t="shared"/>
        <v>0</v>
      </c>
      <c r="Z55" s="36">
        <f si="58" t="shared"/>
        <v>0</v>
      </c>
      <c r="AA55" s="36">
        <f si="59" t="shared"/>
        <v>0</v>
      </c>
      <c r="AB55" s="36">
        <f si="60" t="shared"/>
        <v>0</v>
      </c>
      <c r="AC55" s="36">
        <f si="61" t="shared"/>
        <v>0</v>
      </c>
      <c r="AD55" s="36">
        <f si="62" t="shared"/>
        <v>0</v>
      </c>
      <c r="AE55" s="36">
        <f si="63" t="shared"/>
        <v>0</v>
      </c>
      <c r="AF55" s="36">
        <f si="64" t="shared"/>
        <v>0</v>
      </c>
    </row>
    <row ht="14.65" r="56" spans="23:32" thickBot="1" x14ac:dyDescent="0.5">
      <c r="W56" s="33" t="s">
        <v>4</v>
      </c>
      <c r="X56" s="46">
        <f>SUM(X48:X55)</f>
        <v>0</v>
      </c>
      <c r="Y56" s="46">
        <f>SUM(Y48:Y55)</f>
        <v>0</v>
      </c>
      <c r="Z56" s="46">
        <f>SUM(Z48:Z55)</f>
        <v>0</v>
      </c>
      <c r="AA56" s="46">
        <f ref="AA56:AD56" si="65" t="shared">SUM(AA48:AA55)</f>
        <v>0</v>
      </c>
      <c r="AB56" s="46">
        <f si="65" t="shared"/>
        <v>0</v>
      </c>
      <c r="AC56" s="46">
        <f si="65" t="shared"/>
        <v>0</v>
      </c>
      <c r="AD56" s="46">
        <f si="65" t="shared"/>
        <v>0</v>
      </c>
      <c r="AE56" s="46">
        <f>SUM(AE48:AE55)</f>
        <v>0</v>
      </c>
      <c r="AF56" s="46">
        <f>SUM(AF48:AF55)</f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workbookViewId="0" zoomScaleNormal="100">
      <selection activeCell="M17" sqref="M17"/>
    </sheetView>
  </sheetViews>
  <sheetFormatPr defaultRowHeight="14.25" x14ac:dyDescent="0.45"/>
  <cols>
    <col min="2" max="2" bestFit="true" customWidth="true" width="9.53125" collapsed="true"/>
    <col min="3" max="4" bestFit="true" customWidth="true" width="9.265625" collapsed="true"/>
    <col min="5" max="5" bestFit="true" customWidth="true" width="9.53125" collapsed="true"/>
    <col min="14" max="15" bestFit="true" customWidth="true" width="9.53125" collapsed="true"/>
  </cols>
  <sheetData>
    <row r="1" spans="1:26" x14ac:dyDescent="0.45">
      <c r="A1" t="s">
        <v>27</v>
      </c>
    </row>
    <row r="2" spans="1:26" x14ac:dyDescent="0.45">
      <c r="A2" t="s">
        <v>273</v>
      </c>
    </row>
    <row r="3" spans="1:26" x14ac:dyDescent="0.45">
      <c r="A3" t="s">
        <v>41</v>
      </c>
    </row>
    <row ht="14.65" r="5" spans="1:26" thickBot="1" x14ac:dyDescent="0.5">
      <c r="A5" s="4" t="s">
        <v>274</v>
      </c>
      <c r="B5" s="1"/>
      <c r="C5" s="1"/>
      <c r="D5" s="1"/>
      <c r="E5" s="1"/>
      <c r="H5" s="4" t="s">
        <v>286</v>
      </c>
      <c r="I5" s="1"/>
      <c r="J5" s="1"/>
      <c r="K5" s="1"/>
      <c r="L5" s="1"/>
      <c r="O5" s="4" t="s">
        <v>59</v>
      </c>
      <c r="P5" s="1"/>
      <c r="Q5" s="1"/>
      <c r="R5" s="1"/>
      <c r="S5" s="1"/>
      <c r="V5" s="4" t="s">
        <v>62</v>
      </c>
      <c r="W5" s="1"/>
      <c r="X5" s="1"/>
      <c r="Y5" s="1"/>
      <c r="Z5" s="1"/>
    </row>
    <row r="6" spans="1:26" x14ac:dyDescent="0.4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45">
      <c r="A7" s="45" t="s">
        <v>65</v>
      </c>
      <c r="B7" s="18" t="n">
        <v>50000.0</v>
      </c>
      <c r="C7" s="18" t="n">
        <v>70000.0</v>
      </c>
      <c r="D7" s="18" t="n">
        <v>0.0</v>
      </c>
      <c r="E7" s="18">
        <f>SUM(B7:D7)</f>
        <v>131000</v>
      </c>
      <c r="F7" s="18"/>
      <c r="G7" s="18"/>
      <c r="H7" t="str">
        <f>$A$7</f>
        <v>Williamson</v>
      </c>
      <c r="I7" s="18" t="n">
        <v>50000.0</v>
      </c>
      <c r="J7" s="18" t="n">
        <v>70000.0</v>
      </c>
      <c r="K7" s="18" t="n">
        <v>0.0</v>
      </c>
      <c r="L7" s="18">
        <f>SUM(I7:K7)</f>
        <v>131000</v>
      </c>
      <c r="O7" t="str">
        <f>$A$7</f>
        <v>Williamson</v>
      </c>
      <c r="P7" s="18">
        <f>I7-B7</f>
        <v>0</v>
      </c>
      <c r="Q7" s="18">
        <f ref="Q7:Q14" si="0" t="shared">J7-C7</f>
        <v>0</v>
      </c>
      <c r="R7" s="18">
        <f ref="R7:R14" si="1" t="shared">K7-D7</f>
        <v>0</v>
      </c>
      <c r="S7" s="18">
        <f ref="S7:S14" si="2" t="shared">L7-E7</f>
        <v>0</v>
      </c>
      <c r="V7" t="str">
        <f>$A$7</f>
        <v>Williamson</v>
      </c>
      <c r="W7" s="18"/>
      <c r="X7" s="18"/>
      <c r="Y7" s="18"/>
      <c r="Z7" s="18"/>
    </row>
    <row r="8" spans="1:26" x14ac:dyDescent="0.45">
      <c r="A8" t="s">
        <v>66</v>
      </c>
      <c r="B8" s="18" t="n">
        <v>0.0</v>
      </c>
      <c r="C8" s="18" t="n">
        <v>0.0</v>
      </c>
      <c r="D8" s="18" t="n">
        <v>0.0</v>
      </c>
      <c r="E8" s="18">
        <f ref="E8:E11" si="3" t="shared">SUM(B8:D8)</f>
        <v>0</v>
      </c>
      <c r="F8" s="18"/>
      <c r="G8" s="18"/>
      <c r="H8" t="str">
        <f>$A$8</f>
        <v>Rutherford</v>
      </c>
      <c r="I8" s="18" t="n">
        <v>0.0</v>
      </c>
      <c r="J8" s="18" t="n">
        <v>0.0</v>
      </c>
      <c r="K8" s="18" t="n">
        <v>0.0</v>
      </c>
      <c r="L8" s="18">
        <f ref="L8:L13" si="4" t="shared">SUM(I8:K8)</f>
        <v>0</v>
      </c>
      <c r="O8" t="str">
        <f>$A$8</f>
        <v>Rutherford</v>
      </c>
      <c r="P8" s="18">
        <f ref="P8:P14" si="5" t="shared">I8-B8</f>
        <v>0</v>
      </c>
      <c r="Q8" s="18">
        <f si="0" t="shared"/>
        <v>0</v>
      </c>
      <c r="R8" s="18">
        <f si="1" t="shared"/>
        <v>0</v>
      </c>
      <c r="S8" s="18">
        <f si="2" t="shared"/>
        <v>0</v>
      </c>
      <c r="V8" t="str">
        <f>$A$8</f>
        <v>Rutherford</v>
      </c>
      <c r="W8" s="18"/>
      <c r="X8" s="18"/>
      <c r="Y8" s="18"/>
      <c r="Z8" s="18"/>
    </row>
    <row r="9" spans="1:26" x14ac:dyDescent="0.45">
      <c r="A9" t="s">
        <v>67</v>
      </c>
      <c r="B9" s="18" t="n">
        <v>0.0</v>
      </c>
      <c r="C9" s="18" t="n">
        <v>0.0</v>
      </c>
      <c r="D9" s="18" t="n">
        <v>0.0</v>
      </c>
      <c r="E9" s="18">
        <f si="3" t="shared"/>
        <v>0</v>
      </c>
      <c r="F9" s="18"/>
      <c r="G9" s="18"/>
      <c r="H9" t="str">
        <f>$A$9</f>
        <v>Sumner</v>
      </c>
      <c r="I9" s="18" t="n">
        <v>0.0</v>
      </c>
      <c r="J9" s="18" t="n">
        <v>0.0</v>
      </c>
      <c r="K9" s="18" t="n">
        <v>0.0</v>
      </c>
      <c r="L9" s="18">
        <f si="4" t="shared"/>
        <v>0</v>
      </c>
      <c r="O9" t="str">
        <f>$A$9</f>
        <v>Sumner</v>
      </c>
      <c r="P9" s="18">
        <f ref="P9:P11" si="6" t="shared">I9-B9</f>
        <v>0</v>
      </c>
      <c r="Q9" s="18">
        <f ref="Q9:Q11" si="7" t="shared">J9-C9</f>
        <v>0</v>
      </c>
      <c r="R9" s="18">
        <f ref="R9:R11" si="8" t="shared">K9-D9</f>
        <v>0</v>
      </c>
      <c r="S9" s="18">
        <f ref="S9:S11" si="9" t="shared">L9-E9</f>
        <v>0</v>
      </c>
      <c r="V9" t="str">
        <f>$A$9</f>
        <v>Sumner</v>
      </c>
      <c r="W9" s="18"/>
      <c r="X9" s="18"/>
      <c r="Y9" s="18"/>
      <c r="Z9" s="18"/>
    </row>
    <row r="10" spans="1:26" x14ac:dyDescent="0.45">
      <c r="A10" t="s">
        <v>68</v>
      </c>
      <c r="B10" s="18" t="n">
        <v>0.0</v>
      </c>
      <c r="C10" s="18" t="n">
        <v>0.0</v>
      </c>
      <c r="D10" s="18" t="n">
        <v>0.0</v>
      </c>
      <c r="E10" s="18">
        <f si="3" t="shared"/>
        <v>0</v>
      </c>
      <c r="F10" s="18"/>
      <c r="G10" s="18"/>
      <c r="H10" t="str">
        <f>$A$10</f>
        <v>Roberston</v>
      </c>
      <c r="I10" s="18" t="n">
        <v>0.0</v>
      </c>
      <c r="J10" s="18" t="n">
        <v>0.0</v>
      </c>
      <c r="K10" s="18" t="n">
        <v>0.0</v>
      </c>
      <c r="L10" s="18">
        <f si="4" t="shared"/>
        <v>0</v>
      </c>
      <c r="O10" t="str">
        <f>$A$10</f>
        <v>Roberston</v>
      </c>
      <c r="P10" s="18">
        <f si="6" t="shared"/>
        <v>0</v>
      </c>
      <c r="Q10" s="18">
        <f si="7" t="shared"/>
        <v>0</v>
      </c>
      <c r="R10" s="18">
        <f si="8" t="shared"/>
        <v>0</v>
      </c>
      <c r="S10" s="18">
        <f si="9" t="shared"/>
        <v>0</v>
      </c>
      <c r="V10" t="str">
        <f>$A$10</f>
        <v>Roberston</v>
      </c>
      <c r="W10" s="18"/>
      <c r="X10" s="18"/>
      <c r="Y10" s="18"/>
      <c r="Z10" s="18"/>
    </row>
    <row r="11" spans="1:26" x14ac:dyDescent="0.45">
      <c r="A11" t="s">
        <v>69</v>
      </c>
      <c r="B11" s="18" t="n">
        <v>0.0</v>
      </c>
      <c r="C11" s="18" t="n">
        <v>0.0</v>
      </c>
      <c r="D11" s="18" t="n">
        <v>0.0</v>
      </c>
      <c r="E11" s="18">
        <f si="3" t="shared"/>
        <v>0</v>
      </c>
      <c r="F11" s="18"/>
      <c r="G11" s="18"/>
      <c r="H11" t="str">
        <f>$A$11</f>
        <v>Davidson</v>
      </c>
      <c r="I11" s="18" t="n">
        <v>0.0</v>
      </c>
      <c r="J11" s="18" t="n">
        <v>0.0</v>
      </c>
      <c r="K11" s="18" t="n">
        <v>0.0</v>
      </c>
      <c r="L11" s="18">
        <f si="4" t="shared"/>
        <v>0</v>
      </c>
      <c r="O11" t="str">
        <f>$A$11</f>
        <v>Davidson</v>
      </c>
      <c r="P11" s="18">
        <f si="6" t="shared"/>
        <v>0</v>
      </c>
      <c r="Q11" s="18">
        <f si="7" t="shared"/>
        <v>0</v>
      </c>
      <c r="R11" s="18">
        <f si="8" t="shared"/>
        <v>0</v>
      </c>
      <c r="S11" s="18">
        <f si="9" t="shared"/>
        <v>0</v>
      </c>
      <c r="V11" t="str">
        <f>$A$11</f>
        <v>Davidson</v>
      </c>
      <c r="W11" s="18"/>
      <c r="X11" s="18"/>
      <c r="Y11" s="18"/>
      <c r="Z11" s="18"/>
    </row>
    <row r="12" spans="1:26" x14ac:dyDescent="0.45">
      <c r="A12" t="s">
        <v>70</v>
      </c>
      <c r="B12" s="19" t="n">
        <v>0.0</v>
      </c>
      <c r="C12" s="19" t="n">
        <v>0.0</v>
      </c>
      <c r="D12" s="19" t="n">
        <v>0.0</v>
      </c>
      <c r="E12" s="19">
        <f ref="E12:E13" si="10" t="shared">SUM(B12:D12)</f>
        <v>0</v>
      </c>
      <c r="F12" s="18"/>
      <c r="G12" s="18"/>
      <c r="H12" t="str">
        <f>$A$12</f>
        <v>Maury</v>
      </c>
      <c r="I12" s="19" t="n">
        <v>0.0</v>
      </c>
      <c r="J12" s="19" t="n">
        <v>0.0</v>
      </c>
      <c r="K12" s="19" t="n">
        <v>0.0</v>
      </c>
      <c r="L12" s="19">
        <f si="4" t="shared"/>
        <v>0</v>
      </c>
      <c r="O12" t="str">
        <f>$A$12</f>
        <v>Maury</v>
      </c>
      <c r="P12" s="19">
        <f si="5" t="shared"/>
        <v>0</v>
      </c>
      <c r="Q12" s="19">
        <f si="0" t="shared"/>
        <v>0</v>
      </c>
      <c r="R12" s="19">
        <f si="1" t="shared"/>
        <v>0</v>
      </c>
      <c r="S12" s="19">
        <f si="2" t="shared"/>
        <v>0</v>
      </c>
      <c r="V12" t="str">
        <f>$A$12</f>
        <v>Maury</v>
      </c>
      <c r="W12" s="19"/>
      <c r="X12" s="19"/>
      <c r="Y12" s="19"/>
      <c r="Z12" s="19"/>
    </row>
    <row r="13" spans="1:26" x14ac:dyDescent="0.45">
      <c r="A13" t="s">
        <v>71</v>
      </c>
      <c r="B13" s="20" t="n">
        <v>0.0</v>
      </c>
      <c r="C13" s="20" t="n">
        <v>0.0</v>
      </c>
      <c r="D13" s="20" t="n">
        <v>0.0</v>
      </c>
      <c r="E13" s="19">
        <f si="10" t="shared"/>
        <v>0</v>
      </c>
      <c r="F13" s="18"/>
      <c r="G13" s="18"/>
      <c r="H13" s="18" t="str">
        <f>$A$13</f>
        <v>Wilson</v>
      </c>
      <c r="I13" s="20" t="n">
        <v>0.0</v>
      </c>
      <c r="J13" s="20" t="n">
        <v>0.0</v>
      </c>
      <c r="K13" s="20" t="n">
        <v>0.0</v>
      </c>
      <c r="L13" s="19">
        <f si="4" t="shared"/>
        <v>0</v>
      </c>
      <c r="O13" s="18" t="str">
        <f>$A$13</f>
        <v>Wilson</v>
      </c>
      <c r="P13" s="20">
        <f si="5" t="shared"/>
        <v>0</v>
      </c>
      <c r="Q13" s="20">
        <f si="0" t="shared"/>
        <v>0</v>
      </c>
      <c r="R13" s="20">
        <f si="1" t="shared"/>
        <v>0</v>
      </c>
      <c r="S13" s="19">
        <f si="2" t="shared"/>
        <v>0</v>
      </c>
      <c r="V13" s="18" t="str">
        <f>$A$13</f>
        <v>Wilson</v>
      </c>
      <c r="W13" s="20"/>
      <c r="X13" s="20"/>
      <c r="Y13" s="20"/>
      <c r="Z13" s="20"/>
    </row>
    <row ht="14.65" r="14" spans="1:26" thickBot="1" x14ac:dyDescent="0.5">
      <c r="A14" s="22" t="s">
        <v>4</v>
      </c>
      <c r="B14" s="22">
        <f>SUM(B7:B13)</f>
        <v>68000</v>
      </c>
      <c r="C14" s="22">
        <f ref="C14:E14" si="11" t="shared">SUM(C7:C13)</f>
        <v>61000</v>
      </c>
      <c r="D14" s="22">
        <f si="11" t="shared"/>
        <v>2000</v>
      </c>
      <c r="E14" s="22">
        <f si="11" t="shared"/>
        <v>131000</v>
      </c>
      <c r="F14" s="18"/>
      <c r="G14" s="18"/>
      <c r="H14" s="22" t="s">
        <v>4</v>
      </c>
      <c r="I14" s="22">
        <f>SUM(I7:I13)</f>
        <v>68000</v>
      </c>
      <c r="J14" s="22">
        <f ref="J14:L14" si="12" t="shared">SUM(J7:J13)</f>
        <v>61000</v>
      </c>
      <c r="K14" s="22">
        <f si="12" t="shared"/>
        <v>2000</v>
      </c>
      <c r="L14" s="22">
        <f si="12" t="shared"/>
        <v>131000</v>
      </c>
      <c r="O14" s="22" t="s">
        <v>4</v>
      </c>
      <c r="P14" s="22">
        <f si="5" t="shared"/>
        <v>0</v>
      </c>
      <c r="Q14" s="22">
        <f si="0" t="shared"/>
        <v>0</v>
      </c>
      <c r="R14" s="22">
        <f si="1" t="shared"/>
        <v>0</v>
      </c>
      <c r="S14" s="22">
        <f si="2" t="shared"/>
        <v>0</v>
      </c>
      <c r="V14" s="22" t="s">
        <v>4</v>
      </c>
      <c r="W14" s="22">
        <f>SUM(W7:W13)</f>
        <v>0</v>
      </c>
      <c r="X14" s="22">
        <f ref="X14:Z14" si="13" t="shared">SUM(X7:X13)</f>
        <v>0</v>
      </c>
      <c r="Y14" s="22">
        <f si="13" t="shared"/>
        <v>0</v>
      </c>
      <c r="Z14" s="22">
        <f si="13" t="shared"/>
        <v>0</v>
      </c>
    </row>
    <row r="15" spans="1:26" x14ac:dyDescent="0.4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ht="14.65" r="16" spans="1:26" thickBot="1" x14ac:dyDescent="0.5">
      <c r="A16" s="4" t="s">
        <v>275</v>
      </c>
      <c r="B16" s="22"/>
      <c r="C16" s="22"/>
      <c r="D16" s="22"/>
      <c r="E16" s="22"/>
      <c r="F16" s="18"/>
      <c r="G16" s="18"/>
      <c r="H16" s="25" t="s">
        <v>287</v>
      </c>
      <c r="I16" s="22"/>
      <c r="J16" s="22"/>
      <c r="K16" s="22"/>
      <c r="L16" s="22"/>
      <c r="O16" s="25" t="s">
        <v>60</v>
      </c>
      <c r="P16" s="22"/>
      <c r="Q16" s="22"/>
      <c r="R16" s="22"/>
      <c r="S16" s="22"/>
      <c r="V16" s="4" t="s">
        <v>63</v>
      </c>
      <c r="W16" s="22"/>
      <c r="X16" s="22"/>
      <c r="Y16" s="22"/>
      <c r="Z16" s="22"/>
    </row>
    <row r="17" spans="1:26" x14ac:dyDescent="0.4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 t="s">
        <v>268</v>
      </c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M17" s="18" t="s">
        <v>268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45">
      <c r="A18" t="str">
        <f>$A$7</f>
        <v>Williamson</v>
      </c>
      <c r="B18" s="18" t="n">
        <v>1160000.0</v>
      </c>
      <c r="C18" s="18" t="n">
        <v>430000.0</v>
      </c>
      <c r="D18" s="18" t="n">
        <v>230000.0</v>
      </c>
      <c r="E18" s="18">
        <f>SUM(B18:D18)</f>
        <v>1776000</v>
      </c>
      <c r="F18" s="18">
        <v>16382.532312711803</v>
      </c>
      <c r="G18" s="18"/>
      <c r="H18" t="str">
        <f>$A$7</f>
        <v>Williamson</v>
      </c>
      <c r="I18" s="18" t="n">
        <v>1160000.0</v>
      </c>
      <c r="J18" s="18" t="n">
        <v>430000.0</v>
      </c>
      <c r="K18" s="18" t="n">
        <v>230000.0</v>
      </c>
      <c r="L18" s="18">
        <f>SUM(I18:K18)</f>
        <v>1776000</v>
      </c>
      <c r="O18" t="str">
        <f>$A$7</f>
        <v>Williamson</v>
      </c>
      <c r="P18" s="18">
        <f ref="P18:P25" si="14" t="shared">I18-B18</f>
        <v>0</v>
      </c>
      <c r="Q18" s="18">
        <f ref="Q18:Q25" si="15" t="shared">J18-C18</f>
        <v>0</v>
      </c>
      <c r="R18" s="18">
        <f ref="R18:R25" si="16" t="shared">K18-D18</f>
        <v>0</v>
      </c>
      <c r="S18" s="18">
        <f ref="S18:S25" si="17" t="shared">L18-E18</f>
        <v>0</v>
      </c>
      <c r="V18" t="str">
        <f>$A$7</f>
        <v>Williamson</v>
      </c>
      <c r="W18" s="18"/>
      <c r="X18" s="18"/>
      <c r="Y18" s="18"/>
      <c r="Z18" s="18"/>
    </row>
    <row r="19" spans="1:26" x14ac:dyDescent="0.45">
      <c r="A19" t="str">
        <f>$A$8</f>
        <v>Rutherford</v>
      </c>
      <c r="B19" s="18" t="n">
        <v>0.0</v>
      </c>
      <c r="C19" s="18" t="n">
        <v>0.0</v>
      </c>
      <c r="D19" s="18" t="n">
        <v>0.0</v>
      </c>
      <c r="E19" s="18">
        <f ref="E19:E24" si="18" t="shared">SUM(B19:D19)</f>
        <v>0</v>
      </c>
      <c r="F19" s="18">
        <v>18936.708647103249</v>
      </c>
      <c r="G19" s="18"/>
      <c r="H19" t="str">
        <f>$A$8</f>
        <v>Rutherford</v>
      </c>
      <c r="I19" s="18" t="n">
        <v>0.0</v>
      </c>
      <c r="J19" s="18" t="n">
        <v>0.0</v>
      </c>
      <c r="K19" s="18" t="n">
        <v>0.0</v>
      </c>
      <c r="L19" s="18">
        <f>SUM(I19:K19)</f>
        <v>0</v>
      </c>
      <c r="O19" t="str">
        <f>$A$8</f>
        <v>Rutherford</v>
      </c>
      <c r="P19" s="18">
        <f si="14" t="shared"/>
        <v>0</v>
      </c>
      <c r="Q19" s="18">
        <f si="15" t="shared"/>
        <v>0</v>
      </c>
      <c r="R19" s="18">
        <f si="16" t="shared"/>
        <v>0</v>
      </c>
      <c r="S19" s="18">
        <f si="17" t="shared"/>
        <v>0</v>
      </c>
      <c r="V19" t="str">
        <f>$A$8</f>
        <v>Rutherford</v>
      </c>
      <c r="W19" s="18"/>
      <c r="X19" s="18"/>
      <c r="Y19" s="18"/>
      <c r="Z19" s="18"/>
    </row>
    <row r="20" spans="1:26" x14ac:dyDescent="0.45">
      <c r="A20" t="str">
        <f>$A$9</f>
        <v>Sumner</v>
      </c>
      <c r="B20" s="18" t="n">
        <v>0.0</v>
      </c>
      <c r="C20" s="18" t="n">
        <v>0.0</v>
      </c>
      <c r="D20" s="18" t="n">
        <v>0.0</v>
      </c>
      <c r="E20" s="18">
        <f si="18" t="shared"/>
        <v>0</v>
      </c>
      <c r="F20" s="18">
        <v>11949.196824844454</v>
      </c>
      <c r="G20" s="18"/>
      <c r="H20" t="str">
        <f>$A$9</f>
        <v>Sumner</v>
      </c>
      <c r="I20" s="18" t="n">
        <v>0.0</v>
      </c>
      <c r="J20" s="18" t="n">
        <v>0.0</v>
      </c>
      <c r="K20" s="18" t="n">
        <v>0.0</v>
      </c>
      <c r="L20" s="18">
        <f ref="L20:L22" si="19" t="shared">SUM(I20:K20)</f>
        <v>0</v>
      </c>
      <c r="O20" t="str">
        <f>$A$9</f>
        <v>Sumner</v>
      </c>
      <c r="P20" s="18">
        <f ref="P20:P22" si="20" t="shared">I20-B20</f>
        <v>0</v>
      </c>
      <c r="Q20" s="18">
        <f ref="Q20:Q22" si="21" t="shared">J20-C20</f>
        <v>0</v>
      </c>
      <c r="R20" s="18">
        <f ref="R20:R22" si="22" t="shared">K20-D20</f>
        <v>0</v>
      </c>
      <c r="S20" s="18">
        <f ref="S20:S22" si="23" t="shared">L20-E20</f>
        <v>0</v>
      </c>
      <c r="V20" t="str">
        <f>$A$9</f>
        <v>Sumner</v>
      </c>
      <c r="W20" s="18"/>
      <c r="X20" s="18"/>
      <c r="Y20" s="18"/>
      <c r="Z20" s="18"/>
    </row>
    <row r="21" spans="1:26" x14ac:dyDescent="0.45">
      <c r="A21" t="str">
        <f>$A$10</f>
        <v>Roberston</v>
      </c>
      <c r="B21" s="18" t="n">
        <v>0.0</v>
      </c>
      <c r="C21" s="18" t="n">
        <v>0.0</v>
      </c>
      <c r="D21" s="18" t="n">
        <v>0.0</v>
      </c>
      <c r="E21" s="18">
        <f si="18" t="shared"/>
        <v>0</v>
      </c>
      <c r="F21" s="18">
        <v>3408.3258935214681</v>
      </c>
      <c r="G21" s="18"/>
      <c r="H21" t="str">
        <f>$A$10</f>
        <v>Roberston</v>
      </c>
      <c r="I21" s="18" t="n">
        <v>0.0</v>
      </c>
      <c r="J21" s="18" t="n">
        <v>0.0</v>
      </c>
      <c r="K21" s="18" t="n">
        <v>0.0</v>
      </c>
      <c r="L21" s="18">
        <f si="19" t="shared"/>
        <v>0</v>
      </c>
      <c r="O21" t="str">
        <f>$A$10</f>
        <v>Roberston</v>
      </c>
      <c r="P21" s="18">
        <f si="20" t="shared"/>
        <v>0</v>
      </c>
      <c r="Q21" s="18">
        <f si="21" t="shared"/>
        <v>0</v>
      </c>
      <c r="R21" s="18">
        <f si="22" t="shared"/>
        <v>0</v>
      </c>
      <c r="S21" s="18">
        <f si="23" t="shared"/>
        <v>0</v>
      </c>
      <c r="V21" t="str">
        <f>$A$10</f>
        <v>Roberston</v>
      </c>
      <c r="W21" s="18"/>
      <c r="X21" s="18"/>
      <c r="Y21" s="18"/>
      <c r="Z21" s="18"/>
    </row>
    <row r="22" spans="1:26" x14ac:dyDescent="0.45">
      <c r="A22" t="str">
        <f>$A$11</f>
        <v>Davidson</v>
      </c>
      <c r="B22" s="18" t="n">
        <v>0.0</v>
      </c>
      <c r="C22" s="18" t="n">
        <v>0.0</v>
      </c>
      <c r="D22" s="18" t="n">
        <v>0.0</v>
      </c>
      <c r="E22" s="18">
        <f si="18" t="shared"/>
        <v>0</v>
      </c>
      <c r="F22" s="18">
        <v>42240.943797373024</v>
      </c>
      <c r="G22" s="18"/>
      <c r="H22" t="str">
        <f>$A$11</f>
        <v>Davidson</v>
      </c>
      <c r="I22" s="18" t="n">
        <v>0.0</v>
      </c>
      <c r="J22" s="18" t="n">
        <v>0.0</v>
      </c>
      <c r="K22" s="18" t="n">
        <v>0.0</v>
      </c>
      <c r="L22" s="18">
        <f si="19" t="shared"/>
        <v>0</v>
      </c>
      <c r="O22" t="str">
        <f>$A$11</f>
        <v>Davidson</v>
      </c>
      <c r="P22" s="18">
        <f si="20" t="shared"/>
        <v>0</v>
      </c>
      <c r="Q22" s="18">
        <f si="21" t="shared"/>
        <v>0</v>
      </c>
      <c r="R22" s="18">
        <f si="22" t="shared"/>
        <v>0</v>
      </c>
      <c r="S22" s="18">
        <f si="23" t="shared"/>
        <v>0</v>
      </c>
      <c r="V22" t="str">
        <f>$A$11</f>
        <v>Davidson</v>
      </c>
      <c r="W22" s="18"/>
      <c r="X22" s="18"/>
      <c r="Y22" s="18"/>
      <c r="Z22" s="18"/>
    </row>
    <row r="23" spans="1:26" x14ac:dyDescent="0.45">
      <c r="A23" t="str">
        <f>$A$12</f>
        <v>Maury</v>
      </c>
      <c r="B23" s="19" t="n">
        <v>0.0</v>
      </c>
      <c r="C23" s="19" t="n">
        <v>0.0</v>
      </c>
      <c r="D23" s="19" t="n">
        <v>0.0</v>
      </c>
      <c r="E23" s="19">
        <f si="18" t="shared"/>
        <v>0</v>
      </c>
      <c r="F23" s="18">
        <v>5430.4177952092687</v>
      </c>
      <c r="G23" s="18"/>
      <c r="H23" t="str">
        <f>$A$12</f>
        <v>Maury</v>
      </c>
      <c r="I23" s="19" t="n">
        <v>0.0</v>
      </c>
      <c r="J23" s="19" t="n">
        <v>0.0</v>
      </c>
      <c r="K23" s="19" t="n">
        <v>0.0</v>
      </c>
      <c r="L23" s="19">
        <f>SUM(I23:K23)</f>
        <v>0</v>
      </c>
      <c r="O23" t="str">
        <f>$A$12</f>
        <v>Maury</v>
      </c>
      <c r="P23" s="19">
        <f si="14" t="shared"/>
        <v>0</v>
      </c>
      <c r="Q23" s="19">
        <f si="15" t="shared"/>
        <v>0</v>
      </c>
      <c r="R23" s="19">
        <f si="16" t="shared"/>
        <v>0</v>
      </c>
      <c r="S23" s="19">
        <f si="17" t="shared"/>
        <v>0</v>
      </c>
      <c r="V23" t="str">
        <f>$A$12</f>
        <v>Maury</v>
      </c>
      <c r="W23" s="19"/>
      <c r="X23" s="19"/>
      <c r="Y23" s="19"/>
      <c r="Z23" s="19"/>
    </row>
    <row r="24" spans="1:26" x14ac:dyDescent="0.45">
      <c r="A24" s="18" t="str">
        <f>$A$13</f>
        <v>Wilson</v>
      </c>
      <c r="B24" s="20" t="n">
        <v>0.0</v>
      </c>
      <c r="C24" s="20" t="n">
        <v>0.0</v>
      </c>
      <c r="D24" s="20" t="n">
        <v>0.0</v>
      </c>
      <c r="E24" s="19">
        <f si="18" t="shared"/>
        <v>0</v>
      </c>
      <c r="F24" s="18">
        <v>7884.2045649299616</v>
      </c>
      <c r="G24" s="18"/>
      <c r="H24" s="18" t="str">
        <f>$A$13</f>
        <v>Wilson</v>
      </c>
      <c r="I24" s="20" t="n">
        <v>0.0</v>
      </c>
      <c r="J24" s="20" t="n">
        <v>0.0</v>
      </c>
      <c r="K24" s="20" t="n">
        <v>0.0</v>
      </c>
      <c r="L24" s="19">
        <f>SUM(I24:K24)</f>
        <v>0</v>
      </c>
      <c r="O24" s="18" t="str">
        <f>$A$13</f>
        <v>Wilson</v>
      </c>
      <c r="P24" s="20">
        <f si="14" t="shared"/>
        <v>0</v>
      </c>
      <c r="Q24" s="20">
        <f si="15" t="shared"/>
        <v>0</v>
      </c>
      <c r="R24" s="20">
        <f si="16" t="shared"/>
        <v>0</v>
      </c>
      <c r="S24" s="20">
        <f si="17" t="shared"/>
        <v>0</v>
      </c>
      <c r="V24" s="18" t="str">
        <f>$A$13</f>
        <v>Wilson</v>
      </c>
      <c r="W24" s="20"/>
      <c r="X24" s="20"/>
      <c r="Y24" s="20"/>
      <c r="Z24" s="20"/>
    </row>
    <row ht="14.65" r="25" spans="1:26" thickBot="1" x14ac:dyDescent="0.5">
      <c r="A25" s="22" t="s">
        <v>4</v>
      </c>
      <c r="B25" s="22">
        <f>SUM(B18:B24)</f>
        <v>1234000</v>
      </c>
      <c r="C25" s="22">
        <f ref="C25:F25" si="24" t="shared">SUM(C18:C24)</f>
        <v>345000</v>
      </c>
      <c r="D25" s="22">
        <f si="24" t="shared"/>
        <v>197000</v>
      </c>
      <c r="E25" s="22">
        <f si="24" t="shared"/>
        <v>1776000</v>
      </c>
      <c r="F25" s="22">
        <f si="24" t="shared"/>
        <v>106232.32983569324</v>
      </c>
      <c r="G25" s="18"/>
      <c r="H25" s="22" t="s">
        <v>4</v>
      </c>
      <c r="I25" s="22">
        <f>SUM(I18:I24)</f>
        <v>1234000</v>
      </c>
      <c r="J25" s="22">
        <f ref="J25:L25" si="25" t="shared">SUM(J18:J24)</f>
        <v>345000</v>
      </c>
      <c r="K25" s="22">
        <f si="25" t="shared"/>
        <v>197000</v>
      </c>
      <c r="L25" s="22">
        <f si="25" t="shared"/>
        <v>1776000</v>
      </c>
      <c r="O25" s="22" t="s">
        <v>4</v>
      </c>
      <c r="P25" s="22">
        <f si="14" t="shared"/>
        <v>0</v>
      </c>
      <c r="Q25" s="22">
        <f si="15" t="shared"/>
        <v>0</v>
      </c>
      <c r="R25" s="22">
        <f si="16" t="shared"/>
        <v>0</v>
      </c>
      <c r="S25" s="22">
        <f si="17" t="shared"/>
        <v>0</v>
      </c>
      <c r="V25" s="22" t="s">
        <v>4</v>
      </c>
      <c r="W25" s="22">
        <f>SUM(W18:W24)</f>
        <v>0</v>
      </c>
      <c r="X25" s="22">
        <f ref="X25:Z25" si="26" t="shared">SUM(X18:X24)</f>
        <v>0</v>
      </c>
      <c r="Y25" s="22">
        <f si="26" t="shared"/>
        <v>0</v>
      </c>
      <c r="Z25" s="22">
        <f si="26" t="shared"/>
        <v>0</v>
      </c>
    </row>
    <row ht="14.65" r="27" spans="1:26" thickBot="1" x14ac:dyDescent="0.5">
      <c r="A27" s="4" t="s">
        <v>276</v>
      </c>
      <c r="B27" s="1"/>
      <c r="C27" s="1"/>
      <c r="D27" s="1"/>
      <c r="E27" s="1"/>
      <c r="H27" s="4" t="s">
        <v>288</v>
      </c>
      <c r="I27" s="1"/>
      <c r="J27" s="1"/>
      <c r="K27" s="1"/>
      <c r="L27" s="1"/>
      <c r="O27" s="4" t="s">
        <v>61</v>
      </c>
      <c r="P27" s="1"/>
      <c r="Q27" s="1"/>
      <c r="R27" s="1"/>
      <c r="S27" s="1"/>
      <c r="V27" s="4" t="s">
        <v>64</v>
      </c>
      <c r="W27" s="1"/>
      <c r="X27" s="1"/>
      <c r="Y27" s="1"/>
      <c r="Z27" s="1"/>
    </row>
    <row r="28" spans="1:26" x14ac:dyDescent="0.4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45">
      <c r="A29" t="str">
        <f>$A$7</f>
        <v>Williamson</v>
      </c>
      <c r="B29" s="28">
        <f ref="B29:E36" si="27" t="shared">B7/B18</f>
        <v>5.5105348460291734E-2</v>
      </c>
      <c r="C29" s="28">
        <f si="27" t="shared"/>
        <v>0.17681159420289855</v>
      </c>
      <c r="D29" s="28">
        <f si="27" t="shared"/>
        <v>1.015228426395939E-2</v>
      </c>
      <c r="E29" s="28">
        <f si="27" t="shared"/>
        <v>7.3761261261261257E-2</v>
      </c>
      <c r="F29" s="28"/>
      <c r="G29" s="28"/>
      <c r="H29" t="str">
        <f>$A$7</f>
        <v>Williamson</v>
      </c>
      <c r="I29" s="28">
        <f ref="I29:L36" si="28" t="shared">I7/I18</f>
        <v>5.5105348460291734E-2</v>
      </c>
      <c r="J29" s="28">
        <f si="28" t="shared"/>
        <v>0.17681159420289855</v>
      </c>
      <c r="K29" s="28">
        <f si="28" t="shared"/>
        <v>1.015228426395939E-2</v>
      </c>
      <c r="L29" s="28">
        <f si="28" t="shared"/>
        <v>7.3761261261261257E-2</v>
      </c>
      <c r="O29" t="str">
        <f>$A$7</f>
        <v>Williamson</v>
      </c>
      <c r="P29" s="28">
        <f ref="P29:P36" si="29" t="shared">I29-B29</f>
        <v>0</v>
      </c>
      <c r="Q29" s="28">
        <f ref="Q29:Q36" si="30" t="shared">J29-C29</f>
        <v>0</v>
      </c>
      <c r="R29" s="28">
        <f ref="R29:R36" si="31" t="shared">K29-D29</f>
        <v>0</v>
      </c>
      <c r="S29" s="28">
        <f ref="S29:S36" si="32" t="shared">L29-E29</f>
        <v>0</v>
      </c>
      <c r="V29" t="str">
        <f>$A$7</f>
        <v>Williamson</v>
      </c>
      <c r="W29" s="28" t="e">
        <f ref="W29:Z35" si="33" t="shared">W7/W18</f>
        <v>#DIV/0!</v>
      </c>
      <c r="X29" s="28" t="e">
        <f si="33" t="shared"/>
        <v>#DIV/0!</v>
      </c>
      <c r="Y29" s="28" t="e">
        <f si="33" t="shared"/>
        <v>#DIV/0!</v>
      </c>
      <c r="Z29" s="28" t="e">
        <f si="33" t="shared"/>
        <v>#DIV/0!</v>
      </c>
    </row>
    <row r="30" spans="1:26" x14ac:dyDescent="0.45">
      <c r="A30" t="str">
        <f>$A$8</f>
        <v>Rutherford</v>
      </c>
      <c r="B30" s="28" t="e">
        <f si="27" t="shared"/>
        <v>#DIV/0!</v>
      </c>
      <c r="C30" s="28" t="e">
        <f si="27" t="shared"/>
        <v>#DIV/0!</v>
      </c>
      <c r="D30" s="28" t="e">
        <f si="27" t="shared"/>
        <v>#DIV/0!</v>
      </c>
      <c r="E30" s="28" t="e">
        <f si="27" t="shared"/>
        <v>#DIV/0!</v>
      </c>
      <c r="F30" s="28"/>
      <c r="G30" s="28"/>
      <c r="H30" t="str">
        <f>$A$8</f>
        <v>Rutherford</v>
      </c>
      <c r="I30" s="28" t="e">
        <f si="28" t="shared"/>
        <v>#DIV/0!</v>
      </c>
      <c r="J30" s="28" t="e">
        <f si="28" t="shared"/>
        <v>#DIV/0!</v>
      </c>
      <c r="K30" s="28" t="e">
        <f si="28" t="shared"/>
        <v>#DIV/0!</v>
      </c>
      <c r="L30" s="28" t="e">
        <f si="28" t="shared"/>
        <v>#DIV/0!</v>
      </c>
      <c r="O30" t="str">
        <f>$A$8</f>
        <v>Rutherford</v>
      </c>
      <c r="P30" s="28" t="e">
        <f si="29" t="shared"/>
        <v>#DIV/0!</v>
      </c>
      <c r="Q30" s="28" t="e">
        <f si="30" t="shared"/>
        <v>#DIV/0!</v>
      </c>
      <c r="R30" s="28" t="e">
        <f si="31" t="shared"/>
        <v>#DIV/0!</v>
      </c>
      <c r="S30" s="28" t="e">
        <f si="32" t="shared"/>
        <v>#DIV/0!</v>
      </c>
      <c r="V30" t="str">
        <f>$A$8</f>
        <v>Rutherford</v>
      </c>
      <c r="W30" s="28" t="e">
        <f si="33" t="shared"/>
        <v>#DIV/0!</v>
      </c>
      <c r="X30" s="28" t="e">
        <f si="33" t="shared"/>
        <v>#DIV/0!</v>
      </c>
      <c r="Y30" s="28" t="e">
        <f si="33" t="shared"/>
        <v>#DIV/0!</v>
      </c>
      <c r="Z30" s="28" t="e">
        <f si="33" t="shared"/>
        <v>#DIV/0!</v>
      </c>
    </row>
    <row r="31" spans="1:26" x14ac:dyDescent="0.45">
      <c r="A31" t="str">
        <f>$A$9</f>
        <v>Sumner</v>
      </c>
      <c r="B31" s="28" t="e">
        <f si="27" t="shared"/>
        <v>#DIV/0!</v>
      </c>
      <c r="C31" s="28" t="e">
        <f si="27" t="shared"/>
        <v>#DIV/0!</v>
      </c>
      <c r="D31" s="28" t="e">
        <f si="27" t="shared"/>
        <v>#DIV/0!</v>
      </c>
      <c r="E31" s="28" t="e">
        <f si="27" t="shared"/>
        <v>#DIV/0!</v>
      </c>
      <c r="F31" s="28"/>
      <c r="G31" s="28"/>
      <c r="H31" t="str">
        <f>$A$9</f>
        <v>Sumner</v>
      </c>
      <c r="I31" s="28" t="e">
        <f si="28" t="shared"/>
        <v>#DIV/0!</v>
      </c>
      <c r="J31" s="28" t="e">
        <f si="28" t="shared"/>
        <v>#DIV/0!</v>
      </c>
      <c r="K31" s="28" t="e">
        <f si="28" t="shared"/>
        <v>#DIV/0!</v>
      </c>
      <c r="L31" s="28" t="e">
        <f si="28" t="shared"/>
        <v>#DIV/0!</v>
      </c>
      <c r="O31" t="str">
        <f>$A$9</f>
        <v>Sumner</v>
      </c>
      <c r="P31" s="28" t="e">
        <f ref="P31:P33" si="34" t="shared">I31-B31</f>
        <v>#DIV/0!</v>
      </c>
      <c r="Q31" s="28" t="e">
        <f ref="Q31:Q33" si="35" t="shared">J31-C31</f>
        <v>#DIV/0!</v>
      </c>
      <c r="R31" s="28" t="e">
        <f ref="R31:R33" si="36" t="shared">K31-D31</f>
        <v>#DIV/0!</v>
      </c>
      <c r="S31" s="28" t="e">
        <f ref="S31:S33" si="37" t="shared">L31-E31</f>
        <v>#DIV/0!</v>
      </c>
      <c r="V31" t="str">
        <f>$A$9</f>
        <v>Sumner</v>
      </c>
      <c r="W31" s="28" t="e">
        <f si="33" t="shared"/>
        <v>#DIV/0!</v>
      </c>
      <c r="X31" s="28" t="e">
        <f si="33" t="shared"/>
        <v>#DIV/0!</v>
      </c>
      <c r="Y31" s="28" t="e">
        <f si="33" t="shared"/>
        <v>#DIV/0!</v>
      </c>
      <c r="Z31" s="28" t="e">
        <f si="33" t="shared"/>
        <v>#DIV/0!</v>
      </c>
    </row>
    <row r="32" spans="1:26" x14ac:dyDescent="0.45">
      <c r="A32" t="str">
        <f>$A$10</f>
        <v>Roberston</v>
      </c>
      <c r="B32" s="28" t="e">
        <f si="27" t="shared"/>
        <v>#DIV/0!</v>
      </c>
      <c r="C32" s="28" t="e">
        <f si="27" t="shared"/>
        <v>#DIV/0!</v>
      </c>
      <c r="D32" s="28" t="e">
        <f si="27" t="shared"/>
        <v>#DIV/0!</v>
      </c>
      <c r="E32" s="28" t="e">
        <f si="27" t="shared"/>
        <v>#DIV/0!</v>
      </c>
      <c r="F32" s="28"/>
      <c r="G32" s="28"/>
      <c r="H32" t="str">
        <f>$A$10</f>
        <v>Roberston</v>
      </c>
      <c r="I32" s="28" t="e">
        <f si="28" t="shared"/>
        <v>#DIV/0!</v>
      </c>
      <c r="J32" s="28" t="e">
        <f si="28" t="shared"/>
        <v>#DIV/0!</v>
      </c>
      <c r="K32" s="28" t="e">
        <f si="28" t="shared"/>
        <v>#DIV/0!</v>
      </c>
      <c r="L32" s="28" t="e">
        <f si="28" t="shared"/>
        <v>#DIV/0!</v>
      </c>
      <c r="O32" t="str">
        <f>$A$10</f>
        <v>Roberston</v>
      </c>
      <c r="P32" s="28" t="e">
        <f si="34" t="shared"/>
        <v>#DIV/0!</v>
      </c>
      <c r="Q32" s="28" t="e">
        <f si="35" t="shared"/>
        <v>#DIV/0!</v>
      </c>
      <c r="R32" s="28" t="e">
        <f si="36" t="shared"/>
        <v>#DIV/0!</v>
      </c>
      <c r="S32" s="28" t="e">
        <f si="37" t="shared"/>
        <v>#DIV/0!</v>
      </c>
      <c r="V32" t="str">
        <f>$A$10</f>
        <v>Roberston</v>
      </c>
      <c r="W32" s="28" t="e">
        <f si="33" t="shared"/>
        <v>#DIV/0!</v>
      </c>
      <c r="X32" s="28" t="e">
        <f si="33" t="shared"/>
        <v>#DIV/0!</v>
      </c>
      <c r="Y32" s="28" t="e">
        <f si="33" t="shared"/>
        <v>#DIV/0!</v>
      </c>
      <c r="Z32" s="28" t="e">
        <f si="33" t="shared"/>
        <v>#DIV/0!</v>
      </c>
    </row>
    <row r="33" spans="1:26" x14ac:dyDescent="0.45">
      <c r="A33" t="str">
        <f>$A$11</f>
        <v>Davidson</v>
      </c>
      <c r="B33" s="28" t="e">
        <f si="27" t="shared"/>
        <v>#DIV/0!</v>
      </c>
      <c r="C33" s="28" t="e">
        <f si="27" t="shared"/>
        <v>#DIV/0!</v>
      </c>
      <c r="D33" s="28" t="e">
        <f si="27" t="shared"/>
        <v>#DIV/0!</v>
      </c>
      <c r="E33" s="28" t="e">
        <f si="27" t="shared"/>
        <v>#DIV/0!</v>
      </c>
      <c r="F33" s="28"/>
      <c r="G33" s="28"/>
      <c r="H33" t="str">
        <f>$A$11</f>
        <v>Davidson</v>
      </c>
      <c r="I33" s="28" t="e">
        <f si="28" t="shared"/>
        <v>#DIV/0!</v>
      </c>
      <c r="J33" s="28" t="e">
        <f si="28" t="shared"/>
        <v>#DIV/0!</v>
      </c>
      <c r="K33" s="28" t="e">
        <f si="28" t="shared"/>
        <v>#DIV/0!</v>
      </c>
      <c r="L33" s="28" t="e">
        <f si="28" t="shared"/>
        <v>#DIV/0!</v>
      </c>
      <c r="O33" t="str">
        <f>$A$11</f>
        <v>Davidson</v>
      </c>
      <c r="P33" s="28" t="e">
        <f si="34" t="shared"/>
        <v>#DIV/0!</v>
      </c>
      <c r="Q33" s="28" t="e">
        <f si="35" t="shared"/>
        <v>#DIV/0!</v>
      </c>
      <c r="R33" s="28" t="e">
        <f si="36" t="shared"/>
        <v>#DIV/0!</v>
      </c>
      <c r="S33" s="28" t="e">
        <f si="37" t="shared"/>
        <v>#DIV/0!</v>
      </c>
      <c r="V33" t="str">
        <f>$A$11</f>
        <v>Davidson</v>
      </c>
      <c r="W33" s="28" t="e">
        <f si="33" t="shared"/>
        <v>#DIV/0!</v>
      </c>
      <c r="X33" s="28" t="e">
        <f si="33" t="shared"/>
        <v>#DIV/0!</v>
      </c>
      <c r="Y33" s="28" t="e">
        <f si="33" t="shared"/>
        <v>#DIV/0!</v>
      </c>
      <c r="Z33" s="28" t="e">
        <f si="33" t="shared"/>
        <v>#DIV/0!</v>
      </c>
    </row>
    <row r="34" spans="1:26" x14ac:dyDescent="0.45">
      <c r="A34" t="str">
        <f>$A$12</f>
        <v>Maury</v>
      </c>
      <c r="B34" s="44" t="e">
        <f si="27" t="shared"/>
        <v>#DIV/0!</v>
      </c>
      <c r="C34" s="44" t="e">
        <f si="27" t="shared"/>
        <v>#DIV/0!</v>
      </c>
      <c r="D34" s="44" t="e">
        <f si="27" t="shared"/>
        <v>#DIV/0!</v>
      </c>
      <c r="E34" s="44" t="e">
        <f si="27" t="shared"/>
        <v>#DIV/0!</v>
      </c>
      <c r="F34" s="28"/>
      <c r="G34" s="28"/>
      <c r="H34" t="str">
        <f>$A$12</f>
        <v>Maury</v>
      </c>
      <c r="I34" s="44" t="e">
        <f si="28" t="shared"/>
        <v>#DIV/0!</v>
      </c>
      <c r="J34" s="44" t="e">
        <f si="28" t="shared"/>
        <v>#DIV/0!</v>
      </c>
      <c r="K34" s="44" t="e">
        <f si="28" t="shared"/>
        <v>#DIV/0!</v>
      </c>
      <c r="L34" s="44" t="e">
        <f si="28" t="shared"/>
        <v>#DIV/0!</v>
      </c>
      <c r="O34" t="str">
        <f>$A$12</f>
        <v>Maury</v>
      </c>
      <c r="P34" s="44" t="e">
        <f si="29" t="shared"/>
        <v>#DIV/0!</v>
      </c>
      <c r="Q34" s="44" t="e">
        <f si="30" t="shared"/>
        <v>#DIV/0!</v>
      </c>
      <c r="R34" s="44" t="e">
        <f si="31" t="shared"/>
        <v>#DIV/0!</v>
      </c>
      <c r="S34" s="44" t="e">
        <f si="32" t="shared"/>
        <v>#DIV/0!</v>
      </c>
      <c r="V34" t="str">
        <f>$A$12</f>
        <v>Maury</v>
      </c>
      <c r="W34" s="44" t="e">
        <f si="33" t="shared"/>
        <v>#DIV/0!</v>
      </c>
      <c r="X34" s="44" t="e">
        <f si="33" t="shared"/>
        <v>#DIV/0!</v>
      </c>
      <c r="Y34" s="44" t="e">
        <f si="33" t="shared"/>
        <v>#DIV/0!</v>
      </c>
      <c r="Z34" s="44" t="e">
        <f si="33" t="shared"/>
        <v>#DIV/0!</v>
      </c>
    </row>
    <row r="35" spans="1:26" x14ac:dyDescent="0.45">
      <c r="A35" s="18" t="str">
        <f>$A$13</f>
        <v>Wilson</v>
      </c>
      <c r="B35" s="44" t="e">
        <f si="27" t="shared"/>
        <v>#DIV/0!</v>
      </c>
      <c r="C35" s="44" t="e">
        <f si="27" t="shared"/>
        <v>#DIV/0!</v>
      </c>
      <c r="D35" s="44" t="e">
        <f si="27" t="shared"/>
        <v>#DIV/0!</v>
      </c>
      <c r="E35" s="44" t="e">
        <f si="27" t="shared"/>
        <v>#DIV/0!</v>
      </c>
      <c r="F35" s="28"/>
      <c r="G35" s="28"/>
      <c r="H35" s="18" t="str">
        <f>$A$13</f>
        <v>Wilson</v>
      </c>
      <c r="I35" s="44" t="e">
        <f si="28" t="shared"/>
        <v>#DIV/0!</v>
      </c>
      <c r="J35" s="44" t="e">
        <f si="28" t="shared"/>
        <v>#DIV/0!</v>
      </c>
      <c r="K35" s="44" t="e">
        <f si="28" t="shared"/>
        <v>#DIV/0!</v>
      </c>
      <c r="L35" s="44" t="e">
        <f si="28" t="shared"/>
        <v>#DIV/0!</v>
      </c>
      <c r="O35" s="18" t="str">
        <f>$A$13</f>
        <v>Wilson</v>
      </c>
      <c r="P35" s="44" t="e">
        <f si="29" t="shared"/>
        <v>#DIV/0!</v>
      </c>
      <c r="Q35" s="44" t="e">
        <f si="30" t="shared"/>
        <v>#DIV/0!</v>
      </c>
      <c r="R35" s="44" t="e">
        <f si="31" t="shared"/>
        <v>#DIV/0!</v>
      </c>
      <c r="S35" s="44" t="e">
        <f si="32" t="shared"/>
        <v>#DIV/0!</v>
      </c>
      <c r="V35" s="18" t="str">
        <f>$A$13</f>
        <v>Wilson</v>
      </c>
      <c r="W35" s="20" t="e">
        <f si="33" t="shared"/>
        <v>#DIV/0!</v>
      </c>
      <c r="X35" s="20" t="e">
        <f si="33" t="shared"/>
        <v>#DIV/0!</v>
      </c>
      <c r="Y35" s="20" t="e">
        <f si="33" t="shared"/>
        <v>#DIV/0!</v>
      </c>
      <c r="Z35" s="20" t="e">
        <f si="33" t="shared"/>
        <v>#DIV/0!</v>
      </c>
    </row>
    <row ht="14.65" r="36" spans="1:26" thickBot="1" x14ac:dyDescent="0.5">
      <c r="A36" s="22" t="s">
        <v>4</v>
      </c>
      <c r="B36" s="30">
        <f si="27" t="shared"/>
        <v>5.5105348460291734E-2</v>
      </c>
      <c r="C36" s="30">
        <f si="27" t="shared"/>
        <v>0.17681159420289855</v>
      </c>
      <c r="D36" s="30">
        <f si="27" t="shared"/>
        <v>1.015228426395939E-2</v>
      </c>
      <c r="E36" s="30">
        <f si="27" t="shared"/>
        <v>7.3761261261261257E-2</v>
      </c>
      <c r="F36" s="7"/>
      <c r="H36" s="22" t="s">
        <v>4</v>
      </c>
      <c r="I36" s="30">
        <f si="28" t="shared"/>
        <v>5.5105348460291734E-2</v>
      </c>
      <c r="J36" s="30">
        <f si="28" t="shared"/>
        <v>0.17681159420289855</v>
      </c>
      <c r="K36" s="30">
        <f si="28" t="shared"/>
        <v>1.015228426395939E-2</v>
      </c>
      <c r="L36" s="30">
        <f si="28" t="shared"/>
        <v>7.3761261261261257E-2</v>
      </c>
      <c r="O36" s="22" t="s">
        <v>4</v>
      </c>
      <c r="P36" s="30">
        <f si="29" t="shared"/>
        <v>0</v>
      </c>
      <c r="Q36" s="30">
        <f si="30" t="shared"/>
        <v>0</v>
      </c>
      <c r="R36" s="30">
        <f si="31" t="shared"/>
        <v>0</v>
      </c>
      <c r="S36" s="30">
        <f si="32" t="shared"/>
        <v>0</v>
      </c>
      <c r="V36" s="22" t="s">
        <v>4</v>
      </c>
      <c r="W36" s="22" t="e">
        <f>W14/W25</f>
        <v>#DIV/0!</v>
      </c>
      <c r="X36" s="22" t="e">
        <f ref="X36:Z36" si="38" t="shared">X14/X25</f>
        <v>#DIV/0!</v>
      </c>
      <c r="Y36" s="22" t="e">
        <f si="38" t="shared"/>
        <v>#DIV/0!</v>
      </c>
      <c r="Z36" s="22" t="e">
        <f si="38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31" sqref="B31"/>
    </sheetView>
  </sheetViews>
  <sheetFormatPr defaultRowHeight="14.25" x14ac:dyDescent="0.45"/>
  <sheetData>
    <row r="1" spans="1:2" x14ac:dyDescent="0.45">
      <c r="A1" s="11" t="s">
        <v>277</v>
      </c>
    </row>
    <row r="2" spans="1:2" x14ac:dyDescent="0.45">
      <c r="A2">
        <v>1</v>
      </c>
      <c r="B2" t="s">
        <v>278</v>
      </c>
    </row>
    <row r="4" spans="1:2" x14ac:dyDescent="0.45">
      <c r="A4">
        <v>2</v>
      </c>
      <c r="B4" t="s">
        <v>22</v>
      </c>
    </row>
    <row r="6" spans="1:2" x14ac:dyDescent="0.45">
      <c r="A6">
        <v>3</v>
      </c>
      <c r="B6" t="s">
        <v>21</v>
      </c>
    </row>
    <row r="8" spans="1:2" x14ac:dyDescent="0.45">
      <c r="A8">
        <v>4</v>
      </c>
      <c r="B8" t="s">
        <v>19</v>
      </c>
    </row>
    <row r="11" spans="1:2" x14ac:dyDescent="0.45">
      <c r="A11" s="11" t="s">
        <v>20</v>
      </c>
    </row>
    <row r="12" spans="1:2" x14ac:dyDescent="0.45">
      <c r="A12">
        <v>1</v>
      </c>
      <c r="B12" t="s">
        <v>45</v>
      </c>
    </row>
    <row r="14" spans="1:2" x14ac:dyDescent="0.45">
      <c r="A14">
        <v>2</v>
      </c>
      <c r="B14" t="s">
        <v>279</v>
      </c>
    </row>
    <row r="15" spans="1:2" x14ac:dyDescent="0.45">
      <c r="B15" t="s">
        <v>46</v>
      </c>
    </row>
    <row r="17" spans="1:4" x14ac:dyDescent="0.45">
      <c r="A17">
        <v>3</v>
      </c>
      <c r="B17" t="s">
        <v>47</v>
      </c>
    </row>
    <row r="18" spans="1:4" x14ac:dyDescent="0.45">
      <c r="B18" t="s">
        <v>280</v>
      </c>
    </row>
    <row r="19" spans="1:4" x14ac:dyDescent="0.45">
      <c r="B19" t="s">
        <v>12</v>
      </c>
      <c r="C19" t="s">
        <v>53</v>
      </c>
      <c r="D19" t="s">
        <v>23</v>
      </c>
    </row>
    <row r="20" spans="1:4" x14ac:dyDescent="0.45">
      <c r="B20" t="s">
        <v>13</v>
      </c>
      <c r="C20" t="s">
        <v>54</v>
      </c>
      <c r="D20" t="s">
        <v>24</v>
      </c>
    </row>
    <row r="21" spans="1:4" x14ac:dyDescent="0.45">
      <c r="B21" t="s">
        <v>14</v>
      </c>
      <c r="C21" t="s">
        <v>55</v>
      </c>
      <c r="D21" t="s">
        <v>25</v>
      </c>
    </row>
    <row r="23" spans="1:4" x14ac:dyDescent="0.45">
      <c r="A23" s="11" t="s">
        <v>48</v>
      </c>
    </row>
    <row r="24" spans="1:4" x14ac:dyDescent="0.45">
      <c r="A24">
        <v>1</v>
      </c>
      <c r="B24" t="s">
        <v>49</v>
      </c>
    </row>
    <row r="26" spans="1:4" x14ac:dyDescent="0.45">
      <c r="A26">
        <v>2</v>
      </c>
      <c r="B26" t="s">
        <v>50</v>
      </c>
    </row>
    <row r="28" spans="1:4" x14ac:dyDescent="0.45">
      <c r="A28" s="11" t="s">
        <v>51</v>
      </c>
    </row>
    <row r="29" spans="1:4" x14ac:dyDescent="0.45">
      <c r="A29">
        <v>1</v>
      </c>
      <c r="B29" t="s">
        <v>52</v>
      </c>
    </row>
    <row r="31" spans="1:4" x14ac:dyDescent="0.45">
      <c r="A31" s="11">
        <v>2</v>
      </c>
      <c r="B31" t="s">
        <v>281</v>
      </c>
    </row>
    <row r="33" spans="1:2" x14ac:dyDescent="0.4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tabSelected="1" workbookViewId="0">
      <selection activeCell="E22" sqref="E22"/>
    </sheetView>
  </sheetViews>
  <sheetFormatPr defaultRowHeight="14.25" x14ac:dyDescent="0.45"/>
  <cols>
    <col min="4" max="4" bestFit="true" customWidth="true" width="12.73046875" collapsed="true"/>
    <col min="5" max="5" bestFit="true" customWidth="true" style="51" width="94.73046875" collapsed="true"/>
  </cols>
  <sheetData>
    <row r="1" spans="1:5" x14ac:dyDescent="0.45">
      <c r="A1" t="s">
        <v>147</v>
      </c>
      <c r="B1" t="s">
        <v>148</v>
      </c>
      <c r="E1" s="51" t="s">
        <v>149</v>
      </c>
    </row>
    <row r="2" spans="1:5" x14ac:dyDescent="0.45">
      <c r="A2">
        <v>1</v>
      </c>
      <c r="B2" t="s">
        <v>72</v>
      </c>
      <c r="C2" t="s">
        <v>73</v>
      </c>
      <c r="D2">
        <v>1</v>
      </c>
      <c r="E2" s="51" t="s">
        <v>155</v>
      </c>
    </row>
    <row r="3" spans="1:5" x14ac:dyDescent="0.45">
      <c r="A3">
        <v>2</v>
      </c>
      <c r="B3" t="s">
        <v>74</v>
      </c>
      <c r="C3" t="s">
        <v>73</v>
      </c>
      <c r="D3">
        <v>0.7</v>
      </c>
      <c r="E3" s="51" t="s">
        <v>151</v>
      </c>
    </row>
    <row r="4" spans="1:5" x14ac:dyDescent="0.45">
      <c r="A4">
        <v>3</v>
      </c>
      <c r="B4" t="s">
        <v>75</v>
      </c>
      <c r="C4" t="s">
        <v>73</v>
      </c>
      <c r="D4">
        <v>1</v>
      </c>
      <c r="E4" s="51" t="s">
        <v>150</v>
      </c>
    </row>
    <row r="5" spans="1:5" x14ac:dyDescent="0.45">
      <c r="A5">
        <v>4</v>
      </c>
      <c r="B5" t="s">
        <v>76</v>
      </c>
      <c r="C5" t="s">
        <v>73</v>
      </c>
      <c r="D5">
        <v>0.5</v>
      </c>
      <c r="E5" s="51" t="s">
        <v>156</v>
      </c>
    </row>
    <row r="6" spans="1:5" x14ac:dyDescent="0.45">
      <c r="A6">
        <v>5</v>
      </c>
      <c r="B6" t="s">
        <v>77</v>
      </c>
      <c r="C6" t="s">
        <v>73</v>
      </c>
      <c r="D6">
        <v>0</v>
      </c>
      <c r="E6" s="51" t="s">
        <v>152</v>
      </c>
    </row>
    <row r="7" spans="1:5" x14ac:dyDescent="0.45">
      <c r="A7">
        <v>6</v>
      </c>
      <c r="B7" t="s">
        <v>78</v>
      </c>
      <c r="C7" t="s">
        <v>73</v>
      </c>
      <c r="D7">
        <v>-4.1530549264700003</v>
      </c>
      <c r="E7" s="51" t="s">
        <v>157</v>
      </c>
    </row>
    <row r="8" spans="1:5" x14ac:dyDescent="0.45">
      <c r="A8">
        <v>7</v>
      </c>
      <c r="B8" t="s">
        <v>79</v>
      </c>
      <c r="C8" t="s">
        <v>73</v>
      </c>
      <c r="D8">
        <v>-0.64354735537100005</v>
      </c>
      <c r="E8" s="51" t="s">
        <v>158</v>
      </c>
    </row>
    <row r="9" spans="1:5" x14ac:dyDescent="0.45">
      <c r="A9">
        <v>8</v>
      </c>
      <c r="B9" t="s">
        <v>80</v>
      </c>
      <c r="C9" t="s">
        <v>73</v>
      </c>
      <c r="D9">
        <v>-0.732358148145</v>
      </c>
      <c r="E9" s="51" t="s">
        <v>159</v>
      </c>
    </row>
    <row r="10" spans="1:5" x14ac:dyDescent="0.45">
      <c r="A10">
        <v>9</v>
      </c>
      <c r="B10" t="s">
        <v>81</v>
      </c>
      <c r="C10" t="s">
        <v>73</v>
      </c>
      <c r="D10">
        <v>-2.6263992007099999</v>
      </c>
      <c r="E10" s="51" t="s">
        <v>160</v>
      </c>
    </row>
    <row r="11" spans="1:5" x14ac:dyDescent="0.45">
      <c r="A11">
        <v>10</v>
      </c>
      <c r="B11" t="s">
        <v>82</v>
      </c>
      <c r="C11" t="s">
        <v>73</v>
      </c>
      <c r="D11">
        <v>-3.4653118418800002</v>
      </c>
      <c r="E11" s="51" t="s">
        <v>161</v>
      </c>
    </row>
    <row r="12" spans="1:5" x14ac:dyDescent="0.45">
      <c r="A12">
        <v>11</v>
      </c>
      <c r="B12" t="s">
        <v>83</v>
      </c>
      <c r="C12" t="s">
        <v>73</v>
      </c>
      <c r="D12">
        <v>0.125312575308</v>
      </c>
      <c r="E12" s="51" t="s">
        <v>162</v>
      </c>
    </row>
    <row r="13" spans="1:5" x14ac:dyDescent="0.45">
      <c r="A13">
        <v>12</v>
      </c>
      <c r="B13" t="s">
        <v>84</v>
      </c>
      <c r="C13" t="s">
        <v>73</v>
      </c>
      <c r="D13">
        <v>0.24676672684299999</v>
      </c>
      <c r="E13" s="51" t="s">
        <v>163</v>
      </c>
    </row>
    <row r="14" spans="1:5" x14ac:dyDescent="0.45">
      <c r="A14">
        <v>13</v>
      </c>
      <c r="B14" t="s">
        <v>85</v>
      </c>
      <c r="C14" t="s">
        <v>73</v>
      </c>
      <c r="D14">
        <v>0.40796503771199999</v>
      </c>
      <c r="E14" s="51" t="s">
        <v>164</v>
      </c>
    </row>
    <row r="15" spans="1:5" x14ac:dyDescent="0.45">
      <c r="A15">
        <v>14</v>
      </c>
      <c r="B15" t="s">
        <v>86</v>
      </c>
      <c r="C15" t="s">
        <v>73</v>
      </c>
      <c r="D15">
        <v>-0.50293651045300003</v>
      </c>
      <c r="E15" s="51" t="s">
        <v>165</v>
      </c>
    </row>
    <row r="16" spans="1:5" x14ac:dyDescent="0.45">
      <c r="A16">
        <v>15</v>
      </c>
      <c r="B16" t="s">
        <v>87</v>
      </c>
      <c r="C16" t="s">
        <v>73</v>
      </c>
      <c r="D16">
        <v>-1.61322160644</v>
      </c>
      <c r="E16" s="51" t="s">
        <v>166</v>
      </c>
    </row>
    <row r="17" spans="1:5" x14ac:dyDescent="0.45">
      <c r="A17">
        <v>16</v>
      </c>
      <c r="B17" t="s">
        <v>88</v>
      </c>
      <c r="C17" t="s">
        <v>73</v>
      </c>
      <c r="D17">
        <v>0.130749629122</v>
      </c>
      <c r="E17" s="51" t="s">
        <v>167</v>
      </c>
    </row>
    <row r="18" spans="1:5" x14ac:dyDescent="0.45">
      <c r="A18">
        <v>17</v>
      </c>
      <c r="B18" t="s">
        <v>89</v>
      </c>
      <c r="C18" t="s">
        <v>73</v>
      </c>
      <c r="D18" s="50">
        <v>8.4077289836199998E-2</v>
      </c>
      <c r="E18" s="51" t="s">
        <v>168</v>
      </c>
    </row>
    <row r="19" spans="1:5" x14ac:dyDescent="0.45">
      <c r="A19">
        <v>18</v>
      </c>
      <c r="B19" t="s">
        <v>90</v>
      </c>
      <c r="C19" t="s">
        <v>73</v>
      </c>
      <c r="D19">
        <v>0</v>
      </c>
      <c r="E19" s="51" t="s">
        <v>169</v>
      </c>
    </row>
    <row r="20" spans="1:5" x14ac:dyDescent="0.45">
      <c r="A20">
        <v>19</v>
      </c>
      <c r="B20" t="s">
        <v>91</v>
      </c>
      <c r="C20" t="s">
        <v>73</v>
      </c>
      <c r="D20">
        <v>0.106386053639</v>
      </c>
      <c r="E20" s="51" t="s">
        <v>153</v>
      </c>
    </row>
    <row r="21" spans="1:5" x14ac:dyDescent="0.45">
      <c r="A21">
        <v>20</v>
      </c>
      <c r="B21" t="s">
        <v>92</v>
      </c>
      <c r="C21" t="s">
        <v>73</v>
      </c>
      <c r="D21">
        <v>0.88087687792799996</v>
      </c>
      <c r="E21" s="51" t="s">
        <v>154</v>
      </c>
    </row>
    <row r="22" spans="1:5" x14ac:dyDescent="0.45">
      <c r="A22">
        <v>21</v>
      </c>
      <c r="B22" t="s">
        <v>93</v>
      </c>
      <c r="C22" t="s">
        <v>73</v>
      </c>
      <c r="D22">
        <v>-0.16458061134300001</v>
      </c>
      <c r="E22" s="51" t="s">
        <v>206</v>
      </c>
    </row>
    <row r="23" spans="1:5" x14ac:dyDescent="0.45">
      <c r="A23">
        <v>22</v>
      </c>
      <c r="B23" t="s">
        <v>94</v>
      </c>
      <c r="C23" t="s">
        <v>73</v>
      </c>
      <c r="D23">
        <v>0.154182014038</v>
      </c>
      <c r="E23" s="51" t="s">
        <v>207</v>
      </c>
    </row>
    <row r="24" spans="1:5" x14ac:dyDescent="0.45">
      <c r="A24">
        <v>23</v>
      </c>
      <c r="B24" t="s">
        <v>95</v>
      </c>
      <c r="C24" t="s">
        <v>73</v>
      </c>
      <c r="D24" s="50">
        <v>4.79448884421E-2</v>
      </c>
      <c r="E24" s="51" t="s">
        <v>208</v>
      </c>
    </row>
    <row r="25" spans="1:5" x14ac:dyDescent="0.45">
      <c r="A25">
        <v>24</v>
      </c>
      <c r="B25" t="s">
        <v>96</v>
      </c>
      <c r="C25" t="s">
        <v>73</v>
      </c>
      <c r="D25" s="50">
        <v>6.4843520043099998E-2</v>
      </c>
      <c r="E25" s="51" t="s">
        <v>209</v>
      </c>
    </row>
    <row r="26" spans="1:5" x14ac:dyDescent="0.45">
      <c r="A26">
        <v>25</v>
      </c>
      <c r="B26" t="s">
        <v>97</v>
      </c>
      <c r="C26" t="s">
        <v>73</v>
      </c>
      <c r="D26">
        <v>0.15272053169499999</v>
      </c>
      <c r="E26" s="51" t="s">
        <v>210</v>
      </c>
    </row>
    <row r="27" spans="1:5" x14ac:dyDescent="0.45">
      <c r="A27">
        <v>26</v>
      </c>
      <c r="B27" t="s">
        <v>98</v>
      </c>
      <c r="C27" t="s">
        <v>73</v>
      </c>
      <c r="D27" s="50">
        <v>7.2028590735099998E-2</v>
      </c>
      <c r="E27" s="51" t="s">
        <v>211</v>
      </c>
    </row>
    <row r="28" spans="1:5" x14ac:dyDescent="0.45">
      <c r="A28">
        <v>27</v>
      </c>
      <c r="B28" t="s">
        <v>99</v>
      </c>
      <c r="C28" t="s">
        <v>73</v>
      </c>
      <c r="D28">
        <v>-0.27934224041799999</v>
      </c>
      <c r="E28" s="51" t="s">
        <v>215</v>
      </c>
    </row>
    <row r="29" spans="1:5" x14ac:dyDescent="0.45">
      <c r="A29">
        <v>28</v>
      </c>
      <c r="B29" t="s">
        <v>100</v>
      </c>
      <c r="C29" t="s">
        <v>73</v>
      </c>
      <c r="D29" s="50">
        <v>4.3626229225700003E-2</v>
      </c>
      <c r="E29" s="51" t="s">
        <v>170</v>
      </c>
    </row>
    <row r="30" spans="1:5" x14ac:dyDescent="0.45">
      <c r="A30">
        <v>29</v>
      </c>
      <c r="B30" t="s">
        <v>101</v>
      </c>
      <c r="C30" t="s">
        <v>73</v>
      </c>
      <c r="D30" s="50">
        <v>-8.7886819411100006E-2</v>
      </c>
      <c r="E30" s="51" t="s">
        <v>190</v>
      </c>
    </row>
    <row r="31" spans="1:5" x14ac:dyDescent="0.45">
      <c r="A31">
        <v>30</v>
      </c>
      <c r="B31" t="s">
        <v>102</v>
      </c>
      <c r="C31" t="s">
        <v>73</v>
      </c>
      <c r="D31" s="50">
        <v>-4.2894941477000001E-2</v>
      </c>
      <c r="E31" s="51" t="s">
        <v>191</v>
      </c>
    </row>
    <row r="32" spans="1:5" x14ac:dyDescent="0.45">
      <c r="A32">
        <v>31</v>
      </c>
      <c r="B32" t="s">
        <v>103</v>
      </c>
      <c r="C32" t="s">
        <v>73</v>
      </c>
      <c r="D32">
        <v>-0.13045579928000001</v>
      </c>
      <c r="E32" s="51" t="s">
        <v>192</v>
      </c>
    </row>
    <row r="33" spans="1:5" x14ac:dyDescent="0.45">
      <c r="A33">
        <v>32</v>
      </c>
      <c r="B33" t="s">
        <v>104</v>
      </c>
      <c r="C33" t="s">
        <v>73</v>
      </c>
      <c r="D33">
        <v>0.18945088644899999</v>
      </c>
      <c r="E33" s="51" t="s">
        <v>193</v>
      </c>
    </row>
    <row r="34" spans="1:5" x14ac:dyDescent="0.45">
      <c r="A34">
        <v>33</v>
      </c>
      <c r="B34" t="s">
        <v>105</v>
      </c>
      <c r="C34" t="s">
        <v>73</v>
      </c>
      <c r="D34">
        <v>-0.179523169776</v>
      </c>
      <c r="E34" s="51" t="s">
        <v>194</v>
      </c>
    </row>
    <row r="35" spans="1:5" x14ac:dyDescent="0.45">
      <c r="A35">
        <v>34</v>
      </c>
      <c r="B35" t="s">
        <v>106</v>
      </c>
      <c r="C35" t="s">
        <v>73</v>
      </c>
      <c r="D35">
        <v>0.17233347539499999</v>
      </c>
      <c r="E35" s="51" t="s">
        <v>195</v>
      </c>
    </row>
    <row r="36" spans="1:5" x14ac:dyDescent="0.45">
      <c r="A36">
        <v>35</v>
      </c>
      <c r="B36" t="s">
        <v>107</v>
      </c>
      <c r="C36" t="s">
        <v>73</v>
      </c>
      <c r="D36">
        <v>-0.194698386872</v>
      </c>
      <c r="E36" s="51" t="s">
        <v>196</v>
      </c>
    </row>
    <row r="37" spans="1:5" x14ac:dyDescent="0.45">
      <c r="A37">
        <v>36</v>
      </c>
      <c r="B37" t="s">
        <v>108</v>
      </c>
      <c r="C37" t="s">
        <v>73</v>
      </c>
      <c r="D37">
        <v>0.38785322122799998</v>
      </c>
      <c r="E37" s="51" t="s">
        <v>197</v>
      </c>
    </row>
    <row r="38" spans="1:5" x14ac:dyDescent="0.45">
      <c r="A38">
        <v>41</v>
      </c>
      <c r="B38" t="s">
        <v>109</v>
      </c>
      <c r="C38" t="s">
        <v>110</v>
      </c>
      <c r="D38">
        <v>-2.9745332256100001</v>
      </c>
      <c r="E38" s="51" t="s">
        <v>219</v>
      </c>
    </row>
    <row r="39" spans="1:5" x14ac:dyDescent="0.45">
      <c r="A39">
        <v>42</v>
      </c>
      <c r="B39" t="s">
        <v>111</v>
      </c>
      <c r="C39" t="s">
        <v>110</v>
      </c>
      <c r="D39">
        <v>5.0782043482699999</v>
      </c>
      <c r="E39" s="51" t="s">
        <v>216</v>
      </c>
    </row>
    <row r="40" spans="1:5" x14ac:dyDescent="0.45">
      <c r="A40">
        <v>43</v>
      </c>
      <c r="B40" t="s">
        <v>112</v>
      </c>
      <c r="C40" t="s">
        <v>110</v>
      </c>
      <c r="D40">
        <v>-3.0391245094800001</v>
      </c>
      <c r="E40" s="51" t="s">
        <v>217</v>
      </c>
    </row>
    <row r="41" spans="1:5" x14ac:dyDescent="0.45">
      <c r="A41">
        <v>44</v>
      </c>
      <c r="B41" t="s">
        <v>113</v>
      </c>
      <c r="C41" t="s">
        <v>110</v>
      </c>
      <c r="D41">
        <v>-2.3320263859599999</v>
      </c>
      <c r="E41" s="51" t="s">
        <v>218</v>
      </c>
    </row>
    <row r="42" spans="1:5" x14ac:dyDescent="0.45">
      <c r="A42">
        <v>50</v>
      </c>
      <c r="B42" t="s">
        <v>114</v>
      </c>
      <c r="C42" t="s">
        <v>73</v>
      </c>
      <c r="D42">
        <v>0.33566647407</v>
      </c>
    </row>
    <row r="43" spans="1:5" x14ac:dyDescent="0.45">
      <c r="A43">
        <v>51</v>
      </c>
      <c r="B43" t="s">
        <v>115</v>
      </c>
      <c r="C43" t="s">
        <v>73</v>
      </c>
      <c r="D43">
        <v>-0.78911507665199998</v>
      </c>
      <c r="E43" s="51" t="s">
        <v>171</v>
      </c>
    </row>
    <row r="44" spans="1:5" x14ac:dyDescent="0.45">
      <c r="A44">
        <v>52</v>
      </c>
      <c r="B44" t="s">
        <v>116</v>
      </c>
      <c r="C44" t="s">
        <v>73</v>
      </c>
      <c r="D44">
        <v>0.56564055394500001</v>
      </c>
      <c r="E44" s="51" t="s">
        <v>172</v>
      </c>
    </row>
    <row r="45" spans="1:5" x14ac:dyDescent="0.45">
      <c r="A45">
        <v>53</v>
      </c>
      <c r="B45" t="s">
        <v>117</v>
      </c>
      <c r="C45" t="s">
        <v>73</v>
      </c>
      <c r="D45">
        <v>-1.85416848242</v>
      </c>
      <c r="E45" s="51" t="s">
        <v>173</v>
      </c>
    </row>
    <row r="46" spans="1:5" x14ac:dyDescent="0.45">
      <c r="A46">
        <v>54</v>
      </c>
      <c r="B46" t="s">
        <v>118</v>
      </c>
      <c r="C46" t="s">
        <v>73</v>
      </c>
      <c r="D46">
        <v>0</v>
      </c>
      <c r="E46" s="51" t="s">
        <v>174</v>
      </c>
    </row>
    <row r="47" spans="1:5" x14ac:dyDescent="0.45">
      <c r="A47">
        <v>55</v>
      </c>
      <c r="B47" t="s">
        <v>119</v>
      </c>
      <c r="C47" t="s">
        <v>73</v>
      </c>
      <c r="D47">
        <v>-1.1156286956100001</v>
      </c>
      <c r="E47" s="51" t="s">
        <v>175</v>
      </c>
    </row>
    <row r="48" spans="1:5" x14ac:dyDescent="0.45">
      <c r="A48">
        <v>56</v>
      </c>
      <c r="B48" t="s">
        <v>120</v>
      </c>
      <c r="C48" t="s">
        <v>73</v>
      </c>
      <c r="D48">
        <v>-0.81792869186600003</v>
      </c>
      <c r="E48" s="51" t="s">
        <v>176</v>
      </c>
    </row>
    <row r="49" spans="1:5" x14ac:dyDescent="0.45">
      <c r="A49">
        <v>57</v>
      </c>
      <c r="B49" t="s">
        <v>121</v>
      </c>
      <c r="C49" t="s">
        <v>73</v>
      </c>
      <c r="D49">
        <v>-1.04729487823</v>
      </c>
      <c r="E49" s="51" t="s">
        <v>177</v>
      </c>
    </row>
    <row r="50" spans="1:5" x14ac:dyDescent="0.45">
      <c r="A50">
        <v>58</v>
      </c>
      <c r="B50" t="s">
        <v>122</v>
      </c>
      <c r="C50" t="s">
        <v>73</v>
      </c>
      <c r="D50">
        <v>-2.0228517391</v>
      </c>
      <c r="E50" s="51" t="s">
        <v>178</v>
      </c>
    </row>
    <row r="51" spans="1:5" x14ac:dyDescent="0.45">
      <c r="A51">
        <v>59</v>
      </c>
      <c r="B51" t="s">
        <v>123</v>
      </c>
      <c r="C51" t="s">
        <v>73</v>
      </c>
      <c r="D51">
        <v>-1.2945321250099999</v>
      </c>
      <c r="E51" s="51" t="s">
        <v>179</v>
      </c>
    </row>
    <row r="52" spans="1:5" x14ac:dyDescent="0.45">
      <c r="A52">
        <v>60</v>
      </c>
      <c r="B52" t="s">
        <v>124</v>
      </c>
      <c r="C52" t="s">
        <v>73</v>
      </c>
      <c r="D52">
        <v>-0.66178028021599999</v>
      </c>
      <c r="E52" s="51" t="s">
        <v>198</v>
      </c>
    </row>
    <row r="53" spans="1:5" x14ac:dyDescent="0.45">
      <c r="A53">
        <v>61</v>
      </c>
      <c r="B53" t="s">
        <v>125</v>
      </c>
      <c r="C53" t="s">
        <v>73</v>
      </c>
      <c r="D53">
        <v>-0.55504741134900004</v>
      </c>
      <c r="E53" s="51" t="s">
        <v>199</v>
      </c>
    </row>
    <row r="54" spans="1:5" x14ac:dyDescent="0.45">
      <c r="A54">
        <v>62</v>
      </c>
      <c r="B54" t="s">
        <v>126</v>
      </c>
      <c r="C54" t="s">
        <v>73</v>
      </c>
      <c r="D54">
        <v>-1.7449233454799999</v>
      </c>
      <c r="E54" s="51" t="s">
        <v>200</v>
      </c>
    </row>
    <row r="55" spans="1:5" x14ac:dyDescent="0.45">
      <c r="A55">
        <v>63</v>
      </c>
      <c r="B55" t="s">
        <v>127</v>
      </c>
      <c r="C55" t="s">
        <v>73</v>
      </c>
      <c r="D55">
        <v>1.1995398853399999</v>
      </c>
      <c r="E55" s="51" t="s">
        <v>201</v>
      </c>
    </row>
    <row r="56" spans="1:5" x14ac:dyDescent="0.45">
      <c r="A56">
        <v>64</v>
      </c>
      <c r="B56" t="s">
        <v>128</v>
      </c>
      <c r="C56" t="s">
        <v>73</v>
      </c>
      <c r="D56">
        <v>0.19542046398099999</v>
      </c>
      <c r="E56" s="51" t="s">
        <v>202</v>
      </c>
    </row>
    <row r="57" spans="1:5" x14ac:dyDescent="0.45">
      <c r="A57">
        <v>65</v>
      </c>
      <c r="B57" t="s">
        <v>129</v>
      </c>
      <c r="C57" t="s">
        <v>73</v>
      </c>
      <c r="D57">
        <v>-0.90594458676599998</v>
      </c>
      <c r="E57" s="51" t="s">
        <v>203</v>
      </c>
    </row>
    <row r="58" spans="1:5" x14ac:dyDescent="0.45">
      <c r="A58">
        <v>66</v>
      </c>
      <c r="B58" t="s">
        <v>130</v>
      </c>
      <c r="C58" t="s">
        <v>73</v>
      </c>
      <c r="D58">
        <v>-2.05104130438</v>
      </c>
      <c r="E58" s="51" t="s">
        <v>180</v>
      </c>
    </row>
    <row r="59" spans="1:5" x14ac:dyDescent="0.45">
      <c r="A59">
        <v>67</v>
      </c>
      <c r="B59" t="s">
        <v>131</v>
      </c>
      <c r="C59" t="s">
        <v>73</v>
      </c>
      <c r="D59">
        <v>-2.2381608455899999</v>
      </c>
      <c r="E59" s="51" t="s">
        <v>181</v>
      </c>
    </row>
    <row r="60" spans="1:5" x14ac:dyDescent="0.45">
      <c r="A60">
        <v>68</v>
      </c>
      <c r="B60" t="s">
        <v>132</v>
      </c>
      <c r="C60" t="s">
        <v>73</v>
      </c>
      <c r="D60">
        <v>-0.40946320528300001</v>
      </c>
      <c r="E60" s="51" t="s">
        <v>182</v>
      </c>
    </row>
    <row r="61" spans="1:5" x14ac:dyDescent="0.45">
      <c r="A61">
        <v>69</v>
      </c>
      <c r="B61" t="s">
        <v>133</v>
      </c>
      <c r="C61" t="s">
        <v>73</v>
      </c>
      <c r="D61">
        <v>-1.1700902309500001</v>
      </c>
      <c r="E61" s="51" t="s">
        <v>183</v>
      </c>
    </row>
    <row r="62" spans="1:5" x14ac:dyDescent="0.45">
      <c r="A62">
        <v>70</v>
      </c>
      <c r="B62" t="s">
        <v>134</v>
      </c>
      <c r="C62" t="s">
        <v>73</v>
      </c>
      <c r="D62">
        <v>1.8412445021999999</v>
      </c>
      <c r="E62" s="51" t="s">
        <v>184</v>
      </c>
    </row>
    <row r="63" spans="1:5" x14ac:dyDescent="0.45">
      <c r="A63">
        <v>71</v>
      </c>
      <c r="B63" t="s">
        <v>135</v>
      </c>
      <c r="C63" t="s">
        <v>73</v>
      </c>
      <c r="D63">
        <v>0.71619685052500004</v>
      </c>
      <c r="E63" s="51" t="s">
        <v>185</v>
      </c>
    </row>
    <row r="64" spans="1:5" x14ac:dyDescent="0.45">
      <c r="A64">
        <v>72</v>
      </c>
      <c r="B64" t="s">
        <v>136</v>
      </c>
      <c r="C64" t="s">
        <v>73</v>
      </c>
      <c r="D64">
        <v>-0.101060642888</v>
      </c>
      <c r="E64" s="51" t="s">
        <v>186</v>
      </c>
    </row>
    <row r="65" spans="1:5" x14ac:dyDescent="0.45">
      <c r="A65">
        <v>73</v>
      </c>
      <c r="B65" t="s">
        <v>137</v>
      </c>
      <c r="C65" t="s">
        <v>73</v>
      </c>
      <c r="D65">
        <v>-0.34132571646100002</v>
      </c>
      <c r="E65" s="51" t="s">
        <v>187</v>
      </c>
    </row>
    <row r="66" spans="1:5" x14ac:dyDescent="0.45">
      <c r="A66">
        <v>74</v>
      </c>
      <c r="B66" t="s">
        <v>138</v>
      </c>
      <c r="C66" t="s">
        <v>73</v>
      </c>
      <c r="D66">
        <v>1.0486549950899999</v>
      </c>
      <c r="E66" s="51" t="s">
        <v>204</v>
      </c>
    </row>
    <row r="67" spans="1:5" x14ac:dyDescent="0.45">
      <c r="A67">
        <v>75</v>
      </c>
      <c r="B67" t="s">
        <v>139</v>
      </c>
      <c r="C67" t="s">
        <v>73</v>
      </c>
      <c r="D67">
        <v>-30</v>
      </c>
      <c r="E67" s="51" t="s">
        <v>212</v>
      </c>
    </row>
    <row r="68" spans="1:5" x14ac:dyDescent="0.45">
      <c r="A68">
        <v>76</v>
      </c>
      <c r="B68" t="s">
        <v>140</v>
      </c>
      <c r="C68" t="s">
        <v>73</v>
      </c>
      <c r="D68">
        <v>0.91468797064200003</v>
      </c>
      <c r="E68" s="51" t="s">
        <v>213</v>
      </c>
    </row>
    <row r="69" spans="1:5" x14ac:dyDescent="0.45">
      <c r="A69">
        <v>77</v>
      </c>
      <c r="B69" t="s">
        <v>141</v>
      </c>
      <c r="C69" t="s">
        <v>73</v>
      </c>
      <c r="D69">
        <v>-1.1830909132</v>
      </c>
      <c r="E69" s="51" t="s">
        <v>205</v>
      </c>
    </row>
    <row r="70" spans="1:5" x14ac:dyDescent="0.45">
      <c r="A70">
        <v>78</v>
      </c>
      <c r="B70" t="s">
        <v>142</v>
      </c>
      <c r="C70" t="s">
        <v>73</v>
      </c>
      <c r="D70">
        <v>1.4576625009499999</v>
      </c>
      <c r="E70" s="51" t="s">
        <v>214</v>
      </c>
    </row>
    <row r="71" spans="1:5" x14ac:dyDescent="0.45">
      <c r="A71">
        <v>79</v>
      </c>
      <c r="B71" t="s">
        <v>143</v>
      </c>
      <c r="C71" t="s">
        <v>73</v>
      </c>
      <c r="D71">
        <v>-1.62636517084</v>
      </c>
      <c r="E71" s="51" t="s">
        <v>188</v>
      </c>
    </row>
    <row r="72" spans="1:5" x14ac:dyDescent="0.45">
      <c r="A72">
        <v>80</v>
      </c>
      <c r="B72" t="s">
        <v>144</v>
      </c>
      <c r="C72" t="s">
        <v>73</v>
      </c>
      <c r="D72">
        <v>0</v>
      </c>
      <c r="E72" s="51" t="s">
        <v>189</v>
      </c>
    </row>
    <row r="73" spans="1:5" x14ac:dyDescent="0.45">
      <c r="A73">
        <v>90</v>
      </c>
      <c r="B73" t="s">
        <v>145</v>
      </c>
      <c r="C73" t="s">
        <v>73</v>
      </c>
      <c r="D73">
        <v>0</v>
      </c>
      <c r="E73" s="51">
        <v>100</v>
      </c>
    </row>
    <row r="74" spans="1:5" x14ac:dyDescent="0.45">
      <c r="A74">
        <v>98</v>
      </c>
      <c r="B74" t="s">
        <v>146</v>
      </c>
      <c r="C74" t="s">
        <v>110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49"/>
  <sheetViews>
    <sheetView workbookViewId="0">
      <selection activeCell="L25" sqref="L25"/>
    </sheetView>
  </sheetViews>
  <sheetFormatPr defaultRowHeight="14.25" x14ac:dyDescent="0.45"/>
  <sheetData>
    <row r="1" spans="1:10" x14ac:dyDescent="0.45">
      <c r="A1" s="53" t="s">
        <v>242</v>
      </c>
      <c r="H1" t="s">
        <v>249</v>
      </c>
    </row>
    <row r="2" spans="1:10" x14ac:dyDescent="0.45">
      <c r="A2">
        <v>1</v>
      </c>
      <c r="B2" t="s">
        <v>243</v>
      </c>
    </row>
    <row r="3" spans="1:10" x14ac:dyDescent="0.45">
      <c r="A3">
        <v>2</v>
      </c>
      <c r="B3" t="s">
        <v>244</v>
      </c>
    </row>
    <row r="4" spans="1:10" x14ac:dyDescent="0.45">
      <c r="A4">
        <v>3</v>
      </c>
      <c r="B4" t="s">
        <v>246</v>
      </c>
    </row>
    <row r="5" spans="1:10" x14ac:dyDescent="0.45">
      <c r="A5">
        <v>4</v>
      </c>
      <c r="B5" t="s">
        <v>245</v>
      </c>
    </row>
    <row r="8" spans="1:10" x14ac:dyDescent="0.45">
      <c r="A8" t="s">
        <v>234</v>
      </c>
      <c r="B8" t="s">
        <v>235</v>
      </c>
      <c r="C8" t="s">
        <v>254</v>
      </c>
      <c r="D8" t="s">
        <v>255</v>
      </c>
      <c r="E8" t="s">
        <v>256</v>
      </c>
      <c r="F8" t="s">
        <v>257</v>
      </c>
      <c r="G8" t="s">
        <v>258</v>
      </c>
      <c r="H8" t="s">
        <v>259</v>
      </c>
    </row>
    <row r="9" spans="1:10" x14ac:dyDescent="0.4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56">
        <v>0.67841435185185184</v>
      </c>
      <c r="G9" t="s">
        <v>240</v>
      </c>
      <c r="H9">
        <v>5</v>
      </c>
      <c r="I9" t="s">
        <v>260</v>
      </c>
      <c r="J9">
        <v>12</v>
      </c>
    </row>
    <row r="10" spans="1:10" x14ac:dyDescent="0.45">
      <c r="A10" t="s">
        <v>241</v>
      </c>
    </row>
    <row r="11" spans="1:10" x14ac:dyDescent="0.45">
      <c r="B11">
        <v>1</v>
      </c>
      <c r="C11" t="s">
        <v>72</v>
      </c>
      <c r="D11" t="s">
        <v>73</v>
      </c>
      <c r="E11">
        <v>1</v>
      </c>
      <c r="F11">
        <v>0</v>
      </c>
    </row>
    <row r="12" spans="1:10" x14ac:dyDescent="0.45">
      <c r="B12">
        <v>2</v>
      </c>
      <c r="C12" t="s">
        <v>74</v>
      </c>
      <c r="D12" t="s">
        <v>73</v>
      </c>
      <c r="E12">
        <v>0.7</v>
      </c>
      <c r="F12">
        <v>0</v>
      </c>
    </row>
    <row r="13" spans="1:10" x14ac:dyDescent="0.45">
      <c r="B13">
        <v>3</v>
      </c>
      <c r="C13" t="s">
        <v>75</v>
      </c>
      <c r="D13" t="s">
        <v>73</v>
      </c>
      <c r="E13">
        <v>1</v>
      </c>
      <c r="F13">
        <v>0</v>
      </c>
    </row>
    <row r="14" spans="1:10" x14ac:dyDescent="0.45">
      <c r="B14">
        <v>4</v>
      </c>
      <c r="C14" t="s">
        <v>76</v>
      </c>
      <c r="D14" t="s">
        <v>73</v>
      </c>
      <c r="E14">
        <v>0.5</v>
      </c>
      <c r="F14">
        <v>0</v>
      </c>
    </row>
    <row r="15" spans="1:10" x14ac:dyDescent="0.45">
      <c r="B15">
        <v>5</v>
      </c>
      <c r="C15" t="s">
        <v>77</v>
      </c>
      <c r="D15" t="s">
        <v>73</v>
      </c>
      <c r="E15">
        <v>0</v>
      </c>
      <c r="F15">
        <v>0</v>
      </c>
    </row>
    <row r="16" spans="1:10" x14ac:dyDescent="0.45">
      <c r="B16">
        <v>6</v>
      </c>
      <c r="C16" t="s">
        <v>78</v>
      </c>
      <c r="D16" t="s">
        <v>73</v>
      </c>
      <c r="E16">
        <v>-4.1530549264700003</v>
      </c>
      <c r="F16">
        <v>0</v>
      </c>
    </row>
    <row r="17" spans="2:6" x14ac:dyDescent="0.45">
      <c r="B17">
        <v>7</v>
      </c>
      <c r="C17" t="s">
        <v>79</v>
      </c>
      <c r="D17" t="s">
        <v>73</v>
      </c>
      <c r="E17">
        <v>-1.68452606998</v>
      </c>
      <c r="F17">
        <v>0</v>
      </c>
    </row>
    <row r="18" spans="2:6" x14ac:dyDescent="0.45">
      <c r="B18">
        <v>8</v>
      </c>
      <c r="C18" t="s">
        <v>80</v>
      </c>
      <c r="D18" t="s">
        <v>73</v>
      </c>
      <c r="E18">
        <v>0.13162300973999999</v>
      </c>
      <c r="F18">
        <v>0</v>
      </c>
    </row>
    <row r="19" spans="2:6" x14ac:dyDescent="0.45">
      <c r="B19">
        <v>9</v>
      </c>
      <c r="C19" t="s">
        <v>81</v>
      </c>
      <c r="D19" t="s">
        <v>73</v>
      </c>
      <c r="E19">
        <v>-3.1050660724200001</v>
      </c>
      <c r="F19">
        <v>0</v>
      </c>
    </row>
    <row r="20" spans="2:6" x14ac:dyDescent="0.45">
      <c r="B20">
        <v>10</v>
      </c>
      <c r="C20" t="s">
        <v>82</v>
      </c>
      <c r="D20" t="s">
        <v>73</v>
      </c>
      <c r="E20">
        <v>-3.4653118418800002</v>
      </c>
      <c r="F20">
        <v>0</v>
      </c>
    </row>
    <row r="21" spans="2:6" x14ac:dyDescent="0.45">
      <c r="B21">
        <v>11</v>
      </c>
      <c r="C21" t="s">
        <v>83</v>
      </c>
      <c r="D21" t="s">
        <v>73</v>
      </c>
      <c r="E21">
        <v>-0.22974879339000001</v>
      </c>
      <c r="F21">
        <v>0</v>
      </c>
    </row>
    <row r="22" spans="2:6" x14ac:dyDescent="0.45">
      <c r="B22">
        <v>12</v>
      </c>
      <c r="C22" t="s">
        <v>84</v>
      </c>
      <c r="D22" t="s">
        <v>73</v>
      </c>
      <c r="E22">
        <v>-0.93478838755000004</v>
      </c>
      <c r="F22">
        <v>0</v>
      </c>
    </row>
    <row r="23" spans="2:6" x14ac:dyDescent="0.45">
      <c r="B23">
        <v>13</v>
      </c>
      <c r="C23" t="s">
        <v>85</v>
      </c>
      <c r="D23" t="s">
        <v>73</v>
      </c>
      <c r="E23">
        <v>0.40796503771199999</v>
      </c>
      <c r="F23">
        <v>0</v>
      </c>
    </row>
    <row r="24" spans="2:6" x14ac:dyDescent="0.45">
      <c r="B24">
        <v>14</v>
      </c>
      <c r="C24" t="s">
        <v>86</v>
      </c>
      <c r="D24" t="s">
        <v>73</v>
      </c>
      <c r="E24">
        <v>-0.50293651045300003</v>
      </c>
      <c r="F24">
        <v>0</v>
      </c>
    </row>
    <row r="25" spans="2:6" x14ac:dyDescent="0.45">
      <c r="B25">
        <v>15</v>
      </c>
      <c r="C25" t="s">
        <v>87</v>
      </c>
      <c r="D25" t="s">
        <v>73</v>
      </c>
      <c r="E25">
        <v>-1.61322160644</v>
      </c>
      <c r="F25">
        <v>0</v>
      </c>
    </row>
    <row r="26" spans="2:6" x14ac:dyDescent="0.45">
      <c r="B26">
        <v>16</v>
      </c>
      <c r="C26" t="s">
        <v>88</v>
      </c>
      <c r="D26" t="s">
        <v>73</v>
      </c>
      <c r="E26">
        <v>0.130749629122</v>
      </c>
      <c r="F26">
        <v>0</v>
      </c>
    </row>
    <row r="27" spans="2:6" x14ac:dyDescent="0.45">
      <c r="B27">
        <v>17</v>
      </c>
      <c r="C27" t="s">
        <v>89</v>
      </c>
      <c r="D27" t="s">
        <v>73</v>
      </c>
      <c r="E27" s="50">
        <v>8.4077289836199998E-2</v>
      </c>
      <c r="F27">
        <v>0</v>
      </c>
    </row>
    <row r="28" spans="2:6" x14ac:dyDescent="0.45">
      <c r="B28">
        <v>18</v>
      </c>
      <c r="C28" t="s">
        <v>90</v>
      </c>
      <c r="D28" t="s">
        <v>73</v>
      </c>
      <c r="E28">
        <v>0</v>
      </c>
      <c r="F28">
        <v>0</v>
      </c>
    </row>
    <row r="29" spans="2:6" x14ac:dyDescent="0.45">
      <c r="B29">
        <v>19</v>
      </c>
      <c r="C29" t="s">
        <v>91</v>
      </c>
      <c r="D29" t="s">
        <v>73</v>
      </c>
      <c r="E29">
        <v>0.106386053639</v>
      </c>
      <c r="F29">
        <v>0</v>
      </c>
    </row>
    <row r="30" spans="2:6" x14ac:dyDescent="0.45">
      <c r="B30">
        <v>20</v>
      </c>
      <c r="C30" t="s">
        <v>92</v>
      </c>
      <c r="D30" t="s">
        <v>73</v>
      </c>
      <c r="E30">
        <v>0.88087687792799996</v>
      </c>
      <c r="F30">
        <v>0</v>
      </c>
    </row>
    <row r="31" spans="2:6" x14ac:dyDescent="0.45">
      <c r="B31">
        <v>21</v>
      </c>
      <c r="C31" t="s">
        <v>93</v>
      </c>
      <c r="D31" t="s">
        <v>73</v>
      </c>
      <c r="E31">
        <v>-0.16458061134300001</v>
      </c>
      <c r="F31">
        <v>0</v>
      </c>
    </row>
    <row r="32" spans="2:6" x14ac:dyDescent="0.45">
      <c r="B32">
        <v>22</v>
      </c>
      <c r="C32" t="s">
        <v>94</v>
      </c>
      <c r="D32" t="s">
        <v>73</v>
      </c>
      <c r="E32">
        <v>0.154182014038</v>
      </c>
      <c r="F32">
        <v>0</v>
      </c>
    </row>
    <row r="33" spans="2:6" x14ac:dyDescent="0.45">
      <c r="B33">
        <v>23</v>
      </c>
      <c r="C33" t="s">
        <v>95</v>
      </c>
      <c r="D33" t="s">
        <v>73</v>
      </c>
      <c r="E33" s="50">
        <v>4.79448884421E-2</v>
      </c>
      <c r="F33">
        <v>0</v>
      </c>
    </row>
    <row r="34" spans="2:6" x14ac:dyDescent="0.45">
      <c r="B34">
        <v>24</v>
      </c>
      <c r="C34" t="s">
        <v>96</v>
      </c>
      <c r="D34" t="s">
        <v>73</v>
      </c>
      <c r="E34" s="50">
        <v>6.4843520043099998E-2</v>
      </c>
      <c r="F34">
        <v>0</v>
      </c>
    </row>
    <row r="35" spans="2:6" x14ac:dyDescent="0.45">
      <c r="B35">
        <v>25</v>
      </c>
      <c r="C35" t="s">
        <v>97</v>
      </c>
      <c r="D35" t="s">
        <v>73</v>
      </c>
      <c r="E35">
        <v>0.15272053169499999</v>
      </c>
      <c r="F35">
        <v>0</v>
      </c>
    </row>
    <row r="36" spans="2:6" x14ac:dyDescent="0.45">
      <c r="B36">
        <v>26</v>
      </c>
      <c r="C36" t="s">
        <v>98</v>
      </c>
      <c r="D36" t="s">
        <v>73</v>
      </c>
      <c r="E36" s="50">
        <v>7.2028590735099998E-2</v>
      </c>
      <c r="F36">
        <v>0</v>
      </c>
    </row>
    <row r="37" spans="2:6" x14ac:dyDescent="0.45">
      <c r="B37">
        <v>27</v>
      </c>
      <c r="C37" t="s">
        <v>99</v>
      </c>
      <c r="D37" t="s">
        <v>73</v>
      </c>
      <c r="E37">
        <v>-0.27934224041799999</v>
      </c>
      <c r="F37">
        <v>0</v>
      </c>
    </row>
    <row r="38" spans="2:6" x14ac:dyDescent="0.45">
      <c r="B38">
        <v>28</v>
      </c>
      <c r="C38" t="s">
        <v>100</v>
      </c>
      <c r="D38" t="s">
        <v>73</v>
      </c>
      <c r="E38" s="50">
        <v>4.3626229225700003E-2</v>
      </c>
      <c r="F38">
        <v>0</v>
      </c>
    </row>
    <row r="39" spans="2:6" x14ac:dyDescent="0.45">
      <c r="B39">
        <v>29</v>
      </c>
      <c r="C39" t="s">
        <v>101</v>
      </c>
      <c r="D39" t="s">
        <v>73</v>
      </c>
      <c r="E39" s="50">
        <v>-8.7886819411100006E-2</v>
      </c>
      <c r="F39">
        <v>0</v>
      </c>
    </row>
    <row r="40" spans="2:6" x14ac:dyDescent="0.45">
      <c r="B40">
        <v>30</v>
      </c>
      <c r="C40" t="s">
        <v>102</v>
      </c>
      <c r="D40" t="s">
        <v>73</v>
      </c>
      <c r="E40" s="50">
        <v>-4.2894941477000001E-2</v>
      </c>
      <c r="F40">
        <v>0</v>
      </c>
    </row>
    <row r="41" spans="2:6" x14ac:dyDescent="0.45">
      <c r="B41">
        <v>31</v>
      </c>
      <c r="C41" t="s">
        <v>103</v>
      </c>
      <c r="D41" t="s">
        <v>73</v>
      </c>
      <c r="E41">
        <v>-0.13045579928000001</v>
      </c>
      <c r="F41">
        <v>0</v>
      </c>
    </row>
    <row r="42" spans="2:6" x14ac:dyDescent="0.45">
      <c r="B42">
        <v>32</v>
      </c>
      <c r="C42" t="s">
        <v>104</v>
      </c>
      <c r="D42" t="s">
        <v>73</v>
      </c>
      <c r="E42">
        <v>0.18945088644899999</v>
      </c>
      <c r="F42">
        <v>0</v>
      </c>
    </row>
    <row r="43" spans="2:6" x14ac:dyDescent="0.45">
      <c r="B43">
        <v>33</v>
      </c>
      <c r="C43" t="s">
        <v>105</v>
      </c>
      <c r="D43" t="s">
        <v>73</v>
      </c>
      <c r="E43">
        <v>-0.179523169776</v>
      </c>
      <c r="F43">
        <v>0</v>
      </c>
    </row>
    <row r="44" spans="2:6" x14ac:dyDescent="0.45">
      <c r="B44">
        <v>34</v>
      </c>
      <c r="C44" t="s">
        <v>106</v>
      </c>
      <c r="D44" t="s">
        <v>73</v>
      </c>
      <c r="E44">
        <v>0.17233347539499999</v>
      </c>
      <c r="F44">
        <v>0</v>
      </c>
    </row>
    <row r="45" spans="2:6" x14ac:dyDescent="0.45">
      <c r="B45">
        <v>35</v>
      </c>
      <c r="C45" t="s">
        <v>107</v>
      </c>
      <c r="D45" t="s">
        <v>73</v>
      </c>
      <c r="E45">
        <v>-0.194698386872</v>
      </c>
      <c r="F45">
        <v>0</v>
      </c>
    </row>
    <row r="46" spans="2:6" x14ac:dyDescent="0.45">
      <c r="B46">
        <v>36</v>
      </c>
      <c r="C46" t="s">
        <v>108</v>
      </c>
      <c r="D46" t="s">
        <v>73</v>
      </c>
      <c r="E46">
        <v>0.38785322122799998</v>
      </c>
      <c r="F46">
        <v>0</v>
      </c>
    </row>
    <row r="47" spans="2:6" x14ac:dyDescent="0.45">
      <c r="B47">
        <v>41</v>
      </c>
      <c r="C47" t="s">
        <v>109</v>
      </c>
      <c r="D47" t="s">
        <v>110</v>
      </c>
      <c r="E47">
        <v>-3.8051604915000001</v>
      </c>
      <c r="F47">
        <v>0</v>
      </c>
    </row>
    <row r="48" spans="2:6" x14ac:dyDescent="0.45">
      <c r="B48">
        <v>42</v>
      </c>
      <c r="C48" t="s">
        <v>111</v>
      </c>
      <c r="D48" t="s">
        <v>110</v>
      </c>
      <c r="E48">
        <v>5.07828619993</v>
      </c>
      <c r="F48">
        <v>1.6177792075899999</v>
      </c>
    </row>
    <row r="49" spans="2:6" x14ac:dyDescent="0.45">
      <c r="B49">
        <v>43</v>
      </c>
      <c r="C49" t="s">
        <v>112</v>
      </c>
      <c r="D49" t="s">
        <v>110</v>
      </c>
      <c r="E49">
        <v>-3.0390882271000002</v>
      </c>
      <c r="F49">
        <v>1.4512014550300001</v>
      </c>
    </row>
    <row r="50" spans="2:6" x14ac:dyDescent="0.45">
      <c r="B50">
        <v>44</v>
      </c>
      <c r="C50" t="s">
        <v>113</v>
      </c>
      <c r="D50" t="s">
        <v>110</v>
      </c>
      <c r="E50">
        <v>-2.3320026601800001</v>
      </c>
      <c r="F50">
        <v>0.81624078360300001</v>
      </c>
    </row>
    <row r="51" spans="2:6" x14ac:dyDescent="0.45">
      <c r="B51">
        <v>50</v>
      </c>
      <c r="C51" t="s">
        <v>114</v>
      </c>
      <c r="D51" t="s">
        <v>73</v>
      </c>
      <c r="E51">
        <v>0.33566647407</v>
      </c>
      <c r="F51">
        <v>0</v>
      </c>
    </row>
    <row r="52" spans="2:6" x14ac:dyDescent="0.45">
      <c r="B52">
        <v>51</v>
      </c>
      <c r="C52" t="s">
        <v>115</v>
      </c>
      <c r="D52" t="s">
        <v>73</v>
      </c>
      <c r="E52">
        <v>-0.78911507665199998</v>
      </c>
      <c r="F52">
        <v>0</v>
      </c>
    </row>
    <row r="53" spans="2:6" x14ac:dyDescent="0.45">
      <c r="B53">
        <v>52</v>
      </c>
      <c r="C53" t="s">
        <v>116</v>
      </c>
      <c r="D53" t="s">
        <v>73</v>
      </c>
      <c r="E53">
        <v>0.56564055394500001</v>
      </c>
      <c r="F53">
        <v>0</v>
      </c>
    </row>
    <row r="54" spans="2:6" x14ac:dyDescent="0.45">
      <c r="B54">
        <v>53</v>
      </c>
      <c r="C54" t="s">
        <v>117</v>
      </c>
      <c r="D54" t="s">
        <v>73</v>
      </c>
      <c r="E54">
        <v>-1.85416848242</v>
      </c>
      <c r="F54">
        <v>0</v>
      </c>
    </row>
    <row r="55" spans="2:6" x14ac:dyDescent="0.45">
      <c r="B55">
        <v>54</v>
      </c>
      <c r="C55" t="s">
        <v>118</v>
      </c>
      <c r="D55" t="s">
        <v>73</v>
      </c>
      <c r="E55">
        <v>0</v>
      </c>
      <c r="F55">
        <v>0</v>
      </c>
    </row>
    <row r="56" spans="2:6" x14ac:dyDescent="0.45">
      <c r="B56">
        <v>55</v>
      </c>
      <c r="C56" t="s">
        <v>119</v>
      </c>
      <c r="D56" t="s">
        <v>73</v>
      </c>
      <c r="E56">
        <v>-1.1156286956100001</v>
      </c>
      <c r="F56">
        <v>0</v>
      </c>
    </row>
    <row r="57" spans="2:6" x14ac:dyDescent="0.45">
      <c r="B57">
        <v>56</v>
      </c>
      <c r="C57" t="s">
        <v>120</v>
      </c>
      <c r="D57" t="s">
        <v>73</v>
      </c>
      <c r="E57">
        <v>-0.81792869186600003</v>
      </c>
      <c r="F57">
        <v>0</v>
      </c>
    </row>
    <row r="58" spans="2:6" x14ac:dyDescent="0.45">
      <c r="B58">
        <v>57</v>
      </c>
      <c r="C58" t="s">
        <v>121</v>
      </c>
      <c r="D58" t="s">
        <v>73</v>
      </c>
      <c r="E58">
        <v>-1.04729487823</v>
      </c>
      <c r="F58">
        <v>0</v>
      </c>
    </row>
    <row r="59" spans="2:6" x14ac:dyDescent="0.45">
      <c r="B59">
        <v>58</v>
      </c>
      <c r="C59" t="s">
        <v>122</v>
      </c>
      <c r="D59" t="s">
        <v>73</v>
      </c>
      <c r="E59">
        <v>-2.0228517391</v>
      </c>
      <c r="F59">
        <v>0</v>
      </c>
    </row>
    <row r="60" spans="2:6" x14ac:dyDescent="0.45">
      <c r="B60">
        <v>59</v>
      </c>
      <c r="C60" t="s">
        <v>123</v>
      </c>
      <c r="D60" t="s">
        <v>73</v>
      </c>
      <c r="E60">
        <v>-1.2945321250099999</v>
      </c>
      <c r="F60">
        <v>0</v>
      </c>
    </row>
    <row r="61" spans="2:6" x14ac:dyDescent="0.45">
      <c r="B61">
        <v>60</v>
      </c>
      <c r="C61" t="s">
        <v>124</v>
      </c>
      <c r="D61" t="s">
        <v>73</v>
      </c>
      <c r="E61">
        <v>-0.66178028021599999</v>
      </c>
      <c r="F61">
        <v>0</v>
      </c>
    </row>
    <row r="62" spans="2:6" x14ac:dyDescent="0.45">
      <c r="B62">
        <v>61</v>
      </c>
      <c r="C62" t="s">
        <v>125</v>
      </c>
      <c r="D62" t="s">
        <v>73</v>
      </c>
      <c r="E62">
        <v>-0.55504741134900004</v>
      </c>
      <c r="F62">
        <v>0</v>
      </c>
    </row>
    <row r="63" spans="2:6" x14ac:dyDescent="0.45">
      <c r="B63">
        <v>62</v>
      </c>
      <c r="C63" t="s">
        <v>126</v>
      </c>
      <c r="D63" t="s">
        <v>73</v>
      </c>
      <c r="E63">
        <v>-1.7449233454799999</v>
      </c>
      <c r="F63">
        <v>0</v>
      </c>
    </row>
    <row r="64" spans="2:6" x14ac:dyDescent="0.45">
      <c r="B64">
        <v>63</v>
      </c>
      <c r="C64" t="s">
        <v>127</v>
      </c>
      <c r="D64" t="s">
        <v>73</v>
      </c>
      <c r="E64">
        <v>1.1995398853399999</v>
      </c>
      <c r="F64">
        <v>0</v>
      </c>
    </row>
    <row r="65" spans="2:6" x14ac:dyDescent="0.45">
      <c r="B65">
        <v>64</v>
      </c>
      <c r="C65" t="s">
        <v>128</v>
      </c>
      <c r="D65" t="s">
        <v>73</v>
      </c>
      <c r="E65">
        <v>0.19542046398099999</v>
      </c>
      <c r="F65">
        <v>0</v>
      </c>
    </row>
    <row r="66" spans="2:6" x14ac:dyDescent="0.45">
      <c r="B66">
        <v>65</v>
      </c>
      <c r="C66" t="s">
        <v>129</v>
      </c>
      <c r="D66" t="s">
        <v>73</v>
      </c>
      <c r="E66">
        <v>-0.90594458676599998</v>
      </c>
      <c r="F66">
        <v>0</v>
      </c>
    </row>
    <row r="67" spans="2:6" x14ac:dyDescent="0.45">
      <c r="B67">
        <v>66</v>
      </c>
      <c r="C67" t="s">
        <v>130</v>
      </c>
      <c r="D67" t="s">
        <v>73</v>
      </c>
      <c r="E67">
        <v>-2.05104130438</v>
      </c>
      <c r="F67">
        <v>0</v>
      </c>
    </row>
    <row r="68" spans="2:6" x14ac:dyDescent="0.45">
      <c r="B68">
        <v>67</v>
      </c>
      <c r="C68" t="s">
        <v>131</v>
      </c>
      <c r="D68" t="s">
        <v>73</v>
      </c>
      <c r="E68">
        <v>-2.2381608455899999</v>
      </c>
      <c r="F68">
        <v>0</v>
      </c>
    </row>
    <row r="69" spans="2:6" x14ac:dyDescent="0.45">
      <c r="B69">
        <v>68</v>
      </c>
      <c r="C69" t="s">
        <v>132</v>
      </c>
      <c r="D69" t="s">
        <v>73</v>
      </c>
      <c r="E69">
        <v>-0.40946320528300001</v>
      </c>
      <c r="F69">
        <v>0</v>
      </c>
    </row>
    <row r="70" spans="2:6" x14ac:dyDescent="0.45">
      <c r="B70">
        <v>69</v>
      </c>
      <c r="C70" t="s">
        <v>133</v>
      </c>
      <c r="D70" t="s">
        <v>73</v>
      </c>
      <c r="E70">
        <v>-1.1700902309500001</v>
      </c>
      <c r="F70">
        <v>0</v>
      </c>
    </row>
    <row r="71" spans="2:6" x14ac:dyDescent="0.45">
      <c r="B71">
        <v>70</v>
      </c>
      <c r="C71" t="s">
        <v>134</v>
      </c>
      <c r="D71" t="s">
        <v>73</v>
      </c>
      <c r="E71">
        <v>1.8412445021999999</v>
      </c>
      <c r="F71">
        <v>0</v>
      </c>
    </row>
    <row r="72" spans="2:6" x14ac:dyDescent="0.45">
      <c r="B72">
        <v>71</v>
      </c>
      <c r="C72" t="s">
        <v>135</v>
      </c>
      <c r="D72" t="s">
        <v>73</v>
      </c>
      <c r="E72">
        <v>0.71619685052500004</v>
      </c>
      <c r="F72">
        <v>0</v>
      </c>
    </row>
    <row r="73" spans="2:6" x14ac:dyDescent="0.45">
      <c r="B73">
        <v>72</v>
      </c>
      <c r="C73" t="s">
        <v>136</v>
      </c>
      <c r="D73" t="s">
        <v>73</v>
      </c>
      <c r="E73">
        <v>-0.101060642888</v>
      </c>
      <c r="F73">
        <v>0</v>
      </c>
    </row>
    <row r="74" spans="2:6" x14ac:dyDescent="0.45">
      <c r="B74">
        <v>73</v>
      </c>
      <c r="C74" t="s">
        <v>137</v>
      </c>
      <c r="D74" t="s">
        <v>73</v>
      </c>
      <c r="E74">
        <v>-0.34132571646100002</v>
      </c>
      <c r="F74">
        <v>0</v>
      </c>
    </row>
    <row r="75" spans="2:6" x14ac:dyDescent="0.45">
      <c r="B75">
        <v>74</v>
      </c>
      <c r="C75" t="s">
        <v>138</v>
      </c>
      <c r="D75" t="s">
        <v>73</v>
      </c>
      <c r="E75">
        <v>1.0486549950899999</v>
      </c>
      <c r="F75">
        <v>0</v>
      </c>
    </row>
    <row r="76" spans="2:6" x14ac:dyDescent="0.45">
      <c r="B76">
        <v>75</v>
      </c>
      <c r="C76" t="s">
        <v>139</v>
      </c>
      <c r="D76" t="s">
        <v>73</v>
      </c>
      <c r="E76">
        <v>-30</v>
      </c>
      <c r="F76">
        <v>0</v>
      </c>
    </row>
    <row r="77" spans="2:6" x14ac:dyDescent="0.45">
      <c r="B77">
        <v>76</v>
      </c>
      <c r="C77" t="s">
        <v>140</v>
      </c>
      <c r="D77" t="s">
        <v>73</v>
      </c>
      <c r="E77">
        <v>0.91468797064200003</v>
      </c>
      <c r="F77">
        <v>0</v>
      </c>
    </row>
    <row r="78" spans="2:6" x14ac:dyDescent="0.45">
      <c r="B78">
        <v>77</v>
      </c>
      <c r="C78" t="s">
        <v>141</v>
      </c>
      <c r="D78" t="s">
        <v>73</v>
      </c>
      <c r="E78">
        <v>-1.1830909132</v>
      </c>
      <c r="F78">
        <v>0</v>
      </c>
    </row>
    <row r="79" spans="2:6" x14ac:dyDescent="0.45">
      <c r="B79">
        <v>78</v>
      </c>
      <c r="C79" t="s">
        <v>142</v>
      </c>
      <c r="D79" t="s">
        <v>73</v>
      </c>
      <c r="E79">
        <v>1.4576625009499999</v>
      </c>
      <c r="F79">
        <v>0</v>
      </c>
    </row>
    <row r="80" spans="2:6" x14ac:dyDescent="0.45">
      <c r="B80">
        <v>79</v>
      </c>
      <c r="C80" t="s">
        <v>143</v>
      </c>
      <c r="D80" t="s">
        <v>73</v>
      </c>
      <c r="E80">
        <v>-1.62636517084</v>
      </c>
      <c r="F80">
        <v>0</v>
      </c>
    </row>
    <row r="81" spans="2:11" x14ac:dyDescent="0.45">
      <c r="B81">
        <v>80</v>
      </c>
      <c r="C81" t="s">
        <v>144</v>
      </c>
      <c r="D81" t="s">
        <v>73</v>
      </c>
      <c r="E81">
        <v>0</v>
      </c>
      <c r="F81">
        <v>0</v>
      </c>
    </row>
    <row r="82" spans="2:11" x14ac:dyDescent="0.45">
      <c r="B82">
        <v>98</v>
      </c>
      <c r="C82" t="s">
        <v>146</v>
      </c>
      <c r="D82" t="s">
        <v>110</v>
      </c>
      <c r="E82">
        <v>0.196143079927</v>
      </c>
      <c r="F82" s="50">
        <v>5.2787786365599998E-2</v>
      </c>
    </row>
    <row r="83" spans="2:11" x14ac:dyDescent="0.45">
      <c r="B83">
        <v>-1</v>
      </c>
      <c r="F83" s="50"/>
    </row>
    <row r="84" spans="2:11" x14ac:dyDescent="0.45">
      <c r="B84">
        <v>4094</v>
      </c>
      <c r="C84" s="50">
        <v>-7858.2822859199996</v>
      </c>
      <c r="D84" s="50">
        <v>-18684.837435699999</v>
      </c>
      <c r="E84" s="50">
        <v>-15176.5511826</v>
      </c>
    </row>
    <row r="85" spans="2:11" x14ac:dyDescent="0.45">
      <c r="B85">
        <v>4</v>
      </c>
      <c r="C85" s="50" t="s">
        <v>261</v>
      </c>
      <c r="D85" s="50" t="s">
        <v>240</v>
      </c>
      <c r="E85" s="50">
        <v>5</v>
      </c>
      <c r="F85" t="s">
        <v>260</v>
      </c>
      <c r="G85">
        <v>12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4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4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4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4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4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4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4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4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4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4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4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4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4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4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4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4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4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4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4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4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4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75"/>
  <sheetViews>
    <sheetView workbookViewId="0">
      <selection activeCell="T11" sqref="T11"/>
    </sheetView>
  </sheetViews>
  <sheetFormatPr defaultRowHeight="14.25" x14ac:dyDescent="0.45"/>
  <cols>
    <col min="1" max="1" bestFit="true" customWidth="true" width="12.73046875" collapsed="true"/>
    <col min="2" max="2" bestFit="true" customWidth="true" width="9.53125" collapsed="true"/>
    <col min="7" max="7" bestFit="true" customWidth="true" width="12.73046875" collapsed="true"/>
    <col min="13" max="13" bestFit="true" customWidth="true" width="10.796875" collapsed="true"/>
    <col min="14" max="14" bestFit="true" customWidth="true" width="16.46484375" collapsed="true"/>
    <col min="15" max="15" bestFit="true" customWidth="true" width="9.46484375" collapsed="true"/>
    <col min="16" max="16" customWidth="true" width="5.53125" collapsed="true"/>
    <col min="17" max="17" bestFit="true" customWidth="true" width="16.46484375" collapsed="true"/>
    <col min="21" max="21" bestFit="true" customWidth="true" width="10.0" collapsed="true"/>
    <col min="22" max="23" bestFit="true" customWidth="true" width="17.53125" collapsed="true"/>
  </cols>
  <sheetData>
    <row r="1" spans="1:23" x14ac:dyDescent="0.45">
      <c r="M1" s="53" t="s">
        <v>242</v>
      </c>
      <c r="T1" s="53" t="s">
        <v>232</v>
      </c>
    </row>
    <row r="2" spans="1:23" x14ac:dyDescent="0.45">
      <c r="M2">
        <v>1</v>
      </c>
      <c r="N2" t="s">
        <v>250</v>
      </c>
      <c r="V2" s="64" t="s">
        <v>247</v>
      </c>
      <c r="W2" s="64" t="s">
        <v>248</v>
      </c>
    </row>
    <row r="3" spans="1:23" x14ac:dyDescent="0.45">
      <c r="M3">
        <v>2</v>
      </c>
      <c r="N3" t="s">
        <v>251</v>
      </c>
      <c r="T3">
        <v>1</v>
      </c>
      <c r="U3" t="s">
        <v>72</v>
      </c>
      <c r="V3" s="58">
        <f>WorkLocationCoefficients!E11</f>
        <v>1</v>
      </c>
      <c r="W3" s="63">
        <f>V3</f>
        <v>1</v>
      </c>
    </row>
    <row r="4" spans="1:23" x14ac:dyDescent="0.45">
      <c r="C4" s="11" t="s">
        <v>271</v>
      </c>
      <c r="I4" s="11" t="s">
        <v>225</v>
      </c>
      <c r="T4">
        <v>2</v>
      </c>
      <c r="U4" t="s">
        <v>74</v>
      </c>
      <c r="V4" s="58">
        <f>WorkLocationCoefficients!E12</f>
        <v>0.7</v>
      </c>
      <c r="W4" s="63">
        <f ref="W4:W67" si="0" t="shared">V4</f>
        <v>0.7</v>
      </c>
    </row>
    <row ht="14.65" r="5" spans="1:23" thickBot="1" x14ac:dyDescent="0.5">
      <c r="A5" s="53" t="s">
        <v>226</v>
      </c>
      <c r="M5" s="79"/>
      <c r="N5" s="47"/>
      <c r="O5" s="47"/>
      <c r="P5" s="47"/>
      <c r="Q5" s="47"/>
      <c r="T5">
        <v>3</v>
      </c>
      <c r="U5" t="s">
        <v>75</v>
      </c>
      <c r="V5" s="58">
        <f>WorkLocationCoefficients!E13</f>
        <v>1</v>
      </c>
      <c r="W5" s="63">
        <f si="0" t="shared"/>
        <v>1</v>
      </c>
    </row>
    <row r="6" spans="1:23" x14ac:dyDescent="0.45">
      <c r="A6" s="5" t="s">
        <v>3</v>
      </c>
      <c r="B6" s="5" t="s">
        <v>12</v>
      </c>
      <c r="C6" s="5" t="s">
        <v>13</v>
      </c>
      <c r="D6" s="5" t="s">
        <v>14</v>
      </c>
      <c r="E6" s="5" t="s">
        <v>224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224</v>
      </c>
      <c r="M6" s="80"/>
      <c r="N6" s="80"/>
      <c r="O6" s="80"/>
      <c r="P6" s="80"/>
      <c r="Q6" s="80"/>
      <c r="T6">
        <v>4</v>
      </c>
      <c r="U6" t="s">
        <v>76</v>
      </c>
      <c r="V6" s="58">
        <f>WorkLocationCoefficients!E14</f>
        <v>0.5</v>
      </c>
      <c r="W6" s="63">
        <f si="0" t="shared"/>
        <v>0.5</v>
      </c>
    </row>
    <row r="7" spans="1:23" x14ac:dyDescent="0.45">
      <c r="A7" s="52" t="s">
        <v>220</v>
      </c>
      <c r="B7" s="12">
        <f>SUM(TLFD!B11:B13)+0.5*(TLFD!B14)</f>
        <v>264500</v>
      </c>
      <c r="C7" s="12">
        <f>SUM(TLFD!C11:C13)+0.5*(TLFD!C14)</f>
        <v>148000</v>
      </c>
      <c r="D7" s="12">
        <f>SUM(TLFD!D11:D13)+0.5*(TLFD!D14)</f>
        <v>82500</v>
      </c>
      <c r="E7" s="12">
        <f>SUM(B7:D7)</f>
        <v>495000</v>
      </c>
      <c r="G7" s="52" t="s">
        <v>220</v>
      </c>
      <c r="H7" s="12">
        <f>SUM(TLFD!H11:H13)+0.5*(TLFD!H14)</f>
        <v>264500</v>
      </c>
      <c r="I7" s="12">
        <f>SUM(TLFD!I11:I13)+0.5*(TLFD!I14)</f>
        <v>148000</v>
      </c>
      <c r="J7" s="12">
        <f>SUM(TLFD!J11:J13)+0.5*(TLFD!J14)</f>
        <v>82500</v>
      </c>
      <c r="K7" s="12">
        <f>SUM(H7:J7)</f>
        <v>495000</v>
      </c>
      <c r="M7" s="47"/>
      <c r="N7" s="68"/>
      <c r="O7" s="69"/>
      <c r="P7" s="69"/>
      <c r="Q7" s="68"/>
      <c r="T7">
        <v>5</v>
      </c>
      <c r="U7" t="s">
        <v>77</v>
      </c>
      <c r="V7" s="58">
        <f>WorkLocationCoefficients!E15</f>
        <v>0</v>
      </c>
      <c r="W7" s="63">
        <f si="0" t="shared"/>
        <v>0</v>
      </c>
    </row>
    <row r="8" spans="1:23" x14ac:dyDescent="0.45">
      <c r="A8" s="52" t="s">
        <v>221</v>
      </c>
      <c r="B8" s="12">
        <f>0.5*(TLFD!B14)+SUM(TLFD!B15:B20)</f>
        <v>388500</v>
      </c>
      <c r="C8" s="12">
        <f>0.5*(TLFD!C14)+SUM(TLFD!C15:C20)</f>
        <v>114000</v>
      </c>
      <c r="D8" s="12">
        <f>0.5*(TLFD!D14)+SUM(TLFD!D15:D20)</f>
        <v>89500</v>
      </c>
      <c r="E8" s="12">
        <f>SUM(B8:D8)</f>
        <v>592000</v>
      </c>
      <c r="G8" s="52" t="s">
        <v>221</v>
      </c>
      <c r="H8" s="12">
        <f>0.5*(TLFD!H14)+SUM(TLFD!H15:H20)</f>
        <v>388500</v>
      </c>
      <c r="I8" s="12">
        <f>0.5*(TLFD!I14)+SUM(TLFD!I15:I20)</f>
        <v>114000</v>
      </c>
      <c r="J8" s="12">
        <f>0.5*(TLFD!J14)+SUM(TLFD!J15:J20)</f>
        <v>89500</v>
      </c>
      <c r="K8" s="12">
        <f>SUM(H8:J8)</f>
        <v>592000</v>
      </c>
      <c r="M8" s="47" t="s">
        <v>264</v>
      </c>
      <c r="N8" s="68"/>
      <c r="O8" s="69"/>
      <c r="P8" s="69"/>
      <c r="Q8" s="68"/>
      <c r="T8" s="57">
        <v>6</v>
      </c>
      <c r="U8" s="57" t="s">
        <v>78</v>
      </c>
      <c r="V8" s="59">
        <f>WorkLocationCoefficients!E16</f>
        <v>-4.1530549264700003</v>
      </c>
      <c r="W8" s="63">
        <f>Q14</f>
        <v>-4.1530549264700003</v>
      </c>
    </row>
    <row r="9" spans="1:23" x14ac:dyDescent="0.45">
      <c r="A9" s="70" t="s">
        <v>222</v>
      </c>
      <c r="B9" s="71">
        <f>SUM(TLFD!B21:B101)</f>
        <v>581000</v>
      </c>
      <c r="C9" s="71">
        <f>SUM(TLFD!C21:C101)</f>
        <v>83000</v>
      </c>
      <c r="D9" s="71">
        <f>SUM(TLFD!D21:D101)</f>
        <v>25000</v>
      </c>
      <c r="E9" s="71">
        <f>SUM(B9:D9)</f>
        <v>689000</v>
      </c>
      <c r="G9" s="70" t="s">
        <v>222</v>
      </c>
      <c r="H9" s="71">
        <f>SUM(TLFD!H21:H101)</f>
        <v>581000</v>
      </c>
      <c r="I9" s="71">
        <f>SUM(TLFD!I21:I101)</f>
        <v>83000</v>
      </c>
      <c r="J9" s="71">
        <f>SUM(TLFD!J21:J101)</f>
        <v>25000</v>
      </c>
      <c r="K9" s="71">
        <f>SUM(H9:J9)</f>
        <v>689000</v>
      </c>
      <c r="M9" s="47" t="s">
        <v>265</v>
      </c>
      <c r="N9" s="68"/>
      <c r="O9" s="69"/>
      <c r="P9" s="69"/>
      <c r="Q9" s="68"/>
      <c r="T9" s="57">
        <v>7</v>
      </c>
      <c r="U9" s="57" t="s">
        <v>79</v>
      </c>
      <c r="V9" s="59">
        <f>WorkLocationCoefficients!E17</f>
        <v>-1.68452606998</v>
      </c>
      <c r="W9" s="63">
        <f ref="W9:W10" si="1" t="shared">Q15</f>
        <v>-1.68452606998</v>
      </c>
    </row>
    <row ht="14.65" r="10" spans="1:23" thickBot="1" x14ac:dyDescent="0.5">
      <c r="A10" s="74" t="s">
        <v>4</v>
      </c>
      <c r="B10" s="75">
        <f>SUM(B7:B9)</f>
        <v>1234000</v>
      </c>
      <c r="C10" s="75">
        <f ref="C10:E10" si="2" t="shared">SUM(C7:C9)</f>
        <v>345000</v>
      </c>
      <c r="D10" s="75">
        <f si="2" t="shared"/>
        <v>197000</v>
      </c>
      <c r="E10" s="75">
        <f si="2" t="shared"/>
        <v>1776000</v>
      </c>
      <c r="F10" s="47"/>
      <c r="G10" s="74" t="s">
        <v>4</v>
      </c>
      <c r="H10" s="75">
        <f>SUM(H7:H9)</f>
        <v>1234000</v>
      </c>
      <c r="I10" s="75">
        <f ref="I10:K10" si="3" t="shared">SUM(I7:I9)</f>
        <v>345000</v>
      </c>
      <c r="J10" s="75">
        <f si="3" t="shared"/>
        <v>197000</v>
      </c>
      <c r="K10" s="75">
        <f si="3" t="shared"/>
        <v>1776000</v>
      </c>
      <c r="L10" s="47"/>
      <c r="M10" s="47" t="s">
        <v>266</v>
      </c>
      <c r="N10" s="47"/>
      <c r="O10" s="47"/>
      <c r="P10" s="47"/>
      <c r="Q10" s="47"/>
      <c r="T10" s="57">
        <v>8</v>
      </c>
      <c r="U10" s="57" t="s">
        <v>80</v>
      </c>
      <c r="V10" s="59">
        <f>WorkLocationCoefficients!E18</f>
        <v>0.13162300973999999</v>
      </c>
      <c r="W10" s="63">
        <f si="1" t="shared"/>
        <v>0.13162300973999999</v>
      </c>
    </row>
    <row r="11" spans="1:23" x14ac:dyDescent="0.45">
      <c r="T11">
        <v>9</v>
      </c>
      <c r="U11" t="s">
        <v>81</v>
      </c>
      <c r="V11" s="58">
        <f>WorkLocationCoefficients!E19</f>
        <v>-3.1050660724200001</v>
      </c>
      <c r="W11" s="63">
        <f si="0" t="shared"/>
        <v>-3.1050660724200001</v>
      </c>
    </row>
    <row ht="14.65" r="12" spans="1:23" thickBot="1" x14ac:dyDescent="0.5">
      <c r="A12" s="65" t="s">
        <v>262</v>
      </c>
      <c r="M12" s="11" t="s">
        <v>231</v>
      </c>
      <c r="T12">
        <v>10</v>
      </c>
      <c r="U12" t="s">
        <v>82</v>
      </c>
      <c r="V12" s="58">
        <f>WorkLocationCoefficients!E20</f>
        <v>-3.4653118418800002</v>
      </c>
      <c r="W12" s="63">
        <f si="0" t="shared"/>
        <v>-3.4653118418800002</v>
      </c>
    </row>
    <row r="13" spans="1:23" x14ac:dyDescent="0.4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224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224</v>
      </c>
      <c r="M13" s="5" t="s">
        <v>233</v>
      </c>
      <c r="N13" s="5" t="s">
        <v>229</v>
      </c>
      <c r="O13" s="5" t="s">
        <v>227</v>
      </c>
      <c r="P13" s="5" t="s">
        <v>228</v>
      </c>
      <c r="Q13" s="5" t="s">
        <v>230</v>
      </c>
      <c r="T13">
        <v>11</v>
      </c>
      <c r="U13" t="s">
        <v>83</v>
      </c>
      <c r="V13" s="58">
        <f>WorkLocationCoefficients!E21</f>
        <v>-0.22974879339000001</v>
      </c>
      <c r="W13" s="63">
        <f si="0" t="shared"/>
        <v>-0.22974879339000001</v>
      </c>
    </row>
    <row r="14" spans="1:23" x14ac:dyDescent="0.45">
      <c r="A14" s="52" t="s">
        <v>220</v>
      </c>
      <c r="B14" s="84">
        <f>B7/B$10</f>
        <v>0.21434359805510536</v>
      </c>
      <c r="C14" s="76">
        <f ref="C14:E14" si="4" t="shared">C7/C$10</f>
        <v>0.4289855072463768</v>
      </c>
      <c r="D14" s="76">
        <f si="4" t="shared"/>
        <v>0.41878172588832485</v>
      </c>
      <c r="E14" s="76">
        <f si="4" t="shared"/>
        <v>0.27871621621621623</v>
      </c>
      <c r="G14" s="52" t="s">
        <v>220</v>
      </c>
      <c r="H14" s="84">
        <f>H7/H$10</f>
        <v>0.21434359805510536</v>
      </c>
      <c r="I14" s="76">
        <f ref="I14:K14" si="5" t="shared">I7/I$10</f>
        <v>0.4289855072463768</v>
      </c>
      <c r="J14" s="76">
        <f si="5" t="shared"/>
        <v>0.41878172588832485</v>
      </c>
      <c r="K14" s="76">
        <f si="5" t="shared"/>
        <v>0.27871621621621623</v>
      </c>
      <c r="M14">
        <v>6</v>
      </c>
      <c r="N14" s="60">
        <f>V8</f>
        <v>-4.1530549264700003</v>
      </c>
      <c r="O14" s="9">
        <f>B14/H14</f>
        <v>1</v>
      </c>
      <c r="P14" s="9">
        <f>LN(O14)-LN(O$14)</f>
        <v>0</v>
      </c>
      <c r="Q14" s="59">
        <f>N14+P14</f>
        <v>-4.1530549264700003</v>
      </c>
      <c r="T14">
        <v>12</v>
      </c>
      <c r="U14" t="s">
        <v>84</v>
      </c>
      <c r="V14" s="58">
        <f>WorkLocationCoefficients!E22</f>
        <v>-0.93478838755000004</v>
      </c>
      <c r="W14" s="63">
        <f si="0" t="shared"/>
        <v>-0.93478838755000004</v>
      </c>
    </row>
    <row r="15" spans="1:23" x14ac:dyDescent="0.45">
      <c r="A15" s="52" t="s">
        <v>221</v>
      </c>
      <c r="B15" s="84">
        <f ref="B15:E15" si="6" t="shared">B8/B$10</f>
        <v>0.31482982171799029</v>
      </c>
      <c r="C15" s="76">
        <f si="6" t="shared"/>
        <v>0.33043478260869563</v>
      </c>
      <c r="D15" s="76">
        <f si="6" t="shared"/>
        <v>0.45431472081218272</v>
      </c>
      <c r="E15" s="76">
        <f si="6" t="shared"/>
        <v>0.33333333333333331</v>
      </c>
      <c r="G15" s="52" t="s">
        <v>221</v>
      </c>
      <c r="H15" s="84">
        <f ref="H15:K15" si="7" t="shared">H8/H$10</f>
        <v>0.31482982171799029</v>
      </c>
      <c r="I15" s="76">
        <f si="7" t="shared"/>
        <v>0.33043478260869563</v>
      </c>
      <c r="J15" s="76">
        <f si="7" t="shared"/>
        <v>0.45431472081218272</v>
      </c>
      <c r="K15" s="76">
        <f si="7" t="shared"/>
        <v>0.33333333333333331</v>
      </c>
      <c r="M15">
        <v>7</v>
      </c>
      <c r="N15" s="60">
        <f ref="N15:N16" si="8" t="shared">V9</f>
        <v>-1.68452606998</v>
      </c>
      <c r="O15" s="9">
        <f>B15/H15</f>
        <v>1</v>
      </c>
      <c r="P15" s="9">
        <f ref="P15" si="9" t="shared">LN(O15)-LN(O$14)</f>
        <v>0</v>
      </c>
      <c r="Q15" s="59">
        <f>N15+P15</f>
        <v>-1.68452606998</v>
      </c>
      <c r="T15">
        <v>13</v>
      </c>
      <c r="U15" t="s">
        <v>85</v>
      </c>
      <c r="V15" s="58">
        <f>WorkLocationCoefficients!E23</f>
        <v>0.40796503771199999</v>
      </c>
      <c r="W15" s="63">
        <f si="0" t="shared"/>
        <v>0.40796503771199999</v>
      </c>
    </row>
    <row r="16" spans="1:23" x14ac:dyDescent="0.45">
      <c r="A16" s="70" t="s">
        <v>222</v>
      </c>
      <c r="B16" s="84">
        <f ref="B16:E16" si="10" t="shared">B9/B$10</f>
        <v>0.47082658022690438</v>
      </c>
      <c r="C16" s="76">
        <f si="10" t="shared"/>
        <v>0.24057971014492754</v>
      </c>
      <c r="D16" s="76">
        <f si="10" t="shared"/>
        <v>0.12690355329949238</v>
      </c>
      <c r="E16" s="76">
        <f si="10" t="shared"/>
        <v>0.38795045045045046</v>
      </c>
      <c r="G16" s="70" t="s">
        <v>222</v>
      </c>
      <c r="H16" s="84">
        <f ref="H16:K16" si="11" t="shared">H9/H$10</f>
        <v>0.47082658022690438</v>
      </c>
      <c r="I16" s="76">
        <f si="11" t="shared"/>
        <v>0.24057971014492754</v>
      </c>
      <c r="J16" s="76">
        <f si="11" t="shared"/>
        <v>0.12690355329949238</v>
      </c>
      <c r="K16" s="76">
        <f si="11" t="shared"/>
        <v>0.38795045045045046</v>
      </c>
      <c r="L16" s="47"/>
      <c r="M16" s="6">
        <v>8</v>
      </c>
      <c r="N16" s="61">
        <f si="8" t="shared"/>
        <v>0.13162300973999999</v>
      </c>
      <c r="O16" s="14">
        <f>B16/H16</f>
        <v>1</v>
      </c>
      <c r="P16" s="14">
        <f>LN(O16)-LN(O15)-LN(O$14)</f>
        <v>0</v>
      </c>
      <c r="Q16" s="62">
        <f>N16+P16</f>
        <v>0.13162300973999999</v>
      </c>
      <c r="T16">
        <v>14</v>
      </c>
      <c r="U16" t="s">
        <v>86</v>
      </c>
      <c r="V16" s="58">
        <f>WorkLocationCoefficients!E24</f>
        <v>-0.50293651045300003</v>
      </c>
      <c r="W16" s="63">
        <f si="0" t="shared"/>
        <v>-0.50293651045300003</v>
      </c>
    </row>
    <row ht="14.65" r="17" spans="1:23" thickBot="1" x14ac:dyDescent="0.5">
      <c r="A17" s="74" t="s">
        <v>4</v>
      </c>
      <c r="B17" s="77">
        <f ref="B17" si="12" t="shared">B10/B$10</f>
        <v>1</v>
      </c>
      <c r="C17" s="77">
        <f ref="C17" si="13" t="shared">SUM(C14:C16)</f>
        <v>0.99999999999999989</v>
      </c>
      <c r="D17" s="77">
        <f ref="D17" si="14" t="shared">SUM(D14:D16)</f>
        <v>1</v>
      </c>
      <c r="E17" s="77">
        <f ref="E17" si="15" t="shared">SUM(E14:E16)</f>
        <v>1</v>
      </c>
      <c r="F17" s="47"/>
      <c r="G17" s="74" t="s">
        <v>4</v>
      </c>
      <c r="H17" s="77">
        <f>SUM(H14:H16)</f>
        <v>1</v>
      </c>
      <c r="I17" s="77">
        <f ref="I17" si="16" t="shared">SUM(I14:I16)</f>
        <v>0.99999999999999989</v>
      </c>
      <c r="J17" s="77">
        <f ref="J17" si="17" t="shared">SUM(J14:J16)</f>
        <v>1</v>
      </c>
      <c r="K17" s="77">
        <f ref="K17" si="18" t="shared">SUM(K14:K16)</f>
        <v>1</v>
      </c>
      <c r="L17" s="47"/>
      <c r="M17" s="47"/>
      <c r="N17" s="68"/>
      <c r="O17" s="69"/>
      <c r="P17" s="69"/>
      <c r="Q17" s="68"/>
      <c r="T17">
        <v>15</v>
      </c>
      <c r="U17" t="s">
        <v>87</v>
      </c>
      <c r="V17" s="58">
        <f>WorkLocationCoefficients!E25</f>
        <v>-1.61322160644</v>
      </c>
      <c r="W17" s="63">
        <f si="0" t="shared"/>
        <v>-1.61322160644</v>
      </c>
    </row>
    <row r="18" spans="1:23" x14ac:dyDescent="0.45">
      <c r="A18" s="66"/>
      <c r="B18" s="67"/>
      <c r="C18" s="67"/>
      <c r="D18" s="67"/>
      <c r="E18" s="67"/>
      <c r="F18" s="47"/>
      <c r="G18" s="66"/>
      <c r="H18" s="67"/>
      <c r="I18" s="67"/>
      <c r="J18" s="67"/>
      <c r="K18" s="67"/>
      <c r="L18" s="47"/>
      <c r="M18" s="47"/>
      <c r="N18" s="68"/>
      <c r="O18" s="69"/>
      <c r="P18" s="69"/>
      <c r="Q18" s="68"/>
      <c r="T18">
        <v>16</v>
      </c>
      <c r="U18" t="s">
        <v>88</v>
      </c>
      <c r="V18" s="58">
        <f>WorkLocationCoefficients!E26</f>
        <v>0.130749629122</v>
      </c>
      <c r="W18" s="63">
        <f si="0" t="shared"/>
        <v>0.130749629122</v>
      </c>
    </row>
    <row r="19" spans="1:23" x14ac:dyDescent="0.45">
      <c r="A19" s="66"/>
      <c r="B19" s="67"/>
      <c r="C19" s="67"/>
      <c r="D19" s="67"/>
      <c r="E19" s="67"/>
      <c r="F19" s="47"/>
      <c r="G19" s="66"/>
      <c r="H19" s="67"/>
      <c r="I19" s="67"/>
      <c r="J19" s="67"/>
      <c r="K19" s="67"/>
      <c r="L19" s="47"/>
      <c r="M19" s="47"/>
      <c r="N19" s="68"/>
      <c r="O19" s="69"/>
      <c r="P19" s="69"/>
      <c r="Q19" s="68"/>
      <c r="R19" s="7"/>
      <c r="T19">
        <v>17</v>
      </c>
      <c r="U19" t="s">
        <v>89</v>
      </c>
      <c r="V19" s="58">
        <f>WorkLocationCoefficients!E27</f>
        <v>8.4077289836199998E-2</v>
      </c>
      <c r="W19" s="63">
        <f si="0" t="shared"/>
        <v>8.4077289836199998E-2</v>
      </c>
    </row>
    <row r="20" spans="1:23" x14ac:dyDescent="0.45">
      <c r="A20" s="47"/>
      <c r="B20" s="67"/>
      <c r="C20" s="67"/>
      <c r="D20" s="67"/>
      <c r="E20" s="67"/>
      <c r="F20" s="47"/>
      <c r="G20" s="47"/>
      <c r="H20" s="67"/>
      <c r="I20" s="67"/>
      <c r="J20" s="67"/>
      <c r="K20" s="67"/>
      <c r="L20" s="47"/>
      <c r="M20" s="47"/>
      <c r="N20" s="47"/>
      <c r="O20" s="47"/>
      <c r="P20" s="47"/>
      <c r="Q20" s="47"/>
      <c r="T20">
        <v>18</v>
      </c>
      <c r="U20" t="s">
        <v>90</v>
      </c>
      <c r="V20" s="58">
        <f>WorkLocationCoefficients!E28</f>
        <v>0</v>
      </c>
      <c r="W20" s="63">
        <f si="0" t="shared"/>
        <v>0</v>
      </c>
    </row>
    <row r="21" spans="1:23" x14ac:dyDescent="0.45">
      <c r="T21">
        <v>19</v>
      </c>
      <c r="U21" t="s">
        <v>91</v>
      </c>
      <c r="V21" s="58">
        <f>WorkLocationCoefficients!E29</f>
        <v>0.106386053639</v>
      </c>
      <c r="W21" s="63">
        <f si="0" t="shared"/>
        <v>0.106386053639</v>
      </c>
    </row>
    <row r="22" spans="1:23" x14ac:dyDescent="0.45">
      <c r="N22" s="54"/>
      <c r="Q22" s="55"/>
      <c r="T22">
        <v>20</v>
      </c>
      <c r="U22" t="s">
        <v>92</v>
      </c>
      <c r="V22" s="58">
        <f>WorkLocationCoefficients!E30</f>
        <v>0.88087687792799996</v>
      </c>
      <c r="W22" s="63">
        <f si="0" t="shared"/>
        <v>0.88087687792799996</v>
      </c>
    </row>
    <row r="23" spans="1:23" x14ac:dyDescent="0.45">
      <c r="A23" s="65" t="s">
        <v>253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T23">
        <v>21</v>
      </c>
      <c r="U23" t="s">
        <v>93</v>
      </c>
      <c r="V23" s="58">
        <f>WorkLocationCoefficients!E31</f>
        <v>-0.16458061134300001</v>
      </c>
      <c r="W23" s="63">
        <f si="0" t="shared"/>
        <v>-0.16458061134300001</v>
      </c>
    </row>
    <row ht="14.65" r="24" spans="1:23" thickBot="1" x14ac:dyDescent="0.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T24">
        <v>22</v>
      </c>
      <c r="U24" t="s">
        <v>94</v>
      </c>
      <c r="V24" s="58">
        <f>WorkLocationCoefficients!E32</f>
        <v>0.154182014038</v>
      </c>
      <c r="W24" s="63">
        <f si="0" t="shared"/>
        <v>0.154182014038</v>
      </c>
    </row>
    <row r="25" spans="1:23" x14ac:dyDescent="0.45">
      <c r="A25" s="5"/>
      <c r="B25" s="5" t="s">
        <v>263</v>
      </c>
      <c r="C25" s="78"/>
      <c r="D25" s="78"/>
      <c r="E25" s="78"/>
      <c r="G25" s="5"/>
      <c r="H25" s="5" t="s">
        <v>263</v>
      </c>
      <c r="I25" s="78"/>
      <c r="J25" s="78"/>
      <c r="K25" s="78"/>
      <c r="M25" s="80"/>
      <c r="N25" s="80"/>
      <c r="O25" s="80"/>
      <c r="P25" s="80"/>
      <c r="Q25" s="80"/>
      <c r="T25">
        <v>23</v>
      </c>
      <c r="U25" t="s">
        <v>95</v>
      </c>
      <c r="V25" s="58">
        <f>WorkLocationCoefficients!E33</f>
        <v>4.79448884421E-2</v>
      </c>
      <c r="W25" s="63">
        <f si="0" t="shared"/>
        <v>4.79448884421E-2</v>
      </c>
    </row>
    <row r="26" spans="1:23" x14ac:dyDescent="0.45">
      <c r="A26" s="72" t="s">
        <v>223</v>
      </c>
      <c r="B26" s="73">
        <f>WorkAtHome!E14</f>
        <v>131000</v>
      </c>
      <c r="C26" s="81"/>
      <c r="D26" s="81"/>
      <c r="E26" s="81"/>
      <c r="G26" s="72" t="s">
        <v>223</v>
      </c>
      <c r="H26" s="73">
        <f>WorkAtHome!L14</f>
        <v>131000</v>
      </c>
      <c r="I26" s="81"/>
      <c r="J26" s="81"/>
      <c r="K26" s="81"/>
      <c r="L26" s="47"/>
      <c r="M26" s="47"/>
      <c r="N26" s="68"/>
      <c r="O26" s="69"/>
      <c r="P26" s="69"/>
      <c r="Q26" s="68"/>
      <c r="T26">
        <v>24</v>
      </c>
      <c r="U26" t="s">
        <v>96</v>
      </c>
      <c r="V26" s="58">
        <f>WorkLocationCoefficients!E34</f>
        <v>6.4843520043099998E-2</v>
      </c>
      <c r="W26" s="63">
        <f si="0" t="shared"/>
        <v>6.4843520043099998E-2</v>
      </c>
    </row>
    <row ht="14.65" r="27" spans="1:23" thickBot="1" x14ac:dyDescent="0.5">
      <c r="A27" s="74" t="s">
        <v>4</v>
      </c>
      <c r="B27" s="75">
        <f>WorkAtHome!E25</f>
        <v>1776000</v>
      </c>
      <c r="G27" s="74" t="s">
        <v>4</v>
      </c>
      <c r="H27" s="75">
        <f>WorkAtHome!L25</f>
        <v>1776000</v>
      </c>
      <c r="I27" s="7"/>
      <c r="J27" s="7"/>
      <c r="K27" s="7"/>
      <c r="M27" s="47"/>
      <c r="N27" s="47"/>
      <c r="O27" s="47"/>
      <c r="P27" s="47"/>
      <c r="Q27" s="47"/>
      <c r="T27">
        <v>25</v>
      </c>
      <c r="U27" t="s">
        <v>97</v>
      </c>
      <c r="V27" s="58">
        <f>WorkLocationCoefficients!E35</f>
        <v>0.15272053169499999</v>
      </c>
      <c r="W27" s="63">
        <f si="0" t="shared"/>
        <v>0.15272053169499999</v>
      </c>
    </row>
    <row r="28" spans="1:23" x14ac:dyDescent="0.45">
      <c r="T28">
        <v>26</v>
      </c>
      <c r="U28" t="s">
        <v>98</v>
      </c>
      <c r="V28" s="58">
        <f>WorkLocationCoefficients!E36</f>
        <v>7.2028590735099998E-2</v>
      </c>
      <c r="W28" s="63">
        <f si="0" t="shared"/>
        <v>7.2028590735099998E-2</v>
      </c>
    </row>
    <row ht="14.65" r="29" spans="1:23" thickBot="1" x14ac:dyDescent="0.5">
      <c r="A29" t="s">
        <v>262</v>
      </c>
      <c r="T29">
        <v>27</v>
      </c>
      <c r="U29" t="s">
        <v>99</v>
      </c>
      <c r="V29" s="58">
        <f>WorkLocationCoefficients!E37</f>
        <v>-0.27934224041799999</v>
      </c>
      <c r="W29" s="63">
        <f si="0" t="shared"/>
        <v>-0.27934224041799999</v>
      </c>
    </row>
    <row r="30" spans="1:23" x14ac:dyDescent="0.45">
      <c r="A30" s="5"/>
      <c r="B30" s="5" t="s">
        <v>263</v>
      </c>
      <c r="C30" s="78"/>
      <c r="D30" s="78"/>
      <c r="E30" s="78"/>
      <c r="G30" s="5"/>
      <c r="H30" s="5" t="s">
        <v>263</v>
      </c>
      <c r="I30" s="78"/>
      <c r="J30" s="78"/>
      <c r="K30" s="78"/>
      <c r="M30" s="5" t="s">
        <v>233</v>
      </c>
      <c r="N30" s="5" t="s">
        <v>229</v>
      </c>
      <c r="O30" s="5" t="s">
        <v>227</v>
      </c>
      <c r="P30" s="5" t="s">
        <v>228</v>
      </c>
      <c r="Q30" s="5" t="s">
        <v>230</v>
      </c>
      <c r="T30">
        <v>28</v>
      </c>
      <c r="U30" t="s">
        <v>100</v>
      </c>
      <c r="V30" s="58">
        <f>WorkLocationCoefficients!E38</f>
        <v>4.3626229225700003E-2</v>
      </c>
      <c r="W30" s="63">
        <f si="0" t="shared"/>
        <v>4.3626229225700003E-2</v>
      </c>
    </row>
    <row r="31" spans="1:23" x14ac:dyDescent="0.45">
      <c r="A31" s="72" t="s">
        <v>223</v>
      </c>
      <c r="B31" s="83">
        <f>B26/B27</f>
        <v>7.3761261261261257E-2</v>
      </c>
      <c r="C31" s="81"/>
      <c r="D31" s="81"/>
      <c r="E31" s="81"/>
      <c r="G31" s="72" t="s">
        <v>223</v>
      </c>
      <c r="H31" s="83">
        <f>H26/H27</f>
        <v>7.3761261261261257E-2</v>
      </c>
      <c r="I31" s="81"/>
      <c r="J31" s="81"/>
      <c r="K31" s="81"/>
      <c r="M31" s="6">
        <v>41</v>
      </c>
      <c r="N31" s="61">
        <f>V39</f>
        <v>-3.8051604915000001</v>
      </c>
      <c r="O31" s="14">
        <f>B31/H31</f>
        <v>1</v>
      </c>
      <c r="P31" s="14">
        <f>LN(O31)</f>
        <v>0</v>
      </c>
      <c r="Q31" s="62">
        <f ref="Q31" si="19" t="shared">N31+P31</f>
        <v>-3.8051604915000001</v>
      </c>
      <c r="T31">
        <v>29</v>
      </c>
      <c r="U31" t="s">
        <v>101</v>
      </c>
      <c r="V31" s="58">
        <f>WorkLocationCoefficients!E39</f>
        <v>-8.7886819411100006E-2</v>
      </c>
      <c r="W31" s="63">
        <f si="0" t="shared"/>
        <v>-8.7886819411100006E-2</v>
      </c>
    </row>
    <row ht="14.65" r="32" spans="1:23" thickBot="1" x14ac:dyDescent="0.5">
      <c r="A32" s="74" t="s">
        <v>4</v>
      </c>
      <c r="B32" s="82">
        <f>B27/B27</f>
        <v>1</v>
      </c>
      <c r="G32" s="74" t="s">
        <v>4</v>
      </c>
      <c r="H32" s="82">
        <f>H27/H27</f>
        <v>1</v>
      </c>
      <c r="T32">
        <v>30</v>
      </c>
      <c r="U32" t="s">
        <v>102</v>
      </c>
      <c r="V32" s="58">
        <f>WorkLocationCoefficients!E40</f>
        <v>-4.2894941477000001E-2</v>
      </c>
      <c r="W32" s="63">
        <f si="0" t="shared"/>
        <v>-4.2894941477000001E-2</v>
      </c>
    </row>
    <row r="33" spans="20:23" x14ac:dyDescent="0.45">
      <c r="T33">
        <v>31</v>
      </c>
      <c r="U33" t="s">
        <v>103</v>
      </c>
      <c r="V33" s="58">
        <f>WorkLocationCoefficients!E41</f>
        <v>-0.13045579928000001</v>
      </c>
      <c r="W33" s="63">
        <f si="0" t="shared"/>
        <v>-0.13045579928000001</v>
      </c>
    </row>
    <row r="34" spans="20:23" x14ac:dyDescent="0.45">
      <c r="T34">
        <v>32</v>
      </c>
      <c r="U34" t="s">
        <v>104</v>
      </c>
      <c r="V34" s="58">
        <f>WorkLocationCoefficients!E42</f>
        <v>0.18945088644899999</v>
      </c>
      <c r="W34" s="63">
        <f si="0" t="shared"/>
        <v>0.18945088644899999</v>
      </c>
    </row>
    <row r="35" spans="20:23" x14ac:dyDescent="0.45">
      <c r="T35">
        <v>33</v>
      </c>
      <c r="U35" t="s">
        <v>105</v>
      </c>
      <c r="V35" s="58">
        <f>WorkLocationCoefficients!E43</f>
        <v>-0.179523169776</v>
      </c>
      <c r="W35" s="63">
        <f si="0" t="shared"/>
        <v>-0.179523169776</v>
      </c>
    </row>
    <row r="36" spans="20:23" x14ac:dyDescent="0.45">
      <c r="T36">
        <v>34</v>
      </c>
      <c r="U36" t="s">
        <v>106</v>
      </c>
      <c r="V36" s="58">
        <f>WorkLocationCoefficients!E44</f>
        <v>0.17233347539499999</v>
      </c>
      <c r="W36" s="63">
        <f si="0" t="shared"/>
        <v>0.17233347539499999</v>
      </c>
    </row>
    <row r="37" spans="20:23" x14ac:dyDescent="0.45">
      <c r="T37">
        <v>35</v>
      </c>
      <c r="U37" t="s">
        <v>107</v>
      </c>
      <c r="V37" s="58">
        <f>WorkLocationCoefficients!E45</f>
        <v>-0.194698386872</v>
      </c>
      <c r="W37" s="63">
        <f si="0" t="shared"/>
        <v>-0.194698386872</v>
      </c>
    </row>
    <row r="38" spans="20:23" x14ac:dyDescent="0.45">
      <c r="T38">
        <v>36</v>
      </c>
      <c r="U38" t="s">
        <v>108</v>
      </c>
      <c r="V38" s="58">
        <f>WorkLocationCoefficients!E46</f>
        <v>0.38785322122799998</v>
      </c>
      <c r="W38" s="63">
        <f si="0" t="shared"/>
        <v>0.38785322122799998</v>
      </c>
    </row>
    <row r="39" spans="20:23" x14ac:dyDescent="0.45">
      <c r="T39" s="57">
        <v>41</v>
      </c>
      <c r="U39" s="57" t="s">
        <v>109</v>
      </c>
      <c r="V39" s="59">
        <f>WorkLocationCoefficients!E47</f>
        <v>-3.8051604915000001</v>
      </c>
      <c r="W39" s="63">
        <f>Q31</f>
        <v>-3.8051604915000001</v>
      </c>
    </row>
    <row r="40" spans="20:23" x14ac:dyDescent="0.45">
      <c r="T40">
        <v>42</v>
      </c>
      <c r="U40" t="s">
        <v>111</v>
      </c>
      <c r="V40" s="58">
        <f>WorkLocationCoefficients!E48</f>
        <v>5.07828619993</v>
      </c>
      <c r="W40" s="63">
        <f si="0" t="shared"/>
        <v>5.07828619993</v>
      </c>
    </row>
    <row r="41" spans="20:23" x14ac:dyDescent="0.45">
      <c r="T41">
        <v>43</v>
      </c>
      <c r="U41" t="s">
        <v>112</v>
      </c>
      <c r="V41" s="58">
        <f>WorkLocationCoefficients!E49</f>
        <v>-3.0390882271000002</v>
      </c>
      <c r="W41" s="63">
        <f si="0" t="shared"/>
        <v>-3.0390882271000002</v>
      </c>
    </row>
    <row r="42" spans="20:23" x14ac:dyDescent="0.45">
      <c r="T42">
        <v>44</v>
      </c>
      <c r="U42" t="s">
        <v>113</v>
      </c>
      <c r="V42" s="58">
        <f>WorkLocationCoefficients!E50</f>
        <v>-2.3320026601800001</v>
      </c>
      <c r="W42" s="63">
        <f si="0" t="shared"/>
        <v>-2.3320026601800001</v>
      </c>
    </row>
    <row r="43" spans="20:23" x14ac:dyDescent="0.45">
      <c r="T43">
        <v>50</v>
      </c>
      <c r="U43" t="s">
        <v>114</v>
      </c>
      <c r="V43" s="58">
        <f>WorkLocationCoefficients!E51</f>
        <v>0.33566647407</v>
      </c>
      <c r="W43" s="63">
        <f si="0" t="shared"/>
        <v>0.33566647407</v>
      </c>
    </row>
    <row r="44" spans="20:23" x14ac:dyDescent="0.45">
      <c r="T44">
        <v>51</v>
      </c>
      <c r="U44" t="s">
        <v>115</v>
      </c>
      <c r="V44" s="58">
        <f>WorkLocationCoefficients!E52</f>
        <v>-0.78911507665199998</v>
      </c>
      <c r="W44" s="63">
        <f si="0" t="shared"/>
        <v>-0.78911507665199998</v>
      </c>
    </row>
    <row r="45" spans="20:23" x14ac:dyDescent="0.45">
      <c r="T45">
        <v>52</v>
      </c>
      <c r="U45" t="s">
        <v>116</v>
      </c>
      <c r="V45" s="58">
        <f>WorkLocationCoefficients!E53</f>
        <v>0.56564055394500001</v>
      </c>
      <c r="W45" s="63">
        <f si="0" t="shared"/>
        <v>0.56564055394500001</v>
      </c>
    </row>
    <row r="46" spans="20:23" x14ac:dyDescent="0.45">
      <c r="T46">
        <v>53</v>
      </c>
      <c r="U46" t="s">
        <v>117</v>
      </c>
      <c r="V46" s="58">
        <f>WorkLocationCoefficients!E54</f>
        <v>-1.85416848242</v>
      </c>
      <c r="W46" s="63">
        <f si="0" t="shared"/>
        <v>-1.85416848242</v>
      </c>
    </row>
    <row r="47" spans="20:23" x14ac:dyDescent="0.45">
      <c r="T47">
        <v>54</v>
      </c>
      <c r="U47" t="s">
        <v>118</v>
      </c>
      <c r="V47" s="58">
        <f>WorkLocationCoefficients!E55</f>
        <v>0</v>
      </c>
      <c r="W47" s="63">
        <f si="0" t="shared"/>
        <v>0</v>
      </c>
    </row>
    <row r="48" spans="20:23" x14ac:dyDescent="0.45">
      <c r="T48">
        <v>55</v>
      </c>
      <c r="U48" t="s">
        <v>119</v>
      </c>
      <c r="V48" s="58">
        <f>WorkLocationCoefficients!E56</f>
        <v>-1.1156286956100001</v>
      </c>
      <c r="W48" s="63">
        <f si="0" t="shared"/>
        <v>-1.1156286956100001</v>
      </c>
    </row>
    <row r="49" spans="20:23" x14ac:dyDescent="0.45">
      <c r="T49">
        <v>56</v>
      </c>
      <c r="U49" t="s">
        <v>120</v>
      </c>
      <c r="V49" s="58">
        <f>WorkLocationCoefficients!E57</f>
        <v>-0.81792869186600003</v>
      </c>
      <c r="W49" s="63">
        <f si="0" t="shared"/>
        <v>-0.81792869186600003</v>
      </c>
    </row>
    <row r="50" spans="20:23" x14ac:dyDescent="0.45">
      <c r="T50">
        <v>57</v>
      </c>
      <c r="U50" t="s">
        <v>121</v>
      </c>
      <c r="V50" s="58">
        <f>WorkLocationCoefficients!E58</f>
        <v>-1.04729487823</v>
      </c>
      <c r="W50" s="63">
        <f si="0" t="shared"/>
        <v>-1.04729487823</v>
      </c>
    </row>
    <row r="51" spans="20:23" x14ac:dyDescent="0.45">
      <c r="T51">
        <v>58</v>
      </c>
      <c r="U51" t="s">
        <v>122</v>
      </c>
      <c r="V51" s="58">
        <f>WorkLocationCoefficients!E59</f>
        <v>-2.0228517391</v>
      </c>
      <c r="W51" s="63">
        <f si="0" t="shared"/>
        <v>-2.0228517391</v>
      </c>
    </row>
    <row r="52" spans="20:23" x14ac:dyDescent="0.45">
      <c r="T52">
        <v>59</v>
      </c>
      <c r="U52" t="s">
        <v>123</v>
      </c>
      <c r="V52" s="58">
        <f>WorkLocationCoefficients!E60</f>
        <v>-1.2945321250099999</v>
      </c>
      <c r="W52" s="63">
        <f si="0" t="shared"/>
        <v>-1.2945321250099999</v>
      </c>
    </row>
    <row r="53" spans="20:23" x14ac:dyDescent="0.45">
      <c r="T53">
        <v>60</v>
      </c>
      <c r="U53" t="s">
        <v>124</v>
      </c>
      <c r="V53" s="58">
        <f>WorkLocationCoefficients!E61</f>
        <v>-0.66178028021599999</v>
      </c>
      <c r="W53" s="63">
        <f si="0" t="shared"/>
        <v>-0.66178028021599999</v>
      </c>
    </row>
    <row r="54" spans="20:23" x14ac:dyDescent="0.45">
      <c r="T54">
        <v>61</v>
      </c>
      <c r="U54" t="s">
        <v>125</v>
      </c>
      <c r="V54" s="58">
        <f>WorkLocationCoefficients!E62</f>
        <v>-0.55504741134900004</v>
      </c>
      <c r="W54" s="63">
        <f si="0" t="shared"/>
        <v>-0.55504741134900004</v>
      </c>
    </row>
    <row r="55" spans="20:23" x14ac:dyDescent="0.45">
      <c r="T55">
        <v>62</v>
      </c>
      <c r="U55" t="s">
        <v>126</v>
      </c>
      <c r="V55" s="58">
        <f>WorkLocationCoefficients!E63</f>
        <v>-1.7449233454799999</v>
      </c>
      <c r="W55" s="63">
        <f si="0" t="shared"/>
        <v>-1.7449233454799999</v>
      </c>
    </row>
    <row r="56" spans="20:23" x14ac:dyDescent="0.45">
      <c r="T56">
        <v>63</v>
      </c>
      <c r="U56" t="s">
        <v>127</v>
      </c>
      <c r="V56" s="58">
        <f>WorkLocationCoefficients!E64</f>
        <v>1.1995398853399999</v>
      </c>
      <c r="W56" s="63">
        <f si="0" t="shared"/>
        <v>1.1995398853399999</v>
      </c>
    </row>
    <row r="57" spans="20:23" x14ac:dyDescent="0.45">
      <c r="T57">
        <v>64</v>
      </c>
      <c r="U57" t="s">
        <v>128</v>
      </c>
      <c r="V57" s="58">
        <f>WorkLocationCoefficients!E65</f>
        <v>0.19542046398099999</v>
      </c>
      <c r="W57" s="63">
        <f si="0" t="shared"/>
        <v>0.19542046398099999</v>
      </c>
    </row>
    <row r="58" spans="20:23" x14ac:dyDescent="0.45">
      <c r="T58">
        <v>65</v>
      </c>
      <c r="U58" t="s">
        <v>129</v>
      </c>
      <c r="V58" s="58">
        <f>WorkLocationCoefficients!E66</f>
        <v>-0.90594458676599998</v>
      </c>
      <c r="W58" s="63">
        <f si="0" t="shared"/>
        <v>-0.90594458676599998</v>
      </c>
    </row>
    <row r="59" spans="20:23" x14ac:dyDescent="0.45">
      <c r="T59">
        <v>66</v>
      </c>
      <c r="U59" t="s">
        <v>130</v>
      </c>
      <c r="V59" s="58">
        <f>WorkLocationCoefficients!E67</f>
        <v>-2.05104130438</v>
      </c>
      <c r="W59" s="63">
        <f si="0" t="shared"/>
        <v>-2.05104130438</v>
      </c>
    </row>
    <row r="60" spans="20:23" x14ac:dyDescent="0.45">
      <c r="T60">
        <v>67</v>
      </c>
      <c r="U60" t="s">
        <v>131</v>
      </c>
      <c r="V60" s="58">
        <f>WorkLocationCoefficients!E68</f>
        <v>-2.2381608455899999</v>
      </c>
      <c r="W60" s="63">
        <f si="0" t="shared"/>
        <v>-2.2381608455899999</v>
      </c>
    </row>
    <row r="61" spans="20:23" x14ac:dyDescent="0.45">
      <c r="T61">
        <v>68</v>
      </c>
      <c r="U61" t="s">
        <v>132</v>
      </c>
      <c r="V61" s="58">
        <f>WorkLocationCoefficients!E69</f>
        <v>-0.40946320528300001</v>
      </c>
      <c r="W61" s="63">
        <f si="0" t="shared"/>
        <v>-0.40946320528300001</v>
      </c>
    </row>
    <row r="62" spans="20:23" x14ac:dyDescent="0.45">
      <c r="T62">
        <v>69</v>
      </c>
      <c r="U62" t="s">
        <v>133</v>
      </c>
      <c r="V62" s="58">
        <f>WorkLocationCoefficients!E70</f>
        <v>-1.1700902309500001</v>
      </c>
      <c r="W62" s="63">
        <f si="0" t="shared"/>
        <v>-1.1700902309500001</v>
      </c>
    </row>
    <row r="63" spans="20:23" x14ac:dyDescent="0.45">
      <c r="T63">
        <v>70</v>
      </c>
      <c r="U63" t="s">
        <v>134</v>
      </c>
      <c r="V63" s="58">
        <f>WorkLocationCoefficients!E71</f>
        <v>1.8412445021999999</v>
      </c>
      <c r="W63" s="63">
        <f si="0" t="shared"/>
        <v>1.8412445021999999</v>
      </c>
    </row>
    <row r="64" spans="20:23" x14ac:dyDescent="0.45">
      <c r="T64">
        <v>71</v>
      </c>
      <c r="U64" t="s">
        <v>135</v>
      </c>
      <c r="V64" s="58">
        <f>WorkLocationCoefficients!E72</f>
        <v>0.71619685052500004</v>
      </c>
      <c r="W64" s="63">
        <f si="0" t="shared"/>
        <v>0.71619685052500004</v>
      </c>
    </row>
    <row r="65" spans="20:23" x14ac:dyDescent="0.45">
      <c r="T65">
        <v>72</v>
      </c>
      <c r="U65" t="s">
        <v>136</v>
      </c>
      <c r="V65" s="58">
        <f>WorkLocationCoefficients!E73</f>
        <v>-0.101060642888</v>
      </c>
      <c r="W65" s="63">
        <f si="0" t="shared"/>
        <v>-0.101060642888</v>
      </c>
    </row>
    <row r="66" spans="20:23" x14ac:dyDescent="0.45">
      <c r="T66">
        <v>73</v>
      </c>
      <c r="U66" t="s">
        <v>137</v>
      </c>
      <c r="V66" s="58">
        <f>WorkLocationCoefficients!E74</f>
        <v>-0.34132571646100002</v>
      </c>
      <c r="W66" s="63">
        <f si="0" t="shared"/>
        <v>-0.34132571646100002</v>
      </c>
    </row>
    <row r="67" spans="20:23" x14ac:dyDescent="0.45">
      <c r="T67">
        <v>74</v>
      </c>
      <c r="U67" t="s">
        <v>138</v>
      </c>
      <c r="V67" s="58">
        <f>WorkLocationCoefficients!E75</f>
        <v>1.0486549950899999</v>
      </c>
      <c r="W67" s="63">
        <f si="0" t="shared"/>
        <v>1.0486549950899999</v>
      </c>
    </row>
    <row r="68" spans="20:23" x14ac:dyDescent="0.45">
      <c r="T68">
        <v>75</v>
      </c>
      <c r="U68" t="s">
        <v>139</v>
      </c>
      <c r="V68" s="58">
        <f>WorkLocationCoefficients!E76</f>
        <v>-30</v>
      </c>
      <c r="W68" s="63">
        <f ref="W68:W75" si="20" t="shared">V68</f>
        <v>-30</v>
      </c>
    </row>
    <row r="69" spans="20:23" x14ac:dyDescent="0.45">
      <c r="T69">
        <v>76</v>
      </c>
      <c r="U69" t="s">
        <v>140</v>
      </c>
      <c r="V69" s="58">
        <f>WorkLocationCoefficients!E77</f>
        <v>0.91468797064200003</v>
      </c>
      <c r="W69" s="63">
        <f si="20" t="shared"/>
        <v>0.91468797064200003</v>
      </c>
    </row>
    <row r="70" spans="20:23" x14ac:dyDescent="0.45">
      <c r="T70">
        <v>77</v>
      </c>
      <c r="U70" t="s">
        <v>141</v>
      </c>
      <c r="V70" s="58">
        <f>WorkLocationCoefficients!E78</f>
        <v>-1.1830909132</v>
      </c>
      <c r="W70" s="63">
        <f si="20" t="shared"/>
        <v>-1.1830909132</v>
      </c>
    </row>
    <row r="71" spans="20:23" x14ac:dyDescent="0.45">
      <c r="T71">
        <v>78</v>
      </c>
      <c r="U71" t="s">
        <v>142</v>
      </c>
      <c r="V71" s="58">
        <f>WorkLocationCoefficients!E79</f>
        <v>1.4576625009499999</v>
      </c>
      <c r="W71" s="63">
        <f si="20" t="shared"/>
        <v>1.4576625009499999</v>
      </c>
    </row>
    <row r="72" spans="20:23" x14ac:dyDescent="0.45">
      <c r="T72">
        <v>79</v>
      </c>
      <c r="U72" t="s">
        <v>143</v>
      </c>
      <c r="V72" s="58">
        <f>WorkLocationCoefficients!E80</f>
        <v>-1.62636517084</v>
      </c>
      <c r="W72" s="63">
        <f si="20" t="shared"/>
        <v>-1.62636517084</v>
      </c>
    </row>
    <row r="73" spans="20:23" x14ac:dyDescent="0.45">
      <c r="T73">
        <v>80</v>
      </c>
      <c r="U73" t="s">
        <v>144</v>
      </c>
      <c r="V73" s="58">
        <f>WorkLocationCoefficients!E81</f>
        <v>0</v>
      </c>
      <c r="W73" s="63">
        <f si="20" t="shared"/>
        <v>0</v>
      </c>
    </row>
    <row r="74" spans="20:23" x14ac:dyDescent="0.45">
      <c r="T74">
        <v>90</v>
      </c>
      <c r="U74" t="s">
        <v>145</v>
      </c>
      <c r="V74" s="58">
        <f>WorkLocationCoefficients!E82</f>
        <v>0.196143079927</v>
      </c>
      <c r="W74" s="63">
        <f si="20" t="shared"/>
        <v>0.196143079927</v>
      </c>
    </row>
    <row r="75" spans="20:23" x14ac:dyDescent="0.45">
      <c r="T75">
        <v>98</v>
      </c>
      <c r="U75" t="s">
        <v>146</v>
      </c>
      <c r="V75" s="58">
        <f>WorkLocationCoefficients!E83</f>
        <v>0</v>
      </c>
      <c r="W75" s="63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baseType="lpstr" size="31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2016-07-01T21:00:28Z</dcterms:modified>
</cp:coreProperties>
</file>