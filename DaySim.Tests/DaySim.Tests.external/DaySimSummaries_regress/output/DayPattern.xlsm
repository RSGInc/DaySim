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ate1904="1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tabRatio="884" windowHeight="12120" windowWidth="13815" xWindow="4635" yWindow="-90"/>
  </bookViews>
  <sheets>
    <sheet name="Summary" r:id="rId1" sheetId="16"/>
    <sheet name="NumberOfTours" r:id="rId2" sheetId="1"/>
    <sheet name="TourStopCombos" r:id="rId3" sheetId="3"/>
    <sheet name="Tours&amp;StopsByPurpose" r:id="rId4" sheetId="2"/>
    <sheet name="ExactToursByPurpose (if&gt;0)" r:id="rId5" sheetId="6"/>
    <sheet name="ExactToursByPurpose" r:id="rId6" sheetId="15"/>
    <sheet name="ExactSubtours" r:id="rId7" sheetId="13"/>
    <sheet name="StopsByTourPurpose" r:id="rId8" sheetId="9"/>
    <sheet name="ToursByTourPurpose" r:id="rId9" sheetId="10"/>
    <sheet name="StopsByStopPurpose" r:id="rId10" sheetId="11"/>
    <sheet name="TripsByDestinationPurpose" r:id="rId11" sheetId="12"/>
    <sheet name="output" r:id="rId12" sheetId="20"/>
    <sheet name="output_NHTS" r:id="rId13" sheetId="21"/>
    <sheet name="CoeffDef" r:id="rId14" sheetId="22"/>
    <sheet name="DayPatternCoefficients" r:id="rId15" sheetId="23"/>
    <sheet name="calibration" r:id="rId16" sheetId="24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  <definedName name="out10">output!$O$168:$U$174</definedName>
    <definedName name="out12">output!$O$178:$V$185</definedName>
    <definedName name="out14">output!$O$189:$R$196</definedName>
    <definedName name="out16">output!$O$200:$R$207</definedName>
    <definedName name="out18">output!$O$211:$U$218</definedName>
    <definedName name="out2">output!$O$262:$V$269</definedName>
    <definedName name="out4">output!$O$273:$R$280</definedName>
    <definedName name="out6">output!$O$284:$R$291</definedName>
    <definedName name="out8">output!$O$295:$U$302</definedName>
  </definedNames>
  <calcPr calcId="171027"/>
</workbook>
</file>

<file path=xl/calcChain.xml><?xml version="1.0" encoding="utf-8"?>
<calcChain xmlns="http://schemas.openxmlformats.org/spreadsheetml/2006/main">
  <c i="24" l="1" r="AA17"/>
  <c i="24" r="AA16"/>
  <c i="24" r="AA15"/>
  <c i="24" r="AA14"/>
  <c i="24" r="AA13"/>
  <c i="24" r="AA12"/>
  <c i="24" r="AA11"/>
  <c i="24" r="AA10"/>
  <c i="24" r="AA3"/>
  <c i="24" l="1" r="H68"/>
  <c i="24" r="G68"/>
  <c i="24" r="F68"/>
  <c i="24" r="E68"/>
  <c i="24" r="D68"/>
  <c i="24" r="C68"/>
  <c i="24" r="B68"/>
  <c i="24" r="H67"/>
  <c i="24" r="G67"/>
  <c i="24" r="F67"/>
  <c i="24" r="E67"/>
  <c i="24" r="D67"/>
  <c i="24" r="C67"/>
  <c i="24" r="B67"/>
  <c i="24" r="H66"/>
  <c i="24" r="G66"/>
  <c i="24" r="F66"/>
  <c i="24" r="E66"/>
  <c i="24" r="D66"/>
  <c i="24" r="C66"/>
  <c i="24" r="B66"/>
  <c i="24" r="H65"/>
  <c i="24" r="G65"/>
  <c i="24" r="F65"/>
  <c i="24" r="E65"/>
  <c i="24" r="D65"/>
  <c i="24" r="C65"/>
  <c i="24" r="B65"/>
  <c i="24" r="H64"/>
  <c i="24" r="G64"/>
  <c i="24" r="F64"/>
  <c i="24" r="E64"/>
  <c i="24" r="D64"/>
  <c i="24" r="C64"/>
  <c i="24" r="B64"/>
  <c i="24" r="H63"/>
  <c i="24" r="G63"/>
  <c i="24" r="F63"/>
  <c i="24" r="B63"/>
  <c i="24" r="G62"/>
  <c i="24" r="F62"/>
  <c i="24" r="C62"/>
  <c i="24" r="B62"/>
  <c i="24" r="J42"/>
  <c i="24" r="J41"/>
  <c i="24" r="J40"/>
  <c i="24" r="J39"/>
  <c i="24" r="J38"/>
  <c i="24" r="J37"/>
  <c i="24" r="J36"/>
  <c i="24" r="J35"/>
  <c i="24" r="J34"/>
  <c i="24" r="Q33"/>
  <c i="24" r="P33"/>
  <c i="24" r="O33"/>
  <c i="24" r="N33"/>
  <c i="24" r="M33"/>
  <c i="24" r="L33"/>
  <c i="24" r="K33"/>
  <c i="24" r="J33"/>
  <c i="24" r="J31"/>
  <c i="24" r="J30"/>
  <c i="24" r="A42"/>
  <c i="24" r="A41"/>
  <c i="24" r="A40"/>
  <c i="24" r="A39"/>
  <c i="24" r="A38"/>
  <c i="24" r="A37"/>
  <c i="24" r="A36"/>
  <c i="24" r="A35"/>
  <c i="24" r="A34"/>
  <c i="24" r="H33"/>
  <c i="24" r="G33"/>
  <c i="24" r="F33"/>
  <c i="24" r="E33"/>
  <c i="24" r="D33"/>
  <c i="24" r="C33"/>
  <c i="24" r="B33"/>
  <c i="24" r="A33"/>
  <c i="24" r="A31"/>
  <c i="24" r="A30"/>
  <c i="24" l="1" r="F25"/>
  <c i="24" r="F24"/>
  <c i="24" r="F23"/>
  <c i="24" r="F22"/>
  <c i="24" r="F21"/>
  <c i="24" r="F20"/>
  <c i="24" r="F19"/>
  <c i="24" r="F11"/>
  <c i="24" r="F10"/>
  <c i="24" r="F9"/>
  <c i="24" r="F8"/>
  <c i="24" r="F7"/>
  <c i="24" r="F6"/>
  <c i="24" r="F5"/>
  <c i="24" r="G5"/>
  <c i="24" r="G6"/>
  <c i="24" r="G7"/>
  <c i="24" r="G8"/>
  <c i="24" r="G9"/>
  <c i="24" r="G10"/>
  <c i="24" r="G11"/>
  <c i="24" r="G25"/>
  <c i="24" r="G24"/>
  <c i="24" r="G23"/>
  <c i="24" r="G22"/>
  <c i="24" r="G21"/>
  <c i="24" r="G20"/>
  <c i="24" r="G19"/>
  <c i="24" r="H25"/>
  <c i="24" r="H11"/>
  <c i="24" r="H24"/>
  <c i="24" r="H10"/>
  <c i="24" r="H23"/>
  <c i="24" r="H9"/>
  <c i="24" r="H22"/>
  <c i="24" r="H8"/>
  <c i="24" r="H21"/>
  <c i="24" r="H7"/>
  <c i="24" r="H20"/>
  <c i="24" r="H6"/>
  <c i="24" r="H19"/>
  <c i="24" r="H5"/>
  <c i="24" r="V8"/>
  <c i="24" r="V9"/>
  <c i="24" r="V10"/>
  <c i="24" r="V11"/>
  <c i="24" r="V12"/>
  <c i="24" r="V13"/>
  <c i="24" r="V14"/>
  <c i="24" r="V15"/>
  <c i="24" r="V16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V30"/>
  <c i="24" r="V31"/>
  <c i="24" r="V38"/>
  <c i="24" r="V39"/>
  <c i="24" r="V40"/>
  <c i="24" r="V41"/>
  <c i="24" r="V42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55"/>
  <c i="24" r="V56"/>
  <c i="24" r="V57"/>
  <c i="24" r="V58"/>
  <c i="24" r="V59"/>
  <c i="24" r="V60"/>
  <c i="24" r="V61"/>
  <c i="24" r="V62"/>
  <c i="24" r="V72"/>
  <c i="24" r="V73"/>
  <c i="24" r="V74"/>
  <c i="24" r="V75"/>
  <c i="24" r="V76"/>
  <c i="24" r="V77"/>
  <c i="24" r="V78"/>
  <c i="24" r="V79"/>
  <c i="24" r="V80"/>
  <c i="24" r="V81"/>
  <c i="24" r="V82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V96"/>
  <c i="24" r="V106"/>
  <c i="24" r="V107"/>
  <c i="24" r="V108"/>
  <c i="24" r="V109"/>
  <c i="24" r="V110"/>
  <c i="24" r="V111"/>
  <c i="24" r="V112"/>
  <c i="24" r="V113"/>
  <c i="24" r="V114"/>
  <c i="24" r="V115"/>
  <c i="24" r="V116"/>
  <c i="24" r="V117"/>
  <c i="24" r="V118"/>
  <c i="24" r="V119"/>
  <c i="24" r="V120"/>
  <c i="24" r="V121"/>
  <c i="24" r="V122"/>
  <c i="24" r="V123"/>
  <c i="24" r="V124"/>
  <c i="24" r="V125"/>
  <c i="24" r="V126"/>
  <c i="24" r="V127"/>
  <c i="24" r="V128"/>
  <c i="24" r="V129"/>
  <c i="24" r="V130"/>
  <c i="24" r="V140"/>
  <c i="24" r="V141"/>
  <c i="24" r="V142"/>
  <c i="24" r="V143"/>
  <c i="24" r="V144"/>
  <c i="24" r="V145"/>
  <c i="24" r="V146"/>
  <c i="24" r="V147"/>
  <c i="24" r="V148"/>
  <c i="24" r="V149"/>
  <c i="24" r="V150"/>
  <c i="24" r="V151"/>
  <c i="24" r="V152"/>
  <c i="24" r="V153"/>
  <c i="24" r="V154"/>
  <c i="24" r="V155"/>
  <c i="24" r="V156"/>
  <c i="24" r="V157"/>
  <c i="24" r="V158"/>
  <c i="24" r="V159"/>
  <c i="24" r="V160"/>
  <c i="24" r="V161"/>
  <c i="24" r="V162"/>
  <c i="24" r="V163"/>
  <c i="24" r="V164"/>
  <c i="24" r="V174"/>
  <c i="24" r="V175"/>
  <c i="24" r="V176"/>
  <c i="24" r="V177"/>
  <c i="24" r="V178"/>
  <c i="24" r="V179"/>
  <c i="24" r="V180"/>
  <c i="24" r="V181"/>
  <c i="24" r="V182"/>
  <c i="24" r="V183"/>
  <c i="24" r="V184"/>
  <c i="24" r="V185"/>
  <c i="24" r="V186"/>
  <c i="24" r="V187"/>
  <c i="24" r="V188"/>
  <c i="24" r="V189"/>
  <c i="24" r="V190"/>
  <c i="24" r="V191"/>
  <c i="24" r="V192"/>
  <c i="24" r="V193"/>
  <c i="24" r="V194"/>
  <c i="24" r="V195"/>
  <c i="24" r="V196"/>
  <c i="24" r="V197"/>
  <c i="24" r="V198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V232"/>
  <c i="24" r="V234"/>
  <c i="24" r="V235"/>
  <c i="24" r="V236"/>
  <c i="24" r="V237"/>
  <c i="24" r="V238"/>
  <c i="24" r="V239"/>
  <c i="24" r="V240"/>
  <c i="24" r="V241"/>
  <c i="24" r="V242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V272"/>
  <c i="24" r="V273"/>
  <c i="24" r="V274"/>
  <c i="24" r="V275"/>
  <c i="24" r="V276"/>
  <c i="24" r="V277"/>
  <c i="24" r="V278"/>
  <c i="24" r="V279"/>
  <c i="24" r="V280"/>
  <c i="24" r="V281"/>
  <c i="24" r="V282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V312"/>
  <c i="24" r="V313"/>
  <c i="24" r="V314"/>
  <c i="24" r="V315"/>
  <c i="24" r="V316"/>
  <c i="24" r="V317"/>
  <c i="24" r="V318"/>
  <c i="24" r="V319"/>
  <c i="24" r="V320"/>
  <c i="24" r="V321"/>
  <c i="24" r="V322"/>
  <c i="24" r="V323"/>
  <c i="24" r="V324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V352"/>
  <c i="24" r="V353"/>
  <c i="24" r="V354"/>
  <c i="24" r="V355"/>
  <c i="24" r="V356"/>
  <c i="24" r="V357"/>
  <c i="24" r="V358"/>
  <c i="24" r="V359"/>
  <c i="24" r="V360"/>
  <c i="24" r="V361"/>
  <c i="24" r="V362"/>
  <c i="24" r="V363"/>
  <c i="24" r="V364"/>
  <c i="24" r="V365"/>
  <c i="24" r="V366"/>
  <c i="24" r="V367"/>
  <c i="24" r="V368"/>
  <c i="24" r="V369"/>
  <c i="24" r="V370"/>
  <c i="24" r="V371"/>
  <c i="24" r="V372"/>
  <c i="24" r="V373"/>
  <c i="24" r="V374"/>
  <c i="24" r="V375"/>
  <c i="24" r="V376"/>
  <c i="24" r="V377"/>
  <c i="24" r="V378"/>
  <c i="24" r="V379"/>
  <c i="24" r="V380"/>
  <c i="24" r="V381"/>
  <c i="24" r="V382"/>
  <c i="24" r="V383"/>
  <c i="24" r="V384"/>
  <c i="23" r="B489"/>
  <c i="23" r="D707"/>
  <c i="23" r="D712"/>
  <c i="23" r="D715"/>
  <c i="23" r="B818"/>
  <c i="23" r="D852"/>
  <c i="23" r="B859"/>
  <c i="23" r="D929"/>
  <c i="23" r="B935"/>
  <c i="23" r="B971"/>
  <c i="23" r="D1048"/>
  <c i="23" r="D1049"/>
  <c i="23" r="B1152"/>
  <c i="23" r="D1199"/>
  <c i="23" r="D1224"/>
  <c i="23" r="D1270"/>
  <c i="23" r="D1296"/>
  <c i="23" r="D1308"/>
  <c i="23" r="D1400"/>
  <c i="23" r="D1428"/>
  <c i="23" r="D1665"/>
  <c i="23" r="D1684"/>
  <c i="23" r="D1762"/>
  <c i="23" r="D1840"/>
  <c i="23" r="D1859"/>
  <c i="23" r="B1863"/>
  <c i="23" r="D1926"/>
  <c i="23" r="D1928"/>
  <c i="23" r="B1930"/>
  <c i="23" r="D2007"/>
  <c i="23" r="B2022"/>
  <c i="23" r="B2023"/>
  <c i="23" r="D2052"/>
  <c i="23" r="D2053"/>
  <c i="23" r="D2220"/>
  <c i="23" r="D2285"/>
  <c i="23" r="B2354"/>
  <c i="23" r="D2354"/>
  <c i="23" r="B2543"/>
  <c i="23" r="D2545"/>
  <c i="23" r="D2683"/>
  <c i="23" r="D2786"/>
  <c i="23" r="D2916"/>
  <c i="23" r="D2919"/>
  <c i="23" r="D2974"/>
  <c i="23" r="B2994"/>
  <c i="23" r="D3073"/>
  <c i="23" r="D3122"/>
  <c i="23" r="D3155"/>
  <c i="23" r="D3166"/>
  <c i="23" r="D3486"/>
  <c i="23" r="D3609"/>
  <c i="23" r="D3612"/>
  <c i="23" r="D3617"/>
  <c i="23" r="D3619"/>
  <c i="23" r="D3622"/>
  <c i="23" r="D3626"/>
  <c i="23" r="D3766"/>
  <c i="23" r="B3776"/>
  <c i="23" r="D3856"/>
  <c i="23" r="D4446"/>
  <c i="23" r="D4456"/>
  <c i="23" r="D4479"/>
  <c i="23" r="D4492"/>
  <c i="23" r="D4596"/>
  <c i="23" r="B4652"/>
  <c i="23" r="D4665"/>
  <c i="23" r="B4711"/>
  <c i="23" r="B4725"/>
  <c i="23" r="D4726"/>
  <c i="23" r="D4740"/>
  <c i="23" r="D4785"/>
  <c i="23" r="B4803"/>
  <c i="23" r="D4829"/>
  <c i="23" r="D4834"/>
  <c i="23" r="D4844"/>
  <c i="23" r="D4859"/>
  <c i="23" r="B4881"/>
  <c i="23" r="B4896"/>
  <c i="23" r="D4986"/>
  <c i="23" r="B5015"/>
  <c i="23" r="B5255"/>
  <c i="23" r="D5290"/>
  <c i="23" r="D5319"/>
  <c i="23" r="B5388"/>
  <c i="23" r="B5416"/>
  <c i="23" r="B5442"/>
  <c i="23" r="B5532"/>
  <c i="23" r="D5573"/>
  <c i="23" r="B5579"/>
  <c i="23" r="D5603"/>
  <c i="23" r="B5691"/>
  <c i="23" r="D5714"/>
  <c i="23" r="D5726"/>
  <c i="23" r="D5729"/>
  <c i="23" r="D5739"/>
  <c i="23" r="D5801"/>
  <c i="23" r="D5865"/>
  <c i="23" r="D5957"/>
  <c i="23" r="D5960"/>
  <c i="23" r="B6002"/>
  <c i="23" r="D6013"/>
  <c i="23" r="D6019"/>
  <c i="23" r="D6024"/>
  <c i="23" r="D6027"/>
  <c i="23" r="B6081"/>
  <c i="23" r="D6086"/>
  <c i="23" r="B6087"/>
  <c i="23" r="D6087"/>
  <c i="23" r="D6114"/>
  <c i="23" r="D6125"/>
  <c i="23" r="D6133"/>
  <c i="23" r="D6148"/>
  <c i="23" r="D6159"/>
  <c i="23" r="D6162"/>
  <c i="23" r="B6174"/>
  <c i="23" r="D6193"/>
  <c i="23" r="B6208"/>
  <c i="23" r="D6227"/>
  <c i="23" r="D6230"/>
  <c i="23" r="D6235"/>
  <c i="23" r="D6268"/>
  <c i="23" r="D6316"/>
  <c i="23" r="B6319"/>
  <c i="23" r="D6324"/>
  <c i="23" r="D6328"/>
  <c i="23" r="D6333"/>
  <c i="23" r="D6353"/>
  <c i="23" r="D6362"/>
  <c i="23" r="D6393"/>
  <c i="23" r="D6395"/>
  <c i="23" r="D6396"/>
  <c i="23" r="D6463"/>
  <c i="23" r="D6489"/>
  <c i="23" r="D6524"/>
  <c i="23" r="B6550"/>
  <c i="23" r="D6559"/>
  <c i="23" r="D6569"/>
  <c i="23" r="D6570"/>
  <c i="23" r="D6571"/>
  <c i="23" r="B6585"/>
  <c i="23" r="D6594"/>
  <c i="23" r="B6612"/>
  <c i="23" r="B6678"/>
  <c i="23" r="D6700"/>
  <c i="23" r="D6738"/>
  <c i="23" r="D6747"/>
  <c i="23" r="D6753"/>
  <c i="23" r="B6794"/>
  <c i="23" r="D6794"/>
  <c i="23" r="D6802"/>
  <c i="23" r="D6819"/>
  <c i="23" r="D6861"/>
  <c i="23" r="B6873"/>
  <c i="23" r="D6897"/>
  <c i="23" r="D6923"/>
  <c i="23" r="D6943"/>
  <c i="23" r="D6961"/>
  <c i="23" r="B6976"/>
  <c i="23" r="D7023"/>
  <c i="23" r="D7039"/>
  <c i="23" r="D7042"/>
  <c i="23" r="D7052"/>
  <c i="23" r="D7125"/>
  <c i="23" r="B7162"/>
  <c i="23" r="D7188"/>
  <c i="23" r="B7209"/>
  <c i="23" r="D7294"/>
  <c i="23" r="D7325"/>
  <c i="23" r="D7329"/>
  <c i="23" r="D7379"/>
  <c i="23" r="D7403"/>
  <c i="23" r="D7459"/>
  <c i="23" r="B7481"/>
  <c i="23" r="D7482"/>
  <c i="23" r="D7512"/>
  <c i="23" r="D7513"/>
  <c i="23" r="D7517"/>
  <c i="23" r="B7520"/>
  <c i="23" r="D7520"/>
  <c i="23" r="D7595"/>
  <c i="23" r="D7631"/>
  <c i="24" r="D18"/>
  <c i="24" r="A4"/>
  <c i="24" r="A18" s="1"/>
  <c i="24" r="C4"/>
  <c i="24" r="C18" s="1"/>
  <c i="24" r="B4"/>
  <c i="24" r="B18" s="1"/>
  <c i="24" r="A6"/>
  <c i="24" r="A20" s="1"/>
  <c i="24" r="A7"/>
  <c i="24" r="A21" s="1"/>
  <c i="24" r="A8"/>
  <c i="24" r="A22" s="1"/>
  <c i="24" r="A9"/>
  <c i="24" r="A23" s="1"/>
  <c i="24" r="A10"/>
  <c i="24" r="A24" s="1"/>
  <c i="24" r="A11"/>
  <c i="24" r="A25" s="1"/>
  <c i="24" r="A12"/>
  <c i="24" r="A26" s="1"/>
  <c i="24" r="A13"/>
  <c i="24" r="A27" s="1"/>
  <c i="24" r="A5"/>
  <c i="24" r="A19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T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T116"/>
  <c i="11" r="O100"/>
  <c i="11" r="P100"/>
  <c i="11" r="Q100"/>
  <c i="11" r="R100"/>
  <c i="11" r="S100"/>
  <c i="11" r="T100"/>
  <c i="11" r="N116"/>
  <c i="11" r="N100"/>
  <c i="11" r="C116"/>
  <c i="11" r="D116"/>
  <c i="11" r="E116"/>
  <c i="11" r="F116"/>
  <c i="11" r="G116"/>
  <c i="11" r="H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T123"/>
  <c i="12" r="N123"/>
  <c i="12" r="O106"/>
  <c i="12" r="P106"/>
  <c i="12" r="Q106"/>
  <c i="12" r="R106"/>
  <c i="12" r="S106"/>
  <c i="12" r="T106"/>
  <c i="12" r="N106"/>
  <c i="12" r="C123"/>
  <c i="12" r="D123"/>
  <c i="12" r="E123"/>
  <c i="12" r="F123"/>
  <c i="12" r="G123"/>
  <c i="12" r="H123"/>
  <c i="12" r="B123"/>
  <c i="21" l="1" r="B337"/>
  <c i="10" r="H118" s="1"/>
  <c i="12" r="H117" s="1"/>
  <c i="20" r="B337"/>
  <c i="10" r="T118" s="1"/>
  <c i="11" l="1" r="H110"/>
  <c i="16" r="C10"/>
  <c i="10" r="AF118"/>
  <c i="12" r="T117"/>
  <c i="12" r="AF117" s="1"/>
  <c i="16" r="B10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10" r="H109" s="1"/>
  <c i="21" r="H213" s="1"/>
  <c i="10" r="H110" s="1"/>
  <c i="21" r="H214" s="1"/>
  <c i="10" r="H111" s="1"/>
  <c i="21" r="H215" s="1"/>
  <c i="10" r="H112" s="1"/>
  <c i="21" r="H216" s="1"/>
  <c i="10" r="H113" s="1"/>
  <c i="21" r="H217" s="1"/>
  <c i="10" r="H114" s="1"/>
  <c i="21" r="H218" s="1"/>
  <c i="10" r="H115" s="1"/>
  <c i="21" r="H211" s="1"/>
  <c i="10" r="H108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11" r="H102" s="1"/>
  <c i="21" r="H254" s="1"/>
  <c i="11" r="H103" s="1"/>
  <c i="21" r="H255" s="1"/>
  <c i="11" r="H104" s="1"/>
  <c i="21" r="H256" s="1"/>
  <c i="11" r="H105" s="1"/>
  <c i="21" r="H257" s="1"/>
  <c i="11" r="H106" s="1"/>
  <c i="21" r="H258" s="1"/>
  <c i="11" r="H107" s="1"/>
  <c i="21" r="H252" s="1"/>
  <c i="11" r="H101" s="1"/>
  <c i="21" r="H296" s="1"/>
  <c i="12" r="H108" s="1"/>
  <c i="21" r="H297" s="1"/>
  <c i="12" r="H109" s="1"/>
  <c i="21" r="H298" s="1"/>
  <c i="12" r="H110" s="1"/>
  <c i="21" r="H299" s="1"/>
  <c i="12" r="H111" s="1"/>
  <c i="21" r="H302" s="1"/>
  <c i="12" r="H114" s="1"/>
  <c i="21" r="H295" s="1"/>
  <c i="12" r="H107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21" r="B335"/>
  <c i="10" r="F118" s="1"/>
  <c i="16" r="B8" s="1"/>
  <c i="21" r="B336"/>
  <c i="10" r="G118" s="1"/>
  <c i="11" r="G110" s="1"/>
  <c i="20" r="B335"/>
  <c i="10" r="R118" s="1"/>
  <c i="16" r="C8" s="1"/>
  <c i="20" r="B336"/>
  <c i="10" r="S118" s="1"/>
  <c i="11" r="S110" s="1"/>
  <c i="20" r="H296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20" r="G218"/>
  <c i="10" r="S115" s="1"/>
  <c i="20" r="F218"/>
  <c i="10" r="R115" s="1"/>
  <c i="20" r="G217"/>
  <c i="10" r="S114" s="1"/>
  <c i="20" r="F217"/>
  <c i="10" r="R114" s="1"/>
  <c i="20" r="G216"/>
  <c i="10" r="S113" s="1"/>
  <c i="20" r="F216"/>
  <c i="10" r="R113" s="1"/>
  <c i="20" r="G215"/>
  <c i="10" r="S112" s="1"/>
  <c i="20" r="F215"/>
  <c i="10" r="R112" s="1"/>
  <c i="20" r="G214"/>
  <c i="10" r="S111" s="1"/>
  <c i="20" r="F214"/>
  <c i="10" r="R111" s="1"/>
  <c i="20" r="G213"/>
  <c i="10" r="S110" s="1"/>
  <c i="20" r="F213"/>
  <c i="10" r="R110" s="1"/>
  <c i="20" r="G212"/>
  <c i="10" r="S109" s="1"/>
  <c i="20" r="F212"/>
  <c i="10" r="R109" s="1"/>
  <c i="20" r="G211"/>
  <c i="10" r="S108" s="1"/>
  <c i="20" r="F211"/>
  <c i="10" r="R108" s="1"/>
  <c i="20" r="H212" s="1"/>
  <c i="21" r="V148"/>
  <c i="21" r="I148" s="1"/>
  <c i="9" r="I5" s="1"/>
  <c i="21" r="V149"/>
  <c i="21" r="I149" s="1"/>
  <c i="9" r="I6" s="1"/>
  <c i="21" r="V150"/>
  <c i="21" r="I150" s="1"/>
  <c i="9" r="I7" s="1"/>
  <c i="21" r="V151"/>
  <c i="21" r="I151" s="1"/>
  <c i="9" r="I8" s="1"/>
  <c i="21" r="V152"/>
  <c i="21" r="I152" s="1"/>
  <c i="9" r="I9" s="1"/>
  <c i="21" r="V153"/>
  <c i="21" r="I153" s="1"/>
  <c i="9" r="I10" s="1"/>
  <c i="21" r="V154"/>
  <c i="21" r="I154" s="1"/>
  <c i="9" r="I11" s="1"/>
  <c i="21" r="Q129"/>
  <c i="21" r="D129" s="1"/>
  <c i="10" r="F48"/>
  <c i="10" r="F61" s="1"/>
  <c i="20" r="H255"/>
  <c i="20" r="H215"/>
  <c i="10" r="T112" s="1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S291"/>
  <c i="21" r="F291" s="1"/>
  <c i="12" r="F80" s="1"/>
  <c i="16" r="B70" s="1"/>
  <c i="21" r="S290"/>
  <c i="21" r="F290" s="1"/>
  <c i="12" r="F79" s="1"/>
  <c i="16" r="B69" s="1"/>
  <c i="21" r="S289"/>
  <c i="21" r="F289" s="1"/>
  <c i="12" r="F78" s="1"/>
  <c i="16" r="B68" s="1"/>
  <c i="21" r="S288"/>
  <c i="21" r="F288" s="1"/>
  <c i="12" r="F77" s="1"/>
  <c i="16" r="B67" s="1"/>
  <c i="21" r="S287"/>
  <c i="21" r="F287" s="1"/>
  <c i="12" r="F76" s="1"/>
  <c i="16" r="B66" s="1"/>
  <c i="21" r="S286"/>
  <c i="21" r="S285"/>
  <c i="21" r="F285" s="1"/>
  <c i="12" r="F74" s="1"/>
  <c i="16" r="B64" s="1"/>
  <c i="21" r="S284"/>
  <c i="21" r="F284" s="1"/>
  <c i="12" r="F73" s="1"/>
  <c i="16" r="B63" s="1"/>
  <c i="21" r="S280"/>
  <c i="21" r="F280" s="1"/>
  <c i="21" r="W269"/>
  <c i="21" r="J269" s="1"/>
  <c i="12" r="K12" s="1"/>
  <c i="21" r="S274"/>
  <c i="21" r="F274" s="1"/>
  <c i="21" r="S275"/>
  <c i="21" r="F275" s="1"/>
  <c i="21" r="S276"/>
  <c i="21" r="F276" s="1"/>
  <c i="21" r="S277"/>
  <c i="21" r="F277" s="1"/>
  <c i="21" r="S278"/>
  <c i="21" r="F278" s="1"/>
  <c i="21" r="S279"/>
  <c i="21" r="F279" s="1"/>
  <c i="21" r="S273"/>
  <c i="21" r="F273" s="1"/>
  <c i="21" r="W263"/>
  <c i="21" r="J263" s="1"/>
  <c i="12" r="K6" s="1"/>
  <c i="21" r="W264"/>
  <c i="21" r="W265"/>
  <c i="21" r="W266"/>
  <c i="21" r="W267"/>
  <c i="21" r="W268"/>
  <c i="21" r="W262"/>
  <c i="21" r="J262" s="1"/>
  <c i="12" r="K5" s="1"/>
  <c i="21" r="S248"/>
  <c i="21" r="F248" s="1"/>
  <c i="11" r="F75" s="1"/>
  <c i="21" r="S247"/>
  <c i="21" r="F247" s="1"/>
  <c i="11" r="F74" s="1"/>
  <c i="21" r="S246"/>
  <c i="21" r="F246" s="1"/>
  <c i="11" r="F73" s="1"/>
  <c i="21" r="S245"/>
  <c i="21" r="F245" s="1"/>
  <c i="11" r="F72" s="1"/>
  <c i="21" r="S244"/>
  <c i="21" r="F244" s="1"/>
  <c i="11" r="F71" s="1"/>
  <c i="21" r="S243"/>
  <c i="21" r="F243" s="1"/>
  <c i="11" r="F70" s="1"/>
  <c i="21" r="S242"/>
  <c i="21" r="F242" s="1"/>
  <c i="11" r="F69" s="1"/>
  <c i="21" r="S233"/>
  <c i="21" r="F233" s="1"/>
  <c i="21" r="S234"/>
  <c i="21" r="F234" s="1"/>
  <c i="21" r="S235"/>
  <c i="21" r="F235" s="1"/>
  <c i="21" r="S236"/>
  <c i="21" r="F236" s="1"/>
  <c i="21" r="S237"/>
  <c i="21" r="F237" s="1"/>
  <c i="21" r="S238"/>
  <c i="21" r="F238" s="1"/>
  <c i="21" r="S232"/>
  <c i="21" r="F232" s="1"/>
  <c i="21" r="W223"/>
  <c i="21" r="W224"/>
  <c i="21" r="W225"/>
  <c i="21" r="W226"/>
  <c i="21" r="W227"/>
  <c i="21" r="W228"/>
  <c i="21" r="W222"/>
  <c i="21" r="S207"/>
  <c i="21" r="F207" s="1"/>
  <c i="10" r="F81" s="1"/>
  <c i="21" r="S206"/>
  <c i="21" r="F206" s="1"/>
  <c i="10" r="F80" s="1"/>
  <c i="21" r="S205"/>
  <c i="21" r="F205" s="1"/>
  <c i="10" r="F79" s="1"/>
  <c i="21" r="S204"/>
  <c i="21" r="F204" s="1"/>
  <c i="10" r="F78" s="1"/>
  <c i="21" r="S203"/>
  <c i="21" r="F203" s="1"/>
  <c i="10" r="F77" s="1"/>
  <c i="21" r="S202"/>
  <c i="21" r="F202" s="1"/>
  <c i="10" r="F76" s="1"/>
  <c i="21" r="S201"/>
  <c i="21" r="F201" s="1"/>
  <c i="10" r="F75" s="1"/>
  <c i="21" r="S200"/>
  <c i="21" r="F200" s="1"/>
  <c i="10" r="F74" s="1"/>
  <c i="21" r="S190"/>
  <c i="21" r="F190" s="1"/>
  <c i="21" r="S191"/>
  <c i="21" r="F191" s="1"/>
  <c i="21" r="S192"/>
  <c i="21" r="F192" s="1"/>
  <c i="21" r="S193"/>
  <c i="21" r="F193" s="1"/>
  <c i="21" r="S194"/>
  <c i="21" r="F194" s="1"/>
  <c i="21" r="S195"/>
  <c i="21" r="F195" s="1"/>
  <c i="21" r="S196"/>
  <c i="21" r="F196" s="1"/>
  <c i="21" r="S189"/>
  <c i="21" r="F189" s="1"/>
  <c i="21" r="W179"/>
  <c i="21" r="J179" s="1"/>
  <c i="10" r="K6" s="1"/>
  <c i="21" r="W180"/>
  <c i="21" r="W181"/>
  <c i="21" r="W182"/>
  <c i="21" r="W183"/>
  <c i="21" r="W184"/>
  <c i="21" r="W185"/>
  <c i="21" r="J185" s="1"/>
  <c i="10" r="K12" s="1"/>
  <c i="21" r="W178"/>
  <c i="21" r="J178" s="1"/>
  <c i="10" r="K5" s="1"/>
  <c i="21" r="V174"/>
  <c i="21" r="I174" s="1"/>
  <c i="9" r="I71" s="1"/>
  <c i="21" r="V173"/>
  <c i="21" r="I173" s="1"/>
  <c i="9" r="I70" s="1"/>
  <c i="21" r="V172"/>
  <c i="21" r="I172" s="1"/>
  <c i="9" r="I69" s="1"/>
  <c i="21" r="V171"/>
  <c i="21" r="I171" s="1"/>
  <c i="9" r="I68" s="1"/>
  <c i="21" r="V170"/>
  <c i="21" r="I170" s="1"/>
  <c i="9" r="I67" s="1"/>
  <c i="21" r="V169"/>
  <c i="21" r="I169" s="1"/>
  <c i="9" r="I66" s="1"/>
  <c i="21" r="V168"/>
  <c i="21" r="I168" s="1"/>
  <c i="9" r="I65" s="1"/>
  <c i="21" r="V164"/>
  <c i="21" r="I164" s="1"/>
  <c i="9" r="I41" s="1"/>
  <c i="21" r="V163"/>
  <c i="21" r="I163" s="1"/>
  <c i="9" r="I40" s="1"/>
  <c i="21" r="V162"/>
  <c i="21" r="I162" s="1"/>
  <c i="9" r="I39" s="1"/>
  <c i="21" r="V161"/>
  <c i="21" r="I161" s="1"/>
  <c i="9" r="I38" s="1"/>
  <c i="21" r="V160"/>
  <c i="21" r="I160" s="1"/>
  <c i="9" r="I37" s="1"/>
  <c i="21" r="V159"/>
  <c i="21" r="I159" s="1"/>
  <c i="9" r="I36" s="1"/>
  <c i="21" r="V158"/>
  <c i="21" r="I158" s="1"/>
  <c i="9" r="I35" s="1"/>
  <c i="21" r="Q137"/>
  <c i="21" r="D137" s="1"/>
  <c i="24" r="B102" s="1"/>
  <c i="21" r="Q138"/>
  <c i="21" r="D138" s="1"/>
  <c i="24" r="B103" s="1"/>
  <c i="21" r="Q139"/>
  <c i="21" r="D139" s="1"/>
  <c i="24" r="B104" s="1"/>
  <c i="21" r="Q140"/>
  <c i="21" r="D140" s="1"/>
  <c i="24" r="B105" s="1"/>
  <c i="21" r="Q141"/>
  <c i="21" r="D141" s="1"/>
  <c i="24" r="B106" s="1"/>
  <c i="21" r="Q142"/>
  <c i="21" r="D142" s="1"/>
  <c i="24" r="B107" s="1"/>
  <c i="20" r="S291"/>
  <c i="20" r="F291" s="1"/>
  <c i="12" r="R80" s="1"/>
  <c i="20" r="S290"/>
  <c i="20" r="F290" s="1"/>
  <c i="12" r="R79" s="1"/>
  <c i="20" r="S289"/>
  <c i="20" r="F289" s="1"/>
  <c i="12" r="R78" s="1"/>
  <c i="20" r="S288"/>
  <c i="20" r="F288" s="1"/>
  <c i="12" r="R77" s="1"/>
  <c i="20" r="S287"/>
  <c i="20" r="F287" s="1"/>
  <c i="12" r="R76" s="1"/>
  <c i="20" r="S286"/>
  <c i="20" r="F286" s="1"/>
  <c i="12" r="R75" s="1"/>
  <c i="20" r="S285"/>
  <c i="20" r="F285" s="1"/>
  <c i="12" r="R74" s="1"/>
  <c i="20" r="S284"/>
  <c i="20" r="F284" s="1"/>
  <c i="12" r="R73" s="1"/>
  <c i="20" r="S274"/>
  <c i="20" r="F274" s="1"/>
  <c i="20" r="S275"/>
  <c i="20" r="F275" s="1"/>
  <c i="20" r="S276"/>
  <c i="20" r="F276" s="1"/>
  <c i="20" r="S277"/>
  <c i="20" r="F277" s="1"/>
  <c i="20" r="S278"/>
  <c i="20" r="F278" s="1"/>
  <c i="20" r="S279"/>
  <c i="20" r="F279" s="1"/>
  <c i="20" r="S280"/>
  <c i="20" r="F280" s="1"/>
  <c i="20" r="S273"/>
  <c i="20" r="F273" s="1"/>
  <c i="20" r="W263"/>
  <c i="20" r="J263" s="1"/>
  <c i="12" r="W6" s="1"/>
  <c i="16" r="C64" s="1"/>
  <c i="20" r="W264"/>
  <c i="20" r="J264" s="1"/>
  <c i="12" r="W7" s="1"/>
  <c i="20" r="W265"/>
  <c i="20" r="J265" s="1"/>
  <c i="12" r="W8" s="1"/>
  <c i="20" r="W266"/>
  <c i="20" r="J266" s="1"/>
  <c i="12" r="W9" s="1"/>
  <c i="20" r="W267"/>
  <c i="20" r="J267" s="1"/>
  <c i="12" r="W10" s="1"/>
  <c i="16" r="C68" s="1"/>
  <c i="20" r="W268"/>
  <c i="20" r="J268" s="1"/>
  <c i="12" r="W11" s="1"/>
  <c i="16" r="C69" s="1"/>
  <c i="20" r="W269"/>
  <c i="20" r="J269" s="1"/>
  <c i="12" r="W12" s="1"/>
  <c i="16" r="C70" s="1"/>
  <c i="20" r="W262"/>
  <c i="20" r="J262" s="1"/>
  <c i="12" r="W5" s="1"/>
  <c i="20" r="S248"/>
  <c i="20" r="F248" s="1"/>
  <c i="11" r="R75" s="1"/>
  <c i="20" r="S247"/>
  <c i="20" r="F247" s="1"/>
  <c i="11" r="R74" s="1"/>
  <c i="20" r="S246"/>
  <c i="20" r="F246" s="1"/>
  <c i="11" r="R73" s="1"/>
  <c i="20" r="S245"/>
  <c i="20" r="F245" s="1"/>
  <c i="11" r="R72" s="1"/>
  <c i="20" r="S244"/>
  <c i="20" r="F244" s="1"/>
  <c i="11" r="R71" s="1"/>
  <c i="20" r="S243"/>
  <c i="20" r="F243" s="1"/>
  <c i="11" r="R70" s="1"/>
  <c i="20" r="S242"/>
  <c i="20" r="F242" s="1"/>
  <c i="11" r="R69" s="1"/>
  <c i="20" r="S233"/>
  <c i="20" r="F233" s="1"/>
  <c i="20" r="S234"/>
  <c i="20" r="F234" s="1"/>
  <c i="20" r="S235"/>
  <c i="20" r="F235" s="1"/>
  <c i="20" r="S236"/>
  <c i="20" r="F236" s="1"/>
  <c i="20" r="S237"/>
  <c i="20" r="F237" s="1"/>
  <c i="20" r="S238"/>
  <c i="20" r="F238" s="1"/>
  <c i="20" r="S232"/>
  <c i="20" r="F232" s="1"/>
  <c i="20" r="W223"/>
  <c i="20" r="W224"/>
  <c i="20" r="W225"/>
  <c i="20" r="W226"/>
  <c i="20" r="W227"/>
  <c i="20" r="W228"/>
  <c i="20" r="W222"/>
  <c i="20" r="S207"/>
  <c i="20" r="F207" s="1"/>
  <c i="10" r="R81" s="1"/>
  <c i="24" r="C12" s="1"/>
  <c i="20" r="S206"/>
  <c i="20" r="F206" s="1"/>
  <c i="10" r="R80" s="1"/>
  <c i="24" r="C11" s="1"/>
  <c i="20" r="S205"/>
  <c i="20" r="F205" s="1"/>
  <c i="10" r="R79" s="1"/>
  <c i="24" r="C10" s="1"/>
  <c i="20" r="S204"/>
  <c i="20" r="F204" s="1"/>
  <c i="10" r="R78" s="1"/>
  <c i="24" r="C9" s="1"/>
  <c i="20" r="S203"/>
  <c i="20" r="F203" s="1"/>
  <c i="10" r="R77" s="1"/>
  <c i="24" r="C8" s="1"/>
  <c i="20" r="S202"/>
  <c i="20" r="F202" s="1"/>
  <c i="10" r="R76" s="1"/>
  <c i="24" r="C7" s="1"/>
  <c i="20" r="S201"/>
  <c i="20" r="F201" s="1"/>
  <c i="10" r="R75" s="1"/>
  <c i="24" r="C6" s="1"/>
  <c i="20" r="S200"/>
  <c i="20" r="F200" s="1"/>
  <c i="10" r="R74" s="1"/>
  <c i="24" r="C5" s="1"/>
  <c i="20" r="S190"/>
  <c i="20" r="F190" s="1"/>
  <c i="20" r="S191"/>
  <c i="20" r="F191" s="1"/>
  <c i="20" r="S192"/>
  <c i="20" r="F192" s="1"/>
  <c i="20" r="S193"/>
  <c i="20" r="F193" s="1"/>
  <c i="20" r="S194"/>
  <c i="20" r="F194" s="1"/>
  <c i="20" r="S195"/>
  <c i="20" r="F195" s="1"/>
  <c i="20" r="S196"/>
  <c i="20" r="F196" s="1"/>
  <c i="20" r="S189"/>
  <c i="20" r="F189" s="1"/>
  <c i="20" r="W185"/>
  <c i="20" r="J185" s="1"/>
  <c i="10" r="W12" s="1"/>
  <c i="20" r="V174"/>
  <c i="20" r="I174" s="1"/>
  <c i="9" r="S71" s="1"/>
  <c i="20" r="V173"/>
  <c i="20" r="I173" s="1"/>
  <c i="9" r="S70" s="1"/>
  <c i="20" r="V172"/>
  <c i="20" r="I172" s="1"/>
  <c i="9" r="S69" s="1"/>
  <c i="20" r="V171"/>
  <c i="20" r="I171" s="1"/>
  <c i="9" r="S68" s="1"/>
  <c i="20" r="V170"/>
  <c i="20" r="I170" s="1"/>
  <c i="9" r="S67" s="1"/>
  <c i="20" r="V169"/>
  <c i="20" r="I169" s="1"/>
  <c i="9" r="S66" s="1"/>
  <c i="20" r="V168"/>
  <c i="20" r="I168" s="1"/>
  <c i="9" r="S65" s="1"/>
  <c i="20" r="V159"/>
  <c i="20" r="I159" s="1"/>
  <c i="9" r="S36" s="1"/>
  <c i="20" r="V160"/>
  <c i="20" r="I160" s="1"/>
  <c i="9" r="S37" s="1"/>
  <c i="20" r="V161"/>
  <c i="20" r="I161" s="1"/>
  <c i="9" r="S38" s="1"/>
  <c i="20" r="V162"/>
  <c i="20" r="I162" s="1"/>
  <c i="9" r="S39" s="1"/>
  <c i="20" r="V163"/>
  <c i="20" r="I163" s="1"/>
  <c i="9" r="S40" s="1"/>
  <c i="20" r="V164"/>
  <c i="20" r="I164" s="1"/>
  <c i="9" r="S41" s="1"/>
  <c i="20" r="V158"/>
  <c i="20" r="I158" s="1"/>
  <c i="9" r="S35" s="1"/>
  <c i="20" r="V149"/>
  <c i="20" r="I149" s="1"/>
  <c i="9" r="S6" s="1"/>
  <c i="20" r="V150"/>
  <c i="20" r="I150" s="1"/>
  <c i="9" r="S7" s="1"/>
  <c i="20" r="V151"/>
  <c i="20" r="I151" s="1"/>
  <c i="9" r="S8" s="1"/>
  <c i="20" r="V152"/>
  <c i="20" r="I152" s="1"/>
  <c i="9" r="S9" s="1"/>
  <c i="20" r="V153"/>
  <c i="20" r="I153" s="1"/>
  <c i="9" r="S10" s="1"/>
  <c i="20" r="V154"/>
  <c i="20" r="I154" s="1"/>
  <c i="9" r="S11" s="1"/>
  <c i="20" r="V148"/>
  <c i="20" r="I148" s="1"/>
  <c i="9" r="S5" s="1"/>
  <c i="20" r="W179"/>
  <c i="20" r="J179" s="1"/>
  <c i="10" r="W6" s="1"/>
  <c i="16" r="C34" s="1"/>
  <c i="20" r="W180"/>
  <c i="20" r="J180" s="1"/>
  <c i="10" r="W7" s="1"/>
  <c i="16" r="C35" s="1"/>
  <c i="20" r="W181"/>
  <c i="20" r="J181" s="1"/>
  <c i="10" r="W8" s="1"/>
  <c i="20" r="W182"/>
  <c i="20" r="J182" s="1"/>
  <c i="10" r="W9" s="1"/>
  <c i="16" r="C37" s="1"/>
  <c i="20" r="W183"/>
  <c i="20" r="J183" s="1"/>
  <c i="10" r="W10" s="1"/>
  <c i="20" r="W184"/>
  <c i="20" r="J184" s="1"/>
  <c i="10" r="W11" s="1"/>
  <c i="10" r="AM11" s="1"/>
  <c i="20" r="W178"/>
  <c i="20" r="J178" s="1"/>
  <c i="10" r="W5" s="1"/>
  <c i="12" r="F64"/>
  <c i="12" r="F63"/>
  <c i="12" r="F62"/>
  <c i="12" r="F61"/>
  <c i="12" r="F60"/>
  <c i="12" r="F59"/>
  <c i="12" r="F58"/>
  <c i="12" r="F57"/>
  <c i="12" r="F56"/>
  <c i="21" r="Q136"/>
  <c i="21" r="D136" s="1"/>
  <c i="24" r="B101" s="1"/>
  <c i="21" r="B334"/>
  <c i="10" r="E118" s="1"/>
  <c i="16" r="B7" s="1"/>
  <c i="21" r="B333"/>
  <c i="10" r="D118" s="1"/>
  <c i="21" r="B332"/>
  <c i="10" r="C118" s="1"/>
  <c i="21" r="B331"/>
  <c i="10" r="B118" s="1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5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1" r="H185"/>
  <c i="10" r="I12" s="1"/>
  <c i="24" r="H41" s="1"/>
  <c i="21" r="G185"/>
  <c i="10" r="G12" s="1"/>
  <c i="24" r="G41" s="1"/>
  <c i="21" r="F185"/>
  <c i="10" r="F12" s="1"/>
  <c i="24" r="F41" s="1"/>
  <c i="21" r="E185"/>
  <c i="10" r="E12" s="1"/>
  <c i="24" r="E41" s="1"/>
  <c i="21" r="D185"/>
  <c i="10" r="D12" s="1"/>
  <c i="24" r="D41" s="1"/>
  <c i="21" r="C185"/>
  <c i="10" r="C12" s="1"/>
  <c i="24" r="C41" s="1"/>
  <c i="21" r="B185"/>
  <c i="10" r="B12" s="1"/>
  <c i="24" r="B41" s="1"/>
  <c i="21" r="I184"/>
  <c i="10" r="J11" s="1"/>
  <c i="21" r="H184"/>
  <c i="10" r="I11" s="1"/>
  <c i="24" r="H40" s="1"/>
  <c i="21" r="G184"/>
  <c i="10" r="G11" s="1"/>
  <c i="24" r="G40" s="1"/>
  <c i="21" r="F184"/>
  <c i="10" r="F11" s="1"/>
  <c i="24" r="F40" s="1"/>
  <c i="21" r="E184"/>
  <c i="10" r="E11" s="1"/>
  <c i="24" r="E40" s="1"/>
  <c i="21" r="D184"/>
  <c i="10" r="D11" s="1"/>
  <c i="24" r="D40" s="1"/>
  <c i="21" r="C184"/>
  <c i="10" r="C11" s="1"/>
  <c i="24" r="C40" s="1"/>
  <c i="21" r="B184"/>
  <c i="10" r="B11" s="1"/>
  <c i="24" r="B40" s="1"/>
  <c i="21" r="I183"/>
  <c i="10" r="J10" s="1"/>
  <c i="21" r="H183"/>
  <c i="10" r="I10" s="1"/>
  <c i="24" r="H39" s="1"/>
  <c i="21" r="G183"/>
  <c i="10" r="G10" s="1"/>
  <c i="24" r="G39" s="1"/>
  <c i="21" r="F183"/>
  <c i="10" r="F10" s="1"/>
  <c i="24" r="F39" s="1"/>
  <c i="21" r="E183"/>
  <c i="10" r="E10" s="1"/>
  <c i="24" r="E39" s="1"/>
  <c i="21" r="D183"/>
  <c i="10" r="D10" s="1"/>
  <c i="24" r="D39" s="1"/>
  <c i="21" r="C183"/>
  <c i="10" r="C10" s="1"/>
  <c i="24" r="C39" s="1"/>
  <c i="21" r="B183"/>
  <c i="10" r="B10" s="1"/>
  <c i="24" r="B39" s="1"/>
  <c i="21" r="I182"/>
  <c i="10" r="J9" s="1"/>
  <c i="21" r="H182"/>
  <c i="10" r="I9" s="1"/>
  <c i="24" r="H38" s="1"/>
  <c i="21" r="G182"/>
  <c i="10" r="G9" s="1"/>
  <c i="24" r="G38" s="1"/>
  <c i="21" r="F182"/>
  <c i="10" r="F9" s="1"/>
  <c i="24" r="F38" s="1"/>
  <c i="21" r="E182"/>
  <c i="10" r="E9" s="1"/>
  <c i="24" r="E38" s="1"/>
  <c i="21" r="D182"/>
  <c i="10" r="D9" s="1"/>
  <c i="24" r="D38" s="1"/>
  <c i="21" r="C182"/>
  <c i="10" r="C9" s="1"/>
  <c i="24" r="C38" s="1"/>
  <c i="21" r="B182"/>
  <c i="10" r="B9" s="1"/>
  <c i="24" r="B38" s="1"/>
  <c i="21" r="I181"/>
  <c i="10" r="J8" s="1"/>
  <c i="21" r="H181"/>
  <c i="10" r="I8" s="1"/>
  <c i="24" r="H37" s="1"/>
  <c i="21" r="G181"/>
  <c i="10" r="G8" s="1"/>
  <c i="24" r="G37" s="1"/>
  <c i="21" r="F181"/>
  <c i="10" r="F8" s="1"/>
  <c i="24" r="F37" s="1"/>
  <c i="21" r="E181"/>
  <c i="10" r="E8" s="1"/>
  <c i="24" r="E37" s="1"/>
  <c i="21" r="D181"/>
  <c i="10" r="D8" s="1"/>
  <c i="24" r="D37" s="1"/>
  <c i="21" r="C181"/>
  <c i="10" r="C8" s="1"/>
  <c i="24" r="C37" s="1"/>
  <c i="21" r="B181"/>
  <c i="10" r="B8" s="1"/>
  <c i="24" r="B37" s="1"/>
  <c i="21" r="I180"/>
  <c i="10" r="J7" s="1"/>
  <c i="21" r="H180"/>
  <c i="10" r="I7" s="1"/>
  <c i="24" r="H36" s="1"/>
  <c i="21" r="G180"/>
  <c i="10" r="G7" s="1"/>
  <c i="24" r="G36" s="1"/>
  <c i="21" r="F180"/>
  <c i="10" r="F7" s="1"/>
  <c i="24" r="F36" s="1"/>
  <c i="21" r="E180"/>
  <c i="10" r="E7" s="1"/>
  <c i="24" r="E36" s="1"/>
  <c i="21" r="D180"/>
  <c i="10" r="D7" s="1"/>
  <c i="24" r="D36" s="1"/>
  <c i="21" r="C180"/>
  <c i="10" r="C7" s="1"/>
  <c i="24" r="C36" s="1"/>
  <c i="21" r="B180"/>
  <c i="10" r="B7" s="1"/>
  <c i="24" r="B36" s="1"/>
  <c i="21" r="I179"/>
  <c i="10" r="J6" s="1"/>
  <c i="21" r="H179"/>
  <c i="10" r="I6" s="1"/>
  <c i="24" r="H35" s="1"/>
  <c i="21" r="G179"/>
  <c i="10" r="G6" s="1"/>
  <c i="24" r="G35" s="1"/>
  <c i="21" r="F179"/>
  <c i="10" r="F6" s="1"/>
  <c i="24" r="F35" s="1"/>
  <c i="21" r="E179"/>
  <c i="10" r="E6" s="1"/>
  <c i="24" r="E35" s="1"/>
  <c i="21" r="D179"/>
  <c i="10" r="D6" s="1"/>
  <c i="24" r="D35" s="1"/>
  <c i="21" r="C179"/>
  <c i="10" r="C6" s="1"/>
  <c i="24" r="C35" s="1"/>
  <c i="21" r="B179"/>
  <c i="10" r="B6" s="1"/>
  <c i="24" r="B35" s="1"/>
  <c i="21" r="I178"/>
  <c i="10" r="J5" s="1"/>
  <c i="21" r="H178"/>
  <c i="10" r="I5" s="1"/>
  <c i="24" r="H34" s="1"/>
  <c i="21" r="G178"/>
  <c i="10" r="G5" s="1"/>
  <c i="24" r="G34" s="1"/>
  <c i="21" r="F178"/>
  <c i="10" r="F5" s="1"/>
  <c i="24" r="F34" s="1"/>
  <c i="21" r="E178"/>
  <c i="10" r="E5" s="1"/>
  <c i="24" r="E34" s="1"/>
  <c i="21" r="D178"/>
  <c i="10" r="D5" s="1"/>
  <c i="24" r="D34" s="1"/>
  <c i="21" r="C178"/>
  <c i="10" r="C5" s="1"/>
  <c i="24" r="C34" s="1"/>
  <c i="21" r="B178"/>
  <c i="10" r="B5" s="1"/>
  <c i="24" r="B34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Q132"/>
  <c i="21" r="D132" s="1"/>
  <c i="21" r="Q131"/>
  <c i="21" r="D131" s="1"/>
  <c i="21" r="Q130"/>
  <c i="21" r="D130" s="1"/>
  <c i="21" r="C129"/>
  <c i="21" r="B129"/>
  <c i="21" r="W125"/>
  <c i="21" r="J125" s="1"/>
  <c i="21" r="I125"/>
  <c i="21" r="H125"/>
  <c i="21" r="G125"/>
  <c i="21" r="F125"/>
  <c i="21" r="E125"/>
  <c i="21" r="D125"/>
  <c i="21" r="C125"/>
  <c i="21" r="B125"/>
  <c i="21" r="W124"/>
  <c i="21" r="J124" s="1"/>
  <c i="21" r="I124"/>
  <c i="21" r="H124"/>
  <c i="21" r="G124"/>
  <c i="21" r="F124"/>
  <c i="21" r="E124"/>
  <c i="21" r="D124"/>
  <c i="21" r="C124"/>
  <c i="21" r="B124"/>
  <c i="21" r="W123"/>
  <c i="21" r="J123" s="1"/>
  <c i="21" r="I123"/>
  <c i="21" r="H123"/>
  <c i="21" r="G123"/>
  <c i="21" r="F123"/>
  <c i="21" r="E123"/>
  <c i="21" r="D123"/>
  <c i="21" r="C123"/>
  <c i="21" r="B123"/>
  <c i="21" r="W122"/>
  <c i="21" r="J122" s="1"/>
  <c i="21" r="I122"/>
  <c i="21" r="H122"/>
  <c i="21" r="G122"/>
  <c i="21" r="F122"/>
  <c i="21" r="E122"/>
  <c i="21" r="D122"/>
  <c i="21" r="C122"/>
  <c i="21" r="B122"/>
  <c i="21" r="W118"/>
  <c i="21" r="J118" s="1"/>
  <c i="21" r="I118"/>
  <c i="21" r="H118"/>
  <c i="21" r="G118"/>
  <c i="21" r="F118"/>
  <c i="21" r="E118"/>
  <c i="21" r="D118"/>
  <c i="21" r="C118"/>
  <c i="21" r="B118"/>
  <c i="21" r="W117"/>
  <c i="21" r="J117" s="1"/>
  <c i="21" r="I117"/>
  <c i="21" r="H117"/>
  <c i="21" r="G117"/>
  <c i="21" r="F117"/>
  <c i="21" r="E117"/>
  <c i="21" r="D117"/>
  <c i="21" r="C117"/>
  <c i="21" r="B117"/>
  <c i="21" r="W116"/>
  <c i="21" r="J116" s="1"/>
  <c i="21" r="I116"/>
  <c i="21" r="H116"/>
  <c i="21" r="G116"/>
  <c i="21" r="F116"/>
  <c i="21" r="E116"/>
  <c i="21" r="D116"/>
  <c i="21" r="C116"/>
  <c i="21" r="B116"/>
  <c i="21" r="W115"/>
  <c i="21" r="J115" s="1"/>
  <c i="21" r="I115"/>
  <c i="21" r="H115"/>
  <c i="21" r="G115"/>
  <c i="21" r="F115"/>
  <c i="21" r="E115"/>
  <c i="21" r="D115"/>
  <c i="21" r="C115"/>
  <c i="21" r="B115"/>
  <c i="21" r="W111"/>
  <c i="21" r="J111" s="1"/>
  <c i="21" r="I111"/>
  <c i="21" r="H111"/>
  <c i="21" r="G111"/>
  <c i="21" r="F111"/>
  <c i="21" r="E111"/>
  <c i="21" r="D111"/>
  <c i="21" r="C111"/>
  <c i="21" r="B111"/>
  <c i="21" r="W110"/>
  <c i="21" r="J110" s="1"/>
  <c i="21" r="I110"/>
  <c i="21" r="H110"/>
  <c i="21" r="G110"/>
  <c i="21" r="F110"/>
  <c i="21" r="E110"/>
  <c i="21" r="D110"/>
  <c i="21" r="C110"/>
  <c i="21" r="B110"/>
  <c i="21" r="W109"/>
  <c i="21" r="J109" s="1"/>
  <c i="21" r="I109"/>
  <c i="21" r="H109"/>
  <c i="21" r="G109"/>
  <c i="21" r="F109"/>
  <c i="21" r="E109"/>
  <c i="21" r="D109"/>
  <c i="21" r="C109"/>
  <c i="21" r="B109"/>
  <c i="21" r="W108"/>
  <c i="21" r="J108" s="1"/>
  <c i="21" r="I108"/>
  <c i="21" r="H108"/>
  <c i="21" r="G108"/>
  <c i="21" r="F108"/>
  <c i="21" r="E108"/>
  <c i="21" r="D108"/>
  <c i="21" r="C108"/>
  <c i="21" r="B108"/>
  <c i="21" r="W104"/>
  <c i="21" r="J104" s="1"/>
  <c i="21" r="I104"/>
  <c i="21" r="H104"/>
  <c i="21" r="G104"/>
  <c i="21" r="F104"/>
  <c i="21" r="E104"/>
  <c i="21" r="D104"/>
  <c i="21" r="C104"/>
  <c i="21" r="B104"/>
  <c i="21" r="W103"/>
  <c i="21" r="J103" s="1"/>
  <c i="21" r="I103"/>
  <c i="21" r="H103"/>
  <c i="21" r="G103"/>
  <c i="21" r="F103"/>
  <c i="21" r="E103"/>
  <c i="21" r="D103"/>
  <c i="21" r="C103"/>
  <c i="21" r="B103"/>
  <c i="21" r="W102"/>
  <c i="21" r="J102" s="1"/>
  <c i="21" r="I102"/>
  <c i="21" r="H102"/>
  <c i="21" r="G102"/>
  <c i="21" r="F102"/>
  <c i="21" r="E102"/>
  <c i="21" r="D102"/>
  <c i="21" r="C102"/>
  <c i="21" r="B102"/>
  <c i="21" r="W101"/>
  <c i="21" r="J101" s="1"/>
  <c i="21" r="I101"/>
  <c i="21" r="H101"/>
  <c i="21" r="G101"/>
  <c i="21" r="F101"/>
  <c i="21" r="E101"/>
  <c i="21" r="D101"/>
  <c i="21" r="C101"/>
  <c i="21" r="B101"/>
  <c i="21" r="W97"/>
  <c i="21" r="J97" s="1"/>
  <c i="21" r="I97"/>
  <c i="21" r="H97"/>
  <c i="21" r="G97"/>
  <c i="21" r="F97"/>
  <c i="21" r="E97"/>
  <c i="21" r="D97"/>
  <c i="21" r="C97"/>
  <c i="21" r="B97"/>
  <c i="21" r="W96"/>
  <c i="21" r="J96" s="1"/>
  <c i="21" r="I96"/>
  <c i="21" r="H96"/>
  <c i="21" r="G96"/>
  <c i="21" r="F96"/>
  <c i="21" r="E96"/>
  <c i="21" r="D96"/>
  <c i="21" r="C96"/>
  <c i="21" r="B96"/>
  <c i="21" r="W95"/>
  <c i="21" r="J95" s="1"/>
  <c i="21" r="I95"/>
  <c i="21" r="H95"/>
  <c i="21" r="G95"/>
  <c i="21" r="F95"/>
  <c i="21" r="E95"/>
  <c i="21" r="D95"/>
  <c i="21" r="C95"/>
  <c i="21" r="B95"/>
  <c i="21" r="W94"/>
  <c i="21" r="J94" s="1"/>
  <c i="21" r="I94"/>
  <c i="21" r="H94"/>
  <c i="21" r="G94"/>
  <c i="21" r="F94"/>
  <c i="21" r="E94"/>
  <c i="21" r="D94"/>
  <c i="21" r="C94"/>
  <c i="21" r="B94"/>
  <c i="21" r="W90"/>
  <c i="21" r="J90" s="1"/>
  <c i="21" r="I90"/>
  <c i="21" r="H90"/>
  <c i="21" r="G90"/>
  <c i="21" r="F90"/>
  <c i="21" r="E90"/>
  <c i="21" r="D90"/>
  <c i="21" r="C90"/>
  <c i="21" r="B90"/>
  <c i="21" r="W89"/>
  <c i="21" r="J89" s="1"/>
  <c i="21" r="I89"/>
  <c i="21" r="H89"/>
  <c i="21" r="G89"/>
  <c i="21" r="F89"/>
  <c i="21" r="E89"/>
  <c i="21" r="D89"/>
  <c i="21" r="C89"/>
  <c i="21" r="B89"/>
  <c i="21" r="W88"/>
  <c i="21" r="J88" s="1"/>
  <c i="21" r="I88"/>
  <c i="21" r="H88"/>
  <c i="21" r="G88"/>
  <c i="21" r="F88"/>
  <c i="21" r="E88"/>
  <c i="21" r="D88"/>
  <c i="21" r="C88"/>
  <c i="21" r="B88"/>
  <c i="21" r="W87"/>
  <c i="21" r="J87" s="1"/>
  <c i="21" r="I87"/>
  <c i="21" r="H87"/>
  <c i="21" r="G87"/>
  <c i="21" r="F87"/>
  <c i="21" r="E87"/>
  <c i="21" r="D87"/>
  <c i="21" r="C87"/>
  <c i="21" r="B87"/>
  <c i="21" r="W83"/>
  <c i="21" r="J83" s="1"/>
  <c i="21" r="I83"/>
  <c i="21" r="H83"/>
  <c i="21" r="G83"/>
  <c i="21" r="F83"/>
  <c i="21" r="E83"/>
  <c i="21" r="D83"/>
  <c i="21" r="C83"/>
  <c i="21" r="B83"/>
  <c i="21" r="W82"/>
  <c i="21" r="J82" s="1"/>
  <c i="21" r="I82"/>
  <c i="21" r="H82"/>
  <c i="21" r="G82"/>
  <c i="21" r="F82"/>
  <c i="21" r="E82"/>
  <c i="21" r="D82"/>
  <c i="21" r="C82"/>
  <c i="21" r="B82"/>
  <c i="21" r="W81"/>
  <c i="21" r="J81" s="1"/>
  <c i="21" r="I81"/>
  <c i="21" r="H81"/>
  <c i="21" r="G81"/>
  <c i="21" r="F81"/>
  <c i="21" r="E81"/>
  <c i="21" r="D81"/>
  <c i="21" r="C81"/>
  <c i="21" r="B81"/>
  <c i="21" r="W80"/>
  <c i="21" r="J80" s="1"/>
  <c i="21" r="I80"/>
  <c i="21" r="H80"/>
  <c i="21" r="G80"/>
  <c i="21" r="F80"/>
  <c i="21" r="E80"/>
  <c i="21" r="D80"/>
  <c i="21" r="C80"/>
  <c i="21" r="B80"/>
  <c i="21" r="W74"/>
  <c i="21" r="J74" s="1"/>
  <c i="21" r="I74"/>
  <c i="21" r="H74"/>
  <c i="21" r="G74"/>
  <c i="21" r="F74"/>
  <c i="21" r="E74"/>
  <c i="21" r="D74"/>
  <c i="21" r="C74"/>
  <c i="21" r="B74"/>
  <c i="21" r="W73"/>
  <c i="21" r="J73" s="1"/>
  <c i="21" r="I73"/>
  <c i="21" r="H73"/>
  <c i="21" r="G73"/>
  <c i="21" r="F73"/>
  <c i="21" r="E73"/>
  <c i="21" r="D73"/>
  <c i="21" r="C73"/>
  <c i="21" r="B73"/>
  <c i="21" r="W72"/>
  <c i="21" r="J72" s="1"/>
  <c i="21" r="I72"/>
  <c i="21" r="H72"/>
  <c i="21" r="G72"/>
  <c i="21" r="F72"/>
  <c i="21" r="E72"/>
  <c i="21" r="D72"/>
  <c i="21" r="C72"/>
  <c i="21" r="B72"/>
  <c i="21" r="W71"/>
  <c i="21" r="J71" s="1"/>
  <c i="21" r="I71"/>
  <c i="21" r="H71"/>
  <c i="21" r="G71"/>
  <c i="21" r="F71"/>
  <c i="21" r="E71"/>
  <c i="21" r="D71"/>
  <c i="21" r="C71"/>
  <c i="21" r="B71"/>
  <c i="21" r="W67"/>
  <c i="21" r="J67" s="1"/>
  <c i="21" r="I67"/>
  <c i="21" r="H67"/>
  <c i="21" r="G67"/>
  <c i="21" r="F67"/>
  <c i="21" r="E67"/>
  <c i="21" r="D67"/>
  <c i="21" r="C67"/>
  <c i="21" r="B67"/>
  <c i="21" r="W66"/>
  <c i="21" r="J66" s="1"/>
  <c i="21" r="I66"/>
  <c i="21" r="H66"/>
  <c i="21" r="G66"/>
  <c i="21" r="F66"/>
  <c i="21" r="E66"/>
  <c i="21" r="D66"/>
  <c i="21" r="C66"/>
  <c i="21" r="B66"/>
  <c i="21" r="W65"/>
  <c i="21" r="J65" s="1"/>
  <c i="21" r="I65"/>
  <c i="21" r="H65"/>
  <c i="21" r="G65"/>
  <c i="21" r="F65"/>
  <c i="21" r="E65"/>
  <c i="21" r="D65"/>
  <c i="21" r="C65"/>
  <c i="21" r="B65"/>
  <c i="21" r="W64"/>
  <c i="21" r="J64" s="1"/>
  <c i="21" r="I64"/>
  <c i="21" r="H64"/>
  <c i="21" r="G64"/>
  <c i="21" r="F64"/>
  <c i="21" r="E64"/>
  <c i="21" r="D64"/>
  <c i="21" r="C64"/>
  <c i="21" r="B64"/>
  <c i="21" r="W60"/>
  <c i="21" r="J60" s="1"/>
  <c i="21" r="I60"/>
  <c i="21" r="H60"/>
  <c i="21" r="G60"/>
  <c i="21" r="F60"/>
  <c i="21" r="E60"/>
  <c i="21" r="D60"/>
  <c i="21" r="C60"/>
  <c i="21" r="B60"/>
  <c i="21" r="W59"/>
  <c i="21" r="J59" s="1"/>
  <c i="21" r="I59"/>
  <c i="21" r="H59"/>
  <c i="21" r="G59"/>
  <c i="21" r="F59"/>
  <c i="21" r="E59"/>
  <c i="21" r="D59"/>
  <c i="21" r="C59"/>
  <c i="21" r="B59"/>
  <c i="21" r="W58"/>
  <c i="21" r="J58" s="1"/>
  <c i="21" r="I58"/>
  <c i="21" r="H58"/>
  <c i="21" r="G58"/>
  <c i="21" r="F58"/>
  <c i="21" r="E58"/>
  <c i="21" r="D58"/>
  <c i="21" r="C58"/>
  <c i="21" r="B58"/>
  <c i="21" r="W57"/>
  <c i="21" r="J57" s="1"/>
  <c i="21" r="I57"/>
  <c i="21" r="H57"/>
  <c i="21" r="G57"/>
  <c i="21" r="F57"/>
  <c i="21" r="E57"/>
  <c i="21" r="D57"/>
  <c i="21" r="C57"/>
  <c i="21" r="B57"/>
  <c i="21" r="W53"/>
  <c i="21" r="J53" s="1"/>
  <c i="21" r="I53"/>
  <c i="21" r="H53"/>
  <c i="21" r="G53"/>
  <c i="21" r="F53"/>
  <c i="21" r="E53"/>
  <c i="21" r="D53"/>
  <c i="21" r="C53"/>
  <c i="21" r="B53"/>
  <c i="21" r="W52"/>
  <c i="21" r="J52" s="1"/>
  <c i="21" r="I52"/>
  <c i="21" r="H52"/>
  <c i="21" r="G52"/>
  <c i="21" r="F52"/>
  <c i="21" r="E52"/>
  <c i="21" r="D52"/>
  <c i="21" r="C52"/>
  <c i="21" r="B52"/>
  <c i="21" r="W51"/>
  <c i="21" r="J51" s="1"/>
  <c i="21" r="I51"/>
  <c i="21" r="H51"/>
  <c i="21" r="G51"/>
  <c i="21" r="F51"/>
  <c i="21" r="E51"/>
  <c i="21" r="D51"/>
  <c i="21" r="C51"/>
  <c i="21" r="B51"/>
  <c i="21" r="W50"/>
  <c i="21" r="J50" s="1"/>
  <c i="21" r="I50"/>
  <c i="21" r="H50"/>
  <c i="21" r="G50"/>
  <c i="21" r="F50"/>
  <c i="21" r="E50"/>
  <c i="21" r="D50"/>
  <c i="21" r="C50"/>
  <c i="21" r="B50"/>
  <c i="21" r="W46"/>
  <c i="21" r="J46" s="1"/>
  <c i="21" r="I46"/>
  <c i="21" r="H46"/>
  <c i="21" r="G46"/>
  <c i="21" r="F46"/>
  <c i="21" r="E46"/>
  <c i="21" r="D46"/>
  <c i="21" r="C46"/>
  <c i="21" r="B46"/>
  <c i="21" r="W45"/>
  <c i="21" r="J45" s="1"/>
  <c i="21" r="I45"/>
  <c i="21" r="H45"/>
  <c i="21" r="G45"/>
  <c i="21" r="F45"/>
  <c i="21" r="E45"/>
  <c i="21" r="D45"/>
  <c i="21" r="C45"/>
  <c i="21" r="B45"/>
  <c i="21" r="W44"/>
  <c i="21" r="J44" s="1"/>
  <c i="21" r="I44"/>
  <c i="21" r="H44"/>
  <c i="21" r="G44"/>
  <c i="21" r="F44"/>
  <c i="21" r="E44"/>
  <c i="21" r="D44"/>
  <c i="21" r="C44"/>
  <c i="21" r="B44"/>
  <c i="21" r="W43"/>
  <c i="21" r="J43" s="1"/>
  <c i="21" r="I43"/>
  <c i="21" r="H43"/>
  <c i="21" r="G43"/>
  <c i="21" r="F43"/>
  <c i="21" r="E43"/>
  <c i="21" r="D43"/>
  <c i="21" r="C43"/>
  <c i="21" r="B43"/>
  <c i="21" r="W39"/>
  <c i="21" r="J39" s="1"/>
  <c i="21" r="I39"/>
  <c i="21" r="H39"/>
  <c i="21" r="G39"/>
  <c i="21" r="F39"/>
  <c i="21" r="E39"/>
  <c i="21" r="D39"/>
  <c i="21" r="C39"/>
  <c i="21" r="B39"/>
  <c i="21" r="W38"/>
  <c i="21" r="J38" s="1"/>
  <c i="21" r="I38"/>
  <c i="21" r="H38"/>
  <c i="21" r="G38"/>
  <c i="21" r="F38"/>
  <c i="21" r="E38"/>
  <c i="21" r="D38"/>
  <c i="21" r="C38"/>
  <c i="21" r="B38"/>
  <c i="21" r="W37"/>
  <c i="21" r="J37" s="1"/>
  <c i="21" r="I37"/>
  <c i="21" r="H37"/>
  <c i="21" r="G37"/>
  <c i="21" r="F37"/>
  <c i="21" r="E37"/>
  <c i="21" r="D37"/>
  <c i="21" r="C37"/>
  <c i="21" r="B37"/>
  <c i="21" r="W36"/>
  <c i="21" r="J36" s="1"/>
  <c i="21" r="I36"/>
  <c i="21" r="H36"/>
  <c i="21" r="G36"/>
  <c i="21" r="F36"/>
  <c i="21" r="E36"/>
  <c i="21" r="D36"/>
  <c i="21" r="C36"/>
  <c i="21" r="B36"/>
  <c i="21" r="W32"/>
  <c i="21" r="J32" s="1"/>
  <c i="21" r="I32"/>
  <c i="21" r="H32"/>
  <c i="21" r="G32"/>
  <c i="21" r="F32"/>
  <c i="21" r="E32"/>
  <c i="21" r="D32"/>
  <c i="21" r="C32"/>
  <c i="21" r="B32"/>
  <c i="21" r="W31"/>
  <c i="21" r="J31" s="1"/>
  <c i="21" r="I31"/>
  <c i="21" r="H31"/>
  <c i="21" r="G31"/>
  <c i="21" r="F31"/>
  <c i="21" r="E31"/>
  <c i="21" r="D31"/>
  <c i="21" r="C31"/>
  <c i="21" r="B31"/>
  <c i="21" r="W30"/>
  <c i="21" r="J30" s="1"/>
  <c i="21" r="I30"/>
  <c i="21" r="H30"/>
  <c i="21" r="G30"/>
  <c i="21" r="F30"/>
  <c i="21" r="E30"/>
  <c i="21" r="D30"/>
  <c i="21" r="C30"/>
  <c i="21" r="B30"/>
  <c i="21" r="W29"/>
  <c i="21" r="J29" s="1"/>
  <c i="21" r="I29"/>
  <c i="21" r="H29"/>
  <c i="21" r="G29"/>
  <c i="21" r="F29"/>
  <c i="21" r="E29"/>
  <c i="21" r="D29"/>
  <c i="21" r="C29"/>
  <c i="21" r="B29"/>
  <c i="21" r="W23"/>
  <c i="21" r="J23" s="1"/>
  <c i="21" r="I23"/>
  <c i="21" r="H23"/>
  <c i="21" r="G23"/>
  <c i="21" r="F23"/>
  <c i="21" r="E23"/>
  <c i="21" r="D23"/>
  <c i="21" r="C23"/>
  <c i="21" r="B23"/>
  <c i="21" r="W22"/>
  <c i="21" r="J22" s="1"/>
  <c i="21" r="I22"/>
  <c i="21" r="H22"/>
  <c i="21" r="G22"/>
  <c i="21" r="F22"/>
  <c i="21" r="E22"/>
  <c i="21" r="D22"/>
  <c i="21" r="C22"/>
  <c i="21" r="B22"/>
  <c i="21" r="W21"/>
  <c i="21" r="J21" s="1"/>
  <c i="21" r="I21"/>
  <c i="21" r="H21"/>
  <c i="21" r="G21"/>
  <c i="21" r="F21"/>
  <c i="21" r="E21"/>
  <c i="21" r="D21"/>
  <c i="21" r="C21"/>
  <c i="21" r="B21"/>
  <c i="21" r="W20"/>
  <c i="21" r="J20" s="1"/>
  <c i="21" r="I20"/>
  <c i="21" r="H20"/>
  <c i="21" r="G20"/>
  <c i="21" r="F20"/>
  <c i="21" r="E20"/>
  <c i="21" r="D20"/>
  <c i="21" r="C20"/>
  <c i="21" r="B20"/>
  <c i="21" r="W19"/>
  <c i="21" r="J19" s="1"/>
  <c i="21" r="I19"/>
  <c i="21" r="H19"/>
  <c i="21" r="G19"/>
  <c i="21" r="F19"/>
  <c i="21" r="E19"/>
  <c i="21" r="D19"/>
  <c i="21" r="C19"/>
  <c i="21" r="B19"/>
  <c i="21" r="W18"/>
  <c i="21" r="J18" s="1"/>
  <c i="21" r="I18"/>
  <c i="21" r="H18"/>
  <c i="21" r="G18"/>
  <c i="21" r="F18"/>
  <c i="21" r="E18"/>
  <c i="21" r="D18"/>
  <c i="21" r="C18"/>
  <c i="21" r="B18"/>
  <c i="21" r="W17"/>
  <c i="21" r="J17" s="1"/>
  <c i="21" r="I17"/>
  <c i="21" r="H17"/>
  <c i="21" r="G17"/>
  <c i="21" r="F17"/>
  <c i="21" r="E17"/>
  <c i="21" r="D17"/>
  <c i="21" r="C17"/>
  <c i="21" r="B17"/>
  <c i="21" r="W16"/>
  <c i="21" r="J16" s="1"/>
  <c i="21" r="I16"/>
  <c i="21" r="H16"/>
  <c i="21" r="G16"/>
  <c i="21" r="F16"/>
  <c i="21" r="E16"/>
  <c i="21" r="D16"/>
  <c i="21" r="C16"/>
  <c i="21" r="B16"/>
  <c i="21" r="W15"/>
  <c i="21" r="J15" s="1"/>
  <c i="21" r="I15"/>
  <c i="21" r="H15"/>
  <c i="21" r="G15"/>
  <c i="21" r="F15"/>
  <c i="21" r="E15"/>
  <c i="21" r="D15"/>
  <c i="21" r="C15"/>
  <c i="21" r="B15"/>
  <c i="21" r="W14"/>
  <c i="21" r="J14" s="1"/>
  <c i="21" r="I14"/>
  <c i="21" r="H14"/>
  <c i="21" r="G14"/>
  <c i="21" r="F14"/>
  <c i="21" r="E14"/>
  <c i="21" r="D14"/>
  <c i="21" r="C14"/>
  <c i="21" r="B14"/>
  <c i="21" r="W13"/>
  <c i="21" r="J13" s="1"/>
  <c i="21" r="I13"/>
  <c i="21" r="H13"/>
  <c i="21" r="G13"/>
  <c i="21" r="F13"/>
  <c i="21" r="E13"/>
  <c i="21" r="D13"/>
  <c i="21" r="C13"/>
  <c i="21" r="B13"/>
  <c i="21" r="W12"/>
  <c i="21" r="J12" s="1"/>
  <c i="21" r="I12"/>
  <c i="21" r="H12"/>
  <c i="21" r="G12"/>
  <c i="21" r="F12"/>
  <c i="21" r="E12"/>
  <c i="21" r="D12"/>
  <c i="21" r="C12"/>
  <c i="21" r="B12"/>
  <c i="21" r="W11"/>
  <c i="21" r="J11" s="1"/>
  <c i="21" r="I11"/>
  <c i="21" r="H11"/>
  <c i="21" r="G11"/>
  <c i="21" r="F11"/>
  <c i="21" r="E11"/>
  <c i="21" r="D11"/>
  <c i="21" r="C11"/>
  <c i="21" r="B11"/>
  <c i="21" r="W7"/>
  <c i="21" r="J7" s="1"/>
  <c i="21" r="I7"/>
  <c i="21" r="H7"/>
  <c i="21" r="G7"/>
  <c i="21" r="F7"/>
  <c i="21" r="E7"/>
  <c i="21" r="D7"/>
  <c i="21" r="C7"/>
  <c i="21" r="B7"/>
  <c i="21" r="W6"/>
  <c i="21" r="J6" s="1"/>
  <c i="21" r="I6"/>
  <c i="21" r="H6"/>
  <c i="21" r="G6"/>
  <c i="21" r="F6"/>
  <c i="21" r="E6"/>
  <c i="21" r="D6"/>
  <c i="21" r="C6"/>
  <c i="21" r="B6"/>
  <c i="21" r="W5"/>
  <c i="21" r="J5" s="1"/>
  <c i="21" r="I5"/>
  <c i="21" r="H5"/>
  <c i="21" r="G5"/>
  <c i="21" r="F5"/>
  <c i="21" r="E5"/>
  <c i="21" r="D5"/>
  <c i="21" r="C5"/>
  <c i="21" r="B5"/>
  <c i="21" r="W4"/>
  <c i="21" r="J4" s="1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Q137"/>
  <c i="20" r="D137" s="1"/>
  <c i="24" r="C102" s="1"/>
  <c i="20" r="Q138"/>
  <c i="20" r="D138" s="1"/>
  <c i="24" r="C103" s="1"/>
  <c i="20" r="Q139"/>
  <c i="20" r="D139" s="1"/>
  <c i="24" r="C104" s="1"/>
  <c i="20" r="Q140"/>
  <c i="20" r="D140" s="1"/>
  <c i="24" r="C105" s="1"/>
  <c i="20" r="Q141"/>
  <c i="20" r="D141" s="1"/>
  <c i="24" r="C106" s="1"/>
  <c i="20" r="Q142"/>
  <c i="20" r="D142" s="1"/>
  <c i="24" r="C107" s="1"/>
  <c i="20" r="Q136"/>
  <c i="20" r="D136" s="1"/>
  <c i="24" r="C101" s="1"/>
  <c i="20" r="Q130"/>
  <c i="20" r="D130" s="1"/>
  <c i="20" r="Q131"/>
  <c i="20" r="D131" s="1"/>
  <c i="20" r="Q132"/>
  <c i="20" r="D132" s="1"/>
  <c i="20" r="Q129"/>
  <c i="20" r="D129" s="1"/>
  <c i="20" r="W123"/>
  <c i="20" r="J123" s="1"/>
  <c i="20" r="W124"/>
  <c i="20" r="J124" s="1"/>
  <c i="20" r="W125"/>
  <c i="20" r="J125" s="1"/>
  <c i="20" r="W122"/>
  <c i="20" r="J122" s="1"/>
  <c i="20" r="W116"/>
  <c i="20" r="J116" s="1"/>
  <c i="20" r="W117"/>
  <c i="20" r="J117" s="1"/>
  <c i="20" r="W118"/>
  <c i="20" r="J118" s="1"/>
  <c i="20" r="W115"/>
  <c i="20" r="J115" s="1"/>
  <c i="20" r="W109"/>
  <c i="20" r="J109" s="1"/>
  <c i="20" r="W110"/>
  <c i="20" r="J110" s="1"/>
  <c i="20" r="W111"/>
  <c i="20" r="J111" s="1"/>
  <c i="20" r="W108"/>
  <c i="20" r="J108" s="1"/>
  <c i="20" r="W102"/>
  <c i="20" r="J102" s="1"/>
  <c i="20" r="W103"/>
  <c i="20" r="J103" s="1"/>
  <c i="20" r="W104"/>
  <c i="20" r="J104" s="1"/>
  <c i="20" r="W101"/>
  <c i="20" r="J101" s="1"/>
  <c i="20" r="W95"/>
  <c i="20" r="J95" s="1"/>
  <c i="20" r="W96"/>
  <c i="20" r="J96" s="1"/>
  <c i="20" r="W97"/>
  <c i="20" r="J97" s="1"/>
  <c i="20" r="W94"/>
  <c i="20" r="J94" s="1"/>
  <c i="20" r="W88"/>
  <c i="20" r="J88" s="1"/>
  <c i="20" r="W89"/>
  <c i="20" r="J89" s="1"/>
  <c i="20" r="W90"/>
  <c i="20" r="J90" s="1"/>
  <c i="20" r="W87"/>
  <c i="20" r="J87" s="1"/>
  <c i="20" r="W81"/>
  <c i="20" r="J81" s="1"/>
  <c i="20" r="W82"/>
  <c i="20" r="J82" s="1"/>
  <c i="20" r="W83"/>
  <c i="20" r="J83" s="1"/>
  <c i="20" r="W80"/>
  <c i="20" r="J80" s="1"/>
  <c i="20" r="W72"/>
  <c i="20" r="J72" s="1"/>
  <c i="20" r="W73"/>
  <c i="20" r="J73" s="1"/>
  <c i="20" r="W74"/>
  <c i="20" r="J74" s="1"/>
  <c i="20" r="W71"/>
  <c i="20" r="J71" s="1"/>
  <c i="20" r="W65"/>
  <c i="20" r="J65" s="1"/>
  <c i="20" r="W66"/>
  <c i="20" r="J66" s="1"/>
  <c i="20" r="W67"/>
  <c i="20" r="J67" s="1"/>
  <c i="20" r="W64"/>
  <c i="20" r="J64" s="1"/>
  <c i="20" r="W58"/>
  <c i="20" r="J58" s="1"/>
  <c i="20" r="W59"/>
  <c i="20" r="J59" s="1"/>
  <c i="20" r="W60"/>
  <c i="20" r="J60" s="1"/>
  <c i="20" r="W57"/>
  <c i="20" r="J57" s="1"/>
  <c i="20" r="W51"/>
  <c i="20" r="J51" s="1"/>
  <c i="20" r="W52"/>
  <c i="20" r="J52" s="1"/>
  <c i="20" r="W53"/>
  <c i="20" r="J53" s="1"/>
  <c i="20" r="W50"/>
  <c i="20" r="J50" s="1"/>
  <c i="20" r="W44"/>
  <c i="20" r="J44" s="1"/>
  <c i="20" r="W45"/>
  <c i="20" r="J45" s="1"/>
  <c i="20" r="W46"/>
  <c i="20" r="J46" s="1"/>
  <c i="20" r="W43"/>
  <c i="20" r="J43" s="1"/>
  <c i="20" r="W37"/>
  <c i="20" r="J37" s="1"/>
  <c i="20" r="W38"/>
  <c i="20" r="J38" s="1"/>
  <c i="20" r="W39"/>
  <c i="20" r="J39" s="1"/>
  <c i="20" r="W36"/>
  <c i="20" r="J36" s="1"/>
  <c i="20" r="W29"/>
  <c i="20" r="J29" s="1"/>
  <c i="20" r="W30"/>
  <c i="20" r="J30" s="1"/>
  <c i="20" r="W31"/>
  <c i="20" r="J31" s="1"/>
  <c i="20" r="W32"/>
  <c i="20" r="J32" s="1"/>
  <c i="20" r="W12"/>
  <c i="20" r="J12" s="1"/>
  <c i="20" r="W13"/>
  <c i="20" r="J13" s="1"/>
  <c i="20" r="W14"/>
  <c i="20" r="J14" s="1"/>
  <c i="20" r="W15"/>
  <c i="20" r="J15" s="1"/>
  <c i="20" r="W16"/>
  <c i="20" r="J16" s="1"/>
  <c i="20" r="W17"/>
  <c i="20" r="J17" s="1"/>
  <c i="20" r="W18"/>
  <c i="20" r="J18" s="1"/>
  <c i="20" r="W19"/>
  <c i="20" r="J19" s="1"/>
  <c i="20" r="W20"/>
  <c i="20" r="J20" s="1"/>
  <c i="20" r="W21"/>
  <c i="20" r="J21" s="1"/>
  <c i="20" r="W22"/>
  <c i="20" r="J22" s="1"/>
  <c i="20" r="W23"/>
  <c i="20" r="J23" s="1"/>
  <c i="20" r="W11"/>
  <c i="20" r="J11" s="1"/>
  <c i="20" r="W5"/>
  <c i="20" r="J5" s="1"/>
  <c i="20" r="W6"/>
  <c i="20" r="J6" s="1"/>
  <c i="20" r="W7"/>
  <c i="20" r="J7" s="1"/>
  <c i="20" r="W4"/>
  <c i="20" r="J4" s="1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K34" s="1"/>
  <c i="20" r="C178"/>
  <c i="10" r="O5" s="1"/>
  <c i="24" r="L34" s="1"/>
  <c i="20" r="D178"/>
  <c i="10" r="P5" s="1"/>
  <c i="24" r="M34" s="1"/>
  <c i="20" r="E178"/>
  <c i="10" r="Q5" s="1"/>
  <c i="24" r="N34" s="1"/>
  <c i="20" r="F178"/>
  <c i="10" r="R5" s="1"/>
  <c i="24" r="O34" s="1"/>
  <c i="20" r="G178"/>
  <c i="10" r="S5" s="1"/>
  <c i="24" r="P34" s="1"/>
  <c i="20" r="H178"/>
  <c i="10" r="U5" s="1"/>
  <c i="24" r="Q34" s="1"/>
  <c i="20" r="I178"/>
  <c i="10" r="V5" s="1"/>
  <c i="20" r="B179"/>
  <c i="10" r="N6" s="1"/>
  <c i="24" r="K35" s="1"/>
  <c i="20" r="C179"/>
  <c i="10" r="O6" s="1"/>
  <c i="24" r="L35" s="1"/>
  <c i="20" r="D179"/>
  <c i="10" r="P6" s="1"/>
  <c i="24" r="M35" s="1"/>
  <c i="20" r="E179"/>
  <c i="10" r="Q6" s="1"/>
  <c i="24" r="N35" s="1"/>
  <c i="20" r="F179"/>
  <c i="10" r="R6" s="1"/>
  <c i="24" r="O35" s="1"/>
  <c i="20" r="G179"/>
  <c i="10" r="S6" s="1"/>
  <c i="24" r="P35" s="1"/>
  <c i="20" r="H179"/>
  <c i="10" r="U6" s="1"/>
  <c i="24" r="Q35" s="1"/>
  <c i="20" r="I179"/>
  <c i="10" r="V6" s="1"/>
  <c i="20" r="B180"/>
  <c i="10" r="N7" s="1"/>
  <c i="24" r="K36" s="1"/>
  <c i="20" r="C180"/>
  <c i="10" r="O7" s="1"/>
  <c i="24" r="L36" s="1"/>
  <c i="20" r="D180"/>
  <c i="10" r="P7" s="1"/>
  <c i="24" r="M36" s="1"/>
  <c i="20" r="E180"/>
  <c i="10" r="Q7" s="1"/>
  <c i="24" r="N36" s="1"/>
  <c i="20" r="F180"/>
  <c i="10" r="R7" s="1"/>
  <c i="24" r="O36" s="1"/>
  <c i="20" r="G180"/>
  <c i="10" r="S7" s="1"/>
  <c i="24" r="P36" s="1"/>
  <c i="20" r="H180"/>
  <c i="10" r="U7" s="1"/>
  <c i="24" r="Q36" s="1"/>
  <c i="20" r="I180"/>
  <c i="10" r="V7" s="1"/>
  <c i="20" r="B181"/>
  <c i="10" r="N8" s="1"/>
  <c i="24" r="K37" s="1"/>
  <c i="20" r="C181"/>
  <c i="10" r="O8" s="1"/>
  <c i="24" r="L37" s="1"/>
  <c i="20" r="D181"/>
  <c i="10" r="P8" s="1"/>
  <c i="24" r="M37" s="1"/>
  <c i="20" r="E181"/>
  <c i="10" r="Q8" s="1"/>
  <c i="24" r="N37" s="1"/>
  <c i="20" r="F181"/>
  <c i="10" r="R8" s="1"/>
  <c i="24" r="O37" s="1"/>
  <c i="20" r="G181"/>
  <c i="10" r="S8" s="1"/>
  <c i="24" r="P37" s="1"/>
  <c i="20" r="H181"/>
  <c i="10" r="U8" s="1"/>
  <c i="24" r="Q37" s="1"/>
  <c i="20" r="I181"/>
  <c i="10" r="V8" s="1"/>
  <c i="20" r="B182"/>
  <c i="10" r="N9" s="1"/>
  <c i="24" r="K38" s="1"/>
  <c i="20" r="C182"/>
  <c i="10" r="O9" s="1"/>
  <c i="24" r="L38" s="1"/>
  <c i="20" r="D182"/>
  <c i="10" r="P9" s="1"/>
  <c i="24" r="M38" s="1"/>
  <c i="20" r="E182"/>
  <c i="10" r="Q9" s="1"/>
  <c i="24" r="N38" s="1"/>
  <c i="20" r="F182"/>
  <c i="10" r="R9" s="1"/>
  <c i="24" r="O38" s="1"/>
  <c i="20" r="G182"/>
  <c i="10" r="S9" s="1"/>
  <c i="24" r="P38" s="1"/>
  <c i="20" r="H182"/>
  <c i="10" r="U9" s="1"/>
  <c i="24" r="Q38" s="1"/>
  <c i="20" r="I182"/>
  <c i="10" r="V9" s="1"/>
  <c i="20" r="B183"/>
  <c i="10" r="N10" s="1"/>
  <c i="24" r="K39" s="1"/>
  <c i="20" r="C183"/>
  <c i="10" r="O10" s="1"/>
  <c i="24" r="L39" s="1"/>
  <c i="20" r="D183"/>
  <c i="10" r="P10" s="1"/>
  <c i="24" r="M39" s="1"/>
  <c i="20" r="E183"/>
  <c i="10" r="Q10" s="1"/>
  <c i="24" r="N39" s="1"/>
  <c i="20" r="F183"/>
  <c i="10" r="R10" s="1"/>
  <c i="24" r="O39" s="1"/>
  <c i="20" r="G183"/>
  <c i="10" r="S10" s="1"/>
  <c i="24" r="P39" s="1"/>
  <c i="20" r="H183"/>
  <c i="10" r="U10" s="1"/>
  <c i="24" r="Q39" s="1"/>
  <c i="20" r="I183"/>
  <c i="10" r="V10" s="1"/>
  <c i="20" r="B184"/>
  <c i="10" r="N11" s="1"/>
  <c i="24" r="K40" s="1"/>
  <c i="20" r="C184"/>
  <c i="10" r="O11" s="1"/>
  <c i="24" r="L40" s="1"/>
  <c i="20" r="D184"/>
  <c i="10" r="P11" s="1"/>
  <c i="24" r="M40" s="1"/>
  <c i="20" r="E184"/>
  <c i="10" r="Q11" s="1"/>
  <c i="24" r="N40" s="1"/>
  <c i="20" r="F184"/>
  <c i="10" r="R11" s="1"/>
  <c i="24" r="O40" s="1"/>
  <c i="20" r="G184"/>
  <c i="10" r="S11" s="1"/>
  <c i="24" r="P40" s="1"/>
  <c i="20" r="H184"/>
  <c i="10" r="U11" s="1"/>
  <c i="24" r="Q40" s="1"/>
  <c i="20" r="I184"/>
  <c i="10" r="V11" s="1"/>
  <c i="20" r="B185"/>
  <c i="10" r="N12" s="1"/>
  <c i="24" r="K41" s="1"/>
  <c i="20" r="C185"/>
  <c i="10" r="O12" s="1"/>
  <c i="24" r="L41" s="1"/>
  <c i="20" r="D185"/>
  <c i="10" r="P12" s="1"/>
  <c i="24" r="M41" s="1"/>
  <c i="20" r="E185"/>
  <c i="10" r="Q12" s="1"/>
  <c i="24" r="N41" s="1"/>
  <c i="20" r="F185"/>
  <c i="10" r="R12" s="1"/>
  <c i="24" r="O41" s="1"/>
  <c i="20" r="G185"/>
  <c i="10" r="S12" s="1"/>
  <c i="24" r="P41" s="1"/>
  <c i="20" r="H185"/>
  <c i="10" r="U12" s="1"/>
  <c i="24" r="Q41" s="1"/>
  <c i="20" r="I185"/>
  <c i="10" r="V12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20" r="B211"/>
  <c i="10" r="N108" s="1"/>
  <c i="20" r="C211"/>
  <c i="10" r="O108" s="1"/>
  <c i="20" r="D211"/>
  <c i="10" r="P108" s="1"/>
  <c i="20" r="E211"/>
  <c i="10" r="Q108" s="1"/>
  <c i="20" r="B212"/>
  <c i="10" r="N109" s="1"/>
  <c i="20" r="C212"/>
  <c i="10" r="O109" s="1"/>
  <c i="20" r="D212"/>
  <c i="10" r="P109" s="1"/>
  <c i="20" r="E212"/>
  <c i="10" r="Q109" s="1"/>
  <c i="20" r="B213"/>
  <c i="10" r="N110" s="1"/>
  <c i="20" r="C213"/>
  <c i="10" r="O110" s="1"/>
  <c i="20" r="D213"/>
  <c i="10" r="P110" s="1"/>
  <c i="20" r="E213"/>
  <c i="10" r="Q110" s="1"/>
  <c i="20" r="B214"/>
  <c i="10" r="N111" s="1"/>
  <c i="20" r="C214"/>
  <c i="10" r="O111" s="1"/>
  <c i="20" r="D214"/>
  <c i="10" r="P111" s="1"/>
  <c i="20" r="E214"/>
  <c i="10" r="Q111" s="1"/>
  <c i="20" r="B215"/>
  <c i="10" r="N112" s="1"/>
  <c i="20" r="C215"/>
  <c i="10" r="O112" s="1"/>
  <c i="20" r="D215"/>
  <c i="10" r="P112" s="1"/>
  <c i="20" r="E215"/>
  <c i="10" r="Q112" s="1"/>
  <c i="20" r="B216"/>
  <c i="10" r="N113" s="1"/>
  <c i="20" r="C216"/>
  <c i="10" r="O113" s="1"/>
  <c i="20" r="D216"/>
  <c i="10" r="P113" s="1"/>
  <c i="20" r="E216"/>
  <c i="10" r="Q113" s="1"/>
  <c i="20" r="B217"/>
  <c i="10" r="N114" s="1"/>
  <c i="20" r="C217"/>
  <c i="10" r="O114" s="1"/>
  <c i="20" r="D217"/>
  <c i="10" r="P114" s="1"/>
  <c i="20" r="E217"/>
  <c i="10" r="Q114" s="1"/>
  <c i="20" r="B218"/>
  <c i="10" r="N115" s="1"/>
  <c i="20" r="C218"/>
  <c i="10" r="O115" s="1"/>
  <c i="20" r="D218"/>
  <c i="10" r="P115" s="1"/>
  <c i="20" r="E218"/>
  <c i="10" r="Q115" s="1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20" r="B331"/>
  <c i="10" r="N118" s="1"/>
  <c i="20" r="B332"/>
  <c i="10" r="O118" s="1"/>
  <c i="11" r="O110" s="1"/>
  <c i="20" r="B333"/>
  <c i="10" r="P118" s="1"/>
  <c i="16" r="C6" s="1"/>
  <c i="20" r="B334"/>
  <c i="10" r="Q118" s="1"/>
  <c i="16" r="C7" s="1"/>
  <c i="24" l="1" r="D105"/>
  <c i="24" r="I105" s="1"/>
  <c i="24" r="J105" s="1"/>
  <c i="24" r="AA7" s="1"/>
  <c i="24" r="D104"/>
  <c i="24" r="I104" s="1"/>
  <c i="24" r="J104" s="1"/>
  <c i="24" r="AA6" s="1"/>
  <c i="21" r="J222"/>
  <c i="11" r="K5" s="1"/>
  <c i="24" r="B19"/>
  <c i="21" r="J227"/>
  <c i="11" r="K10" s="1"/>
  <c i="24" r="B24"/>
  <c i="21" r="J226"/>
  <c i="11" r="K9" s="1"/>
  <c i="24" r="B23"/>
  <c i="21" r="J224"/>
  <c i="11" r="K7" s="1"/>
  <c i="24" r="B21"/>
  <c i="21" r="J223"/>
  <c i="11" r="K6" s="1"/>
  <c i="24" r="B20"/>
  <c i="20" r="J222"/>
  <c i="11" r="W5" s="1"/>
  <c i="24" r="C19"/>
  <c i="21" r="J225"/>
  <c i="11" r="K8" s="1"/>
  <c i="24" r="B22"/>
  <c i="20" r="J228"/>
  <c i="11" r="W11" s="1"/>
  <c i="24" r="C25"/>
  <c i="21" r="J228"/>
  <c i="11" r="K11" s="1"/>
  <c i="24" r="B25"/>
  <c i="20" r="J227"/>
  <c i="11" r="W10" s="1"/>
  <c i="11" r="AI10" s="1"/>
  <c i="24" r="C24"/>
  <c i="20" r="J226"/>
  <c i="11" r="W9" s="1"/>
  <c i="11" r="AL9" s="1"/>
  <c i="24" r="C23"/>
  <c i="20" r="J225"/>
  <c i="11" r="W8" s="1"/>
  <c i="24" r="C22"/>
  <c i="20" r="J224"/>
  <c i="11" r="W7" s="1"/>
  <c i="11" r="AL7" s="1"/>
  <c i="24" r="C21"/>
  <c i="20" r="J223"/>
  <c i="11" r="W6" s="1"/>
  <c i="24" r="C20"/>
  <c i="24" r="D107"/>
  <c i="24" r="I107" s="1"/>
  <c i="24" r="J107" s="1"/>
  <c i="24" r="AA9" s="1"/>
  <c i="24" r="D106"/>
  <c i="24" r="I106" s="1"/>
  <c i="24" r="J106" s="1"/>
  <c i="24" r="AA8" s="1"/>
  <c i="24" r="D103"/>
  <c i="24" r="I103" s="1"/>
  <c i="24" r="J103" s="1"/>
  <c i="24" r="AA5" s="1"/>
  <c i="24" r="D102"/>
  <c i="24" r="I102" s="1"/>
  <c i="24" r="J102" s="1"/>
  <c i="24" r="AA4" s="1"/>
  <c i="24" r="D101"/>
  <c i="24" r="I101" s="1"/>
  <c i="24" r="J101" s="1"/>
  <c i="24" r="B5"/>
  <c i="16" r="B33"/>
  <c i="24" r="B6"/>
  <c i="16" r="B34"/>
  <c i="24" r="B7"/>
  <c i="16" r="B35"/>
  <c i="24" r="B8"/>
  <c i="16" r="B36"/>
  <c i="24" r="B9"/>
  <c i="16" r="B37"/>
  <c i="24" r="B10"/>
  <c i="16" r="B38"/>
  <c i="24" r="B11"/>
  <c i="16" r="B39"/>
  <c i="24" r="B12"/>
  <c i="16" r="B40"/>
  <c i="16" r="B71"/>
  <c i="9" r="C74"/>
  <c i="9" r="D74"/>
  <c i="11" r="AL5"/>
  <c i="9" r="E74"/>
  <c i="11" r="AL11"/>
  <c i="9" r="F74"/>
  <c i="9" r="B74"/>
  <c i="9" r="G74"/>
  <c i="9" r="H74"/>
  <c i="12" r="I107"/>
  <c i="10" r="I108"/>
  <c i="10" r="I112"/>
  <c i="10" r="U112"/>
  <c i="10" r="I111"/>
  <c i="10" r="I118"/>
  <c i="11" r="I110" s="1"/>
  <c i="10" r="I109"/>
  <c i="11" r="I101"/>
  <c i="12" r="I108"/>
  <c i="10" r="I113"/>
  <c i="11" r="I102"/>
  <c i="12" r="I109"/>
  <c i="11" r="I103"/>
  <c i="10" r="H116"/>
  <c i="10" r="H133" s="1"/>
  <c i="12" r="I110"/>
  <c i="10" r="I115"/>
  <c i="11" r="I104"/>
  <c i="10" r="I114"/>
  <c i="12" r="I111"/>
  <c i="10" r="AF112"/>
  <c i="11" r="U104"/>
  <c i="11" r="T104"/>
  <c i="11" r="U102"/>
  <c i="20" r="H254" s="1"/>
  <c i="11" r="T102"/>
  <c i="11" r="I105"/>
  <c i="9" r="Y6"/>
  <c i="11" r="H108"/>
  <c i="11" r="H123" s="1"/>
  <c i="11" r="I106"/>
  <c i="20" r="H297"/>
  <c i="12" r="T108"/>
  <c i="12" r="U108" s="1"/>
  <c i="10" r="I110"/>
  <c i="11" r="I107"/>
  <c i="20" r="H213"/>
  <c i="10" r="T109"/>
  <c i="10" r="U109" s="1"/>
  <c i="12" r="I114"/>
  <c i="10" r="AE113"/>
  <c i="10" r="U118"/>
  <c i="10" r="AD114"/>
  <c i="20" r="H252"/>
  <c i="21" r="J184"/>
  <c i="10" r="K11" s="1"/>
  <c i="21" r="J183"/>
  <c i="10" r="K10" s="1"/>
  <c i="21" r="J182"/>
  <c i="10" r="K9" s="1"/>
  <c i="21" r="J181"/>
  <c i="10" r="K8" s="1"/>
  <c i="21" r="J180"/>
  <c i="10" r="K7" s="1"/>
  <c i="20" r="H257"/>
  <c i="21" r="J268"/>
  <c i="12" r="K11" s="1"/>
  <c i="21" r="J267"/>
  <c i="12" r="K10" s="1"/>
  <c i="21" r="J265"/>
  <c i="12" r="K8" s="1"/>
  <c i="21" r="J266"/>
  <c i="12" r="K9" s="1"/>
  <c i="21" r="J264"/>
  <c i="12" r="K7" s="1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2" r="I21" s="1"/>
  <c i="12" r="AC112"/>
  <c i="12" r="AE110"/>
  <c i="11" r="AE103"/>
  <c i="6" r="N28"/>
  <c i="6" r="O6"/>
  <c i="20" r="H256"/>
  <c i="12" r="AD109"/>
  <c i="11" r="AD75"/>
  <c i="12" r="AD108"/>
  <c i="11" r="AE104"/>
  <c i="10" r="AB78"/>
  <c i="10" r="AC44"/>
  <c i="12" r="AC108"/>
  <c i="10" r="AE110"/>
  <c i="11" r="AB101"/>
  <c i="20" r="F253"/>
  <c i="11" r="R102" s="1"/>
  <c i="10" r="AD111"/>
  <c i="12" r="AA74"/>
  <c i="12" r="AE9"/>
  <c i="12" r="AE5"/>
  <c i="10" r="AC111"/>
  <c i="10" r="AC77"/>
  <c i="9" r="V38"/>
  <c i="20" r="F254"/>
  <c i="11" r="R103" s="1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20" r="F258"/>
  <c i="11" r="R107" s="1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21" r="H301"/>
  <c i="12" r="H113" s="1"/>
  <c i="12" r="I113" s="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9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5"/>
  <c i="15" r="P65"/>
  <c i="9" r="Z35"/>
  <c i="9" r="V40"/>
  <c i="10" r="AC114"/>
  <c i="12" r="AC6"/>
  <c i="6" r="T71"/>
  <c i="6" r="T74" s="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6" r="T63" s="1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7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6"/>
  <c i="3" r="M11"/>
  <c i="6" r="N51"/>
  <c i="15" r="R68"/>
  <c i="6" r="R50"/>
  <c i="11" r="N14"/>
  <c i="11" r="N78"/>
  <c i="16" r="C18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2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3"/>
  <c i="11" r="O14"/>
  <c i="11" r="AA14" s="1"/>
  <c i="12" r="O15"/>
  <c i="16" r="C19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8"/>
  <c i="9" r="AC70"/>
  <c i="12" r="AI5"/>
  <c i="16" r="C63"/>
  <c i="12" r="R81"/>
  <c i="12" r="R97" s="1"/>
  <c i="12" r="AD73"/>
  <c i="16" r="D70"/>
  <c i="16" r="E70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T52" s="1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19" s="1"/>
  <c i="6" r="I27"/>
  <c i="6" r="I30" s="1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8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1" r="AI5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6" r="C26" s="1"/>
  <c i="10" r="AA15"/>
  <c i="16" r="C20"/>
  <c i="16" r="C21"/>
  <c i="12" r="V15"/>
  <c i="10" r="AB15"/>
  <c i="16" r="C24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3"/>
  <c i="10" r="W13"/>
  <c i="10" r="W26" s="1"/>
  <c i="10" r="AM8"/>
  <c i="16" r="C36"/>
  <c i="10" r="AM12"/>
  <c i="16" r="C40"/>
  <c i="10" r="AI12"/>
  <c i="10" r="Z10"/>
  <c i="10" r="N13"/>
  <c i="10" r="P13"/>
  <c i="24" r="M42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9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21"/>
  <c i="11" r="E14"/>
  <c i="11" r="AC14" s="1"/>
  <c i="10" r="AC15"/>
  <c i="1" r="U7"/>
  <c i="1" r="U8"/>
  <c i="1" r="U6"/>
  <c i="1" r="U5"/>
  <c i="12" r="G15"/>
  <c i="16" r="B23"/>
  <c i="10" r="AE15"/>
  <c i="11" r="G14"/>
  <c i="9" r="F12"/>
  <c i="9" r="F85" s="1"/>
  <c i="9" r="Z7"/>
  <c i="11" r="B14"/>
  <c i="12" r="B15"/>
  <c i="12" r="Z15" s="1"/>
  <c i="10" r="Z15"/>
  <c i="16" r="B18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2"/>
  <c i="12" r="F15"/>
  <c i="12" r="AD15" s="1"/>
  <c i="11" r="F14"/>
  <c i="12" r="J15"/>
  <c i="16" r="B25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6" r="Y39" s="1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AC17" s="1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81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Z7" s="1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3" s="1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50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5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AD32" s="1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2" r="AA80" s="1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13" r="L21" s="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1" r="AI6"/>
  <c i="11" r="AL6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V29" s="1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K12"/>
  <c i="11" r="K22" s="1"/>
  <c i="11" r="D44"/>
  <c i="11" r="D53" s="1"/>
  <c i="12" r="D15"/>
  <c i="16" r="B20"/>
  <c i="11" r="D14"/>
  <c i="12" r="D49"/>
  <c i="11" r="D46"/>
  <c i="11" r="D110"/>
  <c i="12" r="D117"/>
  <c i="16" r="B6"/>
  <c i="10" r="C13"/>
  <c i="16" r="B49" s="1"/>
  <c i="10" r="F82"/>
  <c i="16" r="B41" s="1"/>
  <c i="10" r="C48"/>
  <c i="10" r="G41"/>
  <c i="10" r="G43"/>
  <c i="11" r="I14"/>
  <c i="12" r="I15"/>
  <c i="16" r="B24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3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10" r="I13"/>
  <c i="24" r="H42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11" l="1" r="AI11"/>
  <c i="15" r="Y66"/>
  <c i="11" r="W12"/>
  <c i="11" r="AI7"/>
  <c i="6" r="X6"/>
  <c i="11" r="AL8"/>
  <c i="11" r="AI8"/>
  <c i="11" r="AI9"/>
  <c i="11" r="AL10"/>
  <c i="10" r="AE44"/>
  <c i="10" r="I116"/>
  <c i="10" r="AG112"/>
  <c i="24" r="E42"/>
  <c i="16" r="B51"/>
  <c i="12" r="B25"/>
  <c i="16" r="B78"/>
  <c i="24" r="F42"/>
  <c i="16" r="B52"/>
  <c i="24" r="D20"/>
  <c i="24" r="I20" s="1"/>
  <c i="24" r="J20" s="1"/>
  <c i="24" r="V34" s="1"/>
  <c i="10" r="B27"/>
  <c i="24" r="B42"/>
  <c i="10" r="S23"/>
  <c i="24" r="P42"/>
  <c i="16" r="D63"/>
  <c i="16" r="E63" s="1"/>
  <c i="10" r="N28"/>
  <c i="24" r="K42"/>
  <c i="10" r="R24"/>
  <c i="24" r="O42"/>
  <c i="10" r="D30"/>
  <c i="24" r="D42"/>
  <c i="10" r="C30"/>
  <c i="24" r="C42"/>
  <c i="10" r="U26"/>
  <c i="24" r="Q42"/>
  <c i="10" r="G23"/>
  <c i="24" r="G42"/>
  <c i="10" r="O23"/>
  <c i="24" r="L42"/>
  <c i="10" r="Q30"/>
  <c i="24" r="N42"/>
  <c i="16" r="D40"/>
  <c i="16" r="E40" s="1"/>
  <c i="24" r="D12"/>
  <c i="16" r="D33"/>
  <c i="16" r="E33" s="1"/>
  <c i="15" r="Y42"/>
  <c i="10" r="H125"/>
  <c i="2" r="Y78"/>
  <c i="6" r="N30"/>
  <c i="6" r="AA39"/>
  <c i="15" r="AA67"/>
  <c i="6" r="AC71"/>
  <c i="16" r="D34"/>
  <c i="16" r="E34" s="1"/>
  <c i="6" r="N63"/>
  <c i="6" r="N52"/>
  <c i="10" r="H119"/>
  <c i="10" r="H129"/>
  <c i="15" r="T69"/>
  <c i="15" r="T45"/>
  <c i="11" r="AG104"/>
  <c i="15" r="T21"/>
  <c i="2" r="T9"/>
  <c i="15" r="T9"/>
  <c i="15" r="I57"/>
  <c i="6" r="T19"/>
  <c i="6" r="AE19" s="1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2" r="AG108"/>
  <c i="15" r="Y68"/>
  <c i="6" r="AE72"/>
  <c i="1" r="AB7"/>
  <c i="15" r="AB53"/>
  <c i="10" r="AG109"/>
  <c i="10" r="H130"/>
  <c i="10" r="H131"/>
  <c i="10" r="AG118"/>
  <c i="11" r="AG102"/>
  <c i="11" r="I108"/>
  <c i="11" r="I111" s="1"/>
  <c i="2" r="AE7"/>
  <c i="6" r="Y7"/>
  <c i="6" r="B63"/>
  <c i="6" r="Y61"/>
  <c i="15" r="AA55"/>
  <c i="6" r="AC7"/>
  <c i="2" r="AD77"/>
  <c i="10" r="H132"/>
  <c i="6" r="U41"/>
  <c i="10" r="H126"/>
  <c i="10" r="H127"/>
  <c i="10" r="H128"/>
  <c i="12" r="H112"/>
  <c i="11" r="U106"/>
  <c i="11" r="AG106" s="1"/>
  <c i="11" r="T106"/>
  <c i="12" r="AF113"/>
  <c i="11" r="H111"/>
  <c i="11" r="H124"/>
  <c i="11" r="H117"/>
  <c i="11" r="U101"/>
  <c i="11" r="AG101" s="1"/>
  <c i="11" r="T101"/>
  <c i="11" r="U105"/>
  <c i="11" r="AG105" s="1"/>
  <c i="11" r="T105"/>
  <c i="11" r="P59"/>
  <c i="15" r="X77"/>
  <c i="16" r="B11"/>
  <c i="16" r="G63" s="1"/>
  <c i="3" r="X11"/>
  <c i="6" r="Q41"/>
  <c i="11" r="AF102"/>
  <c i="6" r="AC49"/>
  <c i="6" r="Y51"/>
  <c i="11" r="U103"/>
  <c i="11" r="T103"/>
  <c i="15" r="P81"/>
  <c i="11" r="H118"/>
  <c i="11" r="AF104"/>
  <c i="15" r="M21"/>
  <c i="11" r="H119"/>
  <c i="2" r="N69"/>
  <c i="10" r="AF109"/>
  <c i="6" r="R63"/>
  <c i="6" r="M19"/>
  <c i="20" r="H214"/>
  <c i="10" r="T110"/>
  <c i="12" r="U117"/>
  <c i="15" r="Q9"/>
  <c i="6" r="AB16"/>
  <c i="11" r="H121"/>
  <c i="6" r="M8"/>
  <c i="2" r="S81"/>
  <c i="15" r="M69"/>
  <c i="11" r="H120"/>
  <c i="6" r="S74"/>
  <c i="12" r="AF108"/>
  <c i="20" r="H298"/>
  <c i="12" r="T109"/>
  <c i="2" r="AB80"/>
  <c i="12" r="U113"/>
  <c i="12" r="AG113" s="1"/>
  <c i="6" r="Q63"/>
  <c i="11" r="H122"/>
  <c i="16" r="C11"/>
  <c i="10" r="S127"/>
  <c i="10" r="S132"/>
  <c i="10" r="S131"/>
  <c i="10" r="S130"/>
  <c i="10" r="S129"/>
  <c i="10" r="S128"/>
  <c i="10" r="S126"/>
  <c i="15" r="Q21"/>
  <c i="6" r="Q30"/>
  <c i="11" r="S122"/>
  <c i="2" r="X80"/>
  <c i="12" r="I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U110"/>
  <c i="11" r="AG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0" r="I130"/>
  <c i="10" r="I119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9"/>
  <c i="16" r="E19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2" r="AB6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6" r="G48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6" r="AE63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3"/>
  <c i="16" r="H83" s="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1" r="W15" s="1"/>
  <c i="12" r="Q29"/>
  <c i="12" r="P96"/>
  <c i="16" r="C85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51"/>
  <c i="16" r="H51" s="1"/>
  <c i="12" r="N91"/>
  <c i="10" r="N31"/>
  <c i="10" r="Q29"/>
  <c i="16" r="C48"/>
  <c i="16" r="H48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21"/>
  <c i="16" r="E21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6" r="H63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2"/>
  <c i="16" r="E22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6" r="H33"/>
  <c i="13" r="M8"/>
  <c i="16" r="D25"/>
  <c i="16" r="H64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6" r="H67"/>
  <c i="15" r="X66"/>
  <c i="16" r="H69"/>
  <c i="15" r="AE68"/>
  <c i="15" r="Y32"/>
  <c i="9" r="P81"/>
  <c i="9" r="P79"/>
  <c i="12" r="N118"/>
  <c i="9" r="P82"/>
  <c i="9" r="P85"/>
  <c i="9" r="Z85" s="1"/>
  <c i="16" r="H36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8"/>
  <c i="16" r="E18" s="1"/>
  <c i="12" r="Q97"/>
  <c i="12" r="AC97" s="1"/>
  <c i="12" r="O97"/>
  <c i="9" r="N85"/>
  <c i="6" r="Y49"/>
  <c i="16" r="H66"/>
  <c i="12" r="P26"/>
  <c i="12" r="Q25"/>
  <c i="12" r="AC25" s="1"/>
  <c i="6" r="AA7"/>
  <c i="9" r="O50"/>
  <c i="9" r="N81"/>
  <c i="16" r="H38"/>
  <c i="16" r="H34"/>
  <c i="10" r="W16"/>
  <c i="16" r="H39"/>
  <c i="2" r="Z80"/>
  <c i="15" r="Y17"/>
  <c i="12" r="Q130"/>
  <c i="3" r="X9"/>
  <c i="10" r="O92"/>
  <c i="2" r="P69"/>
  <c i="12" r="R92"/>
  <c i="13" r="L8"/>
  <c i="16" r="D23"/>
  <c i="16" r="E23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16" r="H68"/>
  <c i="16" r="H35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4"/>
  <c i="16" r="H84" s="1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9"/>
  <c i="16" r="H79" s="1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16" r="B26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6" r="H37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2" r="AF6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6" r="H40"/>
  <c i="12" r="E84"/>
  <c i="10" r="P133"/>
  <c i="12" r="O24"/>
  <c i="16" r="H81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2" r="AC7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5" r="X69" s="1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80"/>
  <c i="16" r="H80" s="1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2" r="AE21" s="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30" s="1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81" s="1"/>
  <c i="2" r="AE77"/>
  <c i="15" r="S69"/>
  <c i="15" r="AD65"/>
  <c i="12" r="O22"/>
  <c i="12" r="O30"/>
  <c i="12" r="O29"/>
  <c i="12" r="O28"/>
  <c i="2" r="AF79"/>
  <c i="15" r="AF79"/>
  <c i="10" r="W30"/>
  <c i="16" r="H7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50"/>
  <c i="16" r="H50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6"/>
  <c i="16" r="H56" s="1"/>
  <c i="10" r="W31"/>
  <c i="16" r="C41"/>
  <c i="16" r="H41" s="1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1" r="K15" s="1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AC52" s="1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AD6"/>
  <c i="2" r="H9"/>
  <c i="2" r="H21"/>
  <c i="2" r="AD21" s="1"/>
  <c i="15" r="I81"/>
  <c i="15" r="AE81" s="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6" r="Y30" s="1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5" r="X81" s="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2"/>
  <c i="16" r="H82" s="1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5"/>
  <c i="16" r="G85" s="1"/>
  <c i="16" r="I85" s="1"/>
  <c i="16" r="J85" s="1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6" r="G50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3"/>
  <c i="16" r="G83" s="1"/>
  <c i="12" r="G30"/>
  <c i="16" r="B84"/>
  <c i="12" r="I26"/>
  <c i="12" r="I22"/>
  <c i="12" r="I30"/>
  <c i="12" r="I27"/>
  <c i="12" r="AG13"/>
  <c i="12" r="I24"/>
  <c i="12" r="AG24" s="1"/>
  <c i="12" r="I23"/>
  <c i="12" r="I25"/>
  <c i="16" r="B79"/>
  <c i="16" r="G79" s="1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8"/>
  <c i="12" r="N26"/>
  <c i="12" r="N16"/>
  <c i="12" r="N27"/>
  <c i="12" r="N25"/>
  <c i="12" r="Z25" s="1"/>
  <c i="12" r="Z13"/>
  <c i="12" r="N30"/>
  <c i="2" r="AB54"/>
  <c i="2" r="Q57"/>
  <c i="3" r="AD10"/>
  <c i="3" r="S18"/>
  <c i="12" r="D27"/>
  <c i="16" r="B80"/>
  <c i="16" r="G80" s="1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52" s="1"/>
  <c i="6" r="AE49"/>
  <c i="12" r="E56"/>
  <c i="12" r="E57"/>
  <c i="12" r="E62"/>
  <c i="12" r="E50"/>
  <c i="12" r="B22"/>
  <c i="12" r="B28"/>
  <c i="12" r="B27"/>
  <c i="12" r="B30"/>
  <c i="12" r="B24"/>
  <c i="16" r="G78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2" r="AE33" s="1"/>
  <c i="12" r="W28"/>
  <c i="12" r="W23"/>
  <c i="12" r="W27"/>
  <c i="16" r="C71"/>
  <c i="12" r="W25"/>
  <c i="12" r="W22"/>
  <c i="12" r="W24"/>
  <c i="12" r="W30"/>
  <c i="12" r="W26"/>
  <c i="12" r="W29"/>
  <c i="16" r="B81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AC6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4" s="1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7" s="1"/>
  <c i="2" r="AD53"/>
  <c i="2" r="N45"/>
  <c i="2" r="Y41"/>
  <c i="16" r="H65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E6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Z97" s="1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6" r="G52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I125"/>
  <c i="10" r="I128"/>
  <c i="10" r="I131"/>
  <c i="10" r="I132"/>
  <c i="10" r="I133"/>
  <c i="10" r="I127"/>
  <c i="10" r="I129"/>
  <c i="10" r="I126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2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W25"/>
  <c i="11" r="W21"/>
  <c i="11" r="W28"/>
  <c i="11" r="W23"/>
  <c i="11" r="AL12"/>
  <c i="11" r="W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W22"/>
  <c i="11" r="AI22" s="1"/>
  <c i="11" r="W24"/>
  <c i="11" r="R26"/>
  <c i="11" r="O27"/>
  <c i="11" r="N26"/>
  <c i="11" r="S25"/>
  <c i="11" r="P26"/>
  <c i="11" r="W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3"/>
  <c i="16" r="H53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9"/>
  <c i="16" r="H49" s="1"/>
  <c i="10" r="O26"/>
  <c i="10" r="O30"/>
  <c i="16" r="C55"/>
  <c i="16" r="H55" s="1"/>
  <c i="10" r="V26"/>
  <c i="10" r="V30"/>
  <c i="10" r="V23"/>
  <c i="10" r="V25"/>
  <c i="10" r="V31"/>
  <c i="10" r="V24"/>
  <c i="10" r="V28"/>
  <c i="10" r="V27"/>
  <c i="10" r="V16"/>
  <c i="10" r="R30"/>
  <c i="10" r="R25"/>
  <c i="16" r="C52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4"/>
  <c i="16" r="H54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AA86" s="1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5"/>
  <c i="10" r="J28"/>
  <c i="10" r="J23"/>
  <c i="10" r="J31"/>
  <c i="10" r="J30"/>
  <c i="10" r="AH13"/>
  <c i="16" r="D64"/>
  <c i="16" r="E64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4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AH29" s="1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1" r="K25"/>
  <c i="11" r="K23"/>
  <c i="11" r="K26"/>
  <c i="11" r="K27"/>
  <c i="11" r="K21"/>
  <c i="11" r="K24"/>
  <c i="11" r="K28"/>
  <c i="11" r="AI12"/>
  <c i="15" r="J69"/>
  <c i="15" r="AF65"/>
  <c i="16" r="D24"/>
  <c i="16" r="E24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41" s="1"/>
  <c i="6" r="AF38"/>
  <c i="15" r="J21"/>
  <c i="15" r="AF17"/>
  <c i="13" r="D23"/>
  <c i="10" r="C128"/>
  <c i="10" r="AA128" s="1"/>
  <c i="16" r="D20"/>
  <c i="16" r="E20" s="1"/>
  <c i="12" r="AA49"/>
  <c i="9" l="1" r="AA21"/>
  <c i="10" r="Z27"/>
  <c i="9" r="AA55"/>
  <c i="9" r="AA24"/>
  <c i="10" r="AB30"/>
  <c i="15" r="AD9"/>
  <c i="6" r="Y52"/>
  <c i="6" r="Y63"/>
  <c i="6" r="AF30"/>
  <c i="2" r="AC69"/>
  <c i="15" r="AE9"/>
  <c i="10" r="Z28"/>
  <c i="10" r="AE23"/>
  <c i="15" r="AE69"/>
  <c i="10" r="AD24"/>
  <c i="15" r="AA21"/>
  <c i="15" r="AE21"/>
  <c i="3" r="AE18"/>
  <c i="2" r="AF81"/>
  <c i="16" r="C86"/>
  <c i="6" r="AC63"/>
  <c i="2" r="AE9"/>
  <c i="10" r="AA30"/>
  <c i="6" r="AF52"/>
  <c i="15" r="AE57"/>
  <c i="10" r="AG26"/>
  <c i="6" r="AE41"/>
  <c i="10" r="AC30"/>
  <c i="16" r="B56"/>
  <c i="2" r="AE57"/>
  <c i="24" r="C27"/>
  <c i="15" r="AD81"/>
  <c i="10" r="AA23"/>
  <c i="15" r="Y57"/>
  <c i="16" r="B86"/>
  <c i="16" r="G86" s="1"/>
  <c i="2" r="AE69"/>
  <c i="16" r="D65"/>
  <c i="16" r="E65" s="1"/>
  <c i="2" r="AE45"/>
  <c i="24" r="D19"/>
  <c i="9" r="AA56"/>
  <c i="16" r="D69"/>
  <c i="16" r="E69" s="1"/>
  <c i="24" r="D25"/>
  <c i="24" r="I25" s="1"/>
  <c i="24" r="J25" s="1"/>
  <c i="24" r="V201" s="1"/>
  <c i="15" r="AE45"/>
  <c i="16" r="D68"/>
  <c i="16" r="E68" s="1"/>
  <c i="24" r="D24"/>
  <c i="24" r="I24" s="1"/>
  <c i="24" r="J24" s="1"/>
  <c i="24" r="V167" s="1"/>
  <c i="1" r="AE9"/>
  <c i="16" r="D66"/>
  <c i="16" r="E66" s="1"/>
  <c i="24" r="D22"/>
  <c i="24" r="I22" s="1"/>
  <c i="24" r="J22" s="1"/>
  <c i="24" r="V99" s="1"/>
  <c i="16" r="D67"/>
  <c i="16" r="E67" s="1"/>
  <c i="24" r="D23"/>
  <c i="24" r="I23" s="1"/>
  <c i="24" r="J23" s="1"/>
  <c i="24" r="V133" s="1"/>
  <c i="15" r="AB9"/>
  <c i="6" r="X30"/>
  <c i="12" r="AA127"/>
  <c i="16" r="D39"/>
  <c i="16" r="E39" s="1"/>
  <c i="24" r="D11"/>
  <c i="24" r="I11" s="1"/>
  <c i="11" r="AE27"/>
  <c i="16" r="D38"/>
  <c i="16" r="E38" s="1"/>
  <c i="24" r="D10"/>
  <c i="24" r="I10" s="1"/>
  <c i="16" r="D37"/>
  <c i="16" r="E37" s="1"/>
  <c i="24" r="D9"/>
  <c i="24" r="I9" s="1"/>
  <c i="15" r="AE33"/>
  <c i="16" r="D36"/>
  <c i="16" r="E36" s="1"/>
  <c i="24" r="D8"/>
  <c i="24" r="I8" s="1"/>
  <c i="16" r="D35"/>
  <c i="16" r="E35" s="1"/>
  <c i="24" r="D7"/>
  <c i="24" r="I7" s="1"/>
  <c i="24" r="D6"/>
  <c i="24" r="I6" s="1"/>
  <c i="6" r="X19"/>
  <c i="9" r="AA82"/>
  <c i="24" r="C13"/>
  <c i="24" r="D5"/>
  <c i="24" r="I5" s="1"/>
  <c i="9" r="X80"/>
  <c i="12" r="AC91"/>
  <c i="9" r="W49"/>
  <c i="11" r="AE118"/>
  <c i="12" r="AC131"/>
  <c i="15" r="Z69"/>
  <c i="11" r="I121"/>
  <c i="10" r="K30"/>
  <c i="10" r="AI30" s="1"/>
  <c i="10" r="K25"/>
  <c i="10" r="AI25" s="1"/>
  <c i="6" r="AF63"/>
  <c i="11" r="I117"/>
  <c i="11" r="I122"/>
  <c i="11" r="I118"/>
  <c i="6" r="AA63"/>
  <c i="11" r="I119"/>
  <c i="11" r="I120"/>
  <c i="11" r="I124"/>
  <c i="11" r="I12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6" r="G41"/>
  <c i="16" r="I41" s="1"/>
  <c i="16" r="J41" s="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6" r="G39"/>
  <c i="16" r="I39" s="1"/>
  <c i="16" r="J39" s="1"/>
  <c i="11" r="AC120"/>
  <c i="12" r="AC84"/>
  <c i="9" r="AC55"/>
  <c i="6" r="AC74"/>
  <c i="11" r="AE122"/>
  <c i="10" r="AD131"/>
  <c i="11" r="AF103"/>
  <c i="20" r="F255"/>
  <c i="11" r="R104" s="1"/>
  <c i="11" r="AG103"/>
  <c i="15" r="AB21"/>
  <c i="12" r="AF109"/>
  <c i="12" r="U109"/>
  <c i="12" r="AH22"/>
  <c i="20" r="H299"/>
  <c i="12" r="T110"/>
  <c i="11" r="AF105"/>
  <c i="11" r="AA124"/>
  <c i="11" r="AF101"/>
  <c i="11" r="AE22"/>
  <c i="12" r="AD29"/>
  <c i="12" r="AE29"/>
  <c i="11" r="AE119"/>
  <c i="12" r="AC96"/>
  <c i="12" r="AC125"/>
  <c i="9" r="W19"/>
  <c i="10" r="AF110"/>
  <c i="10" r="U110"/>
  <c i="10" r="AG110" s="1"/>
  <c i="15" r="AF33"/>
  <c i="6" r="AC41"/>
  <c i="6" r="AA52"/>
  <c i="20" r="H216"/>
  <c i="10" r="T111"/>
  <c i="11" r="AF106"/>
  <c i="2" r="Y69"/>
  <c i="12" r="AG117"/>
  <c i="12" r="H115"/>
  <c i="12" r="I112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6" r="G36"/>
  <c i="16" r="I36" s="1"/>
  <c i="16" r="J36" s="1"/>
  <c i="10" r="AD126"/>
  <c i="12" r="AC58"/>
  <c i="10" r="AC130"/>
  <c i="16" r="G34"/>
  <c i="16" r="I34" s="1"/>
  <c i="16" r="J34" s="1"/>
  <c i="10" r="Z61"/>
  <c i="16" r="G37"/>
  <c i="16" r="I37" s="1"/>
  <c i="16" r="J37" s="1"/>
  <c i="16" r="G40"/>
  <c i="16" r="I40" s="1"/>
  <c i="16" r="J40" s="1"/>
  <c i="2" r="Y33"/>
  <c i="9" r="Y50"/>
  <c i="9" r="V79"/>
  <c i="9" r="AC56"/>
  <c i="12" r="AD131"/>
  <c i="9" r="Y54"/>
  <c i="9" r="X84"/>
  <c i="12" r="AD130"/>
  <c i="9" r="W85"/>
  <c i="10" r="Z97"/>
  <c i="10" r="AE126"/>
  <c i="2" r="AC9"/>
  <c i="16" r="G35"/>
  <c i="16" r="I35" s="1"/>
  <c i="16" r="J35" s="1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6" r="G38"/>
  <c i="16" r="I38" s="1"/>
  <c i="16" r="J38" s="1"/>
  <c i="11" r="AC111"/>
  <c i="12" r="AB118"/>
  <c i="12" r="R118"/>
  <c i="12" r="AD118" s="1"/>
  <c i="12" r="AD117"/>
  <c i="11" r="AA15"/>
  <c i="11" r="AA111"/>
  <c i="11" r="AE15"/>
  <c i="16" r="D85"/>
  <c i="12" r="AC126"/>
  <c i="16" r="G33"/>
  <c i="16" r="I33" s="1"/>
  <c i="16" r="J33" s="1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6"/>
  <c i="16" r="E26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6" r="I48"/>
  <c i="16" r="J48" s="1"/>
  <c i="11" r="AB124"/>
  <c i="9" r="AA52"/>
  <c i="10" r="Z30"/>
  <c i="6" r="AD63"/>
  <c i="10" r="AB129"/>
  <c i="16" r="I79"/>
  <c i="16" r="J79" s="1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16" r="I50"/>
  <c i="16" r="J50" s="1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1" r="AI24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8"/>
  <c i="16" r="E48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4"/>
  <c i="16" r="E84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16" r="I63"/>
  <c i="16" r="J63" s="1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1" r="AI28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16" r="G71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3"/>
  <c i="16" r="E83" s="1"/>
  <c i="12" r="AA27"/>
  <c i="10" r="AB25"/>
  <c i="11" r="AE23"/>
  <c i="12" r="AA50"/>
  <c i="12" r="AD26"/>
  <c i="16" r="I83"/>
  <c i="16" r="J83" s="1"/>
  <c i="9" r="V54"/>
  <c i="12" r="AC27"/>
  <c i="11" r="Z55"/>
  <c i="9" r="Z86"/>
  <c i="2" r="Y45"/>
  <c i="9" r="AC50"/>
  <c i="16" r="G84"/>
  <c i="16" r="I84" s="1"/>
  <c i="16" r="J84" s="1"/>
  <c i="10" r="AD16"/>
  <c i="10" r="AD97"/>
  <c i="10" r="AB60"/>
  <c i="11" r="AH22"/>
  <c i="10" r="AB99"/>
  <c i="11" r="Z22"/>
  <c i="12" r="AA59"/>
  <c i="9" r="AC19"/>
  <c i="16" r="D80"/>
  <c i="16" r="E80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6" r="G64"/>
  <c i="16" r="I64" s="1"/>
  <c i="16" r="J64" s="1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6" r="G70"/>
  <c i="16" r="I70" s="1"/>
  <c i="16" r="J70" s="1"/>
  <c i="10" r="AD98"/>
  <c i="16" r="G66"/>
  <c i="16" r="I66" s="1"/>
  <c i="16" r="J66" s="1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6" r="G67"/>
  <c i="16" r="I67" s="1"/>
  <c i="16" r="J67" s="1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6" r="G68"/>
  <c i="16" r="I68" s="1"/>
  <c i="16" r="J68" s="1"/>
  <c i="11" r="AA54"/>
  <c i="11" r="Z56"/>
  <c i="16" r="G69"/>
  <c i="16" r="I69" s="1"/>
  <c i="16" r="J69" s="1"/>
  <c i="10" r="AA16"/>
  <c i="11" r="AA59"/>
  <c i="10" r="AG25"/>
  <c i="9" r="W25"/>
  <c i="10" r="Z126"/>
  <c i="12" r="AA57"/>
  <c i="16" r="D50"/>
  <c i="16" r="E50" s="1"/>
  <c i="9" r="AB19"/>
  <c i="12" r="AA126"/>
  <c i="16" r="G65"/>
  <c i="16" r="I65" s="1"/>
  <c i="16" r="J65" s="1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6" r="I80"/>
  <c i="16" r="J80" s="1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I23"/>
  <c i="11" r="AG23"/>
  <c i="11" r="AB23"/>
  <c i="11" r="AC22"/>
  <c i="3" r="AC18"/>
  <c i="1" r="AD9"/>
  <c i="12" r="Z26"/>
  <c i="12" r="Z29"/>
  <c i="11" r="AD28"/>
  <c i="2" r="AC57"/>
  <c i="16" r="D81"/>
  <c i="16" r="E81" s="1"/>
  <c i="16" r="G81"/>
  <c i="16" r="I81" s="1"/>
  <c i="16" r="J81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9"/>
  <c i="16" r="E79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H86"/>
  <c i="16" r="H71"/>
  <c i="16" r="D71"/>
  <c i="16" r="E71" s="1"/>
  <c i="16" r="H78"/>
  <c i="16" r="I78" s="1"/>
  <c i="16" r="J78" s="1"/>
  <c i="16" r="D78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1" r="AI27"/>
  <c i="10" r="AA58"/>
  <c i="11" r="Z53"/>
  <c i="10" r="AA133"/>
  <c i="11" r="AC59"/>
  <c i="11" r="AG21"/>
  <c i="11" r="AI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G82"/>
  <c i="16" r="I82" s="1"/>
  <c i="16" r="J82" s="1"/>
  <c i="16" r="D82"/>
  <c i="16" r="E82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I25"/>
  <c i="11" r="AC28"/>
  <c i="11" r="AG15"/>
  <c i="11" r="AI15"/>
  <c i="11" r="AI26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2"/>
  <c i="16" r="E52" s="1"/>
  <c i="16" r="H52"/>
  <c i="16" r="I52" s="1"/>
  <c i="16" r="J52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G54"/>
  <c i="16" r="I54" s="1"/>
  <c i="16" r="J54" s="1"/>
  <c i="16" r="D54"/>
  <c i="16" r="E54" s="1"/>
  <c i="16" r="G55"/>
  <c i="16" r="I55" s="1"/>
  <c i="16" r="J55" s="1"/>
  <c i="16" r="D55"/>
  <c i="12" r="G61"/>
  <c i="11" r="F79"/>
  <c i="11" r="AD79" s="1"/>
  <c i="11" r="AD78"/>
  <c i="10" r="G51"/>
  <c i="10" r="AE48"/>
  <c i="16" r="G53"/>
  <c i="16" r="I53" s="1"/>
  <c i="16" r="J53" s="1"/>
  <c i="16" r="D53"/>
  <c i="16" r="E53" s="1"/>
  <c i="16" r="G51"/>
  <c i="16" r="I51" s="1"/>
  <c i="16" r="J51" s="1"/>
  <c i="16" r="D51"/>
  <c i="16" r="E51" s="1"/>
  <c i="12" r="G64"/>
  <c i="12" r="G50"/>
  <c i="12" r="G60"/>
  <c i="12" r="G63"/>
  <c i="12" r="AE63" s="1"/>
  <c i="12" r="G62"/>
  <c i="12" r="G58"/>
  <c i="12" r="G56"/>
  <c i="12" r="G59"/>
  <c i="12" r="AE47"/>
  <c i="11" r="G55"/>
  <c i="16" r="G49"/>
  <c i="16" r="I49" s="1"/>
  <c i="16" r="J49" s="1"/>
  <c i="16" r="D49"/>
  <c i="16" r="E49" s="1"/>
  <c i="16" l="1" r="E78"/>
  <c i="16" r="D86"/>
  <c i="24" r="B13"/>
  <c i="24" r="J6"/>
  <c i="24" r="V33" s="1"/>
  <c i="24" r="B76"/>
  <c i="24" r="B89" s="1"/>
  <c i="24" r="V63" s="1"/>
  <c i="24" r="F76"/>
  <c i="24" r="F89" s="1"/>
  <c i="24" r="V35" s="1"/>
  <c i="24" r="G76"/>
  <c i="24" r="G89" s="1"/>
  <c i="24" r="V36" s="1"/>
  <c i="24" r="H76"/>
  <c i="24" r="H89" s="1"/>
  <c i="24" r="V37" s="1"/>
  <c i="24" r="J7"/>
  <c i="24" r="V64" s="1"/>
  <c i="24" r="B77"/>
  <c i="24" r="B90" s="1"/>
  <c i="24" r="V97" s="1"/>
  <c i="24" r="G77"/>
  <c i="24" r="G90" s="1"/>
  <c i="24" r="V70" s="1"/>
  <c i="24" r="C77"/>
  <c i="24" r="C90" s="1"/>
  <c i="24" r="V66" s="1"/>
  <c i="24" r="D77"/>
  <c i="24" r="D90" s="1"/>
  <c i="24" r="V67" s="1"/>
  <c i="24" r="E77"/>
  <c i="24" r="E90" s="1"/>
  <c i="24" r="V68" s="1"/>
  <c i="24" r="F77"/>
  <c i="24" r="F90" s="1"/>
  <c i="24" r="V69" s="1"/>
  <c i="24" r="H77"/>
  <c i="24" r="H90" s="1"/>
  <c i="24" r="V71" s="1"/>
  <c i="24" r="J8"/>
  <c i="24" r="V98" s="1"/>
  <c i="24" r="B78"/>
  <c i="24" r="B91" s="1"/>
  <c i="24" r="V131" s="1"/>
  <c i="24" r="C78"/>
  <c i="24" r="C91" s="1"/>
  <c i="24" r="V100" s="1"/>
  <c i="24" r="D78"/>
  <c i="24" r="D91" s="1"/>
  <c i="24" r="V101" s="1"/>
  <c i="24" r="E78"/>
  <c i="24" r="E91" s="1"/>
  <c i="24" r="V102" s="1"/>
  <c i="24" r="F78"/>
  <c i="24" r="F91" s="1"/>
  <c i="24" r="V103" s="1"/>
  <c i="24" r="G78"/>
  <c i="24" r="G91" s="1"/>
  <c i="24" r="V104" s="1"/>
  <c i="24" r="H78"/>
  <c i="24" r="H91" s="1"/>
  <c i="24" r="V105" s="1"/>
  <c i="24" r="J9"/>
  <c i="24" r="V132" s="1"/>
  <c i="24" r="G79"/>
  <c i="24" r="G92" s="1"/>
  <c i="24" r="V138" s="1"/>
  <c i="24" r="H79"/>
  <c i="24" r="H92" s="1"/>
  <c i="24" r="V139" s="1"/>
  <c i="24" r="B79"/>
  <c i="24" r="B92" s="1"/>
  <c i="24" r="V165" s="1"/>
  <c i="24" r="C79"/>
  <c i="24" r="C92" s="1"/>
  <c i="24" r="V134" s="1"/>
  <c i="24" r="D79"/>
  <c i="24" r="D92" s="1"/>
  <c i="24" r="V135" s="1"/>
  <c i="24" r="E79"/>
  <c i="24" r="E92" s="1"/>
  <c i="24" r="V136" s="1"/>
  <c i="24" r="F79"/>
  <c i="24" r="F92" s="1"/>
  <c i="24" r="V137" s="1"/>
  <c i="24" r="J10"/>
  <c i="24" r="V166" s="1"/>
  <c i="24" r="B80"/>
  <c i="24" r="B93" s="1"/>
  <c i="24" r="V199" s="1"/>
  <c i="24" r="C80"/>
  <c i="24" r="C93" s="1"/>
  <c i="24" r="V168" s="1"/>
  <c i="24" r="D80"/>
  <c i="24" r="D93" s="1"/>
  <c i="24" r="V169" s="1"/>
  <c i="24" r="E80"/>
  <c i="24" r="E93" s="1"/>
  <c i="24" r="V170" s="1"/>
  <c i="24" r="F80"/>
  <c i="24" r="F93" s="1"/>
  <c i="24" r="V171" s="1"/>
  <c i="24" r="G80"/>
  <c i="24" r="G93" s="1"/>
  <c i="24" r="V172" s="1"/>
  <c i="24" r="H80"/>
  <c i="24" r="H93" s="1"/>
  <c i="24" r="V173" s="1"/>
  <c i="24" r="J11"/>
  <c i="24" r="V200" s="1"/>
  <c i="24" r="G81"/>
  <c i="24" r="G94" s="1"/>
  <c i="24" r="V206" s="1"/>
  <c i="24" r="H81"/>
  <c i="24" r="H94" s="1"/>
  <c i="24" r="V207" s="1"/>
  <c i="24" r="B81"/>
  <c i="24" r="B94" s="1"/>
  <c i="24" r="V233" s="1"/>
  <c i="24" r="C81"/>
  <c i="24" r="C94" s="1"/>
  <c i="24" r="V202" s="1"/>
  <c i="24" r="D81"/>
  <c i="24" r="D94" s="1"/>
  <c i="24" r="V203" s="1"/>
  <c i="24" r="E81"/>
  <c i="24" r="E94" s="1"/>
  <c i="24" r="V204" s="1"/>
  <c i="24" r="F81"/>
  <c i="24" r="F94" s="1"/>
  <c i="24" r="V205" s="1"/>
  <c i="24" r="J5"/>
  <c i="24" r="V3" s="1"/>
  <c i="24" r="G75"/>
  <c i="24" r="G88" s="1"/>
  <c i="24" r="V7" s="1"/>
  <c i="24" r="B75"/>
  <c i="24" r="B88" s="1"/>
  <c i="24" r="V32" s="1"/>
  <c i="24" r="C75"/>
  <c i="24" r="C88" s="1"/>
  <c i="24" r="V5" s="1"/>
  <c i="24" r="F75"/>
  <c i="24" r="F88" s="1"/>
  <c i="24" r="V6" s="1"/>
  <c i="24" r="I19"/>
  <c i="24" r="J19" s="1"/>
  <c i="24" r="V4" s="1"/>
  <c i="24" r="D21"/>
  <c i="24" r="I21" s="1"/>
  <c i="24" r="J21" s="1"/>
  <c i="24" r="V65" s="1"/>
  <c i="24" r="B27"/>
  <c i="24" r="D27" s="1"/>
  <c i="24" r="D13"/>
  <c i="16" r="E86"/>
  <c i="16" r="D41"/>
  <c i="16" r="E41" s="1"/>
  <c i="12" r="AF110"/>
  <c i="12" r="U110"/>
  <c i="20" r="H300"/>
  <c i="12" r="T111"/>
  <c i="12" r="AG109"/>
  <c i="12" r="I115"/>
  <c i="12" r="H118"/>
  <c i="12" r="H132"/>
  <c i="12" r="H124"/>
  <c i="12" r="H131"/>
  <c i="12" r="H128"/>
  <c i="12" r="H127"/>
  <c i="12" r="H126"/>
  <c i="12" r="H125"/>
  <c i="12" r="H130"/>
  <c i="12" r="H129"/>
  <c i="20" r="F256"/>
  <c i="11" r="R105" s="1"/>
  <c i="11" r="AD104"/>
  <c i="20" r="H217"/>
  <c i="10" r="T113"/>
  <c i="10" r="AF111"/>
  <c i="10" r="U111"/>
  <c i="11" r="AE59"/>
  <c i="11" r="AE57"/>
  <c i="16" r="I86"/>
  <c i="16" r="J86" s="1"/>
  <c i="16" r="I71"/>
  <c i="16" r="J71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10" l="1" r="AG111"/>
  <c i="10" r="AF113"/>
  <c i="10" r="U113"/>
  <c i="20" r="F257"/>
  <c i="11" r="R106" s="1"/>
  <c i="11" r="AD105"/>
  <c i="12" r="AG110"/>
  <c i="20" r="H218"/>
  <c i="10" r="T114"/>
  <c i="12" r="I128"/>
  <c i="12" r="I131"/>
  <c i="12" r="I127"/>
  <c i="12" r="I132"/>
  <c i="12" r="I124"/>
  <c i="12" r="I125"/>
  <c i="12" r="I130"/>
  <c i="12" r="I126"/>
  <c i="12" r="I118"/>
  <c i="12" r="AF111"/>
  <c i="12" r="U111"/>
  <c i="12" r="I129"/>
  <c i="20" r="H302"/>
  <c i="12" r="T112"/>
  <c i="20" l="1" r="H295"/>
  <c i="12" r="T107" s="1"/>
  <c i="12" r="T114"/>
  <c i="12" r="AG111"/>
  <c i="10" r="AF114"/>
  <c i="10" r="U114"/>
  <c i="12" r="AF112"/>
  <c i="12" r="U112"/>
  <c i="10" r="AG113"/>
  <c i="20" r="H211"/>
  <c i="10" r="T108" s="1"/>
  <c i="10" r="T115"/>
  <c i="20" r="H258"/>
  <c i="11" r="AD106"/>
  <c i="12" l="1" r="AG112"/>
  <c i="11" r="U107"/>
  <c i="11" r="T107"/>
  <c i="10" r="AG114"/>
  <c i="10" r="AF115"/>
  <c i="10" r="U115"/>
  <c i="12" r="AF114"/>
  <c i="12" r="U114"/>
  <c i="10" r="AF108"/>
  <c i="10" r="T116"/>
  <c i="10" r="T125" s="1"/>
  <c i="10" r="AF125" s="1"/>
  <c i="10" r="U108"/>
  <c i="12" r="AF107"/>
  <c i="12" r="T115"/>
  <c i="12" r="T124" s="1"/>
  <c i="12" r="AF124" s="1"/>
  <c i="12" r="U107"/>
  <c i="10" l="1" r="AG108"/>
  <c i="10" r="U116"/>
  <c i="10" r="U125" s="1"/>
  <c i="10" r="AG125" s="1"/>
  <c i="10" r="AG115"/>
  <c i="10" r="U132"/>
  <c i="10" r="AG132" s="1"/>
  <c i="12" r="T118"/>
  <c i="12" r="AF118" s="1"/>
  <c i="12" r="T132"/>
  <c i="12" r="AF132" s="1"/>
  <c i="12" r="AF115"/>
  <c i="12" r="T130"/>
  <c i="12" r="AF130" s="1"/>
  <c i="12" r="T125"/>
  <c i="12" r="AF125" s="1"/>
  <c i="12" r="T126"/>
  <c i="12" r="AF126" s="1"/>
  <c i="12" r="T127"/>
  <c i="12" r="AF127" s="1"/>
  <c i="12" r="T128"/>
  <c i="12" r="AF128" s="1"/>
  <c i="12" r="T129"/>
  <c i="12" r="AF129" s="1"/>
  <c i="12" r="AG114"/>
  <c i="12" r="T131"/>
  <c i="12" r="AF131" s="1"/>
  <c i="11" r="AF107"/>
  <c i="11" r="T108"/>
  <c i="20" r="F252"/>
  <c i="11" r="R101" s="1"/>
  <c i="11" r="AG107"/>
  <c i="11" r="U108"/>
  <c i="11" r="U123" s="1"/>
  <c i="11" r="AG123" s="1"/>
  <c i="10" r="T132"/>
  <c i="10" r="AF132" s="1"/>
  <c i="10" r="AF116"/>
  <c i="10" r="T133"/>
  <c i="10" r="AF133" s="1"/>
  <c i="10" r="T119"/>
  <c i="10" r="AF119" s="1"/>
  <c i="10" r="T129"/>
  <c i="10" r="AF129" s="1"/>
  <c i="10" r="T126"/>
  <c i="10" r="AF126" s="1"/>
  <c i="10" r="T127"/>
  <c i="10" r="AF127" s="1"/>
  <c i="10" r="T128"/>
  <c i="10" r="AF128" s="1"/>
  <c i="10" r="T130"/>
  <c i="10" r="AF130" s="1"/>
  <c i="10" r="T131"/>
  <c i="10" r="AF131" s="1"/>
  <c i="12" r="U115"/>
  <c i="12" r="U124" s="1"/>
  <c i="12" r="AG124" s="1"/>
  <c i="12" r="AG107"/>
  <c i="12" l="1" r="U131"/>
  <c i="12" r="AG131" s="1"/>
  <c i="11" r="T117"/>
  <c i="11" r="AF117" s="1"/>
  <c i="11" r="AF108"/>
  <c i="11" r="T124"/>
  <c i="11" r="AF124" s="1"/>
  <c i="11" r="T118"/>
  <c i="11" r="AF118" s="1"/>
  <c i="11" r="T120"/>
  <c i="11" r="AF120" s="1"/>
  <c i="11" r="T122"/>
  <c i="11" r="AF122" s="1"/>
  <c i="11" r="T119"/>
  <c i="11" r="AF119" s="1"/>
  <c i="11" r="T121"/>
  <c i="11" r="AF121" s="1"/>
  <c i="11" r="U121"/>
  <c i="11" r="AG121" s="1"/>
  <c i="11" r="AG108"/>
  <c i="11" r="U118"/>
  <c i="11" r="AG118" s="1"/>
  <c i="11" r="U122"/>
  <c i="11" r="AG122" s="1"/>
  <c i="11" r="U111"/>
  <c i="11" r="AG111" s="1"/>
  <c i="11" r="U124"/>
  <c i="11" r="AG124" s="1"/>
  <c i="11" r="U119"/>
  <c i="11" r="AG119" s="1"/>
  <c i="11" r="U117"/>
  <c i="11" r="AG117" s="1"/>
  <c i="11" r="U120"/>
  <c i="11" r="AG120" s="1"/>
  <c i="11" r="T123"/>
  <c i="11" r="AF123" s="1"/>
  <c i="12" r="U130"/>
  <c i="12" r="AG130" s="1"/>
  <c i="12" r="U118"/>
  <c i="12" r="AG118" s="1"/>
  <c i="12" r="U125"/>
  <c i="12" r="AG125" s="1"/>
  <c i="12" r="AG115"/>
  <c i="12" r="U132"/>
  <c i="12" r="AG132" s="1"/>
  <c i="12" r="U126"/>
  <c i="12" r="AG126" s="1"/>
  <c i="12" r="U127"/>
  <c i="12" r="AG127" s="1"/>
  <c i="12" r="U128"/>
  <c i="12" r="AG128" s="1"/>
  <c i="12" r="U129"/>
  <c i="12" r="AG129" s="1"/>
  <c i="11" r="AD101"/>
  <c i="11" r="R108"/>
  <c i="11" r="R117" s="1"/>
  <c i="11" r="AD117" s="1"/>
  <c i="10" r="U133"/>
  <c i="10" r="AG133" s="1"/>
  <c i="10" r="U129"/>
  <c i="10" r="AG129" s="1"/>
  <c i="10" r="U126"/>
  <c i="10" r="AG126" s="1"/>
  <c i="10" r="U119"/>
  <c i="10" r="AG119" s="1"/>
  <c i="10" r="AG116"/>
  <c i="10" r="U127"/>
  <c i="10" r="AG127" s="1"/>
  <c i="10" r="U128"/>
  <c i="10" r="AG128" s="1"/>
  <c i="10" r="U130"/>
  <c i="10" r="AG130" s="1"/>
  <c i="10" r="U131"/>
  <c i="10" r="AG131" s="1"/>
  <c i="11" l="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16" l="1" r="D56"/>
  <c i="16" r="E56" s="1"/>
  <c i="16" r="G56"/>
  <c i="16" r="I56" s="1"/>
  <c i="16" r="J56" s="1"/>
</calcChain>
</file>

<file path=xl/sharedStrings.xml><?xml version="1.0" encoding="utf-8"?>
<sst xmlns="http://schemas.openxmlformats.org/spreadsheetml/2006/main" count="30325" uniqueCount="12709">
  <si>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</si>
  <si>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</si>
  <si>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</si>
  <si>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</si>
  <si>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</si>
  <si>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</si>
  <si>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</si>
  <si>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</si>
  <si>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</si>
  <si>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</si>
  <si>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</si>
  <si>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</si>
  <si>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</si>
  <si>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</si>
  <si>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</si>
  <si>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</si>
  <si>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</si>
  <si>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</si>
  <si>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</si>
  <si>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</si>
  <si>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</si>
  <si>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</si>
  <si>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</si>
  <si>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</si>
  <si>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</si>
  <si>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</si>
  <si>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</si>
  <si>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</si>
  <si>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</si>
  <si>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</si>
  <si>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</si>
  <si>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</si>
  <si>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</si>
  <si>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</si>
  <si>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</si>
  <si>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</si>
  <si>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</si>
  <si>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</si>
  <si>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</si>
  <si>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</si>
  <si>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</si>
  <si>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</si>
  <si>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</si>
  <si>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</si>
  <si>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</si>
  <si>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</si>
  <si>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</si>
  <si>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</si>
  <si>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</si>
  <si>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</si>
  <si>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</si>
  <si>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</si>
  <si>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</si>
  <si>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</si>
  <si>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</si>
  <si>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</si>
  <si>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</si>
  <si>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</si>
  <si>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</si>
  <si>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</si>
  <si>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</si>
  <si>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</si>
  <si>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</si>
  <si>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</si>
  <si>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</si>
  <si>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</si>
  <si>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</si>
  <si>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</si>
  <si>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</si>
  <si>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</si>
  <si>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</si>
  <si>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</si>
  <si>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</si>
  <si>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</si>
  <si>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</si>
  <si>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</si>
  <si>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</si>
  <si>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</si>
  <si>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</si>
  <si>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</si>
  <si>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</si>
  <si>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</si>
  <si>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</si>
  <si>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</si>
  <si>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</si>
  <si>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</si>
  <si>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</si>
  <si>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</si>
  <si>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</si>
  <si>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</si>
  <si>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</si>
  <si>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</si>
  <si>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</si>
  <si>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</si>
  <si>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</si>
  <si>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</si>
  <si>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</si>
  <si>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</si>
  <si>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</si>
  <si>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</si>
  <si>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</si>
  <si>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</si>
  <si>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</si>
  <si>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</si>
  <si>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</si>
  <si>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</si>
  <si>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</si>
  <si>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</si>
  <si>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</si>
  <si>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</si>
  <si>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</si>
  <si>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</si>
  <si>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</si>
  <si>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</si>
  <si>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</si>
  <si>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</si>
  <si>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</si>
  <si>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</si>
  <si>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</si>
  <si>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</si>
  <si>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</si>
  <si>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</si>
  <si>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</si>
  <si>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</si>
  <si>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</si>
  <si>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</si>
  <si>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</si>
  <si>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</si>
  <si>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</si>
  <si>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</si>
  <si>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</si>
  <si>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</si>
  <si>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</si>
  <si>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</si>
  <si>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</si>
  <si>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</si>
  <si>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</si>
  <si>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</si>
  <si>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</si>
  <si>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</si>
  <si>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</si>
  <si>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</si>
  <si>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</si>
  <si>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</si>
  <si>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</si>
  <si>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</si>
  <si>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</si>
  <si>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</si>
  <si>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</si>
  <si>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</si>
  <si>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</si>
  <si>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</si>
  <si>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</si>
  <si>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</si>
  <si>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</si>
  <si>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</si>
  <si>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</si>
  <si>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</si>
  <si>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</si>
  <si>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</si>
  <si>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</si>
  <si>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</si>
  <si>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</si>
  <si>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</si>
  <si>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</si>
  <si>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</si>
  <si>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</si>
  <si>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</si>
  <si>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</si>
  <si>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</si>
  <si>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</si>
  <si>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</si>
  <si>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</si>
  <si>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</si>
  <si>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</si>
  <si>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</si>
  <si>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</si>
  <si>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</si>
  <si>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</si>
  <si>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</si>
  <si>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</si>
  <si>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</si>
  <si>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</si>
  <si>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</si>
  <si>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</si>
  <si>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</si>
  <si>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</si>
  <si>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</si>
  <si>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</si>
  <si>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</si>
  <si>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</si>
  <si>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</si>
  <si>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</si>
  <si>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</si>
  <si>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</si>
  <si>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</si>
  <si>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</si>
  <si>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TABLE 10. TRIP RATES BY PERSONTYPE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</si>
  <si>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</si>
  <si>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</si>
  <si>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</si>
  <si>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</si>
  <si>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</si>
  <si>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</si>
  <si>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</si>
  <si>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</si>
  <si>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</si>
  <si>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</si>
  <si>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</si>
  <si>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</si>
  <si>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</si>
  <si>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</si>
  <si>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</si>
  <si>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</si>
  <si>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</si>
  <si>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</si>
  <si>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</si>
  <si>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</si>
  <si>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</si>
  <si>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</si>
  <si>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</si>
  <si>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8. TRIP RATES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</si>
  <si>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</si>
  <si>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</si>
  <si>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</si>
  <si>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</si>
  <si>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</si>
  <si>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</si>
  <si>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</si>
  <si>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</si>
  <si>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</si>
  <si>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</si>
  <si>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</si>
  <si>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</si>
  <si>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</si>
  <si>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</si>
  <si>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</si>
  <si>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</si>
  <si>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</si>
  <si>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</si>
  <si>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</si>
  <si>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</si>
  <si>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</si>
  <si>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</si>
  <si>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</si>
  <si>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</si>
  <si>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</si>
  <si>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</si>
  <si>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</si>
  <si>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</si>
  <si>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</si>
  <si>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</si>
  <si>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</si>
  <si>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</si>
  <si>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</si>
  <si>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</si>
  <si>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</si>
  <si>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</si>
  <si>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</si>
  <si>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</si>
  <si>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</si>
  <si>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</si>
  <si>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</si>
  <si>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</si>
  <si>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</si>
  <si>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</si>
  <si>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</si>
  <si>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</si>
  <si>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</si>
  <si>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</si>
  <si>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</si>
  <si>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</si>
  <si>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</si>
  <si>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</si>
  <si>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</si>
  <si>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</si>
  <si>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</si>
  <si>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</si>
  <si>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</si>
  <si>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</si>
  <si>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</si>
  <si>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</si>
  <si>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</si>
  <si>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</si>
  <si>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</si>
  <si>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</si>
  <si>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</si>
  <si>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</si>
  <si>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4. TOUR RATES BY PUPROSE</t>
  </si>
  <si>
    <t>TABLE 5. TOURS BY PERSONTYPE</t>
  </si>
  <si>
    <t>TABLE 6. TOUR RATES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</si>
  <si>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</si>
  <si>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</si>
  <si>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</si>
  <si>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</si>
  <si>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</si>
  <si>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</si>
  <si>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</si>
  <si>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</si>
  <si>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</si>
  <si>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</si>
  <si>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</si>
  <si>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</si>
  <si>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</si>
  <si>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</si>
  <si>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</si>
  <si>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</si>
  <si>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</si>
  <si>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</si>
  <si>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</si>
  <si>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</si>
  <si>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</si>
  <si>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</si>
  <si>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</si>
  <si>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</si>
  <si>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</si>
  <si>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</si>
  <si>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</si>
  <si>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Citrus</t>
  </si>
  <si>
    <t>Hernando</t>
  </si>
  <si>
    <t>Hillsborough</t>
  </si>
  <si>
    <t>Manatee</t>
  </si>
  <si>
    <t>Pasco</t>
  </si>
  <si>
    <t>Pinellas</t>
  </si>
  <si>
    <t>Baker</t>
  </si>
  <si>
    <t>Clay</t>
  </si>
  <si>
    <t>Duval</t>
  </si>
  <si>
    <t>Nassau</t>
  </si>
  <si>
    <t>Putnam</t>
  </si>
  <si>
    <t>STJohns</t>
  </si>
  <si>
    <t>County7</t>
  </si>
  <si>
    <t>Williamson</t>
  </si>
  <si>
    <t>Rutherford</t>
  </si>
  <si>
    <t>Sumner</t>
  </si>
  <si>
    <t>Roberston</t>
  </si>
  <si>
    <t>Davidson</t>
  </si>
  <si>
    <t>Maury</t>
  </si>
  <si>
    <t>Wilson</t>
  </si>
  <si>
    <t>IndividualPersonDayPatternCoefficients_SACOG-v1.8.F12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</si>
  <si>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</si>
  <si>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</si>
  <si>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</si>
  <si>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</si>
  <si>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</si>
  <si>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</si>
  <si>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</si>
  <si>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</si>
  <si>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</si>
  <si>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</si>
  <si>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</si>
  <si>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</si>
  <si>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</si>
  <si>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</si>
  <si>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</si>
  <si>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</si>
  <si>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</si>
  <si>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</si>
  <si>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</si>
  <si>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</si>
  <si>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</si>
  <si>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</si>
  <si>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</si>
  <si>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</si>
  <si>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</si>
  <si>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</si>
  <si>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</si>
  <si>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</si>
  <si>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</si>
  <si>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</si>
  <si>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</si>
  <si>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</si>
  <si>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</si>
  <si>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</si>
  <si>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</si>
  <si>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</si>
  <si>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</si>
  <si>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</si>
  <si>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</si>
  <si>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</si>
  <si>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</si>
  <si>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</si>
  <si>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</si>
  <si>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</si>
  <si>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</si>
  <si>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</si>
  <si>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</si>
  <si>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</si>
  <si>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</si>
  <si>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</si>
  <si>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</si>
  <si>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</si>
  <si>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</si>
  <si>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</si>
  <si>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</si>
  <si>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</si>
  <si>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</si>
  <si>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</si>
  <si>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</si>
  <si>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</si>
  <si>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</si>
  <si>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</si>
  <si>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</si>
  <si>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</si>
  <si>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</si>
  <si>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</si>
  <si>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</si>
  <si>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</si>
  <si>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</si>
  <si>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</si>
  <si>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</si>
  <si>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</si>
  <si>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</si>
  <si>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</si>
  <si>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</si>
  <si>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</si>
  <si>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</si>
  <si>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</si>
  <si>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</si>
  <si>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</si>
  <si>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</si>
  <si>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</si>
  <si>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</si>
  <si>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</si>
  <si>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</si>
  <si>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</si>
  <si>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</si>
  <si>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</si>
  <si>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</si>
  <si>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</si>
  <si>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</si>
  <si>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</si>
  <si>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</si>
  <si>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</si>
  <si>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</si>
  <si>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</si>
  <si>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</si>
  <si>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</si>
  <si>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</si>
  <si>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</si>
  <si>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</si>
  <si>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</si>
  <si>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</si>
  <si>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</si>
  <si>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</si>
  <si>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</si>
  <si>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</si>
  <si>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</si>
  <si>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</si>
  <si>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</si>
  <si>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</si>
  <si>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</si>
  <si>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</si>
  <si>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</si>
  <si>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</si>
  <si>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</si>
  <si>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</si>
  <si>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</si>
  <si>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</si>
  <si>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</si>
  <si>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</si>
  <si>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</si>
  <si>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</si>
  <si>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</si>
  <si>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</si>
  <si>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</si>
  <si>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</si>
  <si>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</si>
  <si>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</si>
  <si>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</si>
  <si>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</si>
  <si>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</si>
  <si>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</si>
  <si>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</si>
  <si>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</si>
  <si>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</si>
  <si>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</si>
  <si>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</si>
  <si>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</si>
  <si>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</si>
  <si>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</si>
  <si>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</si>
  <si>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</si>
  <si>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</si>
  <si>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</si>
  <si>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</si>
  <si>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</si>
  <si>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</si>
  <si>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</si>
  <si>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</si>
  <si>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</si>
  <si>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</si>
  <si>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</si>
  <si>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</si>
  <si>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</si>
  <si>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</si>
  <si>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</si>
  <si>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</si>
  <si>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</si>
  <si>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</si>
  <si>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</si>
  <si>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</si>
  <si>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</si>
  <si>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</si>
  <si>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</si>
  <si>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</si>
  <si>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</si>
  <si>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</si>
  <si>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</si>
  <si>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</si>
  <si>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</si>
  <si>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</si>
  <si>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</si>
  <si>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</si>
  <si>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</si>
  <si>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</si>
  <si>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</si>
  <si>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</si>
  <si>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</si>
  <si>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</si>
  <si>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</si>
  <si>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</si>
  <si>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</si>
  <si>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</si>
  <si>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</si>
  <si>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</si>
  <si>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</si>
  <si>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</si>
  <si>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</si>
  <si>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</si>
  <si>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</si>
  <si>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</si>
  <si>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</si>
  <si>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</si>
  <si>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</si>
  <si>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</si>
  <si>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</si>
  <si>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</si>
  <si>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</si>
  <si>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</si>
  <si>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</si>
  <si>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</si>
  <si>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</si>
  <si>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</si>
  <si>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</si>
  <si>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</si>
  <si>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</si>
  <si>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</si>
  <si>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</si>
  <si>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</si>
  <si>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</si>
  <si>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</si>
  <si>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</si>
  <si>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</si>
  <si>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</si>
  <si>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</si>
  <si>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</si>
  <si>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</si>
  <si>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</si>
  <si>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</si>
  <si>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</si>
  <si>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</si>
  <si>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</si>
  <si>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</si>
  <si>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</si>
  <si>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</si>
  <si>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</si>
  <si>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</si>
  <si>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</si>
  <si>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</si>
  <si>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</si>
  <si>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</si>
  <si>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</si>
  <si>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</si>
  <si>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</si>
  <si>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</si>
  <si>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</si>
  <si>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</si>
  <si>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</si>
  <si>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</si>
  <si>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</si>
  <si>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</si>
  <si>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</si>
  <si>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</si>
  <si>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</si>
  <si>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</si>
  <si>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</si>
  <si>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</si>
  <si>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</si>
  <si>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</si>
  <si>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</si>
  <si>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</si>
  <si>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</si>
  <si>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</si>
  <si>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</si>
  <si>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</si>
  <si>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</si>
  <si>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</si>
  <si>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</si>
  <si>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</si>
  <si>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</si>
  <si>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</si>
  <si>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</si>
  <si>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</si>
  <si>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</si>
  <si>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</si>
  <si>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</si>
  <si>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</si>
  <si>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</si>
  <si>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</si>
  <si>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</si>
  <si>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</si>
  <si>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</si>
  <si>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</si>
  <si>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</si>
  <si>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</si>
  <si>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</si>
  <si>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</si>
  <si>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</si>
  <si>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</si>
  <si>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</si>
  <si>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</si>
  <si>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</si>
  <si>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</si>
  <si>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</si>
  <si>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</si>
  <si>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</si>
  <si>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</si>
  <si>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</si>
  <si>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</si>
  <si>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</si>
  <si>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</si>
  <si>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</si>
  <si>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</si>
  <si>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</si>
  <si>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</si>
  <si>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</si>
  <si>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</si>
  <si>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</si>
  <si>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</si>
  <si>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</si>
  <si>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</si>
  <si>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</si>
  <si>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</si>
  <si>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</si>
  <si>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</si>
  <si>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</si>
  <si>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</si>
  <si>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</si>
  <si>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</si>
  <si>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</si>
  <si>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</si>
  <si>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</si>
  <si>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</si>
  <si>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</si>
  <si>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</si>
  <si>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</si>
  <si>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</si>
  <si>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</si>
  <si>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</si>
  <si>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</si>
  <si>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</si>
  <si>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</si>
  <si>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</si>
  <si>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</si>
  <si>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</si>
  <si>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</si>
  <si>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</si>
  <si>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</si>
  <si>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</si>
  <si>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</si>
  <si>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</si>
  <si>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</si>
  <si>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</si>
  <si>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</si>
  <si>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</si>
  <si>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</si>
  <si>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</si>
  <si>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</si>
  <si>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</si>
  <si>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</si>
  <si>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</si>
  <si>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</si>
  <si>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</si>
  <si>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</si>
  <si>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</si>
  <si>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</si>
  <si>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</si>
  <si>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</si>
  <si>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</si>
  <si>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</si>
  <si>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</si>
  <si>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</si>
  <si>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</si>
  <si>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</si>
  <si>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</si>
  <si>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</si>
  <si>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</si>
  <si>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</si>
  <si>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</si>
  <si>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</si>
  <si>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</si>
  <si>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</si>
  <si>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</si>
  <si>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</si>
  <si>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</si>
  <si>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</si>
  <si>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</si>
  <si>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</si>
  <si>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</si>
  <si>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</si>
  <si>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</si>
  <si>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</si>
  <si>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</si>
  <si>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</si>
  <si>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</si>
  <si>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</si>
  <si>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</si>
  <si>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</si>
  <si>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</si>
  <si>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</si>
  <si>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</si>
  <si>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</si>
  <si>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</si>
  <si>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</si>
  <si>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</si>
  <si>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</si>
  <si>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</si>
  <si>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</si>
  <si>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</si>
  <si>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</si>
  <si>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</si>
  <si>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</si>
  <si>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</si>
  <si>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</si>
  <si>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</si>
  <si>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</si>
  <si>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</si>
  <si>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</si>
  <si>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</si>
  <si>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</si>
  <si>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</si>
  <si>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</si>
  <si>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</si>
  <si>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</si>
  <si>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</si>
  <si>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</si>
  <si>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</si>
  <si>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</si>
  <si>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</si>
  <si>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</si>
  <si>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</si>
  <si>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</si>
  <si>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</si>
  <si>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</si>
  <si>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</si>
  <si>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</si>
  <si>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</si>
  <si>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</si>
  <si>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</si>
  <si>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</si>
  <si>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</si>
  <si>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</si>
  <si>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</si>
  <si>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</si>
  <si>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</si>
  <si>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</si>
  <si>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</si>
  <si>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</si>
  <si>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</si>
  <si>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</si>
  <si>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</si>
  <si>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</si>
  <si>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</si>
  <si>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</si>
  <si>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</si>
  <si>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</si>
  <si>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</si>
  <si>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</si>
  <si>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</si>
  <si>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</si>
  <si>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</si>
  <si>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</si>
  <si>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</si>
  <si>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</si>
  <si>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</si>
  <si>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</si>
  <si>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</si>
  <si>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</si>
  <si>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</si>
  <si>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</si>
  <si>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</si>
  <si>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</si>
  <si>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</si>
  <si>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</si>
  <si>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</si>
  <si>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</si>
  <si>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</si>
  <si>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</si>
  <si>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</si>
  <si>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</si>
  <si>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</si>
  <si>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</si>
  <si>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</si>
  <si>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</si>
  <si>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</si>
  <si>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</si>
  <si>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</si>
  <si>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</si>
  <si>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</si>
  <si>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</si>
  <si>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</si>
  <si>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</si>
  <si>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</si>
  <si>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</si>
  <si>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</si>
  <si>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</si>
  <si>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</si>
  <si>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</si>
  <si>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</si>
  <si>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</si>
  <si>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</si>
  <si>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</si>
  <si>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</si>
  <si>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</si>
  <si>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</si>
  <si>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</si>
  <si>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</si>
  <si>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</si>
  <si>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</si>
  <si>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</si>
  <si>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</si>
  <si>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</si>
  <si>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</si>
  <si>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</si>
  <si>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</si>
  <si>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</si>
  <si>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</si>
  <si>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</si>
  <si>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</si>
  <si>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</si>
  <si>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</si>
  <si>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</si>
  <si>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</si>
  <si>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</si>
  <si>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</si>
  <si>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</si>
  <si>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</si>
  <si>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</si>
  <si>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</si>
  <si>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</si>
  <si>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</si>
  <si>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</si>
  <si>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</si>
  <si>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</si>
  <si>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</si>
  <si>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</si>
  <si>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</si>
  <si>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</si>
  <si>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</si>
  <si>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</si>
  <si>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</si>
  <si>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</si>
  <si>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</si>
  <si>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</si>
  <si>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</si>
  <si>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</si>
  <si>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</si>
  <si>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</si>
  <si>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</si>
  <si>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</si>
  <si>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</si>
  <si>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</si>
  <si>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</si>
  <si>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</si>
  <si>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</si>
  <si>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</si>
  <si>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</si>
  <si>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</si>
  <si>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</si>
  <si>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</si>
  <si>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</si>
  <si>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</si>
  <si>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</si>
  <si>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</si>
  <si>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</si>
  <si>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</si>
  <si>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</si>
  <si>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</si>
  <si>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</si>
  <si>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</si>
  <si>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</si>
  <si>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</si>
  <si>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</si>
  <si>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</si>
  <si>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</si>
  <si>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</si>
  <si>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</si>
  <si>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</si>
  <si>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</si>
  <si>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</si>
  <si>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</si>
  <si>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</si>
  <si>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</si>
  <si>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</si>
  <si>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</si>
  <si>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</si>
  <si>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</si>
  <si>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</si>
  <si>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</si>
  <si>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</si>
  <si>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</si>
  <si>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</si>
  <si>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</si>
  <si>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</si>
  <si>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</si>
  <si>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</si>
  <si>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</si>
  <si>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</si>
  <si>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</si>
  <si>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</si>
  <si>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</si>
  <si>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</si>
  <si>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</si>
  <si>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</si>
  <si>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</si>
  <si>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</si>
  <si>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</si>
  <si>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</si>
  <si>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</si>
  <si>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</si>
  <si>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</si>
  <si>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</si>
  <si>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</si>
  <si>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</si>
  <si>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</si>
  <si>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</si>
  <si>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</si>
  <si>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</si>
  <si>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</si>
  <si>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</si>
  <si>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</si>
  <si>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</si>
  <si>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</si>
  <si>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</si>
  <si>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</si>
  <si>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</si>
  <si>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</si>
  <si>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</si>
  <si>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</si>
  <si>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</si>
  <si>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</si>
  <si>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</si>
  <si>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</si>
  <si>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</si>
  <si>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</si>
  <si>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</si>
  <si>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</si>
  <si>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</si>
  <si>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</si>
  <si>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</si>
  <si>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</si>
  <si>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</si>
  <si>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</si>
  <si>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</si>
  <si>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</si>
  <si>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</si>
  <si>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</si>
  <si>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</si>
  <si>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</si>
  <si>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</si>
  <si>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</si>
  <si>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</si>
  <si>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</si>
  <si>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</si>
  <si>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</si>
  <si>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</si>
  <si>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</si>
  <si>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</si>
  <si>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</si>
  <si>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</si>
  <si>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</si>
  <si>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</si>
  <si>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</si>
  <si>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</si>
  <si>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</si>
  <si>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</si>
  <si>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</si>
  <si>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</si>
  <si>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</si>
  <si>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</si>
  <si>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</si>
  <si>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</si>
  <si>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</si>
  <si>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</si>
  <si>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</si>
  <si>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</si>
  <si>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</si>
  <si>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</si>
  <si>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</si>
  <si>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</si>
  <si>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</si>
  <si>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</si>
  <si>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</si>
  <si>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</si>
  <si>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</si>
  <si>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</si>
  <si>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</si>
  <si>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</si>
  <si>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</si>
  <si>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</si>
  <si>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</si>
  <si>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</si>
  <si>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</si>
  <si>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</si>
  <si>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</si>
  <si>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</si>
  <si>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</si>
  <si>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</si>
  <si>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</si>
  <si>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</si>
  <si>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</si>
  <si>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</si>
  <si>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</si>
  <si>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</si>
  <si>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</si>
  <si>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</si>
  <si>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</si>
  <si>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</si>
  <si>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</si>
  <si>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</si>
  <si>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</si>
  <si>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</si>
  <si>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</si>
  <si>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</si>
  <si>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</si>
  <si>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</si>
  <si>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</si>
  <si>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</si>
  <si>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</si>
  <si>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</si>
  <si>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</si>
  <si>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</si>
  <si>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</si>
  <si>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</si>
  <si>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</si>
  <si>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</si>
  <si>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</si>
  <si>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Open "WorkLocationCoefficients_SACOG-v1.5.F12" ini Notepad+</t>
  </si>
  <si>
    <t>Select all(ctrl+A)</t>
  </si>
  <si>
    <t>Paste in cell A8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</si>
  <si>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</si>
  <si>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</si>
  <si>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</si>
  <si>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</si>
  <si>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</si>
  <si>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</si>
  <si>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</si>
  <si>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</si>
  <si>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</si>
  <si>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</si>
  <si>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</si>
  <si>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</si>
  <si>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</si>
  <si>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</si>
  <si>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</si>
  <si>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</si>
  <si>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</si>
  <si>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</si>
  <si>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</si>
  <si>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</si>
  <si>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</si>
  <si>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</si>
  <si>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</si>
  <si>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</si>
  <si>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</si>
  <si>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</si>
  <si>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</si>
  <si>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</si>
  <si>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</si>
  <si>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</si>
  <si>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</si>
  <si>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</si>
  <si>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Tours By Purpose</t>
  </si>
  <si>
    <t>Ratio</t>
  </si>
  <si>
    <t>Old Coeff</t>
  </si>
  <si>
    <t>Adj</t>
  </si>
  <si>
    <t>New Coeff</t>
  </si>
  <si>
    <t>--</t>
  </si>
  <si>
    <t>Paste in the "WorkLocationCoefficients_SACOG-v1.5.F12"</t>
  </si>
  <si>
    <t>Patt</t>
  </si>
  <si>
    <t>ern1101.al</t>
  </si>
  <si>
    <t>o/f</t>
  </si>
  <si>
    <t>12 branches/v1.8 version</t>
  </si>
  <si>
    <t>1828  (SACOG2000)</t>
  </si>
  <si>
    <t>Crea</t>
  </si>
  <si>
    <t>ted by ALO</t>
  </si>
  <si>
    <t>GIT</t>
  </si>
  <si>
    <t>version 4</t>
  </si>
  <si>
    <t>8:21:35 on 26 Jun 12</t>
  </si>
  <si>
    <t>8878  -.34</t>
  </si>
  <si>
    <t>4197219E+05  -.604486497</t>
  </si>
  <si>
    <t>067E+05  -.321831544626E+05</t>
  </si>
  <si>
    <t>0 8:21:</t>
  </si>
  <si>
    <t>on 26 Jun 12</t>
  </si>
  <si>
    <t>377 -18045</t>
  </si>
  <si>
    <t>-</t>
  </si>
  <si>
    <t>1561  -4872 -12810  1382</t>
  </si>
  <si>
    <t>2  -1674  -7440   6372  25945</t>
  </si>
  <si>
    <t>0      0</t>
  </si>
  <si>
    <t>0      0      0</t>
  </si>
  <si>
    <t>0      0      0      0      0</t>
  </si>
  <si>
    <t>0 -16694</t>
  </si>
  <si>
    <t>3137   5041   5910    55</t>
  </si>
  <si>
    <t>8      0      0      0      0</t>
  </si>
  <si>
    <t>0      0      0 -2606</t>
  </si>
  <si>
    <t>6  -4132 -12339  -6961   9380</t>
  </si>
  <si>
    <t>-175      0      0</t>
  </si>
  <si>
    <t>0  -6748   -491  -8214  -2854</t>
  </si>
  <si>
    <t>339      0</t>
  </si>
  <si>
    <t>0   3601      0</t>
  </si>
  <si>
    <t>0      0  16425      0      0</t>
  </si>
  <si>
    <t>0 -27814</t>
  </si>
  <si>
    <t>3753  -4058    430    26</t>
  </si>
  <si>
    <t>4      0      0  -2867      0</t>
  </si>
  <si>
    <t>1804    235      0</t>
  </si>
  <si>
    <t>0  -5742</t>
  </si>
  <si>
    <t>7763  -1595  -2366  -685</t>
  </si>
  <si>
    <t>7      0      0   -455      0</t>
  </si>
  <si>
    <t>-593  -2164      0</t>
  </si>
  <si>
    <t>367      0</t>
  </si>
  <si>
    <t>0  -6981  46889    692    451</t>
  </si>
  <si>
    <t>806      0</t>
  </si>
  <si>
    <t>0   -791      0</t>
  </si>
  <si>
    <t>0      0     61    284      0</t>
  </si>
  <si>
    <t>0      0      0    97</t>
  </si>
  <si>
    <t>1      0      0 -97457      0</t>
  </si>
  <si>
    <t>0      0      0    65</t>
  </si>
  <si>
    <t>9   3964    143      4    438</t>
  </si>
  <si>
    <t>37      0      0</t>
  </si>
  <si>
    <t>0   -186    586      0      0</t>
  </si>
  <si>
    <t>0      0   -226</t>
  </si>
  <si>
    <t>0      0 -31640      0  31397</t>
  </si>
  <si>
    <t>0 -31702</t>
  </si>
  <si>
    <t>2944   3037   2337   244</t>
  </si>
  <si>
    <t>7      0      0   3686      0</t>
  </si>
  <si>
    <t>2960  -3815      0</t>
  </si>
  <si>
    <t>749      0</t>
  </si>
  <si>
    <t>0    417      0    -1</t>
  </si>
  <si>
    <t>6      0    376 -34558  -4878</t>
  </si>
  <si>
    <t>130  -3063</t>
  </si>
  <si>
    <t>8751      0      0  -547</t>
  </si>
  <si>
    <t>0      0      0      0   3093</t>
  </si>
  <si>
    <t>422      0</t>
  </si>
  <si>
    <t>0      0   6779      0      0</t>
  </si>
  <si>
    <t>279      0</t>
  </si>
  <si>
    <t>347      0     53 -1325</t>
  </si>
  <si>
    <t>3      0      0      0      0</t>
  </si>
  <si>
    <t>0      0      0   548</t>
  </si>
  <si>
    <t>3 -14960  -2992  21916  17511</t>
  </si>
  <si>
    <t>-325      0      0</t>
  </si>
  <si>
    <t>0    937  -1184      0      0</t>
  </si>
  <si>
    <t>0      0   -244</t>
  </si>
  <si>
    <t>0      0   6580      0  -6563</t>
  </si>
  <si>
    <t>0   -262</t>
  </si>
  <si>
    <t>2341    542      0     4</t>
  </si>
  <si>
    <t>5  26187    -27  -3739  -3037</t>
  </si>
  <si>
    <t>124      0      0</t>
  </si>
  <si>
    <t>0     66     64      0      0</t>
  </si>
  <si>
    <t>0      0    239</t>
  </si>
  <si>
    <t>0      0   1369      0  -1345</t>
  </si>
  <si>
    <t>0   -214</t>
  </si>
  <si>
    <t>309     16      0  1565</t>
  </si>
  <si>
    <t>9  -2043  11828   2853 -10523</t>
  </si>
  <si>
    <t>029      0</t>
  </si>
  <si>
    <t>0    233      0</t>
  </si>
  <si>
    <t>0      0   -823    530      0</t>
  </si>
  <si>
    <t>0      0      0    54</t>
  </si>
  <si>
    <t>0      0      0  -7369      0</t>
  </si>
  <si>
    <t>383      0</t>
  </si>
  <si>
    <t>238    364  -1017</t>
  </si>
  <si>
    <t>0 -68514 -12889  -2616  12359</t>
  </si>
  <si>
    <t>713 -15969</t>
  </si>
  <si>
    <t>7865      0      0    19</t>
  </si>
  <si>
    <t>1      0      0      0   -868</t>
  </si>
  <si>
    <t>988      0</t>
  </si>
  <si>
    <t>0      0    228      0      0</t>
  </si>
  <si>
    <t>175      0</t>
  </si>
  <si>
    <t>7180      0    306    71</t>
  </si>
  <si>
    <t>3   -718      0 -72122 -13186</t>
  </si>
  <si>
    <t>664  -3567</t>
  </si>
  <si>
    <t>4826   3267 -21171 -1695</t>
  </si>
  <si>
    <t>9      0      0    393      0</t>
  </si>
  <si>
    <t>1079   1243      0</t>
  </si>
  <si>
    <t>358      0</t>
  </si>
  <si>
    <t>0  -6529      0   648</t>
  </si>
  <si>
    <t>5      0    217   1223   -735</t>
  </si>
  <si>
    <t>0 -88262</t>
  </si>
  <si>
    <t>4166  65663  70171  -201</t>
  </si>
  <si>
    <t>7  12063   2361 -17832 -14780</t>
  </si>
  <si>
    <t>137      0      0</t>
  </si>
  <si>
    <t>0   -894   1069      0      0</t>
  </si>
  <si>
    <t>0      0   -262</t>
  </si>
  <si>
    <t>0      0  -4028      0   3885</t>
  </si>
  <si>
    <t>0     76</t>
  </si>
  <si>
    <t>943   -683      0 -6356</t>
  </si>
  <si>
    <t>2 -11388  51027  53390  63202</t>
  </si>
  <si>
    <t>0    -56   -292    -12   -319</t>
  </si>
  <si>
    <t>283      0</t>
  </si>
  <si>
    <t>0   -265      0</t>
  </si>
  <si>
    <t>0      0   -201    148      0</t>
  </si>
  <si>
    <t>0      0      0    23</t>
  </si>
  <si>
    <t>7      0      0    741      0</t>
  </si>
  <si>
    <t>711      0</t>
  </si>
  <si>
    <t>26    -86   -120</t>
  </si>
  <si>
    <t>0 -14632  -3579   2179    159</t>
  </si>
  <si>
    <t>505   2874</t>
  </si>
  <si>
    <t>0   -330   1602   -18</t>
  </si>
  <si>
    <t>7   -632   -418      0      0</t>
  </si>
  <si>
    <t>-48      0</t>
  </si>
  <si>
    <t>0      0   -281   373</t>
  </si>
  <si>
    <t>1      0      0      0      0</t>
  </si>
  <si>
    <t>177      0      0  -271</t>
  </si>
  <si>
    <t>4      0   2809      0    108</t>
  </si>
  <si>
    <t>0  -5909  -1822  -240</t>
  </si>
  <si>
    <t>4   6675   6789   6933      0</t>
  </si>
  <si>
    <t>351      0</t>
  </si>
  <si>
    <t>0   -247</t>
  </si>
  <si>
    <t>2072   -308   5431   351</t>
  </si>
  <si>
    <t>8      0      0    -99      0</t>
  </si>
  <si>
    <t>12   -176      0</t>
  </si>
  <si>
    <t>0    356      0   -37</t>
  </si>
  <si>
    <t>2      0    -38    150   1075</t>
  </si>
  <si>
    <t>0 -21566</t>
  </si>
  <si>
    <t>7712 -25609   9643  2111</t>
  </si>
  <si>
    <t>2  16044      0   4806      0</t>
  </si>
  <si>
    <t>0      0  -1837</t>
  </si>
  <si>
    <t>0   -137    182     60  -1547</t>
  </si>
  <si>
    <t>766      0</t>
  </si>
  <si>
    <t>0    235      0</t>
  </si>
  <si>
    <t>0      0     49    135      0</t>
  </si>
  <si>
    <t>0      0      0     8</t>
  </si>
  <si>
    <t>6      0      0    687      0</t>
  </si>
  <si>
    <t>740      0</t>
  </si>
  <si>
    <t>4    -34    -11</t>
  </si>
  <si>
    <t>0 -21453  -5960  -2159  16995</t>
  </si>
  <si>
    <t>162  19994</t>
  </si>
  <si>
    <t>0   -133      0</t>
  </si>
  <si>
    <t>0      0      0      0   6848</t>
  </si>
  <si>
    <t>0  27561      0</t>
  </si>
  <si>
    <t>0      0      0  -115</t>
  </si>
  <si>
    <t>1    354   -247    938   -123</t>
  </si>
  <si>
    <t>734      0      0</t>
  </si>
  <si>
    <t>0    532     -2      0      0</t>
  </si>
  <si>
    <t>0      0    301</t>
  </si>
  <si>
    <t>0      0  -1719      0   2117</t>
  </si>
  <si>
    <t>0    123</t>
  </si>
  <si>
    <t>-51    180      0 -2413</t>
  </si>
  <si>
    <t>1   -646   5598   7910  14287</t>
  </si>
  <si>
    <t>217      0</t>
  </si>
  <si>
    <t>7575      0      0</t>
  </si>
  <si>
    <t>0      0      0  -4095      0</t>
  </si>
  <si>
    <t>2400      0  -8227</t>
  </si>
  <si>
    <t>0    471   -425     97    272</t>
  </si>
  <si>
    <t>994      0</t>
  </si>
  <si>
    <t>0   -407      0</t>
  </si>
  <si>
    <t>0      0   -228   -155      0</t>
  </si>
  <si>
    <t>0      0      0   -21</t>
  </si>
  <si>
    <t>1      0      0   1457      0</t>
  </si>
  <si>
    <t>567      0</t>
  </si>
  <si>
    <t>804   -212   -143</t>
  </si>
  <si>
    <t>0  -3309 -13628   1720   2301</t>
  </si>
  <si>
    <t>296   -811</t>
  </si>
  <si>
    <t>0    989      0</t>
  </si>
  <si>
    <t>0      0      0      0  -1039</t>
  </si>
  <si>
    <t>0    629      0  -219</t>
  </si>
  <si>
    <t>7      0      0      0      0</t>
  </si>
  <si>
    <t>0   7706</t>
  </si>
  <si>
    <t>0  -2203   1682     8</t>
  </si>
  <si>
    <t>1  -4131  -3398      0      0</t>
  </si>
  <si>
    <t>-69      0</t>
  </si>
  <si>
    <t>0      0    -98     9</t>
  </si>
  <si>
    <t>-127      0      0     7</t>
  </si>
  <si>
    <t>5      0   -114      0      5</t>
  </si>
  <si>
    <t>976    153</t>
  </si>
  <si>
    <t>0 -20789  -3370   576</t>
  </si>
  <si>
    <t>9    851   1050    580      0</t>
  </si>
  <si>
    <t>220      0</t>
  </si>
  <si>
    <t>0  -1390      0      0      0</t>
  </si>
  <si>
    <t>080      0</t>
  </si>
  <si>
    <t>3688      0      0</t>
  </si>
  <si>
    <t>0      0      0  -1635      0</t>
  </si>
  <si>
    <t>224      0</t>
  </si>
  <si>
    <t>429    945</t>
  </si>
  <si>
    <t>1621   -157   -320</t>
  </si>
  <si>
    <t>0      0    619      0      0</t>
  </si>
  <si>
    <t>0  -1942</t>
  </si>
  <si>
    <t>1596      0      0</t>
  </si>
  <si>
    <t>0      0      0      0    823</t>
  </si>
  <si>
    <t>186      0   -260</t>
  </si>
  <si>
    <t>0   -496  -1711   -775      0</t>
  </si>
  <si>
    <t>567    389</t>
  </si>
  <si>
    <t>257    -50  -3836  -376</t>
  </si>
  <si>
    <t>1      0   -148      0      0</t>
  </si>
  <si>
    <t>0   1461      0</t>
  </si>
  <si>
    <t>0      0  -1242      0   -134</t>
  </si>
  <si>
    <t>0      0      0    18</t>
  </si>
  <si>
    <t>6      0    794     -6      0</t>
  </si>
  <si>
    <t>0   -300</t>
  </si>
  <si>
    <t>0175    164     30    89</t>
  </si>
  <si>
    <t>1      0      0     -5      0</t>
  </si>
  <si>
    <t>32    204      0</t>
  </si>
  <si>
    <t>193      0</t>
  </si>
  <si>
    <t>0   -187      0    22</t>
  </si>
  <si>
    <t>2      0   -369    -96    108</t>
  </si>
  <si>
    <t>0  -1485</t>
  </si>
  <si>
    <t>5013    128    969   153</t>
  </si>
  <si>
    <t>8   3204      0     64      0</t>
  </si>
  <si>
    <t>0      0  -1384</t>
  </si>
  <si>
    <t>0      0      0    976      0</t>
  </si>
  <si>
    <t>0   -456      0    435    -68</t>
  </si>
  <si>
    <t>1247      0      0</t>
  </si>
  <si>
    <t>0  -2750   -384  -1036    209</t>
  </si>
  <si>
    <t>199      0</t>
  </si>
  <si>
    <t>0   -281      0</t>
  </si>
  <si>
    <t>0      0   2195  -2760      0</t>
  </si>
  <si>
    <t>0      0      0   -54</t>
  </si>
  <si>
    <t>9      0      0   -170      0</t>
  </si>
  <si>
    <t>99      0</t>
  </si>
  <si>
    <t>752   1214    733</t>
  </si>
  <si>
    <t>0   -806   -677   -314   -812</t>
  </si>
  <si>
    <t>558   -520</t>
  </si>
  <si>
    <t>0    275      0</t>
  </si>
  <si>
    <t>0      0      0      0  -1113</t>
  </si>
  <si>
    <t>0   1104      0    33</t>
  </si>
  <si>
    <t>0    601</t>
  </si>
  <si>
    <t>0   1293    778</t>
  </si>
  <si>
    <t>0      0 -14766  -7448      0</t>
  </si>
  <si>
    <t>0  -2194    785  -1218   -606</t>
  </si>
  <si>
    <t>505      0</t>
  </si>
  <si>
    <t>0    -75      0</t>
  </si>
  <si>
    <t>0      0   1094  -1400      0</t>
  </si>
  <si>
    <t>0      0      0   -90</t>
  </si>
  <si>
    <t>3      0      0    242      0</t>
  </si>
  <si>
    <t>348      0</t>
  </si>
  <si>
    <t>208   1273    598</t>
  </si>
  <si>
    <t>0    476   -426   -735  -1695</t>
  </si>
  <si>
    <t>605  -2185</t>
  </si>
  <si>
    <t>0    280      0</t>
  </si>
  <si>
    <t>0      0      0      0     28</t>
  </si>
  <si>
    <t>0    -56      0    32</t>
  </si>
  <si>
    <t>9      0      0      0      0</t>
  </si>
  <si>
    <t>0   2653</t>
  </si>
  <si>
    <t>0   4245    875</t>
  </si>
  <si>
    <t>0      0  18896   5861      0</t>
  </si>
  <si>
    <t>062      0</t>
  </si>
  <si>
    <t>0      0      0   -49</t>
  </si>
  <si>
    <t>7    -39    101    290    336</t>
  </si>
  <si>
    <t>27      0      0</t>
  </si>
  <si>
    <t>0    546   -562      0      0</t>
  </si>
  <si>
    <t>0      0    103</t>
  </si>
  <si>
    <t>0      0    157      0   -320</t>
  </si>
  <si>
    <t>0   -515</t>
  </si>
  <si>
    <t>231    191      0     7</t>
  </si>
  <si>
    <t>6     61    237    155   -227</t>
  </si>
  <si>
    <t>291      0</t>
  </si>
  <si>
    <t>-36      0      0</t>
  </si>
  <si>
    <t>-136      0     47</t>
  </si>
  <si>
    <t>214      0</t>
  </si>
  <si>
    <t>-441    193      0</t>
  </si>
  <si>
    <t>0   1546    217      0  -8119</t>
  </si>
  <si>
    <t>0      0  -2153   -44</t>
  </si>
  <si>
    <t>6    -38    109    110    330</t>
  </si>
  <si>
    <t>-80      0      0</t>
  </si>
  <si>
    <t>0    434   -341      0      0</t>
  </si>
  <si>
    <t>0      0     81</t>
  </si>
  <si>
    <t>0      0      6      0    -77</t>
  </si>
  <si>
    <t>0   -292</t>
  </si>
  <si>
    <t>179    125      0     9</t>
  </si>
  <si>
    <t>3      6    210    313     65</t>
  </si>
  <si>
    <t>66      0</t>
  </si>
  <si>
    <t>198      0      0</t>
  </si>
  <si>
    <t>0      0      0     58      0</t>
  </si>
  <si>
    <t>-116      0     28</t>
  </si>
  <si>
    <t>255      0</t>
  </si>
  <si>
    <t>-394    -70      0</t>
  </si>
  <si>
    <t>0  -1900  -1304      0  -7296</t>
  </si>
  <si>
    <t>0      0  -3423  2396</t>
  </si>
  <si>
    <t>0    -85</t>
  </si>
  <si>
    <t>-295    307    266   -22</t>
  </si>
  <si>
    <t>8      0      0   -246      0</t>
  </si>
  <si>
    <t>240   -480      0</t>
  </si>
  <si>
    <t>244      0</t>
  </si>
  <si>
    <t>0    -70      0    -1</t>
  </si>
  <si>
    <t>3      0    141    182    -83</t>
  </si>
  <si>
    <t>0     66</t>
  </si>
  <si>
    <t>-264    352   -253   -11</t>
  </si>
  <si>
    <t>1     28      0    -52      0</t>
  </si>
  <si>
    <t>0      0   -107</t>
  </si>
  <si>
    <t>0      0      0   -268      0</t>
  </si>
  <si>
    <t>-45      0</t>
  </si>
  <si>
    <t>0    312      0    235     20</t>
  </si>
  <si>
    <t>7831  -4716      0 -1039</t>
  </si>
  <si>
    <t>6      0      0      0      0</t>
  </si>
  <si>
    <t>867 -19138</t>
  </si>
  <si>
    <t>8414      0      0   201</t>
  </si>
  <si>
    <t>6    176   -823   -561   -536</t>
  </si>
  <si>
    <t>170      0      0</t>
  </si>
  <si>
    <t>0  -1168   1158      0      0</t>
  </si>
  <si>
    <t>0      0     65</t>
  </si>
  <si>
    <t>0      0     77      0     24</t>
  </si>
  <si>
    <t>0   -160</t>
  </si>
  <si>
    <t>-765   -365      0    -9</t>
  </si>
  <si>
    <t>8   -108   -594   -317   -217</t>
  </si>
  <si>
    <t>-78      0</t>
  </si>
  <si>
    <t>83      0      0</t>
  </si>
  <si>
    <t>0      0      0   -196      0</t>
  </si>
  <si>
    <t>535      0    173</t>
  </si>
  <si>
    <t>190      0</t>
  </si>
  <si>
    <t>114    258      0</t>
  </si>
  <si>
    <t>0  -1008  -1269      0  12117</t>
  </si>
  <si>
    <t>0      0   3292   168</t>
  </si>
  <si>
    <t>9  -4329      0      0 -35258</t>
  </si>
  <si>
    <t>0  -1344     14    -93    -84</t>
  </si>
  <si>
    <t>128      0</t>
  </si>
  <si>
    <t>0   -126      0</t>
  </si>
  <si>
    <t>0      0    338  -1307      0</t>
  </si>
  <si>
    <t>0      0      0    33</t>
  </si>
  <si>
    <t>1      0      0   -408      0</t>
  </si>
  <si>
    <t>514      0</t>
  </si>
  <si>
    <t>1053    433    295</t>
  </si>
  <si>
    <t>0   -725   -140   -269    -16</t>
  </si>
  <si>
    <t>332   -182</t>
  </si>
  <si>
    <t>0    119      0</t>
  </si>
  <si>
    <t>0      0      0      0    334</t>
  </si>
  <si>
    <t>0    274      0    21</t>
  </si>
  <si>
    <t>2      0      0      0      0</t>
  </si>
  <si>
    <t>0    278</t>
  </si>
  <si>
    <t>0    195    358</t>
  </si>
  <si>
    <t>0      0  -4043  -1871      0</t>
  </si>
  <si>
    <t>261      0</t>
  </si>
  <si>
    <t>0      0      0   457</t>
  </si>
  <si>
    <t>0  -5106  -2792      0      0</t>
  </si>
  <si>
    <t>312   -480</t>
  </si>
  <si>
    <t>0   -467    156    25</t>
  </si>
  <si>
    <t>9    -22  -1017      0      0</t>
  </si>
  <si>
    <t>118      0</t>
  </si>
  <si>
    <t>0      0   -834   -24</t>
  </si>
  <si>
    <t>-244      0      0   -45</t>
  </si>
  <si>
    <t>8      0    722      0   1365</t>
  </si>
  <si>
    <t>15   -168</t>
  </si>
  <si>
    <t>0   -154   -257    -1</t>
  </si>
  <si>
    <t>3   -894   -799   -472      0</t>
  </si>
  <si>
    <t>218      0</t>
  </si>
  <si>
    <t>0   -898      0      0      0</t>
  </si>
  <si>
    <t>241      0</t>
  </si>
  <si>
    <t>-32      0      0</t>
  </si>
  <si>
    <t>0      0      0     94      0</t>
  </si>
  <si>
    <t>612    593</t>
  </si>
  <si>
    <t>0      0 -12455  -822</t>
  </si>
  <si>
    <t>4      0  19580      0      0</t>
  </si>
  <si>
    <t>0935   1584  -2641</t>
  </si>
  <si>
    <t>0      0   1901   1516      0</t>
  </si>
  <si>
    <t>358    -90</t>
  </si>
  <si>
    <t>-31    174   -112   -20</t>
  </si>
  <si>
    <t>0      0      0    -30      0</t>
  </si>
  <si>
    <t>-142    416      0</t>
  </si>
  <si>
    <t>-20      0</t>
  </si>
  <si>
    <t>0   -229      0    34</t>
  </si>
  <si>
    <t>2      0    684      3     23</t>
  </si>
  <si>
    <t>0    142</t>
  </si>
  <si>
    <t>5   -290      0     -4      0</t>
  </si>
  <si>
    <t>0      0   -243</t>
  </si>
  <si>
    <t>0      0      0   -150      0</t>
  </si>
  <si>
    <t>106      0</t>
  </si>
  <si>
    <t>0   -170      0    149    259</t>
  </si>
  <si>
    <t>2278  -1218      0   202</t>
  </si>
  <si>
    <t>5      0      0      0      0</t>
  </si>
  <si>
    <t>972  -3167</t>
  </si>
  <si>
    <t>3051      0      0   743</t>
  </si>
  <si>
    <t>6  -7559      0   7923   7501</t>
  </si>
  <si>
    <t>764    243</t>
  </si>
  <si>
    <t>0      0    183      0      0</t>
  </si>
  <si>
    <t>0  -1319</t>
  </si>
  <si>
    <t>684      0      0</t>
  </si>
  <si>
    <t>0      0      0      0     84</t>
  </si>
  <si>
    <t>-279      0    480</t>
  </si>
  <si>
    <t>0    713   -521     23      0</t>
  </si>
  <si>
    <t>269   -274</t>
  </si>
  <si>
    <t>4      0    144      0      0</t>
  </si>
  <si>
    <t>0   -646      0</t>
  </si>
  <si>
    <t>0      0    718      0    228</t>
  </si>
  <si>
    <t>0      0      0    17</t>
  </si>
  <si>
    <t>0      0    476    434      0</t>
  </si>
  <si>
    <t>0  -9971</t>
  </si>
  <si>
    <t>6517      0  12499</t>
  </si>
  <si>
    <t>0      0      0      0   9456</t>
  </si>
  <si>
    <t>071     49</t>
  </si>
  <si>
    <t>0      0   8851  -775</t>
  </si>
  <si>
    <t>0      0   7382  20407 -25964</t>
  </si>
  <si>
    <t>188   -903</t>
  </si>
  <si>
    <t>-93    551   -704</t>
  </si>
  <si>
    <t>0      0    -16      0      0</t>
  </si>
  <si>
    <t>0    -14</t>
  </si>
  <si>
    <t>-146      0      0</t>
  </si>
  <si>
    <t>0      0      0      0   -410</t>
  </si>
  <si>
    <t>238      0   -267</t>
  </si>
  <si>
    <t>0    131      9    196      0</t>
  </si>
  <si>
    <t>784  -1039</t>
  </si>
  <si>
    <t>-85   -646  -1645    14</t>
  </si>
  <si>
    <t>0      0    -12      0      0</t>
  </si>
  <si>
    <t>0    403      0</t>
  </si>
  <si>
    <t>0      0   2152      0    -47</t>
  </si>
  <si>
    <t>0      0      0    32</t>
  </si>
  <si>
    <t>6      0   1135   -132      0</t>
  </si>
  <si>
    <t>0  -3200</t>
  </si>
  <si>
    <t>4805      0  13508</t>
  </si>
  <si>
    <t>0      0      0      0  12303</t>
  </si>
  <si>
    <t>943  -2444</t>
  </si>
  <si>
    <t>0      0   1811   335</t>
  </si>
  <si>
    <t>5      0 -13353   5566  -3157</t>
  </si>
  <si>
    <t>869    411</t>
  </si>
  <si>
    <t>-370   -109    199   -62</t>
  </si>
  <si>
    <t>7      0      0    189      0</t>
  </si>
  <si>
    <t>-90    101      0</t>
  </si>
  <si>
    <t>-19      0</t>
  </si>
  <si>
    <t>0    -15      0     3</t>
  </si>
  <si>
    <t>1      0    218   -236   -125</t>
  </si>
  <si>
    <t>0     61</t>
  </si>
  <si>
    <t>-624    216   -534   -75</t>
  </si>
  <si>
    <t>1    -99      0     35      0</t>
  </si>
  <si>
    <t>0      0   -301</t>
  </si>
  <si>
    <t>0      0      0    121      0</t>
  </si>
  <si>
    <t>177      0</t>
  </si>
  <si>
    <t>0     61      0    630    261</t>
  </si>
  <si>
    <t>5244  -4175      0  1368</t>
  </si>
  <si>
    <t>055  -1220</t>
  </si>
  <si>
    <t>3647      0      0    49</t>
  </si>
  <si>
    <t>1   -965      0 -22093  -1652</t>
  </si>
  <si>
    <t>449   3625</t>
  </si>
  <si>
    <t>6903   -258   -180     3</t>
  </si>
  <si>
    <t>9    -86  -1141      0      0</t>
  </si>
  <si>
    <t>61      0</t>
  </si>
  <si>
    <t>0      0    491   -69</t>
  </si>
  <si>
    <t>191      0      0     5</t>
  </si>
  <si>
    <t>8      0    -90      0    -75</t>
  </si>
  <si>
    <t>23    -26</t>
  </si>
  <si>
    <t>0   -488   -511   -18</t>
  </si>
  <si>
    <t>5   -932   -756   -400      0</t>
  </si>
  <si>
    <t>242      0</t>
  </si>
  <si>
    <t>0  -1066      0      0      0</t>
  </si>
  <si>
    <t>674      0</t>
  </si>
  <si>
    <t>133      0      0</t>
  </si>
  <si>
    <t>0      0      0    433      0</t>
  </si>
  <si>
    <t>878    654</t>
  </si>
  <si>
    <t>0      0 -17352  -887</t>
  </si>
  <si>
    <t>2      0  27910      0      0</t>
  </si>
  <si>
    <t>4708   -286    495</t>
  </si>
  <si>
    <t>0      0   1969   -541      0</t>
  </si>
  <si>
    <t>854  19377</t>
  </si>
  <si>
    <t>5757  14044  16085  2040</t>
  </si>
  <si>
    <t>0  -1598   -661   -774    270</t>
  </si>
  <si>
    <t>512      0</t>
  </si>
  <si>
    <t>0   -537      0</t>
  </si>
  <si>
    <t>0      0   1073   -558      0</t>
  </si>
  <si>
    <t>0      0      0   -52</t>
  </si>
  <si>
    <t>3      0      0    -63      0</t>
  </si>
  <si>
    <t>184      0</t>
  </si>
  <si>
    <t>332    828    461</t>
  </si>
  <si>
    <t>0  -1353    112   -228    119</t>
  </si>
  <si>
    <t>602   4558</t>
  </si>
  <si>
    <t>0     11      0</t>
  </si>
  <si>
    <t>0      0      0      0  -1284</t>
  </si>
  <si>
    <t>0   1073      0    -5</t>
  </si>
  <si>
    <t>0   -341</t>
  </si>
  <si>
    <t>0  -1225   -912</t>
  </si>
  <si>
    <t>0      0 -90958  13287      0</t>
  </si>
  <si>
    <t>554      0</t>
  </si>
  <si>
    <t>0      0      0 -2834</t>
  </si>
  <si>
    <t>5  -6544  -2432      0      0</t>
  </si>
  <si>
    <t>196   -136</t>
  </si>
  <si>
    <t>0   1328   5307   164</t>
  </si>
  <si>
    <t>2   4704   -326   1450   8955</t>
  </si>
  <si>
    <t>0      0      0    39</t>
  </si>
  <si>
    <t>3   -746     56     39  -1052</t>
  </si>
  <si>
    <t>26      0      0</t>
  </si>
  <si>
    <t>0    -62   -518      0      0</t>
  </si>
  <si>
    <t>0      0    561</t>
  </si>
  <si>
    <t>0      0     94      0   -122</t>
  </si>
  <si>
    <t>0    178</t>
  </si>
  <si>
    <t>-37   -129      0   204</t>
  </si>
  <si>
    <t>1    554   -183  -1076  -1545</t>
  </si>
  <si>
    <t>082      0</t>
  </si>
  <si>
    <t>-268      0      0</t>
  </si>
  <si>
    <t>0      0      0   2176      0</t>
  </si>
  <si>
    <t>1513      0   -500</t>
  </si>
  <si>
    <t>578      0</t>
  </si>
  <si>
    <t>1029   -393      0</t>
  </si>
  <si>
    <t>0  16869 -73264      0   2481</t>
  </si>
  <si>
    <t>0      0 -12982  -342</t>
  </si>
  <si>
    <t>1  -1943      0      0   3135</t>
  </si>
  <si>
    <t>681      0</t>
  </si>
  <si>
    <t>-371   3849     41   256</t>
  </si>
  <si>
    <t>8   4609   1289   3379      0</t>
  </si>
  <si>
    <t>0      0 -17437</t>
  </si>
  <si>
    <t>0   -944   -377   -401    -32</t>
  </si>
  <si>
    <t>113      0</t>
  </si>
  <si>
    <t>0    -25      0</t>
  </si>
  <si>
    <t>0      0    968  -1028      0</t>
  </si>
  <si>
    <t>0      0      0   -11</t>
  </si>
  <si>
    <t>5      0      0   -248      0</t>
  </si>
  <si>
    <t>134      0</t>
  </si>
  <si>
    <t>195  -1570    379</t>
  </si>
  <si>
    <t>0   -335   -417   -107     11</t>
  </si>
  <si>
    <t>0     34      0</t>
  </si>
  <si>
    <t>0      0      0      0   -422</t>
  </si>
  <si>
    <t>0    317      0    17</t>
  </si>
  <si>
    <t>0    201</t>
  </si>
  <si>
    <t>0    302  -1083</t>
  </si>
  <si>
    <t>0      0  -4774  -2984      0</t>
  </si>
  <si>
    <t>892      0</t>
  </si>
  <si>
    <t>0      0      0  -144</t>
  </si>
  <si>
    <t>4 -10064  -4730      0      0</t>
  </si>
  <si>
    <t>645    842</t>
  </si>
  <si>
    <t>0  -4401  -2578  -284</t>
  </si>
  <si>
    <t>9   -611  -1202    132   1492</t>
  </si>
  <si>
    <t>0      0      0   -30</t>
  </si>
  <si>
    <t>5      0    135   -224    -14</t>
  </si>
  <si>
    <t>234    113</t>
  </si>
  <si>
    <t>817      0      0    -4</t>
  </si>
  <si>
    <t>7      0      0      0    143</t>
  </si>
  <si>
    <t>130      0</t>
  </si>
  <si>
    <t>0      0   -353      0      0</t>
  </si>
  <si>
    <t>142      0</t>
  </si>
  <si>
    <t>-211      0   -181    36</t>
  </si>
  <si>
    <t>5   -283      0     78    368</t>
  </si>
  <si>
    <t>47    475</t>
  </si>
  <si>
    <t>559     65      0   -19</t>
  </si>
  <si>
    <t>0    539</t>
  </si>
  <si>
    <t>0      0      0   -42</t>
  </si>
  <si>
    <t>6      0   -299      0      0</t>
  </si>
  <si>
    <t>0    -44      0   -57</t>
  </si>
  <si>
    <t>1   -294      0      0  -3682</t>
  </si>
  <si>
    <t>308      0</t>
  </si>
  <si>
    <t>1939      0      0</t>
  </si>
  <si>
    <t>0      0 -12975   1638   1016</t>
  </si>
  <si>
    <t>4246  -2556      0   249</t>
  </si>
  <si>
    <t>0   5943  -3171  -1794  -3956</t>
  </si>
  <si>
    <t>103   4092</t>
  </si>
  <si>
    <t>0      0  -5508      0  -1980</t>
  </si>
  <si>
    <t>626      0</t>
  </si>
  <si>
    <t>0      0      0   494</t>
  </si>
  <si>
    <t>7    873   1560   1072   1003</t>
  </si>
  <si>
    <t>352      0      0</t>
  </si>
  <si>
    <t>0     80   -315      0      0</t>
  </si>
  <si>
    <t>0      0   -141</t>
  </si>
  <si>
    <t>0      0   -357      0   -441</t>
  </si>
  <si>
    <t>0   -635</t>
  </si>
  <si>
    <t>2562   -466      0    67</t>
  </si>
  <si>
    <t>5    405    392    234    384</t>
  </si>
  <si>
    <t>593      0</t>
  </si>
  <si>
    <t>-338      0      0</t>
  </si>
  <si>
    <t>0      0      0   -158      0</t>
  </si>
  <si>
    <t>154      0    -44</t>
  </si>
  <si>
    <t>249      0</t>
  </si>
  <si>
    <t>30  -1003      0</t>
  </si>
  <si>
    <t>0   2855    924      0   2253</t>
  </si>
  <si>
    <t>0      0    272    96</t>
  </si>
  <si>
    <t>2    201      0      0   -648</t>
  </si>
  <si>
    <t>773      0</t>
  </si>
  <si>
    <t>-60   1058    -35    86</t>
  </si>
  <si>
    <t>1    568     67   1191      0</t>
  </si>
  <si>
    <t>0      0    569</t>
  </si>
  <si>
    <t>0  -1444    -25    347      0</t>
  </si>
  <si>
    <t>533  35323</t>
  </si>
  <si>
    <t>0      0     40      0      0</t>
  </si>
  <si>
    <t>0    256</t>
  </si>
  <si>
    <t>-346      0      0</t>
  </si>
  <si>
    <t>0      0      0      0   -442</t>
  </si>
  <si>
    <t>64      0   -277</t>
  </si>
  <si>
    <t>0     76  -1110   -665      0</t>
  </si>
  <si>
    <t>672  29998</t>
  </si>
  <si>
    <t>-65   -392   -535     4</t>
  </si>
  <si>
    <t>9      0    -19      0      0</t>
  </si>
  <si>
    <t>0   -145      0</t>
  </si>
  <si>
    <t>0      0   -223      0   -157</t>
  </si>
  <si>
    <t>0      0      0   -69</t>
  </si>
  <si>
    <t>9      0      2   -255      0</t>
  </si>
  <si>
    <t>0  -2517</t>
  </si>
  <si>
    <t>0687      0   -374</t>
  </si>
  <si>
    <t>0      0      0      0    675</t>
  </si>
  <si>
    <t>0      0    124     1</t>
  </si>
  <si>
    <t>8      0    164    113    -26</t>
  </si>
  <si>
    <t>59    -48</t>
  </si>
  <si>
    <t>93    657      0</t>
  </si>
  <si>
    <t>0      0      0      0   1851</t>
  </si>
  <si>
    <t>0    389</t>
  </si>
  <si>
    <t>-217    317      0  -161</t>
  </si>
  <si>
    <t>9  -3664     47   8675    -43</t>
  </si>
  <si>
    <t>322      0</t>
  </si>
  <si>
    <t>0   -174      0</t>
  </si>
  <si>
    <t>0      0   -504    -77      0</t>
  </si>
  <si>
    <t>0      0      0   -14</t>
  </si>
  <si>
    <t>1      0      0   -241      0</t>
  </si>
  <si>
    <t>326      0</t>
  </si>
  <si>
    <t>126   1187    500</t>
  </si>
  <si>
    <t>0  -1452    -99   -231    614</t>
  </si>
  <si>
    <t>007    724</t>
  </si>
  <si>
    <t>0    -32      0</t>
  </si>
  <si>
    <t>0      0      0      0   -159</t>
  </si>
  <si>
    <t>0    675      0   -11</t>
  </si>
  <si>
    <t>0     52</t>
  </si>
  <si>
    <t>0      5    892</t>
  </si>
  <si>
    <t>0      0    707    140      0</t>
  </si>
  <si>
    <t>462      0</t>
  </si>
  <si>
    <t>0      0      0   -73</t>
  </si>
  <si>
    <t>3    202     10      0      0</t>
  </si>
  <si>
    <t>312    467</t>
  </si>
  <si>
    <t>0    120     54     7</t>
  </si>
  <si>
    <t>4    -92   -332   -588     84</t>
  </si>
  <si>
    <t>0      0      0   -32</t>
  </si>
  <si>
    <t>3      0     80    -88   -205</t>
  </si>
  <si>
    <t>0  -6741</t>
  </si>
  <si>
    <t>6629 -12515   -160    42</t>
  </si>
  <si>
    <t>8    637    364      0      0</t>
  </si>
  <si>
    <t>037      0</t>
  </si>
  <si>
    <t>0      0  -1283   153</t>
  </si>
  <si>
    <t>890      0      0   -18</t>
  </si>
  <si>
    <t>4      0    200      0    303</t>
  </si>
  <si>
    <t>848   2994</t>
  </si>
  <si>
    <t>0  -3199     94   -29</t>
  </si>
  <si>
    <t>2   1289   2489   1538      0</t>
  </si>
  <si>
    <t>-31      0</t>
  </si>
  <si>
    <t>0    237      0      0      0</t>
  </si>
  <si>
    <t>355      0</t>
  </si>
  <si>
    <t>196      0      0</t>
  </si>
  <si>
    <t>0      0      0   -169      0</t>
  </si>
  <si>
    <t>39   1504</t>
  </si>
  <si>
    <t>0      0   1837     8</t>
  </si>
  <si>
    <t>9      0  -2992      0      0</t>
  </si>
  <si>
    <t>1871    885   -119</t>
  </si>
  <si>
    <t>0      0     49    384      0</t>
  </si>
  <si>
    <t>295   -770</t>
  </si>
  <si>
    <t>77   -800   -957  -157</t>
  </si>
  <si>
    <t>0  -2457      0      0      0</t>
  </si>
  <si>
    <t>-823      0    385    56</t>
  </si>
  <si>
    <t>9    189      0 -16566 -13769</t>
  </si>
  <si>
    <t>645 -10240</t>
  </si>
  <si>
    <t>-319    729    483    85</t>
  </si>
  <si>
    <t>0      0      0   -975      0</t>
  </si>
  <si>
    <t>1169    723      0</t>
  </si>
  <si>
    <t>125      0</t>
  </si>
  <si>
    <t>0    -75      0     4</t>
  </si>
  <si>
    <t>0      0   -109   6451   2412</t>
  </si>
  <si>
    <t>0  -2679</t>
  </si>
  <si>
    <t>32   -100   1242   213</t>
  </si>
  <si>
    <t>9   1307      0    -40      0</t>
  </si>
  <si>
    <t>0      0   -296</t>
  </si>
  <si>
    <t>0      0      0    667      0</t>
  </si>
  <si>
    <t>0   -157      0   -264   1231</t>
  </si>
  <si>
    <t>1212    629      0  -285</t>
  </si>
  <si>
    <t>477    835</t>
  </si>
  <si>
    <t>124      0      0    -7</t>
  </si>
  <si>
    <t>6   -361      0    937    598</t>
  </si>
  <si>
    <t>217   -254</t>
  </si>
  <si>
    <t>-339      9   2399</t>
  </si>
  <si>
    <t>395      0</t>
  </si>
  <si>
    <t>50    145    127</t>
  </si>
  <si>
    <t>0 -10150  -8077  23996  42001</t>
  </si>
  <si>
    <t>961   -351</t>
  </si>
  <si>
    <t>185   -529  10917</t>
  </si>
  <si>
    <t>0      0   -566      0      0</t>
  </si>
  <si>
    <t>0   -420</t>
  </si>
  <si>
    <t>691      0      0</t>
  </si>
  <si>
    <t>0      0      0      0     53</t>
  </si>
  <si>
    <t>-980      0   1063</t>
  </si>
  <si>
    <t>0    218   2421    726      0</t>
  </si>
  <si>
    <t>313   -433</t>
  </si>
  <si>
    <t>366  10479   1791    52</t>
  </si>
  <si>
    <t>5      0   -147      0      0</t>
  </si>
  <si>
    <t>0   -439      0</t>
  </si>
  <si>
    <t>0      0    -43      0    610</t>
  </si>
  <si>
    <t>0      0      0    -9</t>
  </si>
  <si>
    <t>0      0   -841  -3731      0</t>
  </si>
  <si>
    <t>0   1378</t>
  </si>
  <si>
    <t>1708      0  -1918</t>
  </si>
  <si>
    <t>0      0      0      0  -3405</t>
  </si>
  <si>
    <t>371    160</t>
  </si>
  <si>
    <t>0      0   -641    -9</t>
  </si>
  <si>
    <t>2      0   -215  -1645   -206</t>
  </si>
  <si>
    <t>505  -1381</t>
  </si>
  <si>
    <t>1785  -2249      0</t>
  </si>
  <si>
    <t>0      0      0      0  -1280</t>
  </si>
  <si>
    <t>0  -2116</t>
  </si>
  <si>
    <t>-203   1449      0  -764</t>
  </si>
  <si>
    <t>4  -6203   8198  21654  11901</t>
  </si>
  <si>
    <t>0  -5295</t>
  </si>
  <si>
    <t>509    -96    532   282</t>
  </si>
  <si>
    <t>1      0      0   -836      0</t>
  </si>
  <si>
    <t>-814   1224      0</t>
  </si>
  <si>
    <t>55      0</t>
  </si>
  <si>
    <t>0   -475      0    53</t>
  </si>
  <si>
    <t>7      0    159   3768    987</t>
  </si>
  <si>
    <t>0    105</t>
  </si>
  <si>
    <t>1776   -399   3010   669</t>
  </si>
  <si>
    <t>2      6      0   -296      0</t>
  </si>
  <si>
    <t>0      0   -959</t>
  </si>
  <si>
    <t>0      0      0   1279      0</t>
  </si>
  <si>
    <t>888      0</t>
  </si>
  <si>
    <t>0   -960      0  -2502  -5088</t>
  </si>
  <si>
    <t>4465  -4049      0  -526</t>
  </si>
  <si>
    <t>512   -327</t>
  </si>
  <si>
    <t>131      0      0   -60</t>
  </si>
  <si>
    <t>4   -222      0   -284  -3520</t>
  </si>
  <si>
    <t>508  -3052</t>
  </si>
  <si>
    <t>7306  -4345  -4906</t>
  </si>
  <si>
    <t>189      0</t>
  </si>
  <si>
    <t>7889   -368   3859</t>
  </si>
  <si>
    <t>0  -9743  -7146  10675  32007</t>
  </si>
  <si>
    <t>165      0</t>
  </si>
  <si>
    <t>5101  -7066    661   -79</t>
  </si>
  <si>
    <t>5   -270    -84      0      0</t>
  </si>
  <si>
    <t>763      0</t>
  </si>
  <si>
    <t>0      0   -508   110</t>
  </si>
  <si>
    <t>-823      0      0    -4</t>
  </si>
  <si>
    <t>6      0     58      0    216</t>
  </si>
  <si>
    <t>032   1365</t>
  </si>
  <si>
    <t>0   -346    635   -74</t>
  </si>
  <si>
    <t>7    771    817   3507      0</t>
  </si>
  <si>
    <t>78      0</t>
  </si>
  <si>
    <t>0    -97      0      0      0</t>
  </si>
  <si>
    <t>737      0</t>
  </si>
  <si>
    <t>486      0      0</t>
  </si>
  <si>
    <t>0      0      0    780      0</t>
  </si>
  <si>
    <t>353  -1278</t>
  </si>
  <si>
    <t>0      0   1712   110</t>
  </si>
  <si>
    <t>2      0   -490      0      0</t>
  </si>
  <si>
    <t>6771   -167   -613</t>
  </si>
  <si>
    <t>0      0    -45    826      0</t>
  </si>
  <si>
    <t>240   -614</t>
  </si>
  <si>
    <t>8  -1052      0      0      0</t>
  </si>
  <si>
    <t>2530      0   -941   -31</t>
  </si>
  <si>
    <t>5    825      0  -8284  -5348</t>
  </si>
  <si>
    <t>291  34579</t>
  </si>
  <si>
    <t>9448      0  20796  3049</t>
  </si>
  <si>
    <t>1    -42   -109     -9    381</t>
  </si>
  <si>
    <t>137      0</t>
  </si>
  <si>
    <t>0    192      0</t>
  </si>
  <si>
    <t>0      0     67    125      0</t>
  </si>
  <si>
    <t>0      0      0   -13</t>
  </si>
  <si>
    <t>4      0      0   -104      0</t>
  </si>
  <si>
    <t>-4      0</t>
  </si>
  <si>
    <t>-23     93     99</t>
  </si>
  <si>
    <t>0    294    -33    457    -21</t>
  </si>
  <si>
    <t>0   -744      0</t>
  </si>
  <si>
    <t>0      0      0      0     -7</t>
  </si>
  <si>
    <t>0   -393      0     4</t>
  </si>
  <si>
    <t>0   -521</t>
  </si>
  <si>
    <t>0    -77    -78</t>
  </si>
  <si>
    <t>0      0   -318   -125      0</t>
  </si>
  <si>
    <t>596      0</t>
  </si>
  <si>
    <t>0      0      0   -10</t>
  </si>
  <si>
    <t>1  -7792    833      0      0</t>
  </si>
  <si>
    <t>210    209</t>
  </si>
  <si>
    <t>0    286   -323     5</t>
  </si>
  <si>
    <t>7   -353    687     50   -152</t>
  </si>
  <si>
    <t>0      0      0    56</t>
  </si>
  <si>
    <t>3      0    265    943   -469</t>
  </si>
  <si>
    <t>0  -8013</t>
  </si>
  <si>
    <t>4885  -2637  -7642  -470</t>
  </si>
  <si>
    <t>0      0   1540    674  -2459</t>
  </si>
  <si>
    <t>0      0      0   -50</t>
  </si>
  <si>
    <t>4   -198    286     58     12</t>
  </si>
  <si>
    <t>3880      0      0</t>
  </si>
  <si>
    <t>0     90      6      0      0</t>
  </si>
  <si>
    <t>0      0   -337</t>
  </si>
  <si>
    <t>0      0    -15      0     89</t>
  </si>
  <si>
    <t>0    227</t>
  </si>
  <si>
    <t>-265   -202      0    -3</t>
  </si>
  <si>
    <t>1     -3   -206    -86     53</t>
  </si>
  <si>
    <t>-920      0      0</t>
  </si>
  <si>
    <t>0      0      0   -110      0</t>
  </si>
  <si>
    <t>102      0     86</t>
  </si>
  <si>
    <t>385      0</t>
  </si>
  <si>
    <t>-35     45      0</t>
  </si>
  <si>
    <t>0    -61    -98      0   -132</t>
  </si>
  <si>
    <t>0      0    108    43</t>
  </si>
  <si>
    <t>9   2543      0      0     16</t>
  </si>
  <si>
    <t>378      0</t>
  </si>
  <si>
    <t>30    138      1     4</t>
  </si>
  <si>
    <t>3   -153   -144    240      0</t>
  </si>
  <si>
    <t>0      0    -38</t>
  </si>
  <si>
    <t>0    -27   -201    287      0</t>
  </si>
  <si>
    <t>955  -2211</t>
  </si>
  <si>
    <t>3974   7531   4536</t>
  </si>
  <si>
    <t>0  -1264   -551   2437  18510</t>
  </si>
  <si>
    <t>0   -525</t>
  </si>
  <si>
    <t>152    239    -57    49</t>
  </si>
  <si>
    <t>9      0      0     63      0</t>
  </si>
  <si>
    <t>-26   -131      0</t>
  </si>
  <si>
    <t>144      0</t>
  </si>
  <si>
    <t>0   -121      0     7</t>
  </si>
  <si>
    <t>0      0   -142    154     97</t>
  </si>
  <si>
    <t>0   -251</t>
  </si>
  <si>
    <t>-119    181    636   -25</t>
  </si>
  <si>
    <t>5    170      0   -281      0</t>
  </si>
  <si>
    <t>0      0    -68</t>
  </si>
  <si>
    <t>0      0      0    194      0</t>
  </si>
  <si>
    <t>101      0</t>
  </si>
  <si>
    <t>0    136      0    107     85</t>
  </si>
  <si>
    <t>6772   6599      0  -101</t>
  </si>
  <si>
    <t>953  -3628</t>
  </si>
  <si>
    <t>2255      0      0    87</t>
  </si>
  <si>
    <t>1   -138      0   -493  -1030</t>
  </si>
  <si>
    <t>1864   -461   -510</t>
  </si>
  <si>
    <t>595      0</t>
  </si>
  <si>
    <t>8800  -1830   -596</t>
  </si>
  <si>
    <t>0    276  -2929   1779   2779</t>
  </si>
  <si>
    <t>8969  -2636    517  1107</t>
  </si>
  <si>
    <t>2      0  -2890      0      0</t>
  </si>
  <si>
    <t>9    109   -456   -331    211</t>
  </si>
  <si>
    <t>0    455   6771      0      0</t>
  </si>
  <si>
    <t>0      0     -3</t>
  </si>
  <si>
    <t>0      0   -303      0    359</t>
  </si>
  <si>
    <t>0    254</t>
  </si>
  <si>
    <t>-107     88      0   -38</t>
  </si>
  <si>
    <t>7    -32   -199    241    296</t>
  </si>
  <si>
    <t>252      0</t>
  </si>
  <si>
    <t>-51      0      0</t>
  </si>
  <si>
    <t>0      0      0   4138      0</t>
  </si>
  <si>
    <t>-298      0    180</t>
  </si>
  <si>
    <t>15      0</t>
  </si>
  <si>
    <t>-60    264      0</t>
  </si>
  <si>
    <t>0    962    235      0     79</t>
  </si>
  <si>
    <t>0      0   -533     1</t>
  </si>
  <si>
    <t>4    -87      0      0    269</t>
  </si>
  <si>
    <t>170      0</t>
  </si>
  <si>
    <t>6224    383   -245   -69</t>
  </si>
  <si>
    <t>0     48   1324   -120      0</t>
  </si>
  <si>
    <t>0      0   -229</t>
  </si>
  <si>
    <t>0    -88   -742   -353      0</t>
  </si>
  <si>
    <t>342    123</t>
  </si>
  <si>
    <t>4961   1038  -9360</t>
  </si>
  <si>
    <t>0    553    -42   1014   -803</t>
  </si>
  <si>
    <t>0     11</t>
  </si>
  <si>
    <t>340      0      0</t>
  </si>
  <si>
    <t>0   -201    331    371    121</t>
  </si>
  <si>
    <t>607      0</t>
  </si>
  <si>
    <t>0     -1      0</t>
  </si>
  <si>
    <t>0      0  -2110     24      0</t>
  </si>
  <si>
    <t>0      0      0   -16</t>
  </si>
  <si>
    <t>9      0      0    -81      0</t>
  </si>
  <si>
    <t>380      0</t>
  </si>
  <si>
    <t>470    150   -339</t>
  </si>
  <si>
    <t>0    581    324     84   -344</t>
  </si>
  <si>
    <t>458   -319</t>
  </si>
  <si>
    <t>0    -21      0</t>
  </si>
  <si>
    <t>0      0      0      0    -81</t>
  </si>
  <si>
    <t>0   -235      0    -9</t>
  </si>
  <si>
    <t>4      0      0      0      0</t>
  </si>
  <si>
    <t>0   -197</t>
  </si>
  <si>
    <t>0    144   -158</t>
  </si>
  <si>
    <t>0      0   2323   1262      0</t>
  </si>
  <si>
    <t>911      0</t>
  </si>
  <si>
    <t>0      0      0   -67</t>
  </si>
  <si>
    <t>5   -433    -74      0      0</t>
  </si>
  <si>
    <t>57   -454</t>
  </si>
  <si>
    <t>0    290  -4404    -5</t>
  </si>
  <si>
    <t>3  -2039   -678   -777   -873</t>
  </si>
  <si>
    <t>0      0      0  -102</t>
  </si>
  <si>
    <t>6      0   -575  -2350  -1338</t>
  </si>
  <si>
    <t>0  -5971</t>
  </si>
  <si>
    <t>4839  -6402  13464  -808</t>
  </si>
  <si>
    <t>6      0   8667  12056  10968</t>
  </si>
  <si>
    <t>016      0</t>
  </si>
  <si>
    <t>2811    401      0</t>
  </si>
  <si>
    <t>0      0 -17388      0      0</t>
  </si>
  <si>
    <t>0   -122</t>
  </si>
  <si>
    <t>263      8   -384   -67</t>
  </si>
  <si>
    <t>5      0      0    -10      0</t>
  </si>
  <si>
    <t>2029   -524      0</t>
  </si>
  <si>
    <t>465      0</t>
  </si>
  <si>
    <t>5      0    442   -225    451</t>
  </si>
  <si>
    <t>0     91</t>
  </si>
  <si>
    <t>203   -611   -262   -17</t>
  </si>
  <si>
    <t>2   -146      0   -100      0</t>
  </si>
  <si>
    <t>0      0    156</t>
  </si>
  <si>
    <t>0      0      0    474      0</t>
  </si>
  <si>
    <t>37      0</t>
  </si>
  <si>
    <t>0   -215      0     81    320</t>
  </si>
  <si>
    <t>1216    932      0    33</t>
  </si>
  <si>
    <t>756   -397</t>
  </si>
  <si>
    <t>-221      0      0     2</t>
  </si>
  <si>
    <t>0    -89      0   -399  -1265</t>
  </si>
  <si>
    <t>60  -2884</t>
  </si>
  <si>
    <t>569      0</t>
  </si>
  <si>
    <t>0  -6621  -5738   8201  17004</t>
  </si>
  <si>
    <t>156      0</t>
  </si>
  <si>
    <t>9661  13111  13032   289</t>
  </si>
  <si>
    <t>6      0  -2086    364      0</t>
  </si>
  <si>
    <t>4879  17180      0  -204</t>
  </si>
  <si>
    <t>2   -451     40   2089   -100</t>
  </si>
  <si>
    <t>-309      0      0</t>
  </si>
  <si>
    <t>0   -199     88      0      0</t>
  </si>
  <si>
    <t>0      0   -287</t>
  </si>
  <si>
    <t>0      0     78      0    -84</t>
  </si>
  <si>
    <t>0     78</t>
  </si>
  <si>
    <t>1366    876      0     6</t>
  </si>
  <si>
    <t>2   -306    277    799    963</t>
  </si>
  <si>
    <t>699      0</t>
  </si>
  <si>
    <t>81      0      0</t>
  </si>
  <si>
    <t>0      0      0   -604      0</t>
  </si>
  <si>
    <t>5729      0    518</t>
  </si>
  <si>
    <t>176      0</t>
  </si>
  <si>
    <t>266  -2220      0</t>
  </si>
  <si>
    <t>0    724    219      0   -828</t>
  </si>
  <si>
    <t>0      0   -437    65</t>
  </si>
  <si>
    <t>7    -83      0      0     27</t>
  </si>
  <si>
    <t>147      0</t>
  </si>
  <si>
    <t>446   -132     71   -11</t>
  </si>
  <si>
    <t>8  -1249  -1256  -1553      0</t>
  </si>
  <si>
    <t>0      0  -1014</t>
  </si>
  <si>
    <t>0   -287    418    516      0</t>
  </si>
  <si>
    <t>143  -5540</t>
  </si>
  <si>
    <t>4763  25078   5059</t>
  </si>
  <si>
    <t>0  12640  25602  19410  -7354</t>
  </si>
  <si>
    <t>0   1443</t>
  </si>
  <si>
    <t>4570      0      0</t>
  </si>
  <si>
    <t>0  -8599  10126      0   9336</t>
  </si>
  <si>
    <t>106    -75</t>
  </si>
  <si>
    <t>55    261    112</t>
  </si>
  <si>
    <t>0      0   -168      0      0</t>
  </si>
  <si>
    <t>0    -81</t>
  </si>
  <si>
    <t>-214      0      0</t>
  </si>
  <si>
    <t>0      0      0      0   -104</t>
  </si>
  <si>
    <t>7      0    -60</t>
  </si>
  <si>
    <t>0     41    234    169      0</t>
  </si>
  <si>
    <t>386     51</t>
  </si>
  <si>
    <t>350     -7   -121    -6</t>
  </si>
  <si>
    <t>6      0    -86      0      0</t>
  </si>
  <si>
    <t>0   -424      0</t>
  </si>
  <si>
    <t>0      0   -410      0   -210</t>
  </si>
  <si>
    <t>0      0      0   -22</t>
  </si>
  <si>
    <t>5      0    -29   -316      0</t>
  </si>
  <si>
    <t>0    589</t>
  </si>
  <si>
    <t>164      0  -1098</t>
  </si>
  <si>
    <t>0      0      0      0   -733</t>
  </si>
  <si>
    <t>103     28</t>
  </si>
  <si>
    <t>0      0     43    15</t>
  </si>
  <si>
    <t>2      0   1861    -66    949</t>
  </si>
  <si>
    <t>238  -1126</t>
  </si>
  <si>
    <t>7937  -1834      0</t>
  </si>
  <si>
    <t>0      0      0      0   -355</t>
  </si>
  <si>
    <t>0    -45</t>
  </si>
  <si>
    <t>339    214      0  -544</t>
  </si>
  <si>
    <t>6  -3777   5941  22469   1381</t>
  </si>
  <si>
    <t>0  11465</t>
  </si>
  <si>
    <t>6581  15027    251</t>
  </si>
  <si>
    <t>0   5168    756      0      0</t>
  </si>
  <si>
    <t>0 -16575</t>
  </si>
  <si>
    <t>3100      0   3790  1985</t>
  </si>
  <si>
    <t>3   -249    119   -139    -23</t>
  </si>
  <si>
    <t>136      0</t>
  </si>
  <si>
    <t>0     58      0</t>
  </si>
  <si>
    <t>0      0     53    402      0</t>
  </si>
  <si>
    <t>0      0      0   -18</t>
  </si>
  <si>
    <t>7      0      0    -99      0</t>
  </si>
  <si>
    <t>145      0</t>
  </si>
  <si>
    <t>162     69     67</t>
  </si>
  <si>
    <t>0   -515      4    -84    358</t>
  </si>
  <si>
    <t>496    406</t>
  </si>
  <si>
    <t>0     -8      0</t>
  </si>
  <si>
    <t>0      0      0      0    355</t>
  </si>
  <si>
    <t>0    638      0    98</t>
  </si>
  <si>
    <t>0    -95</t>
  </si>
  <si>
    <t>0    -73    177</t>
  </si>
  <si>
    <t>0      0   1544    720      0</t>
  </si>
  <si>
    <t>820      0</t>
  </si>
  <si>
    <t>0      0      0  -139</t>
  </si>
  <si>
    <t>1   -205   -224      0      0</t>
  </si>
  <si>
    <t>52    -40</t>
  </si>
  <si>
    <t>0   -259  -1679   -28</t>
  </si>
  <si>
    <t>7  -1125  -1518  -2112  -8124</t>
  </si>
  <si>
    <t>0      0      0   -93</t>
  </si>
  <si>
    <t>2      0   -245    164   -171</t>
  </si>
  <si>
    <t>0 -10444</t>
  </si>
  <si>
    <t>8510  -2946  29043 -1721</t>
  </si>
  <si>
    <t>9      0  14455  21656  20038</t>
  </si>
  <si>
    <t>840      0</t>
  </si>
  <si>
    <t>2582  -4344      0</t>
  </si>
  <si>
    <t>0      0   6226  21480      0</t>
  </si>
  <si>
    <t>247  25370</t>
  </si>
  <si>
    <t>8363      0      0</t>
  </si>
  <si>
    <t>0   -100   -521  -107</t>
  </si>
  <si>
    <t>7  -1043  -1252      0      0</t>
  </si>
  <si>
    <t>105      0</t>
  </si>
  <si>
    <t>0      0    127   -39</t>
  </si>
  <si>
    <t>433      0      0    47</t>
  </si>
  <si>
    <t>9      0    320      0    574</t>
  </si>
  <si>
    <t>118   -547</t>
  </si>
  <si>
    <t>0   1046    -58   -37</t>
  </si>
  <si>
    <t>5   -790   -703   -926      0</t>
  </si>
  <si>
    <t>401      0</t>
  </si>
  <si>
    <t>0      2      0      0      0</t>
  </si>
  <si>
    <t>483      0</t>
  </si>
  <si>
    <t>-112      0      0</t>
  </si>
  <si>
    <t>0      0      0   1283      0</t>
  </si>
  <si>
    <t>0      0   4909  -209</t>
  </si>
  <si>
    <t>9      0    758      0      0</t>
  </si>
  <si>
    <t>1776   -621    -62</t>
  </si>
  <si>
    <t>0      0    944    572      0</t>
  </si>
  <si>
    <t>367   -313</t>
  </si>
  <si>
    <t>224   -408    184    90</t>
  </si>
  <si>
    <t>2    567      0      0      0</t>
  </si>
  <si>
    <t>2116      0   3016    26</t>
  </si>
  <si>
    <t>6   -547      0 -89976   5128</t>
  </si>
  <si>
    <t>291   -345</t>
  </si>
  <si>
    <t>-147      0    366    46</t>
  </si>
  <si>
    <t>7  -1360   2359      0     51</t>
  </si>
  <si>
    <t>829      0</t>
  </si>
  <si>
    <t>0      0   -749   157</t>
  </si>
  <si>
    <t>2      0   1591     28   -990</t>
  </si>
  <si>
    <t>961  -5805</t>
  </si>
  <si>
    <t>595    158    182</t>
  </si>
  <si>
    <t>0      0    -72      0      0</t>
  </si>
  <si>
    <t>0    -68</t>
  </si>
  <si>
    <t>-46      0      0</t>
  </si>
  <si>
    <t>0      0      0      0    623</t>
  </si>
  <si>
    <t>-56      0    346</t>
  </si>
  <si>
    <t>0   -421    -97    190      0</t>
  </si>
  <si>
    <t>133  -4633</t>
  </si>
  <si>
    <t>82    139    290   -14</t>
  </si>
  <si>
    <t>4      0     69      0      0</t>
  </si>
  <si>
    <t>0     56      0</t>
  </si>
  <si>
    <t>0      0     60      0     92</t>
  </si>
  <si>
    <t>0      0      0    85</t>
  </si>
  <si>
    <t>4      0    -92   -244      0</t>
  </si>
  <si>
    <t>0   1904</t>
  </si>
  <si>
    <t>1532      0    547</t>
  </si>
  <si>
    <t>0      0      0      0   -886</t>
  </si>
  <si>
    <t>943    240</t>
  </si>
  <si>
    <t>0      0   -390   -13</t>
  </si>
  <si>
    <t>7      0     46    463    -28</t>
  </si>
  <si>
    <t>326    574</t>
  </si>
  <si>
    <t>314     80      0</t>
  </si>
  <si>
    <t>0      0      0      0  -1194</t>
  </si>
  <si>
    <t>0    349</t>
  </si>
  <si>
    <t>481    -75      0   713</t>
  </si>
  <si>
    <t>3 -70252   2878   1568    682</t>
  </si>
  <si>
    <t>0   1379</t>
  </si>
  <si>
    <t>1054  -1398    794</t>
  </si>
  <si>
    <t>0  -1315 -14460      0      0</t>
  </si>
  <si>
    <t>0  -1340</t>
  </si>
  <si>
    <t>2754      0   3254    67</t>
  </si>
  <si>
    <t>9  -2034   2447      0      0</t>
  </si>
  <si>
    <t>0  -4488      0  -227</t>
  </si>
  <si>
    <t>3   -337   -399   -113    -85</t>
  </si>
  <si>
    <t>-123      0      0</t>
  </si>
  <si>
    <t>0   -134    247      0      0</t>
  </si>
  <si>
    <t>0      0    -52</t>
  </si>
  <si>
    <t>0      0     51      0    -69</t>
  </si>
  <si>
    <t>0     19</t>
  </si>
  <si>
    <t>2708     64      0   -92</t>
  </si>
  <si>
    <t>6   -257   -204    -80    163</t>
  </si>
  <si>
    <t>24      0</t>
  </si>
  <si>
    <t>39      0      0</t>
  </si>
  <si>
    <t>0      0      0     54      0</t>
  </si>
  <si>
    <t>55      0     19</t>
  </si>
  <si>
    <t>-14   1777      0</t>
  </si>
  <si>
    <t>0   -486   -279      0   -134</t>
  </si>
  <si>
    <t>0      0    158    86</t>
  </si>
  <si>
    <t>5    199      0      0   -258</t>
  </si>
  <si>
    <t>227      0</t>
  </si>
  <si>
    <t>482    175    114    13</t>
  </si>
  <si>
    <t>0    136    153   -273      0</t>
  </si>
  <si>
    <t>0      0    499</t>
  </si>
  <si>
    <t>0    159  -7754    921      0</t>
  </si>
  <si>
    <t>244  -2656</t>
  </si>
  <si>
    <t>134   -442  -1126</t>
  </si>
  <si>
    <t>0    957   1829    432  -7868</t>
  </si>
  <si>
    <t>0    214</t>
  </si>
  <si>
    <t>4072      0      0</t>
  </si>
  <si>
    <t>0   -827    640      0    933</t>
  </si>
  <si>
    <t>554    769</t>
  </si>
  <si>
    <t>2157      0      0</t>
  </si>
  <si>
    <t>0      0      0   -582      0</t>
  </si>
  <si>
    <t>679   -939</t>
  </si>
  <si>
    <t>-203     95   -113   -40</t>
  </si>
  <si>
    <t>2      0      0    -39      0</t>
  </si>
  <si>
    <t>-5     98      0</t>
  </si>
  <si>
    <t>36      0</t>
  </si>
  <si>
    <t>0     11      0    -3</t>
  </si>
  <si>
    <t>7      0    -84   -420   3077</t>
  </si>
  <si>
    <t>0   -205</t>
  </si>
  <si>
    <t>8   -147      0   -145      0</t>
  </si>
  <si>
    <t>0      0     18</t>
  </si>
  <si>
    <t>0      0      0      5      0</t>
  </si>
  <si>
    <t>-3      0</t>
  </si>
  <si>
    <t>0     98      0    -20    429</t>
  </si>
  <si>
    <t>-55    109      0   -45</t>
  </si>
  <si>
    <t>156   -536</t>
  </si>
  <si>
    <t>-54      0      0    13</t>
  </si>
  <si>
    <t>1   -363      0    -97   -589</t>
  </si>
  <si>
    <t>289    297</t>
  </si>
  <si>
    <t>406    190   -332</t>
  </si>
  <si>
    <t>642      0</t>
  </si>
  <si>
    <t>308   1046  -7316</t>
  </si>
  <si>
    <t>0  -5780  -5934   1832   1010</t>
  </si>
  <si>
    <t>088      0</t>
  </si>
  <si>
    <t>9935 -15489 -17476   690</t>
  </si>
  <si>
    <t>5      0  -1375   6200      0</t>
  </si>
  <si>
    <t>1152   2937      0  -563</t>
  </si>
  <si>
    <t>6  -7876  -3448   -516      0</t>
  </si>
  <si>
    <t>0      0   -193</t>
  </si>
  <si>
    <t>0   1588  -8619      0      0</t>
  </si>
  <si>
    <t>0   2083    982    896    391</t>
  </si>
  <si>
    <t>703      0</t>
  </si>
  <si>
    <t>0     98      0</t>
  </si>
  <si>
    <t>0      0   -139    142      0</t>
  </si>
  <si>
    <t>0      0      0   -55</t>
  </si>
  <si>
    <t>4      0      0   -148      0</t>
  </si>
  <si>
    <t>454      0</t>
  </si>
  <si>
    <t>0    571    507   -336     -7</t>
  </si>
  <si>
    <t>519   2371</t>
  </si>
  <si>
    <t>0   -291      0</t>
  </si>
  <si>
    <t>0      0      0      0    -50</t>
  </si>
  <si>
    <t>0    363      0    -2</t>
  </si>
  <si>
    <t>0   -965</t>
  </si>
  <si>
    <t>0    510  -1487</t>
  </si>
  <si>
    <t>0      0   1804   1556      0</t>
  </si>
  <si>
    <t>519      0</t>
  </si>
  <si>
    <t>0      0      0    61</t>
  </si>
  <si>
    <t>7    870    249      0      0</t>
  </si>
  <si>
    <t>270   -425</t>
  </si>
  <si>
    <t>0   -123    216   -17</t>
  </si>
  <si>
    <t>3    278   -170   -429     38</t>
  </si>
  <si>
    <t>0      0      0   186</t>
  </si>
  <si>
    <t>7      0  -1841   -279    519</t>
  </si>
  <si>
    <t>0   7396</t>
  </si>
  <si>
    <t>4757   1106   1752   113</t>
  </si>
  <si>
    <t>3      0    -76    638  -1239</t>
  </si>
  <si>
    <t>931      0</t>
  </si>
  <si>
    <t>-122  -1049      0</t>
  </si>
  <si>
    <t>0      0   -187    139      0</t>
  </si>
  <si>
    <t>312   -117</t>
  </si>
  <si>
    <t>-102    537      0</t>
  </si>
  <si>
    <t>0      0      0      0  -4121</t>
  </si>
  <si>
    <t>0   6861</t>
  </si>
  <si>
    <t>334   1830      0    76</t>
  </si>
  <si>
    <t>5  34500   -170    191   -138</t>
  </si>
  <si>
    <t>-137      0      0</t>
  </si>
  <si>
    <t>0    -72   -136      0      0</t>
  </si>
  <si>
    <t>0      0   -500</t>
  </si>
  <si>
    <t>0      0   -103      0    -73</t>
  </si>
  <si>
    <t>0    194</t>
  </si>
  <si>
    <t>39   -149      0    48</t>
  </si>
  <si>
    <t>6  29697    246     44   -151</t>
  </si>
  <si>
    <t>429      0</t>
  </si>
  <si>
    <t>0      0      0   -154      0</t>
  </si>
  <si>
    <t>-42      0     98</t>
  </si>
  <si>
    <t>585      0</t>
  </si>
  <si>
    <t>-455   -750      0</t>
  </si>
  <si>
    <t>0  -1257  39409      0    121</t>
  </si>
  <si>
    <t>0      0  -2418    -3</t>
  </si>
  <si>
    <t>4    -98      0      0   -227</t>
  </si>
  <si>
    <t>172      0</t>
  </si>
  <si>
    <t>107    204   -126     7</t>
  </si>
  <si>
    <t>2   -351   -210    411      0</t>
  </si>
  <si>
    <t>0      0    811</t>
  </si>
  <si>
    <t>0   1198   -376    173      0</t>
  </si>
  <si>
    <t>670  38177</t>
  </si>
  <si>
    <t>546    591    134</t>
  </si>
  <si>
    <t>0     86    -38  -3190    549</t>
  </si>
  <si>
    <t>0   -120</t>
  </si>
  <si>
    <t>-452      0      0</t>
  </si>
  <si>
    <t>0     17    582      0    379</t>
  </si>
  <si>
    <t>122   -295</t>
  </si>
  <si>
    <t>723      0      0</t>
  </si>
  <si>
    <t>0      0      0   3962      0</t>
  </si>
  <si>
    <t>526    -91</t>
  </si>
  <si>
    <t>1740      0  -4175  -282</t>
  </si>
  <si>
    <t>7    154   6464    705    448</t>
  </si>
  <si>
    <t>-119      0      0</t>
  </si>
  <si>
    <t>0   -900    146      0      0</t>
  </si>
  <si>
    <t>0      0    -55</t>
  </si>
  <si>
    <t>0      0   -411      0    466</t>
  </si>
  <si>
    <t>0    148</t>
  </si>
  <si>
    <t>894    328      0  -126</t>
  </si>
  <si>
    <t>3   -161   1076    981   1128</t>
  </si>
  <si>
    <t>349      0</t>
  </si>
  <si>
    <t>-31      0      0</t>
  </si>
  <si>
    <t>0      0      0     79      0</t>
  </si>
  <si>
    <t>-114      0   -151</t>
  </si>
  <si>
    <t>-135    441      0</t>
  </si>
  <si>
    <t>0    673    271      0   -682</t>
  </si>
  <si>
    <t>0      0    240    28</t>
  </si>
  <si>
    <t>2    199      0      0   -121</t>
  </si>
  <si>
    <t>455      0</t>
  </si>
  <si>
    <t>-265     51     30   -19</t>
  </si>
  <si>
    <t>5   -142   -371    109      0</t>
  </si>
  <si>
    <t>0      0   -412</t>
  </si>
  <si>
    <t>0    -62   -403   -528      0</t>
  </si>
  <si>
    <t>706    204</t>
  </si>
  <si>
    <t>7574  -2362  -2144</t>
  </si>
  <si>
    <t>0   -342   -402    215    559</t>
  </si>
  <si>
    <t>0     24</t>
  </si>
  <si>
    <t>-83      0      0</t>
  </si>
  <si>
    <t>0     23    183      0   -104</t>
  </si>
  <si>
    <t>244   -527</t>
  </si>
  <si>
    <t>670      0      0</t>
  </si>
  <si>
    <t>0      0      0  -1021      0</t>
  </si>
  <si>
    <t>411   -365</t>
  </si>
  <si>
    <t>1162      0  -2763  -322</t>
  </si>
  <si>
    <t>5 -10019      2   1155   1238</t>
  </si>
  <si>
    <t>784      0</t>
  </si>
  <si>
    <t>0   -422      0</t>
  </si>
  <si>
    <t>0      0  -2154    107      0</t>
  </si>
  <si>
    <t>0      0      0    64</t>
  </si>
  <si>
    <t>8      0      0   -410      0</t>
  </si>
  <si>
    <t>245      0</t>
  </si>
  <si>
    <t>185   6361   2768</t>
  </si>
  <si>
    <t>0  -3066   -213   1580   1837</t>
  </si>
  <si>
    <t>749    749</t>
  </si>
  <si>
    <t>0     -3      0</t>
  </si>
  <si>
    <t>0      0      0      0    134</t>
  </si>
  <si>
    <t>0    536      0    15</t>
  </si>
  <si>
    <t>0   -660</t>
  </si>
  <si>
    <t>0   -214   1022</t>
  </si>
  <si>
    <t>0      0    257   -245      0</t>
  </si>
  <si>
    <t>804      0</t>
  </si>
  <si>
    <t>0      0      0    72</t>
  </si>
  <si>
    <t>3    675   -117      0      0</t>
  </si>
  <si>
    <t>33     -6</t>
  </si>
  <si>
    <t>0    179   -132    16</t>
  </si>
  <si>
    <t>6   -241     81   -448  -1298</t>
  </si>
  <si>
    <t>5      0    365    674    352</t>
  </si>
  <si>
    <t>0   3886</t>
  </si>
  <si>
    <t>9      0  -1428  -2281   -286</t>
  </si>
  <si>
    <t>824      0</t>
  </si>
  <si>
    <t>-78   -160      0</t>
  </si>
  <si>
    <t>0      0   -168   -921      0</t>
  </si>
  <si>
    <t>101  -2200</t>
  </si>
  <si>
    <t>2712  -3598      0</t>
  </si>
  <si>
    <t>0      0      0      0  -1010</t>
  </si>
  <si>
    <t>0   2066</t>
  </si>
  <si>
    <t>-535  -1320      0  -452</t>
  </si>
  <si>
    <t>0  -4760  24955  -9215   -135</t>
  </si>
  <si>
    <t>298   1056</t>
  </si>
  <si>
    <t>1300      0      0   -34</t>
  </si>
  <si>
    <t>4      0      0      0  -2070</t>
  </si>
  <si>
    <t>496      0</t>
  </si>
  <si>
    <t>0      0   1100      0      0</t>
  </si>
  <si>
    <t>344      0</t>
  </si>
  <si>
    <t>253      0    -77   557</t>
  </si>
  <si>
    <t>7   2317      0  -2484    -99</t>
  </si>
  <si>
    <t>721   1750</t>
  </si>
  <si>
    <t>2340    647      0    -5</t>
  </si>
  <si>
    <t>0    100</t>
  </si>
  <si>
    <t>0      0      0   -35</t>
  </si>
  <si>
    <t>6      0   -289      0      0</t>
  </si>
  <si>
    <t>0   -512      0   -45</t>
  </si>
  <si>
    <t>2    629      0      0   1075</t>
  </si>
  <si>
    <t>849      0</t>
  </si>
  <si>
    <t>2797      0      0</t>
  </si>
  <si>
    <t>0      0   -930    916    237</t>
  </si>
  <si>
    <t>-54   -952      0    13</t>
  </si>
  <si>
    <t>2    540     80   -158      7</t>
  </si>
  <si>
    <t>351   2391</t>
  </si>
  <si>
    <t>0      0   -514      0   -174</t>
  </si>
  <si>
    <t>374   -327</t>
  </si>
  <si>
    <t>0   1894   -343  -222</t>
  </si>
  <si>
    <t>8  -2451  -2332      0    207</t>
  </si>
  <si>
    <t>278    142</t>
  </si>
  <si>
    <t>911      0    166   -66</t>
  </si>
  <si>
    <t>5      0      0      0    650</t>
  </si>
  <si>
    <t>876      0</t>
  </si>
  <si>
    <t>-235    180    838   287</t>
  </si>
  <si>
    <t>0   -833</t>
  </si>
  <si>
    <t>0   1325   -230   -98</t>
  </si>
  <si>
    <t>4      0  -4556  -3559  23198</t>
  </si>
  <si>
    <t>811  -4669</t>
  </si>
  <si>
    <t>-15    578   4820    59</t>
  </si>
  <si>
    <t>7      0      0   -133      0</t>
  </si>
  <si>
    <t>-924    -93      0</t>
  </si>
  <si>
    <t>122      0</t>
  </si>
  <si>
    <t>0   -924      0    99</t>
  </si>
  <si>
    <t>0      0    274   2650    945</t>
  </si>
  <si>
    <t>0   1033</t>
  </si>
  <si>
    <t>-33   9683   1771    59</t>
  </si>
  <si>
    <t>7    799      0    120      0</t>
  </si>
  <si>
    <t>0      0    -41</t>
  </si>
  <si>
    <t>0      0      0  -4138      0</t>
  </si>
  <si>
    <t>501      0</t>
  </si>
  <si>
    <t>0    -65      0     29  -3922</t>
  </si>
  <si>
    <t>548    203      0    29</t>
  </si>
  <si>
    <t>623    503</t>
  </si>
  <si>
    <t>36      0      0    11</t>
  </si>
  <si>
    <t>0    -92      0   -203    325</t>
  </si>
  <si>
    <t>-82    256</t>
  </si>
  <si>
    <t>971    668    312</t>
  </si>
  <si>
    <t>952      0</t>
  </si>
  <si>
    <t>0     99   -995    140    336</t>
  </si>
  <si>
    <t>82      0</t>
  </si>
  <si>
    <t>-699  -1635    758    72</t>
  </si>
  <si>
    <t>1      0    212    225      0</t>
  </si>
  <si>
    <t>57   -128      0    27</t>
  </si>
  <si>
    <t>8    862    586    238      0</t>
  </si>
  <si>
    <t>0      0   -456</t>
  </si>
  <si>
    <t>0   1374   -392   -547      0</t>
  </si>
  <si>
    <t>389   1469</t>
  </si>
  <si>
    <t>3936  19088  19546  -325</t>
  </si>
  <si>
    <t>0    -88    477    189  10942</t>
  </si>
  <si>
    <t>-232      0      0</t>
  </si>
  <si>
    <t>0   -152    263      0      0</t>
  </si>
  <si>
    <t>0      0     66</t>
  </si>
  <si>
    <t>0      0  -1231      0   1233</t>
  </si>
  <si>
    <t>0    115</t>
  </si>
  <si>
    <t>1770    729      0    14</t>
  </si>
  <si>
    <t>6   -176   3074  10497   1639</t>
  </si>
  <si>
    <t>690      0</t>
  </si>
  <si>
    <t>-27      0      0</t>
  </si>
  <si>
    <t>0      0      0   -329      0</t>
  </si>
  <si>
    <t>-983      0    580</t>
  </si>
  <si>
    <t>356      0</t>
  </si>
  <si>
    <t>1544  -3888      0</t>
  </si>
  <si>
    <t>0    293   1549      0  -2212</t>
  </si>
  <si>
    <t>0      0  -2819    57</t>
  </si>
  <si>
    <t>2    351      0      0   -858</t>
  </si>
  <si>
    <t>310      0</t>
  </si>
  <si>
    <t>9  -1298  -1443  -2220      0</t>
  </si>
  <si>
    <t>0      0   -505</t>
  </si>
  <si>
    <t>0  -1980     17   1478      0</t>
  </si>
  <si>
    <t>325   -578</t>
  </si>
  <si>
    <t>-24   -366    478</t>
  </si>
  <si>
    <t>0   8026   -393     14   -176</t>
  </si>
  <si>
    <t>0    -97</t>
  </si>
  <si>
    <t>231      0      0</t>
  </si>
  <si>
    <t>0    259   -239      0    -98</t>
  </si>
  <si>
    <t>040  -1033</t>
  </si>
  <si>
    <t>-647      0      0</t>
  </si>
  <si>
    <t>0      0      0   -873      0</t>
  </si>
  <si>
    <t>914   -422</t>
  </si>
  <si>
    <t>814      0  -1585    80</t>
  </si>
  <si>
    <t>8   7796  15523  11761  21642</t>
  </si>
  <si>
    <t>384   -733</t>
  </si>
  <si>
    <t>325   1176   3240</t>
  </si>
  <si>
    <t>0      0   -298      0      0</t>
  </si>
  <si>
    <t>0   -391</t>
  </si>
  <si>
    <t>474      0      0</t>
  </si>
  <si>
    <t>0      0      0      0    440</t>
  </si>
  <si>
    <t>-649      0    802</t>
  </si>
  <si>
    <t>0     -5   2042    723      0</t>
  </si>
  <si>
    <t>376   1070</t>
  </si>
  <si>
    <t>2580   2252   5737   -61</t>
  </si>
  <si>
    <t>0      0    -26      0      0</t>
  </si>
  <si>
    <t>0   -682      0</t>
  </si>
  <si>
    <t>0      0    118      0    772</t>
  </si>
  <si>
    <t>0      0      0   -94</t>
  </si>
  <si>
    <t>9      0  -3759  -4919      0</t>
  </si>
  <si>
    <t>0  -4944</t>
  </si>
  <si>
    <t>5313      0  -4994</t>
  </si>
  <si>
    <t>0      0      0      0 -13365</t>
  </si>
  <si>
    <t>-62    466</t>
  </si>
  <si>
    <t>0      0   -717   -52</t>
  </si>
  <si>
    <t>3      0   -206  -3194   -470</t>
  </si>
  <si>
    <t>740  -6418</t>
  </si>
  <si>
    <t>3421  -4286      0</t>
  </si>
  <si>
    <t>0      0      0      0   6949</t>
  </si>
  <si>
    <t>0   8947</t>
  </si>
  <si>
    <t>75   3426      0    61</t>
  </si>
  <si>
    <t>4   1957   -137   -727    744</t>
  </si>
  <si>
    <t>0   -706</t>
  </si>
  <si>
    <t>5155    769    166</t>
  </si>
  <si>
    <t>0     51  -2421      0      0</t>
  </si>
  <si>
    <t>0    425</t>
  </si>
  <si>
    <t>-224      0    -92  -261</t>
  </si>
  <si>
    <t>5  -1170  -1138      0      0</t>
  </si>
  <si>
    <t>0   -106      0  -274</t>
  </si>
  <si>
    <t>1   -143   1355      0 -16922</t>
  </si>
  <si>
    <t>681   8639</t>
  </si>
  <si>
    <t>8979  13576  21991  2903</t>
  </si>
  <si>
    <t>0    -11   -108    -6</t>
  </si>
  <si>
    <t>7   -150     45      0      0</t>
  </si>
  <si>
    <t>178      0</t>
  </si>
  <si>
    <t>0      0    -57    10</t>
  </si>
  <si>
    <t>31      0      0    -1</t>
  </si>
  <si>
    <t>7      0    -89      0   -152</t>
  </si>
  <si>
    <t>199    115</t>
  </si>
  <si>
    <t>0     79    -65    -5</t>
  </si>
  <si>
    <t>9      6    -31     34      0</t>
  </si>
  <si>
    <t>632      0</t>
  </si>
  <si>
    <t>0    140      0      0      0</t>
  </si>
  <si>
    <t>-89      0</t>
  </si>
  <si>
    <t>-10      0      0</t>
  </si>
  <si>
    <t>0      0      0   -579      0</t>
  </si>
  <si>
    <t>249    182</t>
  </si>
  <si>
    <t>0      0   -243   -24</t>
  </si>
  <si>
    <t>0      0    236      0      0</t>
  </si>
  <si>
    <t>-507  -4876    276</t>
  </si>
  <si>
    <t>0      0    962   -138      0</t>
  </si>
  <si>
    <t>125   -237</t>
  </si>
  <si>
    <t>146   -201    312     7</t>
  </si>
  <si>
    <t>6   -114      0      0      0</t>
  </si>
  <si>
    <t>444      0    223    62</t>
  </si>
  <si>
    <t>3    150      0    904    875</t>
  </si>
  <si>
    <t>487   1556</t>
  </si>
  <si>
    <t>797      0   -309    -4</t>
  </si>
  <si>
    <t>2   -120 -18942      0   -698</t>
  </si>
  <si>
    <t>406      0</t>
  </si>
  <si>
    <t>0      0    -56   -60</t>
  </si>
  <si>
    <t>5      0   -611   1345    164</t>
  </si>
  <si>
    <t>492      0</t>
  </si>
  <si>
    <t>0    138      0   -398   1761</t>
  </si>
  <si>
    <t>7908  -5274  -3981  -922</t>
  </si>
  <si>
    <t>0  -6480  -6417   -512   -395</t>
  </si>
  <si>
    <t>240    201</t>
  </si>
  <si>
    <t>146    -37    540</t>
  </si>
  <si>
    <t>0      0    129      0      0</t>
  </si>
  <si>
    <t>0    -59</t>
  </si>
  <si>
    <t>-56      0      0</t>
  </si>
  <si>
    <t>0      0      0      0     59</t>
  </si>
  <si>
    <t>-153      0    115</t>
  </si>
  <si>
    <t>0   -112    584    189      0</t>
  </si>
  <si>
    <t>237   -133</t>
  </si>
  <si>
    <t>429    719      0    63</t>
  </si>
  <si>
    <t>8      0   -302      0      0</t>
  </si>
  <si>
    <t>0    -43      0</t>
  </si>
  <si>
    <t>0      0    126      0    188</t>
  </si>
  <si>
    <t>0      0      0    14</t>
  </si>
  <si>
    <t>8      0    409   -268      0</t>
  </si>
  <si>
    <t>0   7465</t>
  </si>
  <si>
    <t>7017      0  -1341</t>
  </si>
  <si>
    <t>0      0      0      0   6036</t>
  </si>
  <si>
    <t>592  -2386</t>
  </si>
  <si>
    <t>0      0   1669   -27</t>
  </si>
  <si>
    <t>5      0   -396  -1111    -65</t>
  </si>
  <si>
    <t>532  -1945</t>
  </si>
  <si>
    <t>-528   -742      0</t>
  </si>
  <si>
    <t>0      0      0      0  -8517</t>
  </si>
  <si>
    <t>0  -9427</t>
  </si>
  <si>
    <t>1762    -78      0   -52</t>
  </si>
  <si>
    <t>0   -788   -191   -486   -753</t>
  </si>
  <si>
    <t>0    -58</t>
  </si>
  <si>
    <t>1701    325  -2353</t>
  </si>
  <si>
    <t>0   -244  17208      0      0</t>
  </si>
  <si>
    <t>0      9</t>
  </si>
  <si>
    <t>93      0      7   -47</t>
  </si>
  <si>
    <t>0   -340    825      0      0</t>
  </si>
  <si>
    <t>0  -2301      0  -143</t>
  </si>
  <si>
    <t>6  -1237   -868      0   1043</t>
  </si>
  <si>
    <t>338   3009</t>
  </si>
  <si>
    <t>6613   6591   4004  1077</t>
  </si>
  <si>
    <t>8  -7449      0  12370      0</t>
  </si>
  <si>
    <t>0    755</t>
  </si>
  <si>
    <t>-224     87     76     6</t>
  </si>
  <si>
    <t>6      0      0   -375      0</t>
  </si>
  <si>
    <t>-60   -218      0</t>
  </si>
  <si>
    <t>324      0</t>
  </si>
  <si>
    <t>0     81      0   -19</t>
  </si>
  <si>
    <t>8      0    -39   -173    -12</t>
  </si>
  <si>
    <t>0    189</t>
  </si>
  <si>
    <t>5   -393      0    163      0</t>
  </si>
  <si>
    <t>0      0   -256</t>
  </si>
  <si>
    <t>0      0      0   -186      0</t>
  </si>
  <si>
    <t>-33      0</t>
  </si>
  <si>
    <t>0     39      0    -67     96</t>
  </si>
  <si>
    <t>238    -36      0    52</t>
  </si>
  <si>
    <t>51   1199</t>
  </si>
  <si>
    <t>140      0      0  -621</t>
  </si>
  <si>
    <t>9   1383      0    -93   -304</t>
  </si>
  <si>
    <t>331   -553</t>
  </si>
  <si>
    <t>-116    124   -268</t>
  </si>
  <si>
    <t>98    547  -1830</t>
  </si>
  <si>
    <t>0   -870    -87      2    653</t>
  </si>
  <si>
    <t>216      0</t>
  </si>
  <si>
    <t>174    194    742     -</t>
  </si>
  <si>
    <t>7      0   1059   -497      0</t>
  </si>
  <si>
    <t>577    133      0    41</t>
  </si>
  <si>
    <t>2    206    158    333      0</t>
  </si>
  <si>
    <t>0      0    895</t>
  </si>
  <si>
    <t>0    -94   -259    161      0</t>
  </si>
  <si>
    <t>499  -1010</t>
  </si>
  <si>
    <t>2210  -4537   2812  -213</t>
  </si>
  <si>
    <t>2   1244   2831      0 -18905</t>
  </si>
  <si>
    <t>0824      0      0</t>
  </si>
  <si>
    <t>0   -428   -327   -750   -602</t>
  </si>
  <si>
    <t>188      0</t>
  </si>
  <si>
    <t>0     -5      0</t>
  </si>
  <si>
    <t>0      0   4667    208      0</t>
  </si>
  <si>
    <t>0      0      0    -8</t>
  </si>
  <si>
    <t>8      0      0     94      0</t>
  </si>
  <si>
    <t>-54      0</t>
  </si>
  <si>
    <t>0    526    -15   -440   -461</t>
  </si>
  <si>
    <t>498   -821</t>
  </si>
  <si>
    <t>0   -196      0</t>
  </si>
  <si>
    <t>0      0      0      0   -728</t>
  </si>
  <si>
    <t>0   -192      0    -8</t>
  </si>
  <si>
    <t>0     62</t>
  </si>
  <si>
    <t>0    -90    -58</t>
  </si>
  <si>
    <t>0      0   -660   -473      0</t>
  </si>
  <si>
    <t>7    457     68      0      0</t>
  </si>
  <si>
    <t>161      8</t>
  </si>
  <si>
    <t>0    459     16    34</t>
  </si>
  <si>
    <t>5   -141    138    107    225</t>
  </si>
  <si>
    <t>0      0      0    20</t>
  </si>
  <si>
    <t>8      0    391    902    253</t>
  </si>
  <si>
    <t>0   -119</t>
  </si>
  <si>
    <t>-733   -203   1222   -46</t>
  </si>
  <si>
    <t>4      0    757    989   1382</t>
  </si>
  <si>
    <t>295      0</t>
  </si>
  <si>
    <t>-190     -5      0</t>
  </si>
  <si>
    <t>0      0   1440   2331      0</t>
  </si>
  <si>
    <t>932    658</t>
  </si>
  <si>
    <t>41   1906      0</t>
  </si>
  <si>
    <t>0      0      0      0   -203</t>
  </si>
  <si>
    <t>0    580</t>
  </si>
  <si>
    <t>-156   -284      0  -205</t>
  </si>
  <si>
    <t>8  -1925  -8328 -17777  -7348</t>
  </si>
  <si>
    <t>325   5418</t>
  </si>
  <si>
    <t>5875      0  -4270</t>
  </si>
  <si>
    <t>0      0    122  -2199      0</t>
  </si>
  <si>
    <t>81     27    -65   -10</t>
  </si>
  <si>
    <t>2      0      0   -160      0</t>
  </si>
  <si>
    <t>-144   -469      0</t>
  </si>
  <si>
    <t>68      0</t>
  </si>
  <si>
    <t>0    -73      0    18</t>
  </si>
  <si>
    <t>1      0    270   -223    188</t>
  </si>
  <si>
    <t>0    373</t>
  </si>
  <si>
    <t>149   -157   -276   -35</t>
  </si>
  <si>
    <t>4   -478      0    -65      0</t>
  </si>
  <si>
    <t>0      0   -257</t>
  </si>
  <si>
    <t>0      0      0   -402      0</t>
  </si>
  <si>
    <t>0   -471      0   -104    144</t>
  </si>
  <si>
    <t>-79    125      0    15</t>
  </si>
  <si>
    <t>143    186</t>
  </si>
  <si>
    <t>117      0      0   -28</t>
  </si>
  <si>
    <t>5    -17      0    130    -98</t>
  </si>
  <si>
    <t>553     45</t>
  </si>
  <si>
    <t>-105    507   -176</t>
  </si>
  <si>
    <t>4      0</t>
  </si>
  <si>
    <t>-17   -135     79</t>
  </si>
  <si>
    <t>0    114   -216    -62      6</t>
  </si>
  <si>
    <t>298      0</t>
  </si>
  <si>
    <t>62    119    470     2</t>
  </si>
  <si>
    <t>1      0    166    -43      0</t>
  </si>
  <si>
    <t>519    536      0  -114</t>
  </si>
  <si>
    <t>0    -81    451   -311      0</t>
  </si>
  <si>
    <t>0      0   -189</t>
  </si>
  <si>
    <t>0    308      2    532      0</t>
  </si>
  <si>
    <t>504   -192</t>
  </si>
  <si>
    <t>4023   4035   2203   395</t>
  </si>
  <si>
    <t>6   4161   4333      0  -1607</t>
  </si>
  <si>
    <t>-147   4684      0   951</t>
  </si>
  <si>
    <t>0   1173   -217    -13   -139</t>
  </si>
  <si>
    <t>409      0</t>
  </si>
  <si>
    <t>0    -90      0</t>
  </si>
  <si>
    <t>0      0    202    278      0</t>
  </si>
  <si>
    <t>4      0      0    367      0</t>
  </si>
  <si>
    <t>472      0</t>
  </si>
  <si>
    <t>-68   -586    181</t>
  </si>
  <si>
    <t>0   -770   -249  -2677     -2</t>
  </si>
  <si>
    <t>884    531</t>
  </si>
  <si>
    <t>0    179      0</t>
  </si>
  <si>
    <t>0      0      0      0    -54</t>
  </si>
  <si>
    <t>0   7539      0    29</t>
  </si>
  <si>
    <t>0     32</t>
  </si>
  <si>
    <t>0    -46   -375</t>
  </si>
  <si>
    <t>0      0   -518   -144      0</t>
  </si>
  <si>
    <t>416      0</t>
  </si>
  <si>
    <t>0      0      0     7</t>
  </si>
  <si>
    <t>3    271    -33      0      0</t>
  </si>
  <si>
    <t>371     24</t>
  </si>
  <si>
    <t>0   -206   -141    10</t>
  </si>
  <si>
    <t>5   -225   1123   -657   -934</t>
  </si>
  <si>
    <t>0      0      0    21</t>
  </si>
  <si>
    <t>3      0     93    639    481</t>
  </si>
  <si>
    <t>0    667</t>
  </si>
  <si>
    <t>-63   -369  -2242     2</t>
  </si>
  <si>
    <t>2      0   -892  -2279   -825</t>
  </si>
  <si>
    <t>212      0</t>
  </si>
  <si>
    <t>-125   -689      0</t>
  </si>
  <si>
    <t>0      0   -366   -276      0</t>
  </si>
  <si>
    <t>543  -6891</t>
  </si>
  <si>
    <t>2418  -3177      0</t>
  </si>
  <si>
    <t>0      0      0      0   -285</t>
  </si>
  <si>
    <t>0    647</t>
  </si>
  <si>
    <t>402   1121      0   -37</t>
  </si>
  <si>
    <t>9   -425  -2887  10665  -5791</t>
  </si>
  <si>
    <t>100   -459</t>
  </si>
  <si>
    <t>7792      0  -6082</t>
  </si>
  <si>
    <t>0      0   4029   3782      0</t>
  </si>
  <si>
    <t>103      0</t>
  </si>
  <si>
    <t>0  -2643      0   106</t>
  </si>
  <si>
    <t>3    -44    -18    -91     58</t>
  </si>
  <si>
    <t>-142      0      0</t>
  </si>
  <si>
    <t>0    322    740      0      0</t>
  </si>
  <si>
    <t>0      0     46</t>
  </si>
  <si>
    <t>0      0     11      0    -95</t>
  </si>
  <si>
    <t>0     21</t>
  </si>
  <si>
    <t>-606   -183      0    24</t>
  </si>
  <si>
    <t>2     39   -213   -226   -184</t>
  </si>
  <si>
    <t>457      0</t>
  </si>
  <si>
    <t>-54      0      0</t>
  </si>
  <si>
    <t>0      0      0    359      0</t>
  </si>
  <si>
    <t>-348      0   -337</t>
  </si>
  <si>
    <t>-200    194      0</t>
  </si>
  <si>
    <t>0     14    -98      0   -618</t>
  </si>
  <si>
    <t>0      0    -17     8</t>
  </si>
  <si>
    <t>4     -6      0      0    -32</t>
  </si>
  <si>
    <t>-55      0</t>
  </si>
  <si>
    <t>530   -204    803   -42</t>
  </si>
  <si>
    <t>7   -607  -4515  -1003      0</t>
  </si>
  <si>
    <t>0      0    184</t>
  </si>
  <si>
    <t>0    135    280    115      0</t>
  </si>
  <si>
    <t>264   -209</t>
  </si>
  <si>
    <t>-620  -2651    818</t>
  </si>
  <si>
    <t>0  -1203  -1653   -589    129</t>
  </si>
  <si>
    <t>0   -170</t>
  </si>
  <si>
    <t>-372      0      0</t>
  </si>
  <si>
    <t>0    522   -307      0   -217</t>
  </si>
  <si>
    <t>496 -13454</t>
  </si>
  <si>
    <t>4386      0      0</t>
  </si>
  <si>
    <t>0      0      0    463      0</t>
  </si>
  <si>
    <t>089    231</t>
  </si>
  <si>
    <t>288      0   -991   -53</t>
  </si>
  <si>
    <t>7   1134  15472  -5649  -7817</t>
  </si>
  <si>
    <t>050   7790</t>
  </si>
  <si>
    <t>0   -300      0</t>
  </si>
  <si>
    <t>0   1262    686      0   1784</t>
  </si>
  <si>
    <t>9215      0  18090   135</t>
  </si>
  <si>
    <t>1     90     62    134    125</t>
  </si>
  <si>
    <t>117      0      0</t>
  </si>
  <si>
    <t>0    -86   -253      0      0</t>
  </si>
  <si>
    <t>0      0    -93</t>
  </si>
  <si>
    <t>0      0    -23      0    -76</t>
  </si>
  <si>
    <t>0    -76</t>
  </si>
  <si>
    <t>-746   -240      0   -79</t>
  </si>
  <si>
    <t>5   -163   -124    429    638</t>
  </si>
  <si>
    <t>-41      0      0</t>
  </si>
  <si>
    <t>0      0      0     19      0</t>
  </si>
  <si>
    <t>837      0   1180</t>
  </si>
  <si>
    <t>341      0</t>
  </si>
  <si>
    <t>-280    514      0</t>
  </si>
  <si>
    <t>0   -189    101      0  -1703</t>
  </si>
  <si>
    <t>0      0    -95</t>
  </si>
  <si>
    <t>0    -24      0      0   -492</t>
  </si>
  <si>
    <t>28      0</t>
  </si>
  <si>
    <t>125  -1017    -52   -71</t>
  </si>
  <si>
    <t>8   -700   -929  -4558      0</t>
  </si>
  <si>
    <t>0      0     39</t>
  </si>
  <si>
    <t>0    -49    919    246      0</t>
  </si>
  <si>
    <t>390    578</t>
  </si>
  <si>
    <t>750  -3781   2884</t>
  </si>
  <si>
    <t>0  -1410  -2217   -762   -375</t>
  </si>
  <si>
    <t>978      0      0</t>
  </si>
  <si>
    <t>0   -321  -1988      0  -1708</t>
  </si>
  <si>
    <t>433  -4574</t>
  </si>
  <si>
    <t>7245      0      0</t>
  </si>
  <si>
    <t>0      0      0   -283      0</t>
  </si>
  <si>
    <t>534   -560</t>
  </si>
  <si>
    <t>-289      0  -2935  -305</t>
  </si>
  <si>
    <t>9  -3483  22294 -19139  -1884</t>
  </si>
  <si>
    <t>632  10240</t>
  </si>
  <si>
    <t>0   1896      0</t>
  </si>
  <si>
    <t>0  -3706   2454      0 -13000</t>
  </si>
  <si>
    <t>4800      0  21322  2726</t>
  </si>
  <si>
    <t>0   2051   -605   -520   -439</t>
  </si>
  <si>
    <t>050      0</t>
  </si>
  <si>
    <t>0     59      0</t>
  </si>
  <si>
    <t>0      0    161   -462      0</t>
  </si>
  <si>
    <t>0      0      0    82</t>
  </si>
  <si>
    <t>8      0      0    297      0</t>
  </si>
  <si>
    <t>335      0</t>
  </si>
  <si>
    <t>448  -1459   -772</t>
  </si>
  <si>
    <t>0   1010    -88    -94   -626</t>
  </si>
  <si>
    <t>848  -2455</t>
  </si>
  <si>
    <t>0    326      0</t>
  </si>
  <si>
    <t>0      0      0      0     -8</t>
  </si>
  <si>
    <t>0   -432      0   -11</t>
  </si>
  <si>
    <t>0   1074</t>
  </si>
  <si>
    <t>0   -456    611</t>
  </si>
  <si>
    <t>0      0   5960  -2607      0</t>
  </si>
  <si>
    <t>870      0</t>
  </si>
  <si>
    <t>0      0      0  -253</t>
  </si>
  <si>
    <t>2   -738    -41      0      0</t>
  </si>
  <si>
    <t>775    290</t>
  </si>
  <si>
    <t>0    432    383    28</t>
  </si>
  <si>
    <t>6    109    649   1018   1271</t>
  </si>
  <si>
    <t>0      0      0    63</t>
  </si>
  <si>
    <t>8      0   3391    230   -894</t>
  </si>
  <si>
    <t>0  -4143</t>
  </si>
  <si>
    <t>4086   -211    791    42</t>
  </si>
  <si>
    <t>5      0   -161  -1674   -188</t>
  </si>
  <si>
    <t>150  -1505      0</t>
  </si>
  <si>
    <t>0      0     10   -140      0</t>
  </si>
  <si>
    <t>285    316</t>
  </si>
  <si>
    <t>700    309      0</t>
  </si>
  <si>
    <t>0      0      0      0  11463</t>
  </si>
  <si>
    <t>0  -5861</t>
  </si>
  <si>
    <t>-61   -717      0 -9095</t>
  </si>
  <si>
    <t>3   5695  -3023  -8503  -5299</t>
  </si>
  <si>
    <t>104  -4573</t>
  </si>
  <si>
    <t>2603      0   4289</t>
  </si>
  <si>
    <t>0      0 -17271   1276      0</t>
  </si>
  <si>
    <t>494      0</t>
  </si>
  <si>
    <t>0  -1458      0  -277</t>
  </si>
  <si>
    <t>8  -3441  -2717      0      0</t>
  </si>
  <si>
    <t>0    849</t>
  </si>
  <si>
    <t>5273    155   -409   -24</t>
  </si>
  <si>
    <t>3      0      0    134      0</t>
  </si>
  <si>
    <t>131     79      0</t>
  </si>
  <si>
    <t>709      0</t>
  </si>
  <si>
    <t>0    204      0     7</t>
  </si>
  <si>
    <t>0      0   -493  -1212   -357</t>
  </si>
  <si>
    <t>0      5</t>
  </si>
  <si>
    <t>4543   -788   -446   -18</t>
  </si>
  <si>
    <t>6   -407      0     14      0</t>
  </si>
  <si>
    <t>0      0    202</t>
  </si>
  <si>
    <t>0      0      0     46      0</t>
  </si>
  <si>
    <t>251      0</t>
  </si>
  <si>
    <t>0    765      0    556    579</t>
  </si>
  <si>
    <t>470   -506      0   -27</t>
  </si>
  <si>
    <t>721    633</t>
  </si>
  <si>
    <t>421      0      0    32</t>
  </si>
  <si>
    <t>8   -265      0   -101     56</t>
  </si>
  <si>
    <t>92    101</t>
  </si>
  <si>
    <t>715    328     -7</t>
  </si>
  <si>
    <t>196      0</t>
  </si>
  <si>
    <t>-768    316   -109</t>
  </si>
  <si>
    <t>0   5882   6576   -151    245</t>
  </si>
  <si>
    <t>570      0</t>
  </si>
  <si>
    <t>115    607   4276     1</t>
  </si>
  <si>
    <t>3      0    102  -1720      0</t>
  </si>
  <si>
    <t>-93   -461      0   -33</t>
  </si>
  <si>
    <t>3    540    972     69      0</t>
  </si>
  <si>
    <t>0      0  -4870</t>
  </si>
  <si>
    <t>0 -10701    417  -1312      0</t>
  </si>
  <si>
    <t>488 -71850</t>
  </si>
  <si>
    <t>5  -6702  14699      0   3230</t>
  </si>
  <si>
    <t>6070  -1267      0  -170</t>
  </si>
  <si>
    <t>6      0      0  -1808      0</t>
  </si>
  <si>
    <t>537  -4522</t>
  </si>
  <si>
    <t>1987      0      0</t>
  </si>
  <si>
    <t>0      0      0  -4360      0</t>
  </si>
  <si>
    <t>189   -432</t>
  </si>
  <si>
    <t>-205     10     10</t>
  </si>
  <si>
    <t>0      0    -17      0      0</t>
  </si>
  <si>
    <t>0   -175</t>
  </si>
  <si>
    <t>212      0      0</t>
  </si>
  <si>
    <t>0      0      0      0    -11</t>
  </si>
  <si>
    <t>-41      0     19</t>
  </si>
  <si>
    <t>0     57   1188    334      0</t>
  </si>
  <si>
    <t>885   -410</t>
  </si>
  <si>
    <t>69     93    282    -6</t>
  </si>
  <si>
    <t>7      0     22      0      0</t>
  </si>
  <si>
    <t>0     96      0</t>
  </si>
  <si>
    <t>0      0   -123      0     31</t>
  </si>
  <si>
    <t>0      0      0     6</t>
  </si>
  <si>
    <t>5      0     97   1610      0</t>
  </si>
  <si>
    <t>0   -421</t>
  </si>
  <si>
    <t>-469      0    -33</t>
  </si>
  <si>
    <t>0      0      0      0     54</t>
  </si>
  <si>
    <t>485    102</t>
  </si>
  <si>
    <t>0      0    -34    13</t>
  </si>
  <si>
    <t>1      0    192     59    189</t>
  </si>
  <si>
    <t>28    153</t>
  </si>
  <si>
    <t>284   -160      0</t>
  </si>
  <si>
    <t>0      0      0      0    376</t>
  </si>
  <si>
    <t>0    190</t>
  </si>
  <si>
    <t>4784    595      0     2</t>
  </si>
  <si>
    <t>6     39   -150     95   -150</t>
  </si>
  <si>
    <t>0   -187</t>
  </si>
  <si>
    <t>-46    162   1629</t>
  </si>
  <si>
    <t>0   -162  -1443      0      0</t>
  </si>
  <si>
    <t>-185      0    -90    31</t>
  </si>
  <si>
    <t>4    356   -407      0      0</t>
  </si>
  <si>
    <t>0    275      0    10</t>
  </si>
  <si>
    <t>1 -15110   2337      0  -5426</t>
  </si>
  <si>
    <t>472    629</t>
  </si>
  <si>
    <t>890   -979   2984   143</t>
  </si>
  <si>
    <t>2   2379      0  -7014      0</t>
  </si>
  <si>
    <t>0   4198</t>
  </si>
  <si>
    <t>5202      0   -168</t>
  </si>
  <si>
    <t>0      0   -820      0  -2176</t>
  </si>
  <si>
    <t>283   2188</t>
  </si>
  <si>
    <t>0      0    778      0    377</t>
  </si>
  <si>
    <t>550   -204</t>
  </si>
  <si>
    <t>0      0   -175      0      0</t>
  </si>
  <si>
    <t>-28      0      0</t>
  </si>
  <si>
    <t>0      0      0      0   -125</t>
  </si>
  <si>
    <t>33      0    -84</t>
  </si>
  <si>
    <t>0   -116    640   1685      0</t>
  </si>
  <si>
    <t>121   -129</t>
  </si>
  <si>
    <t>141    -77    -32    31</t>
  </si>
  <si>
    <t>7      0    -68      0      0</t>
  </si>
  <si>
    <t>0   -181      0</t>
  </si>
  <si>
    <t>0      0     -8      0    123</t>
  </si>
  <si>
    <t>9      0    224     17      0</t>
  </si>
  <si>
    <t>0    241</t>
  </si>
  <si>
    <t>-2      0    -41</t>
  </si>
  <si>
    <t>0      0      0      0   -108</t>
  </si>
  <si>
    <t>22   -131</t>
  </si>
  <si>
    <t>0      0  -1595    27</t>
  </si>
  <si>
    <t>5      0      2   -462    192</t>
  </si>
  <si>
    <t>29    161</t>
  </si>
  <si>
    <t>150   -259      0</t>
  </si>
  <si>
    <t>0      0      0      0     52</t>
  </si>
  <si>
    <t>0    113</t>
  </si>
  <si>
    <t>868  -4163      0    94</t>
  </si>
  <si>
    <t>4   1415   -901   -596   -683</t>
  </si>
  <si>
    <t>0   1107</t>
  </si>
  <si>
    <t>2147   1161   -963</t>
  </si>
  <si>
    <t>0    382  -1071      0      0</t>
  </si>
  <si>
    <t>0    261</t>
  </si>
  <si>
    <t>-398      0    674   106</t>
  </si>
  <si>
    <t>7    420    -99      0      0</t>
  </si>
  <si>
    <t>0     77      0  -114</t>
  </si>
  <si>
    <t>5   2189 -16218      0 -10514</t>
  </si>
  <si>
    <t>033   5462</t>
  </si>
  <si>
    <t>5603   6498   2693  -468</t>
  </si>
  <si>
    <t>4  -6621      0    945      0</t>
  </si>
  <si>
    <t>0   2185</t>
  </si>
  <si>
    <t>8682      0   4017</t>
  </si>
  <si>
    <t>0      0  -3385      0  -4585</t>
  </si>
  <si>
    <t>281   1978</t>
  </si>
  <si>
    <t>0      0   2679      0   3546</t>
  </si>
  <si>
    <t>597      0</t>
  </si>
  <si>
    <t>0   2896    525   132</t>
  </si>
  <si>
    <t>6    764    699      0      0</t>
  </si>
  <si>
    <t>161      0</t>
  </si>
  <si>
    <t>0      0    -77   -19</t>
  </si>
  <si>
    <t>490      0      0   -17</t>
  </si>
  <si>
    <t>5      0    -97      0   -268</t>
  </si>
  <si>
    <t>297    565</t>
  </si>
  <si>
    <t>0    930    474    18</t>
  </si>
  <si>
    <t>6    146    587    535      0</t>
  </si>
  <si>
    <t>294      0</t>
  </si>
  <si>
    <t>0    -71      0      0      0</t>
  </si>
  <si>
    <t>403      0</t>
  </si>
  <si>
    <t>-69      0      0</t>
  </si>
  <si>
    <t>0      0      0   -486      0</t>
  </si>
  <si>
    <t>75   -935</t>
  </si>
  <si>
    <t>0      0   9336   -56</t>
  </si>
  <si>
    <t>7      0   2456      0      0</t>
  </si>
  <si>
    <t>-987    819    795</t>
  </si>
  <si>
    <t>0      0   -305   -578      0</t>
  </si>
  <si>
    <t>162    888</t>
  </si>
  <si>
    <t>48    742    525    11</t>
  </si>
  <si>
    <t>4   1030      0      0      0</t>
  </si>
  <si>
    <t>798      0    488    -6</t>
  </si>
  <si>
    <t>5    329      0   6475  -4303</t>
  </si>
  <si>
    <t>918   1851</t>
  </si>
  <si>
    <t>1886      0    -92  -118</t>
  </si>
  <si>
    <t>8   -979    655      0   -242</t>
  </si>
  <si>
    <t>752      0</t>
  </si>
  <si>
    <t>0      0   -142    10</t>
  </si>
  <si>
    <t>0      0    348    135   -133</t>
  </si>
  <si>
    <t>-29      0</t>
  </si>
  <si>
    <t>0   4260      0   5695   -198</t>
  </si>
  <si>
    <t>8595  -3330    492   172</t>
  </si>
  <si>
    <t>8   1386    -76   -566     18</t>
  </si>
  <si>
    <t>0    260</t>
  </si>
  <si>
    <t>0      0  -2318   -23</t>
  </si>
  <si>
    <t>5      0    357      0      0</t>
  </si>
  <si>
    <t>-13      0</t>
  </si>
  <si>
    <t>92   -131   -151</t>
  </si>
  <si>
    <t>002      0</t>
  </si>
  <si>
    <t>4324   -380    544</t>
  </si>
  <si>
    <t>0    -77  38990   -149    -53</t>
  </si>
  <si>
    <t>276      0</t>
  </si>
  <si>
    <t>0   -242      0</t>
  </si>
  <si>
    <t>0      0    244   -138      0</t>
  </si>
  <si>
    <t>0      0      0   -12</t>
  </si>
  <si>
    <t>5      0      0    -84      0</t>
  </si>
  <si>
    <t>127     88    186</t>
  </si>
  <si>
    <t>0    155  32888    -36    -15</t>
  </si>
  <si>
    <t>136    454</t>
  </si>
  <si>
    <t>0      0      0      0    -31</t>
  </si>
  <si>
    <t>0     64      0    -5</t>
  </si>
  <si>
    <t>0   -409</t>
  </si>
  <si>
    <t>0    410   -321</t>
  </si>
  <si>
    <t>0      0  -1362  48636      0</t>
  </si>
  <si>
    <t>794      0</t>
  </si>
  <si>
    <t>0      0      0    -4</t>
  </si>
  <si>
    <t>6    677    549      0      0</t>
  </si>
  <si>
    <t>299   -141</t>
  </si>
  <si>
    <t>0    -29    385    -6</t>
  </si>
  <si>
    <t>0     61    -83      2    292</t>
  </si>
  <si>
    <t>0      0      0   114</t>
  </si>
  <si>
    <t>5      0    155   -152    474</t>
  </si>
  <si>
    <t>0  -1207</t>
  </si>
  <si>
    <t>1852     60   -317    90</t>
  </si>
  <si>
    <t>3      0    116    401    482</t>
  </si>
  <si>
    <t>623      0</t>
  </si>
  <si>
    <t>-231  -1418      0</t>
  </si>
  <si>
    <t>0      0    -60    254      0</t>
  </si>
  <si>
    <t>72    -42</t>
  </si>
  <si>
    <t>-64     83      0</t>
  </si>
  <si>
    <t>0      0      0      0   1262</t>
  </si>
  <si>
    <t>0    805</t>
  </si>
  <si>
    <t>-145    664      0   186</t>
  </si>
  <si>
    <t>4  51433    -22   -542    789</t>
  </si>
  <si>
    <t>152   -168</t>
  </si>
  <si>
    <t>-187      0    133</t>
  </si>
  <si>
    <t>0      0  -1639     90      0</t>
  </si>
  <si>
    <t>162      0</t>
  </si>
  <si>
    <t>0    -24      0    -2</t>
  </si>
  <si>
    <t>5    -34   -106      0      0</t>
  </si>
  <si>
    <t>0  -1477      0     3</t>
  </si>
  <si>
    <t>6   -554    285      0   6548</t>
  </si>
  <si>
    <t>294   -250</t>
  </si>
  <si>
    <t>2841     46      5</t>
  </si>
  <si>
    <t>0      0     48      0      0</t>
  </si>
  <si>
    <t>-3      0      0</t>
  </si>
  <si>
    <t>0      0      0      0    207</t>
  </si>
  <si>
    <t>-129      0    181</t>
  </si>
  <si>
    <t>0   -147   -683   -289      0</t>
  </si>
  <si>
    <t>221   -313</t>
  </si>
  <si>
    <t>-199    -43     79     -</t>
  </si>
  <si>
    <t>4      0     28      0      0</t>
  </si>
  <si>
    <t>0    -41      0</t>
  </si>
  <si>
    <t>0      0     86      0    -19</t>
  </si>
  <si>
    <t>6      0    -10    313      0</t>
  </si>
  <si>
    <t>0    -33</t>
  </si>
  <si>
    <t>-445      0     71</t>
  </si>
  <si>
    <t>0      0      0      0    109</t>
  </si>
  <si>
    <t>157    -25</t>
  </si>
  <si>
    <t>0      0   -364    79</t>
  </si>
  <si>
    <t>4      0   -349   -165    -25</t>
  </si>
  <si>
    <t>18     -5</t>
  </si>
  <si>
    <t>-26   -342      0</t>
  </si>
  <si>
    <t>0      0      0      0    -79</t>
  </si>
  <si>
    <t>0     15</t>
  </si>
  <si>
    <t>-130   -207      0    38</t>
  </si>
  <si>
    <t>5     59  -2872    -56  -1442</t>
  </si>
  <si>
    <t>0   -236</t>
  </si>
  <si>
    <t>-130   -190     30</t>
  </si>
  <si>
    <t>0    -74    -67      0      0</t>
  </si>
  <si>
    <t>0    -49</t>
  </si>
  <si>
    <t>289      0    -43   -13</t>
  </si>
  <si>
    <t>9   -205     20      0      0</t>
  </si>
  <si>
    <t>0   -449      0   -45</t>
  </si>
  <si>
    <t>0   -114   -300      0     65</t>
  </si>
  <si>
    <t>229    920</t>
  </si>
  <si>
    <t>9   -158      0      8      0</t>
  </si>
  <si>
    <t>0   -142</t>
  </si>
  <si>
    <t>-104      0     43</t>
  </si>
  <si>
    <t>0      0     93      0    -78</t>
  </si>
  <si>
    <t>170     81</t>
  </si>
  <si>
    <t>0      0   -145      0    -67</t>
  </si>
  <si>
    <t>3   -284</t>
  </si>
  <si>
    <t>0  -3475  -2349</t>
  </si>
  <si>
    <t>0  -1265  -1687     46   -985</t>
  </si>
  <si>
    <t>010      0</t>
  </si>
  <si>
    <t>0   -153      0</t>
  </si>
  <si>
    <t>0      0   -234    231      0</t>
  </si>
  <si>
    <t>0      0      0     -</t>
  </si>
  <si>
    <t>8      0      0    452      0</t>
  </si>
  <si>
    <t>393      0</t>
  </si>
  <si>
    <t>266    606    683</t>
  </si>
  <si>
    <t>0    384  -2167    350   7161</t>
  </si>
  <si>
    <t>808    476</t>
  </si>
  <si>
    <t>0   -446      0</t>
  </si>
  <si>
    <t>0      0      0      0   -250</t>
  </si>
  <si>
    <t>0    187      0    17</t>
  </si>
  <si>
    <t>0   -190</t>
  </si>
  <si>
    <t>0    201  -2436</t>
  </si>
  <si>
    <t>0      0    166      0      0</t>
  </si>
  <si>
    <t>797      0</t>
  </si>
  <si>
    <t>0      0      0  -355</t>
  </si>
  <si>
    <t>0    181    210      0      0</t>
  </si>
  <si>
    <t>735    -76</t>
  </si>
  <si>
    <t>0    -65  -1926   -20</t>
  </si>
  <si>
    <t>7  -1513  -1235  -1016  -1740</t>
  </si>
  <si>
    <t>0      0      0   -25</t>
  </si>
  <si>
    <t>6      0  -1952   -232   1546</t>
  </si>
  <si>
    <t>0   -287</t>
  </si>
  <si>
    <t>1063    137    524    42</t>
  </si>
  <si>
    <t>5      0  13018    988  -1477</t>
  </si>
  <si>
    <t>340      0</t>
  </si>
  <si>
    <t>-69    298      0</t>
  </si>
  <si>
    <t>0      0    151   -537      0</t>
  </si>
  <si>
    <t>341   -590</t>
  </si>
  <si>
    <t>8    261      0</t>
  </si>
  <si>
    <t>0      0      0      0   -533</t>
  </si>
  <si>
    <t>0   -893</t>
  </si>
  <si>
    <t>-93    813      0   -12</t>
  </si>
  <si>
    <t>9  -1544    192    313    330</t>
  </si>
  <si>
    <t>845  15761</t>
  </si>
  <si>
    <t>2431      0    -84</t>
  </si>
  <si>
    <t>0      0    564    -35      0</t>
  </si>
  <si>
    <t>323      0</t>
  </si>
  <si>
    <t>0     63      0     1</t>
  </si>
  <si>
    <t>1    177    409      0      0</t>
  </si>
  <si>
    <t>0   -705      0   -15</t>
  </si>
  <si>
    <t>0    -43     82      0  -7767</t>
  </si>
  <si>
    <t>712   1807</t>
  </si>
  <si>
    <t>0      0      0  -164</t>
  </si>
  <si>
    <t>4  -1427     57   -420    326</t>
  </si>
  <si>
    <t>-184      0      0</t>
  </si>
  <si>
    <t>0   -413    397      0      0</t>
  </si>
  <si>
    <t>0      0    -44</t>
  </si>
  <si>
    <t>0      0    -44      0    100</t>
  </si>
  <si>
    <t>968    879      0    59</t>
  </si>
  <si>
    <t>4  -1367   -292   1630   3840</t>
  </si>
  <si>
    <t>194      0</t>
  </si>
  <si>
    <t>-635      0      0</t>
  </si>
  <si>
    <t>0      0      0   -522      0</t>
  </si>
  <si>
    <t>705      0    243</t>
  </si>
  <si>
    <t>594      0</t>
  </si>
  <si>
    <t>1175  -3317      0</t>
  </si>
  <si>
    <t>0  -5009  -5815      0  -3906</t>
  </si>
  <si>
    <t>0      0 -12054   -62</t>
  </si>
  <si>
    <t>4     52      0      0   -585</t>
  </si>
  <si>
    <t>2  -5641  -2584  -3256      0</t>
  </si>
  <si>
    <t>0      0   5316</t>
  </si>
  <si>
    <t>0   6442   -441   3254      0</t>
  </si>
  <si>
    <t>779  -1677</t>
  </si>
  <si>
    <t>305    638    305</t>
  </si>
  <si>
    <t>0    121  16076  -2171   -290</t>
  </si>
  <si>
    <t>0    -22</t>
  </si>
  <si>
    <t>1164      0      0</t>
  </si>
  <si>
    <t>0    262   -369      0   -162</t>
  </si>
  <si>
    <t>297    -22</t>
  </si>
  <si>
    <t>433      0      0</t>
  </si>
  <si>
    <t>0      0      0   -855      0</t>
  </si>
  <si>
    <t>058    150</t>
  </si>
  <si>
    <t>1443      0    605  -201</t>
  </si>
  <si>
    <t>8    298    382    258  -1622</t>
  </si>
  <si>
    <t>017  18257</t>
  </si>
  <si>
    <t>0    -53      0</t>
  </si>
  <si>
    <t>0  -1259    -70      0   -378</t>
  </si>
  <si>
    <t>119      0   -189    35</t>
  </si>
  <si>
    <t>5    603      0      0      0</t>
  </si>
  <si>
    <t>2142      0   -454    11</t>
  </si>
  <si>
    <t>3    339      0  -8525  -8077</t>
  </si>
  <si>
    <t>0      0  31291  -212</t>
  </si>
  <si>
    <t>2   -761   -410   -631  -1327</t>
  </si>
  <si>
    <t>-181      0      0</t>
  </si>
  <si>
    <t>0    -81     93      0      0</t>
  </si>
  <si>
    <t>0      0   -724</t>
  </si>
  <si>
    <t>0      0     91      0    -66</t>
  </si>
  <si>
    <t>0    149</t>
  </si>
  <si>
    <t>1399   1235      0    69</t>
  </si>
  <si>
    <t>2  -1014   -582    -36   -363</t>
  </si>
  <si>
    <t>-145      0      0</t>
  </si>
  <si>
    <t>0      0      0    -92      0</t>
  </si>
  <si>
    <t>4      0    189</t>
  </si>
  <si>
    <t>602      0</t>
  </si>
  <si>
    <t>1058   -958      0</t>
  </si>
  <si>
    <t>0     93   -389      0    646</t>
  </si>
  <si>
    <t>0      0  -5636   -34</t>
  </si>
  <si>
    <t>2   -373      0      0   -134</t>
  </si>
  <si>
    <t>701      0</t>
  </si>
  <si>
    <t>151   -987     27   -52</t>
  </si>
  <si>
    <t>5   -129    239     75      0</t>
  </si>
  <si>
    <t>0      0  -1034</t>
  </si>
  <si>
    <t>0  -1817   -309    794      0</t>
  </si>
  <si>
    <t>207   -773</t>
  </si>
  <si>
    <t>0  -1687  -2228  -7412    -81</t>
  </si>
  <si>
    <t>0     83</t>
  </si>
  <si>
    <t>967      0      0</t>
  </si>
  <si>
    <t>0     61   -393      0   -452</t>
  </si>
  <si>
    <t>782   -142</t>
  </si>
  <si>
    <t>-122      0      0</t>
  </si>
  <si>
    <t>0      0      0  -1019      0</t>
  </si>
  <si>
    <t>248    302</t>
  </si>
  <si>
    <t>1957      0   1011  -334</t>
  </si>
  <si>
    <t>6    340   1103   -789   -379</t>
  </si>
  <si>
    <t>0   -236      0</t>
  </si>
  <si>
    <t>0    711    111      0   -421</t>
  </si>
  <si>
    <t>123      0    237    51</t>
  </si>
  <si>
    <t>8    896      0      0      0</t>
  </si>
  <si>
    <t>2437      0   1983     7</t>
  </si>
  <si>
    <t>5    230      0  -6870  -6124</t>
  </si>
  <si>
    <t>491      0</t>
  </si>
  <si>
    <t>0      0  15707  2245</t>
  </si>
  <si>
    <t>9  -1054    809    173   -455</t>
  </si>
  <si>
    <t>231      0</t>
  </si>
  <si>
    <t>0   1009      0</t>
  </si>
  <si>
    <t>0      0     21    -70      0</t>
  </si>
  <si>
    <t>3      0      0    177      0</t>
  </si>
  <si>
    <t>247      0</t>
  </si>
  <si>
    <t>71    924     84</t>
  </si>
  <si>
    <t>0     42    627    229    108</t>
  </si>
  <si>
    <t>97     86</t>
  </si>
  <si>
    <t>0      0      0      0     19</t>
  </si>
  <si>
    <t>0    178      0     2</t>
  </si>
  <si>
    <t>0   -526</t>
  </si>
  <si>
    <t>0    614   -149</t>
  </si>
  <si>
    <t>0      0     54   1010      0</t>
  </si>
  <si>
    <t>559      0</t>
  </si>
  <si>
    <t>1  -5904  -1613      0      0</t>
  </si>
  <si>
    <t>78   -105</t>
  </si>
  <si>
    <t>0     86   -151     5</t>
  </si>
  <si>
    <t>1   -273    278     52     51</t>
  </si>
  <si>
    <t>0      0      0    38</t>
  </si>
  <si>
    <t>8      0    248    810   -384</t>
  </si>
  <si>
    <t>0    737</t>
  </si>
  <si>
    <t>1221    130    259     8</t>
  </si>
  <si>
    <t>2      0   -223   -127    -99</t>
  </si>
  <si>
    <t>937      0</t>
  </si>
  <si>
    <t>386  -1234      0</t>
  </si>
  <si>
    <t>0      0     44   -446      0</t>
  </si>
  <si>
    <t>421    393</t>
  </si>
  <si>
    <t>27     51      0</t>
  </si>
  <si>
    <t>0      0      0      0    -20</t>
  </si>
  <si>
    <t>0    314</t>
  </si>
  <si>
    <t>911   -535      0    77</t>
  </si>
  <si>
    <t>3    950     42    462     89</t>
  </si>
  <si>
    <t>366     73</t>
  </si>
  <si>
    <t>213      0  -5094</t>
  </si>
  <si>
    <t>0      0   -455    -61      0</t>
  </si>
  <si>
    <t>365      0</t>
  </si>
  <si>
    <t>0     40      0    24</t>
  </si>
  <si>
    <t>9     40     51      0      0</t>
  </si>
  <si>
    <t>0   -426      0    28</t>
  </si>
  <si>
    <t>1    487   -251      0 -11856</t>
  </si>
  <si>
    <t>753  -1201</t>
  </si>
  <si>
    <t>0      0      0   327</t>
  </si>
  <si>
    <t>0   3908   -312   -930    766</t>
  </si>
  <si>
    <t>182    -13</t>
  </si>
  <si>
    <t>-62      0      0   111</t>
  </si>
  <si>
    <t>9      0      0      0      7</t>
  </si>
  <si>
    <t>-60      0</t>
  </si>
  <si>
    <t>0      0     79      0      0</t>
  </si>
  <si>
    <t>25      0</t>
  </si>
  <si>
    <t>-36      0     41    54</t>
  </si>
  <si>
    <t>2    108      0    -89    606</t>
  </si>
  <si>
    <t>107     67</t>
  </si>
  <si>
    <t>45     66      0    97</t>
  </si>
  <si>
    <t>0     33</t>
  </si>
  <si>
    <t>0      0      0     2</t>
  </si>
  <si>
    <t>6      0     29      0      0</t>
  </si>
  <si>
    <t>0   -517      0    36</t>
  </si>
  <si>
    <t>8    -54      0      0    315</t>
  </si>
  <si>
    <t>471      0      0</t>
  </si>
  <si>
    <t>0      0    -47  -1578  -7242</t>
  </si>
  <si>
    <t>127    -60      0     5</t>
  </si>
  <si>
    <t>0    151    180    -67     34</t>
  </si>
  <si>
    <t>35    -63</t>
  </si>
  <si>
    <t>0      0    201      0    210</t>
  </si>
  <si>
    <t>470   -259</t>
  </si>
  <si>
    <t>0    108    873   -11</t>
  </si>
  <si>
    <t>8   -635   -423      0   -215</t>
  </si>
  <si>
    <t>147   -370</t>
  </si>
  <si>
    <t>931      0   2748     1</t>
  </si>
  <si>
    <t>7      0      0      0    -38</t>
  </si>
  <si>
    <t>-157   -191   -150     -</t>
  </si>
  <si>
    <t>0     96</t>
  </si>
  <si>
    <t>0     99    125    -9</t>
  </si>
  <si>
    <t>1      0    225    781   -130</t>
  </si>
  <si>
    <t>130   -314</t>
  </si>
  <si>
    <t>-4    -74     68</t>
  </si>
  <si>
    <t>0    316      0      0    237</t>
  </si>
  <si>
    <t>25      0      0     -</t>
  </si>
  <si>
    <t>1      0    -86   -103     60</t>
  </si>
  <si>
    <t>6      0    246     36   -190</t>
  </si>
  <si>
    <t>0  -8825</t>
  </si>
  <si>
    <t>5074  -1968      0</t>
  </si>
  <si>
    <t>0      0    619    957  -1468</t>
  </si>
  <si>
    <t>297      0</t>
  </si>
  <si>
    <t>4   -262    -75    -71   -137</t>
  </si>
  <si>
    <t>16      0      0</t>
  </si>
  <si>
    <t>0    -38   -133      0      0</t>
  </si>
  <si>
    <t>0      0    108</t>
  </si>
  <si>
    <t>0      0     29      0    -50</t>
  </si>
  <si>
    <t>0   -172</t>
  </si>
  <si>
    <t>-296   -173      0     5</t>
  </si>
  <si>
    <t>9   -226      1    168   -333</t>
  </si>
  <si>
    <t>27      0</t>
  </si>
  <si>
    <t>-85      0      0</t>
  </si>
  <si>
    <t>0      0      0    -13      0</t>
  </si>
  <si>
    <t>-161      0     87</t>
  </si>
  <si>
    <t>186      0</t>
  </si>
  <si>
    <t>-423    -11      0</t>
  </si>
  <si>
    <t>0   4856   3383      0   -667</t>
  </si>
  <si>
    <t>0      0   3689  -275</t>
  </si>
  <si>
    <t>6  -2051      0      0    609</t>
  </si>
  <si>
    <t>-73      0</t>
  </si>
  <si>
    <t>1  -1241   -260   -670      0</t>
  </si>
  <si>
    <t>0      0  -4996</t>
  </si>
  <si>
    <t>0  -4828  -1232   -560      0</t>
  </si>
  <si>
    <t>315   -680</t>
  </si>
  <si>
    <t>0    216   -765    906  -1562</t>
  </si>
  <si>
    <t>0    128</t>
  </si>
  <si>
    <t>2745      0      0</t>
  </si>
  <si>
    <t>0      6   -175      0    -73</t>
  </si>
  <si>
    <t>91      0      0</t>
  </si>
  <si>
    <t>0      0      0  -1376      0</t>
  </si>
  <si>
    <t>424   -836</t>
  </si>
  <si>
    <t>-696      0  -1841   -49</t>
  </si>
  <si>
    <t>6    -64    -54   -314    119</t>
  </si>
  <si>
    <t>637  -1609</t>
  </si>
  <si>
    <t>0   -822      0</t>
  </si>
  <si>
    <t>0  16080   -284      0    -23</t>
  </si>
  <si>
    <t>-73      0   -246   -13</t>
  </si>
  <si>
    <t>9    109      0      0      0</t>
  </si>
  <si>
    <t>-288      0  -2123   -68</t>
  </si>
  <si>
    <t>3   -342      0 -16051 -15298</t>
  </si>
  <si>
    <t>223      0</t>
  </si>
  <si>
    <t>0      0   8062  -412</t>
  </si>
  <si>
    <t>2  -2612  16257   7657      0</t>
  </si>
  <si>
    <t>0   -135     89     -</t>
  </si>
  <si>
    <t>5   -222   -376      0      0</t>
  </si>
  <si>
    <t>-86      0</t>
  </si>
  <si>
    <t>0      0  -2109    25</t>
  </si>
  <si>
    <t>-239      0      0</t>
  </si>
  <si>
    <t>7      0     83      0    142</t>
  </si>
  <si>
    <t>306     -9</t>
  </si>
  <si>
    <t>0    264     46     1</t>
  </si>
  <si>
    <t>3    -86   -159   -343      0</t>
  </si>
  <si>
    <t>132      0</t>
  </si>
  <si>
    <t>0   -268      0      0      0</t>
  </si>
  <si>
    <t>205      0</t>
  </si>
  <si>
    <t>45      0      0</t>
  </si>
  <si>
    <t>0      0      0    119      0</t>
  </si>
  <si>
    <t>227   -206</t>
  </si>
  <si>
    <t>0      0    528    -5</t>
  </si>
  <si>
    <t>9      0   -227      0      0</t>
  </si>
  <si>
    <t>-529    232    -18</t>
  </si>
  <si>
    <t>0      0    -41    219      0</t>
  </si>
  <si>
    <t>753    -99</t>
  </si>
  <si>
    <t>389    -88     37     8</t>
  </si>
  <si>
    <t>1    -68      0      0      0</t>
  </si>
  <si>
    <t>-447      0     95    -7</t>
  </si>
  <si>
    <t>1   -204      0    766     38</t>
  </si>
  <si>
    <t>372   -596</t>
  </si>
  <si>
    <t>-244      0   -165   -28</t>
  </si>
  <si>
    <t>6   -853     98      0    -97</t>
  </si>
  <si>
    <t>182      0</t>
  </si>
  <si>
    <t>0      0    738   -23</t>
  </si>
  <si>
    <t>2      0   -110    -38    123</t>
  </si>
  <si>
    <t>253      0</t>
  </si>
  <si>
    <t>0   -550      0    -79   -158</t>
  </si>
  <si>
    <t>-47      0</t>
  </si>
  <si>
    <t>380     -1    -44    46</t>
  </si>
  <si>
    <t>8    453     63   -121   -234</t>
  </si>
  <si>
    <t>0    266</t>
  </si>
  <si>
    <t>0      0    141</t>
  </si>
  <si>
    <t>8      0  -3045      0      0</t>
  </si>
  <si>
    <t>-58      0</t>
  </si>
  <si>
    <t>231    170    452</t>
  </si>
  <si>
    <t>-91      0</t>
  </si>
  <si>
    <t>14   -335   -418</t>
  </si>
  <si>
    <t>0 -12434  -9825  -5609      0</t>
  </si>
  <si>
    <t>3868  17489  16747  -427</t>
  </si>
  <si>
    <t>7   -277      0   -712      0</t>
  </si>
  <si>
    <t>424    723</t>
  </si>
  <si>
    <t>0      0    -15      0      0</t>
  </si>
  <si>
    <t>0    -63</t>
  </si>
  <si>
    <t>-75      0      0</t>
  </si>
  <si>
    <t>0      0      0      0    -48</t>
  </si>
  <si>
    <t>-154      0    289</t>
  </si>
  <si>
    <t>0    391     47    -42      0</t>
  </si>
  <si>
    <t>383    681</t>
  </si>
  <si>
    <t>40   -161   -205   -30</t>
  </si>
  <si>
    <t>5      0    -72      0      0</t>
  </si>
  <si>
    <t>0    207      0</t>
  </si>
  <si>
    <t>0      0   -368      0   -125</t>
  </si>
  <si>
    <t>1      0     46   -168      0</t>
  </si>
  <si>
    <t>0   1955</t>
  </si>
  <si>
    <t>1646      0   -616</t>
  </si>
  <si>
    <t>0      0      0      0   -596</t>
  </si>
  <si>
    <t>484   -428</t>
  </si>
  <si>
    <t>0      0   -162    22</t>
  </si>
  <si>
    <t>1      0    140  -4803    235</t>
  </si>
  <si>
    <t>599    221</t>
  </si>
  <si>
    <t>155    479      0</t>
  </si>
  <si>
    <t>0      0      0      0  -1041</t>
  </si>
  <si>
    <t>0   -306</t>
  </si>
  <si>
    <t>1627   -677      0    31</t>
  </si>
  <si>
    <t>2   1248    253     50   1295</t>
  </si>
  <si>
    <t>0   -352</t>
  </si>
  <si>
    <t>33   -787   -393</t>
  </si>
  <si>
    <t>0     -6      2      0      0</t>
  </si>
  <si>
    <t>0    196</t>
  </si>
  <si>
    <t>1217      0   -524   -11</t>
  </si>
  <si>
    <t>1    -80    -18      0      0</t>
  </si>
  <si>
    <t>0   -444      0   -34</t>
  </si>
  <si>
    <t>1    140   -240      0     -9</t>
  </si>
  <si>
    <t>060    237</t>
  </si>
  <si>
    <t>96   1756    115   -11</t>
  </si>
  <si>
    <t>9    175      0   -230      0</t>
  </si>
  <si>
    <t>0     50</t>
  </si>
  <si>
    <t>-134      0   -916</t>
  </si>
  <si>
    <t>0      0   -144      0    -97</t>
  </si>
  <si>
    <t>0      0    -82      0    -92</t>
  </si>
  <si>
    <t>0  -7437  -3647  -783</t>
  </si>
  <si>
    <t>9      0      0      0   8582</t>
  </si>
  <si>
    <t>599  10172</t>
  </si>
  <si>
    <t>3242    180      0    93</t>
  </si>
  <si>
    <t>0      0      0  25157      0</t>
  </si>
  <si>
    <t>0    234</t>
  </si>
  <si>
    <t>915   -298    107    12</t>
  </si>
  <si>
    <t>6      0      0     78      0</t>
  </si>
  <si>
    <t>307    413      0</t>
  </si>
  <si>
    <t>38      0</t>
  </si>
  <si>
    <t>0   -193      0    32</t>
  </si>
  <si>
    <t>1      0    260   -514     66</t>
  </si>
  <si>
    <t>0    323</t>
  </si>
  <si>
    <t>895   -239   -237   -25</t>
  </si>
  <si>
    <t>7   -332      0    -67      0</t>
  </si>
  <si>
    <t>0      0   -103</t>
  </si>
  <si>
    <t>0      0      0   -172      0</t>
  </si>
  <si>
    <t>0    -80      0     20     40</t>
  </si>
  <si>
    <t>1152   1687      0   -24</t>
  </si>
  <si>
    <t>428   -452</t>
  </si>
  <si>
    <t>-333      0      0   -13</t>
  </si>
  <si>
    <t>8    271      0    328  -1669</t>
  </si>
  <si>
    <t>180  -3853</t>
  </si>
  <si>
    <t>86     98     66</t>
  </si>
  <si>
    <t>689      0</t>
  </si>
  <si>
    <t>0    470   1451    -68    -41</t>
  </si>
  <si>
    <t>179      0</t>
  </si>
  <si>
    <t>6      0    -18     36      0</t>
  </si>
  <si>
    <t>222   -280      0  -164</t>
  </si>
  <si>
    <t>5   -188    -78    -87      0</t>
  </si>
  <si>
    <t>0      0   -557</t>
  </si>
  <si>
    <t>0   -327    130    573      0</t>
  </si>
  <si>
    <t>128   1297</t>
  </si>
  <si>
    <t>122    -15    -75     3</t>
  </si>
  <si>
    <t>2   -143    -11      0   -192</t>
  </si>
  <si>
    <t>43   -106      0   -74</t>
  </si>
  <si>
    <t>6      0      0    275      0</t>
  </si>
  <si>
    <t>130    -67</t>
  </si>
  <si>
    <t>50      0      0</t>
  </si>
  <si>
    <t>0      0      0   -140      0</t>
  </si>
  <si>
    <t>102    -63</t>
  </si>
  <si>
    <t>90      0  -7093  -343</t>
  </si>
  <si>
    <t>1   4614      0      0      0</t>
  </si>
  <si>
    <t>208   9658</t>
  </si>
  <si>
    <t>9826   3620    978</t>
  </si>
  <si>
    <t>0    272      0      0  23816</t>
  </si>
  <si>
    <t>0  19068</t>
  </si>
  <si>
    <t>0      0      0    49</t>
  </si>
  <si>
    <t>9   -320   -721   -477   -764</t>
  </si>
  <si>
    <t>-177      0      0</t>
  </si>
  <si>
    <t>0    111   -215      0      0</t>
  </si>
  <si>
    <t>0      0    262      0     75</t>
  </si>
  <si>
    <t>0    297</t>
  </si>
  <si>
    <t>60   -480      0    75</t>
  </si>
  <si>
    <t>3    -97   -233   -532   -464</t>
  </si>
  <si>
    <t>612      0</t>
  </si>
  <si>
    <t>224      0      0</t>
  </si>
  <si>
    <t>0      0      0    -43      0</t>
  </si>
  <si>
    <t>-318      0    -68</t>
  </si>
  <si>
    <t>659      0</t>
  </si>
  <si>
    <t>19    -71      0</t>
  </si>
  <si>
    <t>0   1568   -947      0    606</t>
  </si>
  <si>
    <t>0      0  -1365   -22</t>
  </si>
  <si>
    <t>8     50      0      0    865</t>
  </si>
  <si>
    <t>419      0</t>
  </si>
  <si>
    <t>211   -265    234   -43</t>
  </si>
  <si>
    <t>1    121    674    527      0</t>
  </si>
  <si>
    <t>0      0   2502</t>
  </si>
  <si>
    <t>0   1226    375   -496      0</t>
  </si>
  <si>
    <t>530   3481</t>
  </si>
  <si>
    <t>0   -547  -1039   -836    327</t>
  </si>
  <si>
    <t>0    107</t>
  </si>
  <si>
    <t>1753      0      0</t>
  </si>
  <si>
    <t>0     57   -389      0   -611</t>
  </si>
  <si>
    <t>406    155</t>
  </si>
  <si>
    <t>-104      0      0</t>
  </si>
  <si>
    <t>0      0      0   7081      0</t>
  </si>
  <si>
    <t>631    200</t>
  </si>
  <si>
    <t>-183      0  -4901   267</t>
  </si>
  <si>
    <t>9   -684   -804   -748   -354</t>
  </si>
  <si>
    <t>575    186</t>
  </si>
  <si>
    <t>0    413      0</t>
  </si>
  <si>
    <t>0  -2331    580      0   -214</t>
  </si>
  <si>
    <t>-116      0   -256    15</t>
  </si>
  <si>
    <t>3    -84      0      0      0</t>
  </si>
  <si>
    <t>9221      0  -3284    23</t>
  </si>
  <si>
    <t>7     45      0 -77928    699</t>
  </si>
  <si>
    <t>265      0</t>
  </si>
  <si>
    <t>0      0   1803   298</t>
  </si>
  <si>
    <t>6   1190  -1028   -989      0</t>
  </si>
  <si>
    <t>942      0</t>
  </si>
  <si>
    <t>0    413      0   168</t>
  </si>
  <si>
    <t>1      0   2064      0      0</t>
  </si>
  <si>
    <t>0      0      0    312  -1703</t>
  </si>
  <si>
    <t>279    323</t>
  </si>
  <si>
    <t>625      0      0    25</t>
  </si>
  <si>
    <t>9      0      0      0    -13</t>
  </si>
  <si>
    <t>201      0</t>
  </si>
  <si>
    <t>0      0    471      0      0</t>
  </si>
  <si>
    <t>-18      0</t>
  </si>
  <si>
    <t>26      0   -822   -49</t>
  </si>
  <si>
    <t>4    329      0     34  -1145</t>
  </si>
  <si>
    <t>10     24</t>
  </si>
  <si>
    <t>-45   -393      0     3</t>
  </si>
  <si>
    <t>2      0      9      0      0</t>
  </si>
  <si>
    <t>0    655      0  -101</t>
  </si>
  <si>
    <t>7   -116      0      0   1117</t>
  </si>
  <si>
    <t>529      0      0</t>
  </si>
  <si>
    <t>0      0   -421    484    334</t>
  </si>
  <si>
    <t>-917    -36      0    11</t>
  </si>
  <si>
    <t>0    291    -14    269    400</t>
  </si>
  <si>
    <t>-91    218</t>
  </si>
  <si>
    <t>0      0   -894      0    329</t>
  </si>
  <si>
    <t>282   -111</t>
  </si>
  <si>
    <t>0   2698   5036   -17</t>
  </si>
  <si>
    <t>2    234    -82      0   -370</t>
  </si>
  <si>
    <t>697   -665</t>
  </si>
  <si>
    <t>-65      0    122   -88</t>
  </si>
  <si>
    <t>3      0      0      0    121</t>
  </si>
  <si>
    <t>171      0</t>
  </si>
  <si>
    <t>-141     31     99    -6</t>
  </si>
  <si>
    <t>0  -2134</t>
  </si>
  <si>
    <t>0  -4943    202   -16</t>
  </si>
  <si>
    <t>1      0  -2584   3313    -16</t>
  </si>
  <si>
    <t>413     28</t>
  </si>
  <si>
    <t>278    -41   -153</t>
  </si>
  <si>
    <t>0     20      0      0  -1912</t>
  </si>
  <si>
    <t>219      0</t>
  </si>
  <si>
    <t>94      0      0    10</t>
  </si>
  <si>
    <t>3      0     86    109     62</t>
  </si>
  <si>
    <t>0      0      0   319</t>
  </si>
  <si>
    <t>1      0  -2260    154   -264</t>
  </si>
  <si>
    <t>0    673</t>
  </si>
  <si>
    <t>1597   3211      0</t>
  </si>
  <si>
    <t>0      0   2466   2616    476</t>
  </si>
  <si>
    <t>003  -2064</t>
  </si>
  <si>
    <t>0 -10234      0</t>
  </si>
  <si>
    <t>0   1520      0   2765      0</t>
  </si>
  <si>
    <t>897      0</t>
  </si>
  <si>
    <t>0      0      0      0   2217</t>
  </si>
  <si>
    <t>0    158</t>
  </si>
  <si>
    <t>1575    213     -4    -8</t>
  </si>
  <si>
    <t>4      0      0   -277      0</t>
  </si>
  <si>
    <t>-22    187      0</t>
  </si>
  <si>
    <t>83      0</t>
  </si>
  <si>
    <t>0    -91      0     3</t>
  </si>
  <si>
    <t>8      0     22  -4548    604</t>
  </si>
  <si>
    <t>0   -331</t>
  </si>
  <si>
    <t>1342    -92    -28    17</t>
  </si>
  <si>
    <t>6     28      0     -1      0</t>
  </si>
  <si>
    <t>0      0     62</t>
  </si>
  <si>
    <t>0      0      0     50      0</t>
  </si>
  <si>
    <t>18      0</t>
  </si>
  <si>
    <t>0      2      0   -168    134</t>
  </si>
  <si>
    <t>359   1955      0     4</t>
  </si>
  <si>
    <t>8    640</t>
  </si>
  <si>
    <t>383      0      0    -4</t>
  </si>
  <si>
    <t>4     44      0    215    311</t>
  </si>
  <si>
    <t>92    153</t>
  </si>
  <si>
    <t>88     93     59</t>
  </si>
  <si>
    <t>306      0</t>
  </si>
  <si>
    <t>213  -5578    656</t>
  </si>
  <si>
    <t>0    429   1944    179    248</t>
  </si>
  <si>
    <t>112      0</t>
  </si>
  <si>
    <t>-82    200    160    76</t>
  </si>
  <si>
    <t>4      0   -260   -785      0</t>
  </si>
  <si>
    <t>35    401      0    20</t>
  </si>
  <si>
    <t>8     99     75     68      0</t>
  </si>
  <si>
    <t>0      0    326</t>
  </si>
  <si>
    <t>0    600  -7988   1096      0</t>
  </si>
  <si>
    <t>544   1908</t>
  </si>
  <si>
    <t>143    -95     46   -18</t>
  </si>
  <si>
    <t>9   -163    202      0    464</t>
  </si>
  <si>
    <t>-530    -12      0     8</t>
  </si>
  <si>
    <t>2      0      0     42      0</t>
  </si>
  <si>
    <t>81     57</t>
  </si>
  <si>
    <t>-120      0      0</t>
  </si>
  <si>
    <t>0      0      0     38      0</t>
  </si>
  <si>
    <t>448  -3915</t>
  </si>
  <si>
    <t>596      0  -6099  -142</t>
  </si>
  <si>
    <t>5    345      0      0      0</t>
  </si>
  <si>
    <t>641   1499</t>
  </si>
  <si>
    <t>0   4528      0      0   1151</t>
  </si>
  <si>
    <t>0   -232</t>
  </si>
  <si>
    <t>0    720      0</t>
  </si>
  <si>
    <t>2247      0  -2316   175</t>
  </si>
  <si>
    <t>0    679   -233    -37    218</t>
  </si>
  <si>
    <t>71      0      0</t>
  </si>
  <si>
    <t>0   -128    -14      0      0</t>
  </si>
  <si>
    <t>0      0     -5</t>
  </si>
  <si>
    <t>0      0    108      0   -138</t>
  </si>
  <si>
    <t>0    -31</t>
  </si>
  <si>
    <t>575  -4799      0     3</t>
  </si>
  <si>
    <t>3    337      9   -163    -82</t>
  </si>
  <si>
    <t>-32      0</t>
  </si>
  <si>
    <t>-15      0      0</t>
  </si>
  <si>
    <t>0      0      0    -68      0</t>
  </si>
  <si>
    <t>249      0      3</t>
  </si>
  <si>
    <t>44      0</t>
  </si>
  <si>
    <t>57    -48      0</t>
  </si>
  <si>
    <t>0    196    785      0   -161</t>
  </si>
  <si>
    <t>0      0    859   -42</t>
  </si>
  <si>
    <t>2   -272      0      0   -107</t>
  </si>
  <si>
    <t>51   -249    107    33</t>
  </si>
  <si>
    <t>4     62   -190   -241      0</t>
  </si>
  <si>
    <t>0      0    436</t>
  </si>
  <si>
    <t>0    277    867  -6021      0</t>
  </si>
  <si>
    <t>555   1233</t>
  </si>
  <si>
    <t>-184    142      1</t>
  </si>
  <si>
    <t>0    614   1487   1890   -500</t>
  </si>
  <si>
    <t>0     38</t>
  </si>
  <si>
    <t>-574      0      0</t>
  </si>
  <si>
    <t>0     57    -49      0    649</t>
  </si>
  <si>
    <t>455    154</t>
  </si>
  <si>
    <t>0      0      0     74      0</t>
  </si>
  <si>
    <t>296   1260</t>
  </si>
  <si>
    <t>9446      0    229   119</t>
  </si>
  <si>
    <t>1   -222   -241   -182    -94</t>
  </si>
  <si>
    <t>106    339</t>
  </si>
  <si>
    <t>0   -227      0</t>
  </si>
  <si>
    <t>0   -264     87      0   -217</t>
  </si>
  <si>
    <t>191      0    234    -8</t>
  </si>
  <si>
    <t>5   -139      0      0      0</t>
  </si>
  <si>
    <t>194      0   -454    78</t>
  </si>
  <si>
    <t>8  -4438      0 -13170  -9615</t>
  </si>
  <si>
    <t>678      0</t>
  </si>
  <si>
    <t>0      0  -8911 -1351</t>
  </si>
  <si>
    <t>6 -17328   6916   4837      0</t>
  </si>
  <si>
    <t>0   4469      0   429</t>
  </si>
  <si>
    <t>9      0  -4681      0      0</t>
  </si>
  <si>
    <t>0   1798      0   3413  -8964</t>
  </si>
  <si>
    <t>0   1067   -226   1383    755</t>
  </si>
  <si>
    <t>976      0</t>
  </si>
  <si>
    <t>0     64      0</t>
  </si>
  <si>
    <t>0      0   -226     31      0</t>
  </si>
  <si>
    <t>0      0      0    47</t>
  </si>
  <si>
    <t>0      0      0   -195      0</t>
  </si>
  <si>
    <t>180      0</t>
  </si>
  <si>
    <t>-335   -645    183</t>
  </si>
  <si>
    <t>0    152   -842    165   1064</t>
  </si>
  <si>
    <t>850   2419</t>
  </si>
  <si>
    <t>0   -748      0</t>
  </si>
  <si>
    <t>0      0      0      0    -58</t>
  </si>
  <si>
    <t>0    540      0   -13</t>
  </si>
  <si>
    <t>0  -1310</t>
  </si>
  <si>
    <t>0    584  -1872</t>
  </si>
  <si>
    <t>0      0   5623    246      0</t>
  </si>
  <si>
    <t>576      0</t>
  </si>
  <si>
    <t>0      0      0   171</t>
  </si>
  <si>
    <t>9     70     77      0      0</t>
  </si>
  <si>
    <t>623   -577</t>
  </si>
  <si>
    <t>0    125    436    -2</t>
  </si>
  <si>
    <t>9    353    -57   -372    312</t>
  </si>
  <si>
    <t>0      0      0   -38</t>
  </si>
  <si>
    <t>5      0  -2382   -583    173</t>
  </si>
  <si>
    <t>0   9997</t>
  </si>
  <si>
    <t>3913   1092   2099   180</t>
  </si>
  <si>
    <t>6      0    343   -143    969</t>
  </si>
  <si>
    <t>499      0</t>
  </si>
  <si>
    <t>192   1764      0</t>
  </si>
  <si>
    <t>0      0     53    117      0</t>
  </si>
  <si>
    <t>208    207</t>
  </si>
  <si>
    <t>-206      1      0</t>
  </si>
  <si>
    <t>0      0      0      0  -4969</t>
  </si>
  <si>
    <t>0   2791</t>
  </si>
  <si>
    <t>-600    182      0   786</t>
  </si>
  <si>
    <t>6  -5335    847   1650   1371</t>
  </si>
  <si>
    <t>355    -83</t>
  </si>
  <si>
    <t>-638      0    -82</t>
  </si>
  <si>
    <t>0      0   1469   -437      0</t>
  </si>
  <si>
    <t>153      0</t>
  </si>
  <si>
    <t>0     -7      0     3</t>
  </si>
  <si>
    <t>6   -299    -35      0      0</t>
  </si>
  <si>
    <t>0  -2857      0   483</t>
  </si>
  <si>
    <t>3   -382    352      0   9323</t>
  </si>
  <si>
    <t>410     71</t>
  </si>
  <si>
    <t>0      0      0   -53</t>
  </si>
  <si>
    <t>0  -1640    251    317    344</t>
  </si>
  <si>
    <t>0   1010</t>
  </si>
  <si>
    <t>0      0    526</t>
  </si>
  <si>
    <t>0    271      0    341      0</t>
  </si>
  <si>
    <t>0      0  -3634      0   4365</t>
  </si>
  <si>
    <t>420    697</t>
  </si>
  <si>
    <t>0     84  34083    33</t>
  </si>
  <si>
    <t>3     59    966      0      0</t>
  </si>
  <si>
    <t>88      0</t>
  </si>
  <si>
    <t>0      0    -78    -9</t>
  </si>
  <si>
    <t>111      0      0    -5</t>
  </si>
  <si>
    <t>3      0     33      0   -257</t>
  </si>
  <si>
    <t>126   -109</t>
  </si>
  <si>
    <t>0    -71  29531    32</t>
  </si>
  <si>
    <t>6    459   -477  -1020      0</t>
  </si>
  <si>
    <t>0    -69      0      0      0</t>
  </si>
  <si>
    <t>48      0</t>
  </si>
  <si>
    <t>-92      0      0</t>
  </si>
  <si>
    <t>0      0      0   -627      0</t>
  </si>
  <si>
    <t>487    381</t>
  </si>
  <si>
    <t>0      0    326  3676</t>
  </si>
  <si>
    <t>2      0   -373      0      0</t>
  </si>
  <si>
    <t>2128     98     33</t>
  </si>
  <si>
    <t>0      0    147   -340      0</t>
  </si>
  <si>
    <t>9   -168      0      0      0</t>
  </si>
  <si>
    <t>-196      0   2945   -48</t>
  </si>
  <si>
    <t>6    204      0   -296  42548</t>
  </si>
  <si>
    <t>416    607</t>
  </si>
  <si>
    <t>713      0   1999   223</t>
  </si>
  <si>
    <t>9    237     65      0    170</t>
  </si>
  <si>
    <t>0      0     82    32</t>
  </si>
  <si>
    <t>3      0    213    146    -76</t>
  </si>
  <si>
    <t>160      0</t>
  </si>
  <si>
    <t>0     82      0  -1697   -420</t>
  </si>
  <si>
    <t>-67      0</t>
  </si>
  <si>
    <t>1378  42299    261     6</t>
  </si>
  <si>
    <t>9    464     58   1738   2108</t>
  </si>
  <si>
    <t>0    101</t>
  </si>
  <si>
    <t>0      0    245     4</t>
  </si>
  <si>
    <t>9      0    -42      0      0</t>
  </si>
  <si>
    <t>42   -134    -46</t>
  </si>
  <si>
    <t>284      0</t>
  </si>
  <si>
    <t>2336   -469    179</t>
  </si>
  <si>
    <t>0   -505  46814   -269      0</t>
  </si>
  <si>
    <t>315   -323  -2413   147</t>
  </si>
  <si>
    <t>6   1209      0    576      0</t>
  </si>
  <si>
    <t>0    147</t>
  </si>
  <si>
    <t>0   1283      0   152</t>
  </si>
  <si>
    <t>0      0    -39</t>
  </si>
  <si>
    <t>0   6908   2135   1207      0</t>
  </si>
  <si>
    <t>289      0</t>
  </si>
  <si>
    <t>0    634   2002   -843   -507</t>
  </si>
  <si>
    <t>369      0</t>
  </si>
  <si>
    <t>0   -157      0</t>
  </si>
  <si>
    <t>0      0   -241    353      0</t>
  </si>
  <si>
    <t>8      0      0    103      0</t>
  </si>
  <si>
    <t>-4     89   -356</t>
  </si>
  <si>
    <t>0    994   4169   -745   -916</t>
  </si>
  <si>
    <t>855    -44</t>
  </si>
  <si>
    <t>0   -401      0</t>
  </si>
  <si>
    <t>0      0      0      0   -409</t>
  </si>
  <si>
    <t>0    455      0    -4</t>
  </si>
  <si>
    <t>0   -432</t>
  </si>
  <si>
    <t>0  -3177  -1931</t>
  </si>
  <si>
    <t>0      0  -8480  -1792      0</t>
  </si>
  <si>
    <t>776      0</t>
  </si>
  <si>
    <t>0      0      0 -1580</t>
  </si>
  <si>
    <t>4   -729    320      0      0</t>
  </si>
  <si>
    <t>478   -290</t>
  </si>
  <si>
    <t>0   -511  -3384   -76</t>
  </si>
  <si>
    <t>8  -2863  -7450  -3394  -4617</t>
  </si>
  <si>
    <t>0      0      0  1103</t>
  </si>
  <si>
    <t>1      0   9367   -106   3684</t>
  </si>
  <si>
    <t>0  -1605</t>
  </si>
  <si>
    <t>4100   -276     -2     2</t>
  </si>
  <si>
    <t>4      0  -2939  24650  -1311</t>
  </si>
  <si>
    <t>232      0</t>
  </si>
  <si>
    <t>32  -4607      0</t>
  </si>
  <si>
    <t>0      0    179    358      0</t>
  </si>
  <si>
    <t>357  -1798</t>
  </si>
  <si>
    <t>-3    198      0</t>
  </si>
  <si>
    <t>0      0      0      0   1990</t>
  </si>
  <si>
    <t>0   -568</t>
  </si>
  <si>
    <t>485    720      0    45</t>
  </si>
  <si>
    <t>7   4015    -81     71    232</t>
  </si>
  <si>
    <t>690  -2063</t>
  </si>
  <si>
    <t>2825      0     81</t>
  </si>
  <si>
    <t>0      0  -4105    -69      0</t>
  </si>
  <si>
    <t>19      0</t>
  </si>
  <si>
    <t>0     21      0   -66</t>
  </si>
  <si>
    <t>5    373     19      0      0</t>
  </si>
  <si>
    <t>0   -118      0   -56</t>
  </si>
  <si>
    <t>5    324    741      0   -974</t>
  </si>
  <si>
    <t>895    197</t>
  </si>
  <si>
    <t>0      0      0   -58</t>
  </si>
  <si>
    <t>6  19119  -1341    157    355</t>
  </si>
  <si>
    <t>0  -1927</t>
  </si>
  <si>
    <t>0      0   -113</t>
  </si>
  <si>
    <t>0    147      0    -30      0</t>
  </si>
  <si>
    <t>0      0   1135      0  -2735</t>
  </si>
  <si>
    <t>377   1450</t>
  </si>
  <si>
    <t>0 -20906 -15379</t>
  </si>
  <si>
    <t>066    955</t>
  </si>
  <si>
    <t>1865  -1498  -2826</t>
  </si>
  <si>
    <t>0      0   -202      0      0</t>
  </si>
  <si>
    <t>0    237</t>
  </si>
  <si>
    <t>-23      0      0</t>
  </si>
  <si>
    <t>0      0      0      0   -771</t>
  </si>
  <si>
    <t>503      0   -454</t>
  </si>
  <si>
    <t>0     23   1129    -26      0</t>
  </si>
  <si>
    <t>331   1359</t>
  </si>
  <si>
    <t>1497  -2380  -1553   -76</t>
  </si>
  <si>
    <t>7      0    165      0      0</t>
  </si>
  <si>
    <t>0    -17      0</t>
  </si>
  <si>
    <t>0      0   -399      0    168</t>
  </si>
  <si>
    <t>0      0      0   192</t>
  </si>
  <si>
    <t>0      0   -111    -33      0</t>
  </si>
  <si>
    <t>0  -1060</t>
  </si>
  <si>
    <t>2099      0   -604</t>
  </si>
  <si>
    <t>0      0      0      0  -2162</t>
  </si>
  <si>
    <t>701   -564</t>
  </si>
  <si>
    <t>0      0    158    96</t>
  </si>
  <si>
    <t>0      0   -146    135   -224</t>
  </si>
  <si>
    <t>117   -287</t>
  </si>
  <si>
    <t>497   -106      0</t>
  </si>
  <si>
    <t>0      0      0      0    990</t>
  </si>
  <si>
    <t>0   -968</t>
  </si>
  <si>
    <t>-62     43      0  -191</t>
  </si>
  <si>
    <t>7   3000  -1169  -2101  -2360</t>
  </si>
  <si>
    <t>0  -4711</t>
  </si>
  <si>
    <t>3096  -3520    151</t>
  </si>
  <si>
    <t>0    162   -718      0      0</t>
  </si>
  <si>
    <t>0   -194</t>
  </si>
  <si>
    <t>-179      0   -341  -152</t>
  </si>
  <si>
    <t>3   -234   -471      0      0</t>
  </si>
  <si>
    <t>0   2006      0  -144</t>
  </si>
  <si>
    <t>8    640    999      0  -1286</t>
  </si>
  <si>
    <t>284     99</t>
  </si>
  <si>
    <t>808   -412   -651  -322</t>
  </si>
  <si>
    <t>7   -841      0   -306      0</t>
  </si>
  <si>
    <t>0   -716</t>
  </si>
  <si>
    <t>393      0     -8</t>
  </si>
  <si>
    <t>0      0     -3      0     49</t>
  </si>
  <si>
    <t>784    657</t>
  </si>
  <si>
    <t>0      0    849      0   1591</t>
  </si>
  <si>
    <t>419    266</t>
  </si>
  <si>
    <t>0  -1528   3080    22</t>
  </si>
  <si>
    <t>7      0      0      0  -3280</t>
  </si>
  <si>
    <t>086  -8345</t>
  </si>
  <si>
    <t>-13    119      0    21</t>
  </si>
  <si>
    <t>0      0      0   -832      0</t>
  </si>
  <si>
    <t>789      0</t>
  </si>
  <si>
    <t>-702      0      0</t>
  </si>
  <si>
    <t>0   1359</t>
  </si>
  <si>
    <t>0  -2286    312   188</t>
  </si>
  <si>
    <t>7      0 -21074 -11160      0</t>
  </si>
  <si>
    <t>0      0  24446   -41</t>
  </si>
  <si>
    <t>9    591   -111    435   -419</t>
  </si>
  <si>
    <t>-113      0      0</t>
  </si>
  <si>
    <t>0    114     73      0      0</t>
  </si>
  <si>
    <t>0      0    135</t>
  </si>
  <si>
    <t>0      0     -1      0    -67</t>
  </si>
  <si>
    <t>0    -98</t>
  </si>
  <si>
    <t>332     79      0   -12</t>
  </si>
  <si>
    <t>0    524    291   -293   -170</t>
  </si>
  <si>
    <t>-77      0</t>
  </si>
  <si>
    <t>68      0      0</t>
  </si>
  <si>
    <t>0      0      0     35      0</t>
  </si>
  <si>
    <t>257      0    -17</t>
  </si>
  <si>
    <t>89    282      0</t>
  </si>
  <si>
    <t>0  -1574    746      0    950</t>
  </si>
  <si>
    <t>0      0   -486  -186</t>
  </si>
  <si>
    <t>7   -313      0      0    304</t>
  </si>
  <si>
    <t>-40      0</t>
  </si>
  <si>
    <t>183    176    174    11</t>
  </si>
  <si>
    <t>5    965    280    327      0</t>
  </si>
  <si>
    <t>0      0   1257</t>
  </si>
  <si>
    <t>0    645    864    -45      0</t>
  </si>
  <si>
    <t>318   1259</t>
  </si>
  <si>
    <t>-68    378    -29</t>
  </si>
  <si>
    <t>0   -642   -509   -235  -3589</t>
  </si>
  <si>
    <t>0   -913</t>
  </si>
  <si>
    <t>3324      0      0</t>
  </si>
  <si>
    <t>0     52   -288      0   -203</t>
  </si>
  <si>
    <t>746     64</t>
  </si>
  <si>
    <t>0      0      0    -11      0</t>
  </si>
  <si>
    <t>806    671</t>
  </si>
  <si>
    <t>-16      0    303   129</t>
  </si>
  <si>
    <t>7    153    643    219    764</t>
  </si>
  <si>
    <t>429    -95</t>
  </si>
  <si>
    <t>0  -5977      0</t>
  </si>
  <si>
    <t>0  -3254     91      0    369</t>
  </si>
  <si>
    <t>107      0    553     9</t>
  </si>
  <si>
    <t>2      4      0      0      0</t>
  </si>
  <si>
    <t>-25      0    606    97</t>
  </si>
  <si>
    <t>4     20      0    509   2303</t>
  </si>
  <si>
    <t>124      0</t>
  </si>
  <si>
    <t>0      0   -592   -71</t>
  </si>
  <si>
    <t>1   -158  -7425  -1659      0</t>
  </si>
  <si>
    <t>622      0</t>
  </si>
  <si>
    <t>0    244      0   -22</t>
  </si>
  <si>
    <t>7      0   -219      0      0</t>
  </si>
  <si>
    <t>0    316      0    641   1071</t>
  </si>
  <si>
    <t>141      0</t>
  </si>
  <si>
    <t>5258  -1966      0</t>
  </si>
  <si>
    <t>0      0      0      0    699</t>
  </si>
  <si>
    <t>504   -364</t>
  </si>
  <si>
    <t>626     -1     22     6</t>
  </si>
  <si>
    <t>7      0      0   -173      0</t>
  </si>
  <si>
    <t>5     53      0</t>
  </si>
  <si>
    <t>148      0</t>
  </si>
  <si>
    <t>0    -55      0     6</t>
  </si>
  <si>
    <t>0      0     32    276    -26</t>
  </si>
  <si>
    <t>497     52     70   -14</t>
  </si>
  <si>
    <t>8    -17      0    257      0</t>
  </si>
  <si>
    <t>0      0     73</t>
  </si>
  <si>
    <t>0   -791      0     48    132</t>
  </si>
  <si>
    <t>-880    831      0    92</t>
  </si>
  <si>
    <t>478   -245</t>
  </si>
  <si>
    <t>2986      0      0    17</t>
  </si>
  <si>
    <t>4    119      0    211    225</t>
  </si>
  <si>
    <t>305     45</t>
  </si>
  <si>
    <t>403    248    168</t>
  </si>
  <si>
    <t>007      0</t>
  </si>
  <si>
    <t>511    589     46</t>
  </si>
  <si>
    <t>0      3   1209      2     96</t>
  </si>
  <si>
    <t>140      0</t>
  </si>
  <si>
    <t>217   -355   -330    38</t>
  </si>
  <si>
    <t>7      0      3  -2415      0</t>
  </si>
  <si>
    <t>51   -146      0   -13</t>
  </si>
  <si>
    <t>0    -18     51    -44      0</t>
  </si>
  <si>
    <t>0      0    439</t>
  </si>
  <si>
    <t>0    513    282     89      0</t>
  </si>
  <si>
    <t>-80   1144</t>
  </si>
  <si>
    <t>-15    -48   -157     7</t>
  </si>
  <si>
    <t>3    201    -59      0    569</t>
  </si>
  <si>
    <t>2135   -251      0     5</t>
  </si>
  <si>
    <t>2      0      0    110      0</t>
  </si>
  <si>
    <t>19      0      0</t>
  </si>
  <si>
    <t>0      0      0    455      0</t>
  </si>
  <si>
    <t>486    368</t>
  </si>
  <si>
    <t>95      0    722   219</t>
  </si>
  <si>
    <t>8    106      0      0      0</t>
  </si>
  <si>
    <t>140   -370</t>
  </si>
  <si>
    <t>0  -1769      0      0      4</t>
  </si>
  <si>
    <t>0     42</t>
  </si>
  <si>
    <t>0     -7      0</t>
  </si>
  <si>
    <t>428      0    424    63</t>
  </si>
  <si>
    <t>5      5      0  -5242  -1944</t>
  </si>
  <si>
    <t>0      0      0  -175</t>
  </si>
  <si>
    <t>7  -2483  26029   -385     76</t>
  </si>
  <si>
    <t>264    118</t>
  </si>
  <si>
    <t>706      0      0   137</t>
  </si>
  <si>
    <t>4      0      0      0     60</t>
  </si>
  <si>
    <t>-7      0</t>
  </si>
  <si>
    <t>0      0   -177      0      0</t>
  </si>
  <si>
    <t>-88      0</t>
  </si>
  <si>
    <t>129      0    210     5</t>
  </si>
  <si>
    <t>4    -69      0    -83    192</t>
  </si>
  <si>
    <t>161    487</t>
  </si>
  <si>
    <t>2    148      0     -</t>
  </si>
  <si>
    <t>0    -42</t>
  </si>
  <si>
    <t>0      0      0     4</t>
  </si>
  <si>
    <t>8      0      2      0      0</t>
  </si>
  <si>
    <t>0     69      0   -16</t>
  </si>
  <si>
    <t>6    -17      0      0   -595</t>
  </si>
  <si>
    <t>320      0</t>
  </si>
  <si>
    <t>119      0      0</t>
  </si>
  <si>
    <t>0      0   -192    291    102</t>
  </si>
  <si>
    <t>-62    100      0    -1</t>
  </si>
  <si>
    <t>2     96    -44     15    280</t>
  </si>
  <si>
    <t>195     48</t>
  </si>
  <si>
    <t>0      0    455      0    213</t>
  </si>
  <si>
    <t>169    247</t>
  </si>
  <si>
    <t>0    226    455     9</t>
  </si>
  <si>
    <t>0    -91   -140      0   1271</t>
  </si>
  <si>
    <t>376     24</t>
  </si>
  <si>
    <t>-763      0  -3931  -135</t>
  </si>
  <si>
    <t>4      0      0      0    -85</t>
  </si>
  <si>
    <t>40      0</t>
  </si>
  <si>
    <t>43      9   -174    26</t>
  </si>
  <si>
    <t>0     27</t>
  </si>
  <si>
    <t>0    461    -67    12</t>
  </si>
  <si>
    <t>4      0    -66    348     79</t>
  </si>
  <si>
    <t>31   -142</t>
  </si>
  <si>
    <t>0    968   -344</t>
  </si>
  <si>
    <t>0     43      0      0  -1307</t>
  </si>
  <si>
    <t>34      0</t>
  </si>
  <si>
    <t>-71      0      0    -1</t>
  </si>
  <si>
    <t>1      0     28    106    263</t>
  </si>
  <si>
    <t>0      0      0    12</t>
  </si>
  <si>
    <t>3      0    317    110    230</t>
  </si>
  <si>
    <t>575    -38      0</t>
  </si>
  <si>
    <t>0      0    883   -337    -45</t>
  </si>
  <si>
    <t>197      8</t>
  </si>
  <si>
    <t>0   -639      0</t>
  </si>
  <si>
    <t>0    -92      0      4      0</t>
  </si>
  <si>
    <t>12      0</t>
  </si>
  <si>
    <t>0      0      0      0    -14</t>
  </si>
  <si>
    <t>0    421</t>
  </si>
  <si>
    <t>120    228      0  -211</t>
  </si>
  <si>
    <t>1   -846      0      0      0</t>
  </si>
  <si>
    <t>5720  -2650  24103  2771</t>
  </si>
  <si>
    <t>0  -1196    501    775    362</t>
  </si>
  <si>
    <t>300      0</t>
  </si>
  <si>
    <t>0   -322      0</t>
  </si>
  <si>
    <t>0      0    -23   -112      0</t>
  </si>
  <si>
    <t>0      0      0    24</t>
  </si>
  <si>
    <t>7      0      0    -51      0</t>
  </si>
  <si>
    <t>32      0</t>
  </si>
  <si>
    <t>-136    652    196</t>
  </si>
  <si>
    <t>0   -300    274    475    114</t>
  </si>
  <si>
    <t>655   -438</t>
  </si>
  <si>
    <t>0    145      0</t>
  </si>
  <si>
    <t>0   -102      0     3</t>
  </si>
  <si>
    <t>0    244    470</t>
  </si>
  <si>
    <t>0      0   9472   5284      0</t>
  </si>
  <si>
    <t>115      0</t>
  </si>
  <si>
    <t>0      0      0   666</t>
  </si>
  <si>
    <t>0  -2444  -1711      0      0</t>
  </si>
  <si>
    <t>111   -318</t>
  </si>
  <si>
    <t>0   -321   -829    -3</t>
  </si>
  <si>
    <t>1   -355   -904   -152   -335</t>
  </si>
  <si>
    <t>0      0      0 -1097</t>
  </si>
  <si>
    <t>8      0  -5520  -1145   -199</t>
  </si>
  <si>
    <t>0  -1258</t>
  </si>
  <si>
    <t>120    639    460   -38</t>
  </si>
  <si>
    <t>2      0    135  -2711   1133</t>
  </si>
  <si>
    <t>350      0</t>
  </si>
  <si>
    <t>59  21543      0</t>
  </si>
  <si>
    <t>0      0     35   -171      0</t>
  </si>
  <si>
    <t>-89    438</t>
  </si>
  <si>
    <t>27    494      0</t>
  </si>
  <si>
    <t>0      0      0      0  -2452</t>
  </si>
  <si>
    <t>0  -2077</t>
  </si>
  <si>
    <t>-362      0      0  -202</t>
  </si>
  <si>
    <t>0    437    333    148   -617</t>
  </si>
  <si>
    <t>613     70</t>
  </si>
  <si>
    <t>3492      0   -540</t>
  </si>
  <si>
    <t>0      0  19002   -208      0</t>
  </si>
  <si>
    <t>0    -26      0   -11</t>
  </si>
  <si>
    <t>2   -185    677      0      0</t>
  </si>
  <si>
    <t>0  -1119      0  -189</t>
  </si>
  <si>
    <t>7   -466    115      0  -1578</t>
  </si>
  <si>
    <t>328   -233</t>
  </si>
  <si>
    <t>8  -2158    810   -586     66</t>
  </si>
  <si>
    <t>0   9312</t>
  </si>
  <si>
    <t>0      0     84</t>
  </si>
  <si>
    <t>0     51      0    152      0</t>
  </si>
  <si>
    <t>0      0  -1425      0    -88</t>
  </si>
  <si>
    <t>300     96</t>
  </si>
  <si>
    <t>0   7689   1451</t>
  </si>
  <si>
    <t>064 -12935</t>
  </si>
  <si>
    <t>3186  -3161  -7835</t>
  </si>
  <si>
    <t>0    231</t>
  </si>
  <si>
    <t>1834    815    160  -152</t>
  </si>
  <si>
    <t>8      0      0    153      0</t>
  </si>
  <si>
    <t>1409    655      0</t>
  </si>
  <si>
    <t>152      0</t>
  </si>
  <si>
    <t>0   -145      0    33</t>
  </si>
  <si>
    <t>5      0    542   -170   -297</t>
  </si>
  <si>
    <t>0    455</t>
  </si>
  <si>
    <t>1322     59  -1047   -77</t>
  </si>
  <si>
    <t>2   -393      0     54      0</t>
  </si>
  <si>
    <t>0      0    325</t>
  </si>
  <si>
    <t>0      0      0   -620      0</t>
  </si>
  <si>
    <t>173      0</t>
  </si>
  <si>
    <t>0   -137      0    440    137</t>
  </si>
  <si>
    <t>751   1727      0   -94</t>
  </si>
  <si>
    <t>785   -628</t>
  </si>
  <si>
    <t>-491      0      0    -9</t>
  </si>
  <si>
    <t>1   -552      0   -643   4230</t>
  </si>
  <si>
    <t>172   -338</t>
  </si>
  <si>
    <t>80      0</t>
  </si>
  <si>
    <t>564  -1324   -450</t>
  </si>
  <si>
    <t>0    456   2123    231    -35</t>
  </si>
  <si>
    <t>2095   -824   -439    -1</t>
  </si>
  <si>
    <t>6      0    266  -1330      0</t>
  </si>
  <si>
    <t>-217   7139      0    78</t>
  </si>
  <si>
    <t>8   -220    -51   -267      0</t>
  </si>
  <si>
    <t>0      0   -220</t>
  </si>
  <si>
    <t>0    186    165     12      0</t>
  </si>
  <si>
    <t>338   2066</t>
  </si>
  <si>
    <t>757     37   2103    45</t>
  </si>
  <si>
    <t>4  -2100   -979      0   -343</t>
  </si>
  <si>
    <t>1224   -182      0   -81</t>
  </si>
  <si>
    <t>7      0      0   -385      0</t>
  </si>
  <si>
    <t>519    -58</t>
  </si>
  <si>
    <t>1215      0      0</t>
  </si>
  <si>
    <t>0      0      0    128      0</t>
  </si>
  <si>
    <t>352     82</t>
  </si>
  <si>
    <t>-450      0    792   302</t>
  </si>
  <si>
    <t>7   -184      0      0      0</t>
  </si>
  <si>
    <t>074  -1577</t>
  </si>
  <si>
    <t>-824   -163    191</t>
  </si>
  <si>
    <t>0   -714      0      0     74</t>
  </si>
  <si>
    <t>0  -1174</t>
  </si>
  <si>
    <t>-331      0    178    30</t>
  </si>
  <si>
    <t>7    -80      0  -4040     14</t>
  </si>
  <si>
    <t>0      0      0   903</t>
  </si>
  <si>
    <t>9   9189   1446  -2284  -5063</t>
  </si>
  <si>
    <t>305      0</t>
  </si>
  <si>
    <t>-64   1174</t>
  </si>
  <si>
    <t>500    150  -1144</t>
  </si>
  <si>
    <t>0      0     67      0      0</t>
  </si>
  <si>
    <t>0  -1491</t>
  </si>
  <si>
    <t>-471      0      0</t>
  </si>
  <si>
    <t>0      0      0      0    -75</t>
  </si>
  <si>
    <t>-105      0    270</t>
  </si>
  <si>
    <t>0    434   -104    315      0</t>
  </si>
  <si>
    <t>230    836</t>
  </si>
  <si>
    <t>21   -634   -407   -29</t>
  </si>
  <si>
    <t>1      0    -44      0      0</t>
  </si>
  <si>
    <t>0   -130      0</t>
  </si>
  <si>
    <t>0      0   -246      0    -76</t>
  </si>
  <si>
    <t>0      0      0   -15</t>
  </si>
  <si>
    <t>0      0    293    135      0</t>
  </si>
  <si>
    <t>0    328</t>
  </si>
  <si>
    <t>1045      0   -136</t>
  </si>
  <si>
    <t>0      0      0      0    333</t>
  </si>
  <si>
    <t>245   -215</t>
  </si>
  <si>
    <t>0      0     58   -54</t>
  </si>
  <si>
    <t>3      0    433    272   -456</t>
  </si>
  <si>
    <t>534   -188</t>
  </si>
  <si>
    <t>-24   -297      0</t>
  </si>
  <si>
    <t>0      0      0      0   -189</t>
  </si>
  <si>
    <t>0    250</t>
  </si>
  <si>
    <t>-672     -2      0    58</t>
  </si>
  <si>
    <t>5   1113    771     93    690</t>
  </si>
  <si>
    <t>0  -1322</t>
  </si>
  <si>
    <t>-517   -502     36</t>
  </si>
  <si>
    <t>0    108   -499      0      0</t>
  </si>
  <si>
    <t>0     -8</t>
  </si>
  <si>
    <t>847      0   7074   -16</t>
  </si>
  <si>
    <t>2    -45   -225      0      0</t>
  </si>
  <si>
    <t>0   -677      0    16</t>
  </si>
  <si>
    <t>3    108    233      0    435</t>
  </si>
  <si>
    <t>191    269</t>
  </si>
  <si>
    <t>-62    546    348  -138</t>
  </si>
  <si>
    <t>8   -761      0   -259      0</t>
  </si>
  <si>
    <t>0   -510</t>
  </si>
  <si>
    <t>-220      0   -700</t>
  </si>
  <si>
    <t>0      0    788      0   -535</t>
  </si>
  <si>
    <t>269   -847</t>
  </si>
  <si>
    <t>0      0   -268      0    215</t>
  </si>
  <si>
    <t>-70    296</t>
  </si>
  <si>
    <t>0    719   1655   -27</t>
  </si>
  <si>
    <t>9      0      0      0  -1400</t>
  </si>
  <si>
    <t>023   -709</t>
  </si>
  <si>
    <t>-205     68      0   -27</t>
  </si>
  <si>
    <t>9      0      0    -13      0</t>
  </si>
  <si>
    <t>104      0</t>
  </si>
  <si>
    <t>1888      0      0</t>
  </si>
  <si>
    <t>0   -744</t>
  </si>
  <si>
    <t>0    183     97    49</t>
  </si>
  <si>
    <t>7      0  -2917   -355      0</t>
  </si>
  <si>
    <t>0      0   6068   595</t>
  </si>
  <si>
    <t>2   1260  -1028  -2670  -2325</t>
  </si>
  <si>
    <t>0      0  14457</t>
  </si>
  <si>
    <t>0    332</t>
  </si>
  <si>
    <t>183    757   -187   -94</t>
  </si>
  <si>
    <t>6      0      0    150      0</t>
  </si>
  <si>
    <t>68   -233      0</t>
  </si>
  <si>
    <t>159      0</t>
  </si>
  <si>
    <t>0    -37      0     5</t>
  </si>
  <si>
    <t>4      0    -57   -280   -231</t>
  </si>
  <si>
    <t>0   -135</t>
  </si>
  <si>
    <t>1   -198      0     76      0</t>
  </si>
  <si>
    <t>0      0    -92</t>
  </si>
  <si>
    <t>0      0      0   -912      0</t>
  </si>
  <si>
    <t>277      0</t>
  </si>
  <si>
    <t>0    -84      0     60    445</t>
  </si>
  <si>
    <t>-152    590      0  -335</t>
  </si>
  <si>
    <t>034    399</t>
  </si>
  <si>
    <t>175      0      0    11</t>
  </si>
  <si>
    <t>5   -646      0    -74   -172</t>
  </si>
  <si>
    <t>395   -113</t>
  </si>
  <si>
    <t>-943    500   -128</t>
  </si>
  <si>
    <t>-51    223   -365</t>
  </si>
  <si>
    <t>0    240    717    832   -566</t>
  </si>
  <si>
    <t>019      0</t>
  </si>
  <si>
    <t>1936     -2   -356    -7</t>
  </si>
  <si>
    <t>0      0    579  -1240      0</t>
  </si>
  <si>
    <t>-457   -825      0   -74</t>
  </si>
  <si>
    <t>2  -1360    -98  -2815      0</t>
  </si>
  <si>
    <t>0      0     -7</t>
  </si>
  <si>
    <t>0    -10   -131     72      0</t>
  </si>
  <si>
    <t>366    435</t>
  </si>
  <si>
    <t>566   -669   3169    -1</t>
  </si>
  <si>
    <t>1  -1560    217      0   -227</t>
  </si>
  <si>
    <t>-934     34      0    56</t>
  </si>
  <si>
    <t>8      0      0   -666      0</t>
  </si>
  <si>
    <t>109    -48</t>
  </si>
  <si>
    <t>4738      0      0</t>
  </si>
  <si>
    <t>0      0      0    -69      0</t>
  </si>
  <si>
    <t>311   -210</t>
  </si>
  <si>
    <t>41      0    239    75</t>
  </si>
  <si>
    <t>1   -567      0      0      0</t>
  </si>
  <si>
    <t>365    -44</t>
  </si>
  <si>
    <t>-338     49    -18</t>
  </si>
  <si>
    <t>0   -606      0      0   -134</t>
  </si>
  <si>
    <t>0     18      0</t>
  </si>
  <si>
    <t>-73      0    212    11</t>
  </si>
  <si>
    <t>4     89      0  -5835  -3291</t>
  </si>
  <si>
    <t>0      0      0  1159</t>
  </si>
  <si>
    <t>1  11695   1043    223  -5942</t>
  </si>
  <si>
    <t>894      0</t>
  </si>
  <si>
    <t>0      0      0  1253</t>
  </si>
  <si>
    <t>0      0   9722      0      0</t>
  </si>
  <si>
    <t>486     30</t>
  </si>
  <si>
    <t>936    -60     -3</t>
  </si>
  <si>
    <t>0    -90</t>
  </si>
  <si>
    <t>106      0      0</t>
  </si>
  <si>
    <t>0      0      0      0   3786</t>
  </si>
  <si>
    <t>242      0   -217</t>
  </si>
  <si>
    <t>0  -1003   -714   -341      0</t>
  </si>
  <si>
    <t>296    118</t>
  </si>
  <si>
    <t>93   -193   -384   -19</t>
  </si>
  <si>
    <t>8      0    128      0      0</t>
  </si>
  <si>
    <t>0     23      0</t>
  </si>
  <si>
    <t>0      0   -261      0     33</t>
  </si>
  <si>
    <t>2      0   -129    -27      0</t>
  </si>
  <si>
    <t>0    678</t>
  </si>
  <si>
    <t>407      0  -3053</t>
  </si>
  <si>
    <t>0      0      0      0  -1069</t>
  </si>
  <si>
    <t>181    301</t>
  </si>
  <si>
    <t>0      0   -362    26</t>
  </si>
  <si>
    <t>0      0   -338   -475    -84</t>
  </si>
  <si>
    <t>157   -439</t>
  </si>
  <si>
    <t>-472   -394      0</t>
  </si>
  <si>
    <t>0      0      0      0   -308</t>
  </si>
  <si>
    <t>0   -149</t>
  </si>
  <si>
    <t>299   -724      0    90</t>
  </si>
  <si>
    <t>8   1062   2406  -4192  -3922</t>
  </si>
  <si>
    <t>0  -1090</t>
  </si>
  <si>
    <t>1273  -2253   -130</t>
  </si>
  <si>
    <t>0    -27   -204      0      0</t>
  </si>
  <si>
    <t>-460      0    326   -89</t>
  </si>
  <si>
    <t>1   -588    188      0      0</t>
  </si>
  <si>
    <t>0   -203      0   -34</t>
  </si>
  <si>
    <t>4    230   -516      0    -39</t>
  </si>
  <si>
    <t>382   1898</t>
  </si>
  <si>
    <t>2830  -2639   -568   -58</t>
  </si>
  <si>
    <t>3   -330      0   -103      0</t>
  </si>
  <si>
    <t>0   -344</t>
  </si>
  <si>
    <t>-240      0   -230</t>
  </si>
  <si>
    <t>0      0    193      0   -150</t>
  </si>
  <si>
    <t>172    672</t>
  </si>
  <si>
    <t>0      0    454      0    291</t>
  </si>
  <si>
    <t>180   -862</t>
  </si>
  <si>
    <t>0    114    211   146</t>
  </si>
  <si>
    <t>2      0      0      0    -97</t>
  </si>
  <si>
    <t>121   -434</t>
  </si>
  <si>
    <t>-352    -63      0     2</t>
  </si>
  <si>
    <t>6      0      0   -380      0</t>
  </si>
  <si>
    <t>407      0      0</t>
  </si>
  <si>
    <t>0   -167    157   -38</t>
  </si>
  <si>
    <t>0      0  -1159   -921      0</t>
  </si>
  <si>
    <t>0      0   2006   205</t>
  </si>
  <si>
    <t>5    729   -929   -913  -1058</t>
  </si>
  <si>
    <t>0      0  -1161</t>
  </si>
  <si>
    <t>0  -3193      0      0  -4231</t>
  </si>
  <si>
    <t>653    293</t>
  </si>
  <si>
    <t>0      0    232      0      0</t>
  </si>
  <si>
    <t>0     80</t>
  </si>
  <si>
    <t>-304      0      0</t>
  </si>
  <si>
    <t>0      0      0      0     27</t>
  </si>
  <si>
    <t>219      0    163</t>
  </si>
  <si>
    <t>0    331   -641   -496      0</t>
  </si>
  <si>
    <t>174    972</t>
  </si>
  <si>
    <t>4      0    571      0      0</t>
  </si>
  <si>
    <t>0    -70      0</t>
  </si>
  <si>
    <t>0      0   -435      0     -8</t>
  </si>
  <si>
    <t>0      0      0   133</t>
  </si>
  <si>
    <t>0      0   -589    788      0</t>
  </si>
  <si>
    <t>0   3901</t>
  </si>
  <si>
    <t>1445      0    956</t>
  </si>
  <si>
    <t>0      0      0      0  -3752</t>
  </si>
  <si>
    <t>176     65</t>
  </si>
  <si>
    <t>0      0    975    34</t>
  </si>
  <si>
    <t>8      0    293    -40    253</t>
  </si>
  <si>
    <t>219    419</t>
  </si>
  <si>
    <t>862    785      0</t>
  </si>
  <si>
    <t>0      0      0      0   3302</t>
  </si>
  <si>
    <t>0   3375</t>
  </si>
  <si>
    <t>483   -670      0  -551</t>
  </si>
  <si>
    <t>7   2557   -613   -587   -255</t>
  </si>
  <si>
    <t>0   -360</t>
  </si>
  <si>
    <t>-949  -2183    525</t>
  </si>
  <si>
    <t>0    232  -4462      0      0</t>
  </si>
  <si>
    <t>-265      0   -398   -33</t>
  </si>
  <si>
    <t>8    229   -240      0      0</t>
  </si>
  <si>
    <t>0  13781      0  -142</t>
  </si>
  <si>
    <t>3     30    -84      0  -3539</t>
  </si>
  <si>
    <t>161   -772</t>
  </si>
  <si>
    <t>-727   -558     59   -30</t>
  </si>
  <si>
    <t>0   1309      0    407      0</t>
  </si>
  <si>
    <t>0  -4014</t>
  </si>
  <si>
    <t>554      0   -208</t>
  </si>
  <si>
    <t>0      0   -127      0   -199</t>
  </si>
  <si>
    <t>260   -271</t>
  </si>
  <si>
    <t>0      0  11219      0  -3782</t>
  </si>
  <si>
    <t>169    -24</t>
  </si>
  <si>
    <t>0   3069   3295   -39</t>
  </si>
  <si>
    <t>2      0      0      0     35</t>
  </si>
  <si>
    <t>138  -1580</t>
  </si>
  <si>
    <t>313    229      0  -179</t>
  </si>
  <si>
    <t>6      0      0   -373      0</t>
  </si>
  <si>
    <t>336      0</t>
  </si>
  <si>
    <t>-491      0      0</t>
  </si>
  <si>
    <t>0   8616</t>
  </si>
  <si>
    <t>0  -3877    419    -4</t>
  </si>
  <si>
    <t>8      0 -89024  -3923      0</t>
  </si>
  <si>
    <t>0      0  21614  1930</t>
  </si>
  <si>
    <t>9  -2724   -562  -1376 -20417</t>
  </si>
  <si>
    <t>0      0   2945</t>
  </si>
  <si>
    <t>0   2337      0      0   3051</t>
  </si>
  <si>
    <t>353      0</t>
  </si>
  <si>
    <t>0   -729</t>
  </si>
  <si>
    <t>3972     -1    -10   -88</t>
  </si>
  <si>
    <t>8      0      0   -342      0</t>
  </si>
  <si>
    <t>-16    100      0</t>
  </si>
  <si>
    <t>0     49      0    -1</t>
  </si>
  <si>
    <t>0      0    428    341    185</t>
  </si>
  <si>
    <t>0   -157</t>
  </si>
  <si>
    <t>3804   -134   -173   106</t>
  </si>
  <si>
    <t>8   1760      0   -255      0</t>
  </si>
  <si>
    <t>0      0     12</t>
  </si>
  <si>
    <t>0      0      0     14      0</t>
  </si>
  <si>
    <t>93      0</t>
  </si>
  <si>
    <t>0    825      0    495   -768</t>
  </si>
  <si>
    <t>-956   1583      0    45</t>
  </si>
  <si>
    <t>175    304</t>
  </si>
  <si>
    <t>200      0      0   -43</t>
  </si>
  <si>
    <t>3    252      0     54    411</t>
  </si>
  <si>
    <t>52    364</t>
  </si>
  <si>
    <t>763    353    330</t>
  </si>
  <si>
    <t>3652    184   -137</t>
  </si>
  <si>
    <t>0   1037   -802    -65   -615</t>
  </si>
  <si>
    <t>387      0</t>
  </si>
  <si>
    <t>1909  -2268    -34    -6</t>
  </si>
  <si>
    <t>8      0     68  -2922      0</t>
  </si>
  <si>
    <t>-60   -289      0   -25</t>
  </si>
  <si>
    <t>4   -172    138   -225      0</t>
  </si>
  <si>
    <t>0      0   -172</t>
  </si>
  <si>
    <t>0    200     77     82      0</t>
  </si>
  <si>
    <t>569  -1494</t>
  </si>
  <si>
    <t>1  -1645  -2628      0   -121</t>
  </si>
  <si>
    <t>2376   -172      0    -3</t>
  </si>
  <si>
    <t>8      0      0    -38      0</t>
  </si>
  <si>
    <t>-27    194</t>
  </si>
  <si>
    <t>-8      0      0</t>
  </si>
  <si>
    <t>0      0      0  -1856      0</t>
  </si>
  <si>
    <t>087     62</t>
  </si>
  <si>
    <t>-184      0   1016   258</t>
  </si>
  <si>
    <t>0   -317      0      0      0</t>
  </si>
  <si>
    <t>979  -2424</t>
  </si>
  <si>
    <t>738    -86     92</t>
  </si>
  <si>
    <t>0  -2060      0      0   -275</t>
  </si>
  <si>
    <t>0   -348</t>
  </si>
  <si>
    <t>0   -343      0</t>
  </si>
  <si>
    <t>-105      0  -7312    23</t>
  </si>
  <si>
    <t>9   -224      0  -6471 -73694</t>
  </si>
  <si>
    <t>0      0      0  2271</t>
  </si>
  <si>
    <t>1  15271  -2262  -1044  -1868</t>
  </si>
  <si>
    <t>058      0</t>
  </si>
  <si>
    <t>0      0      0   116</t>
  </si>
  <si>
    <t>9      0   1750      0      0</t>
  </si>
  <si>
    <t>817   1456</t>
  </si>
  <si>
    <t>0   7710      0  -1591   1376</t>
  </si>
  <si>
    <t>240   -174</t>
  </si>
  <si>
    <t>-159      0      0   -27</t>
  </si>
  <si>
    <t>7      0      0      0      3</t>
  </si>
  <si>
    <t>85      0</t>
  </si>
  <si>
    <t>0      0    211      0      0</t>
  </si>
  <si>
    <t>43      0</t>
  </si>
  <si>
    <t>-77      0      4    93</t>
  </si>
  <si>
    <t>5     56      0   -410   1230</t>
  </si>
  <si>
    <t>223   -227</t>
  </si>
  <si>
    <t>-275   -252      0     7</t>
  </si>
  <si>
    <t>0     85</t>
  </si>
  <si>
    <t>0      0      0     9</t>
  </si>
  <si>
    <t>7      0     81      0      0</t>
  </si>
  <si>
    <t>0    103      0     -</t>
  </si>
  <si>
    <t>1   -720      0      0   -159</t>
  </si>
  <si>
    <t>-24      0      0</t>
  </si>
  <si>
    <t>0      0   -316    611    423</t>
  </si>
  <si>
    <t>-13     23      0    32</t>
  </si>
  <si>
    <t>2    198    149    119    163</t>
  </si>
  <si>
    <t>76    209</t>
  </si>
  <si>
    <t>0      0    434      0    304</t>
  </si>
  <si>
    <t>188    381</t>
  </si>
  <si>
    <t>0    174   2248   -20</t>
  </si>
  <si>
    <t>6     31    163      0   -204</t>
  </si>
  <si>
    <t>583      0   -607  -118</t>
  </si>
  <si>
    <t>3      0      0      0    127</t>
  </si>
  <si>
    <t>57      0</t>
  </si>
  <si>
    <t>112     67     18    32</t>
  </si>
  <si>
    <t>0    195</t>
  </si>
  <si>
    <t>0    489  -3041    65</t>
  </si>
  <si>
    <t>7      0    228   2212   -218</t>
  </si>
  <si>
    <t>-80    179</t>
  </si>
  <si>
    <t>-272   -263     54</t>
  </si>
  <si>
    <t>0    941      0      0  -1223</t>
  </si>
  <si>
    <t>64      0</t>
  </si>
  <si>
    <t>-47      0      0     8</t>
  </si>
  <si>
    <t>1      0    216    120    241</t>
  </si>
  <si>
    <t>0      0      0    25</t>
  </si>
  <si>
    <t>2      0    535  -5459    879</t>
  </si>
  <si>
    <t>0    659</t>
  </si>
  <si>
    <t>3430   -177      0</t>
  </si>
  <si>
    <t>0      0   -139    -70   -137</t>
  </si>
  <si>
    <t>062    610</t>
  </si>
  <si>
    <t>0   -898      0</t>
  </si>
  <si>
    <t>0    -66      0    153      0</t>
  </si>
  <si>
    <t>0      0      0      0    364</t>
  </si>
  <si>
    <t>0    295</t>
  </si>
  <si>
    <t>6700   1138      0  -306</t>
  </si>
  <si>
    <t>0    794      0      0      0</t>
  </si>
  <si>
    <t>330  -2130 -10025  -429</t>
  </si>
  <si>
    <t>4   -995   2019      0      0</t>
  </si>
  <si>
    <t>-643      0    779</t>
  </si>
  <si>
    <t>0      0   1603   -701      0</t>
  </si>
  <si>
    <t>0  -1851      0   -46</t>
  </si>
  <si>
    <t>0   -619    384     74     46</t>
  </si>
  <si>
    <t>615      0</t>
  </si>
  <si>
    <t>0   -155      0</t>
  </si>
  <si>
    <t>0      0    -43     46      0</t>
  </si>
  <si>
    <t>4      0      0     11      0</t>
  </si>
  <si>
    <t>-12      0</t>
  </si>
  <si>
    <t>-49     37   1349</t>
  </si>
  <si>
    <t>0   -130    585    300   1252</t>
  </si>
  <si>
    <t>-7    153</t>
  </si>
  <si>
    <t>0    -46      0</t>
  </si>
  <si>
    <t>0      0      0      0    -21</t>
  </si>
  <si>
    <t>0    478      0    -3</t>
  </si>
  <si>
    <t>0    129</t>
  </si>
  <si>
    <t>0   -155   -115</t>
  </si>
  <si>
    <t>0      0   -486   1168      0</t>
  </si>
  <si>
    <t>307      0</t>
  </si>
  <si>
    <t>0      0      0   -47</t>
  </si>
  <si>
    <t>3    358    352      0      0</t>
  </si>
  <si>
    <t>583    -32</t>
  </si>
  <si>
    <t>0    -74   -329    26</t>
  </si>
  <si>
    <t>7    -89    744   -138   -284</t>
  </si>
  <si>
    <t>0      0      0    73</t>
  </si>
  <si>
    <t>6      0    350    772  -2481</t>
  </si>
  <si>
    <t>0    136</t>
  </si>
  <si>
    <t>1372    -68     -1   -16</t>
  </si>
  <si>
    <t>0      0   3517    185    273</t>
  </si>
  <si>
    <t>92      0</t>
  </si>
  <si>
    <t>-141  -2380      0</t>
  </si>
  <si>
    <t>0      0    -17   -190      0</t>
  </si>
  <si>
    <t>221    829</t>
  </si>
  <si>
    <t>161    296      0</t>
  </si>
  <si>
    <t>0      0      0      0    304</t>
  </si>
  <si>
    <t>0    321</t>
  </si>
  <si>
    <t>916  -2967      0    24</t>
  </si>
  <si>
    <t>6   1798   -340   -340   -452</t>
  </si>
  <si>
    <t>121   3019</t>
  </si>
  <si>
    <t>272      0    106</t>
  </si>
  <si>
    <t>0      0  -2261     76      0</t>
  </si>
  <si>
    <t>0    503      0    68</t>
  </si>
  <si>
    <t>0    -24    217      0      0</t>
  </si>
  <si>
    <t>0    351      0   -12</t>
  </si>
  <si>
    <t>9   1264  -5242      0   1164</t>
  </si>
  <si>
    <t>520   -234</t>
  </si>
  <si>
    <t>0      0      0   314</t>
  </si>
  <si>
    <t>1   1037   1285   -185    -40</t>
  </si>
  <si>
    <t>0  -1599</t>
  </si>
  <si>
    <t>0      0   -232</t>
  </si>
  <si>
    <t>0   -325      0    471      0</t>
  </si>
  <si>
    <t>0      0    -20      0     88</t>
  </si>
  <si>
    <t>199  -8334</t>
  </si>
  <si>
    <t>0  -8640  -5200</t>
  </si>
  <si>
    <t>770 -21024</t>
  </si>
  <si>
    <t>2853    376  -3118  -168</t>
  </si>
  <si>
    <t>260      0</t>
  </si>
  <si>
    <t>5667      0      0    53</t>
  </si>
  <si>
    <t>2   3250      0      0      0</t>
  </si>
  <si>
    <t>0   2999</t>
  </si>
  <si>
    <t>0   3181 -11713   678</t>
  </si>
  <si>
    <t>3   -869  -4651  -1431  -2473</t>
  </si>
  <si>
    <t>1040      0      0</t>
  </si>
  <si>
    <t>0    887     31      0      0</t>
  </si>
  <si>
    <t>0      0  -2190</t>
  </si>
  <si>
    <t>0      0    249      0   -256</t>
  </si>
  <si>
    <t>0     -7</t>
  </si>
  <si>
    <t>2705   -715      0   156</t>
  </si>
  <si>
    <t>2  -1327  -2591  -2672  -1642</t>
  </si>
  <si>
    <t>772      0</t>
  </si>
  <si>
    <t>30      0      0</t>
  </si>
  <si>
    <t>0      0      0    143      0</t>
  </si>
  <si>
    <t>35      0    -24</t>
  </si>
  <si>
    <t>723    292      0</t>
  </si>
  <si>
    <t>0  -2833  -2113      0   1907</t>
  </si>
  <si>
    <t>0      0   2383   -66</t>
  </si>
  <si>
    <t>9   -511      0      0   -174</t>
  </si>
  <si>
    <t>-37    344    277    26</t>
  </si>
  <si>
    <t>1    698    495   -154      0</t>
  </si>
  <si>
    <t>0      0   2363</t>
  </si>
  <si>
    <t>0    318    181    -64      0</t>
  </si>
  <si>
    <t>127  -1771</t>
  </si>
  <si>
    <t>4669   -753  -4636</t>
  </si>
  <si>
    <t>0  -4095  -1487   1144   -160</t>
  </si>
  <si>
    <t>0    180</t>
  </si>
  <si>
    <t>2847      0      0</t>
  </si>
  <si>
    <t>0      8     50      0   -645</t>
  </si>
  <si>
    <t>269     21</t>
  </si>
  <si>
    <t>525      0      0</t>
  </si>
  <si>
    <t>0      0      0   1462      0</t>
  </si>
  <si>
    <t>542    435</t>
  </si>
  <si>
    <t>178      0    129  -240</t>
  </si>
  <si>
    <t>8  -3015    405  -3375  -1010</t>
  </si>
  <si>
    <t>749  -1440</t>
  </si>
  <si>
    <t>0   -241      0</t>
  </si>
  <si>
    <t>0  -2261    137      0    244</t>
  </si>
  <si>
    <t>-52      0     96    -9</t>
  </si>
  <si>
    <t>0    368      0      0      0</t>
  </si>
  <si>
    <t>-86      0   1061    41</t>
  </si>
  <si>
    <t>0    592      0  -1488  -2133</t>
  </si>
  <si>
    <t>542      0</t>
  </si>
  <si>
    <t>0      0  -2613   -98</t>
  </si>
  <si>
    <t>6   1657   -172    -57      0</t>
  </si>
  <si>
    <t>833      0</t>
  </si>
  <si>
    <t>0    408      0   -57</t>
  </si>
  <si>
    <t>4      0    220      0      0</t>
  </si>
  <si>
    <t>0   1098      0    675    116</t>
  </si>
  <si>
    <t>458      0</t>
  </si>
  <si>
    <t>3532  -2480      0</t>
  </si>
  <si>
    <t>0      0      0      0  13209</t>
  </si>
  <si>
    <t>353   5733</t>
  </si>
  <si>
    <t>2323  -8215 -15819</t>
  </si>
  <si>
    <t>0      0      0      0  -2411</t>
  </si>
  <si>
    <t>0 -19355</t>
  </si>
  <si>
    <t>0      0  -8455  -792</t>
  </si>
  <si>
    <t>229      0</t>
  </si>
  <si>
    <t>5896  -2309  -4590   257</t>
  </si>
  <si>
    <t>5   -195 -14996  -2092  -1594</t>
  </si>
  <si>
    <t>184      0      0</t>
  </si>
  <si>
    <t>0   1601   1098      0      0</t>
  </si>
  <si>
    <t>0      0    741</t>
  </si>
  <si>
    <t>0      0    473      0   -446</t>
  </si>
  <si>
    <t>0    154</t>
  </si>
  <si>
    <t>-120   -266      0   191</t>
  </si>
  <si>
    <t>4    327  -2825  -2500  -2548</t>
  </si>
  <si>
    <t>085      0</t>
  </si>
  <si>
    <t>148      0      0</t>
  </si>
  <si>
    <t>0      0      0    407      0</t>
  </si>
  <si>
    <t>36      0    176</t>
  </si>
  <si>
    <t>104    372      0</t>
  </si>
  <si>
    <t>0  -3464     10      0   1961</t>
  </si>
  <si>
    <t>0      0   2956  -120</t>
  </si>
  <si>
    <t>0  -1344      0      0  -1711</t>
  </si>
  <si>
    <t>165    591   -750   -31</t>
  </si>
  <si>
    <t>8    683    861   -642      0</t>
  </si>
  <si>
    <t>0      0   1839</t>
  </si>
  <si>
    <t>0   -632    195    622      0</t>
  </si>
  <si>
    <t>221   1478</t>
  </si>
  <si>
    <t>4092  -4360  -5221</t>
  </si>
  <si>
    <t>0  -1695  -1304    368     -5</t>
  </si>
  <si>
    <t>0     71</t>
  </si>
  <si>
    <t>1076      0      0</t>
  </si>
  <si>
    <t>0   1057   1990      0  -1825</t>
  </si>
  <si>
    <t>316   -387</t>
  </si>
  <si>
    <t>416      0      0</t>
  </si>
  <si>
    <t>0      0      0   2053      0</t>
  </si>
  <si>
    <t>844     36</t>
  </si>
  <si>
    <t>-222      0  -1108    43</t>
  </si>
  <si>
    <t>8 -23390  -5001  -5088  -2829</t>
  </si>
  <si>
    <t>178  -1763</t>
  </si>
  <si>
    <t>0   -913    -59      0   2622</t>
  </si>
  <si>
    <t>1098      0    638    29</t>
  </si>
  <si>
    <t>1   -257      0      0      0</t>
  </si>
  <si>
    <t>834      0    176     5</t>
  </si>
  <si>
    <t>6   -223      0  -3076   -535</t>
  </si>
  <si>
    <t>0      0   -434    21</t>
  </si>
  <si>
    <t>4   1537   -433   -159      0</t>
  </si>
  <si>
    <t>-83      0</t>
  </si>
  <si>
    <t>0   1829      0   131</t>
  </si>
  <si>
    <t>5      0   -677      0      0</t>
  </si>
  <si>
    <t>0   1289      0   -467     90</t>
  </si>
  <si>
    <t>3529  -1053      0</t>
  </si>
  <si>
    <t>0      0      0      0   3434</t>
  </si>
  <si>
    <t>035    217</t>
  </si>
  <si>
    <t>0      0      0      0   -929</t>
  </si>
  <si>
    <t>0  -4194</t>
  </si>
  <si>
    <t>0      0  -3281  -366</t>
  </si>
  <si>
    <t>581      0</t>
  </si>
  <si>
    <t>-518   -503   -665  2215</t>
  </si>
  <si>
    <t>0   -828     92  -7862  -5108</t>
  </si>
  <si>
    <t>645      0</t>
  </si>
  <si>
    <t>0   -742      0</t>
  </si>
  <si>
    <t>0      0   4274   1306      0</t>
  </si>
  <si>
    <t>0      0      0  -751</t>
  </si>
  <si>
    <t>6      0      0    757      0</t>
  </si>
  <si>
    <t>757      0</t>
  </si>
  <si>
    <t>-364   2664    593</t>
  </si>
  <si>
    <t>0   2864    494  -3624  -3458</t>
  </si>
  <si>
    <t>368  -1068</t>
  </si>
  <si>
    <t>0     46      0</t>
  </si>
  <si>
    <t>0      0      0      0     62</t>
  </si>
  <si>
    <t>0   -586      0    14</t>
  </si>
  <si>
    <t>0    912</t>
  </si>
  <si>
    <t>0   -299    951</t>
  </si>
  <si>
    <t>0      0  -6112   2166      0</t>
  </si>
  <si>
    <t>0      0      0   260</t>
  </si>
  <si>
    <t>0  -1136   -781      0      0</t>
  </si>
  <si>
    <t>584   3271</t>
  </si>
  <si>
    <t>0  -1544  -2293   -84</t>
  </si>
  <si>
    <t>7  -1072  -1025     50  -1947</t>
  </si>
  <si>
    <t>0      0      0   237</t>
  </si>
  <si>
    <t>5      0  -2237    136     62</t>
  </si>
  <si>
    <t>0  -4671</t>
  </si>
  <si>
    <t>3747  -3464 -23761 -1140</t>
  </si>
  <si>
    <t>1      0  -2468  -2210    133</t>
  </si>
  <si>
    <t>297   -600      0</t>
  </si>
  <si>
    <t>0      0   -594   -233      0</t>
  </si>
  <si>
    <t>323  -1517</t>
  </si>
  <si>
    <t>-438    113      0</t>
  </si>
  <si>
    <t>0      0      0      0   2332</t>
  </si>
  <si>
    <t>0  -1255</t>
  </si>
  <si>
    <t>4   -306      0  -221</t>
  </si>
  <si>
    <t>2   1263  -3902 -23262 -10897</t>
  </si>
  <si>
    <t>670  -2690</t>
  </si>
  <si>
    <t>2295      0    201</t>
  </si>
  <si>
    <t>0      0   -310     79      0</t>
  </si>
  <si>
    <t>675      0</t>
  </si>
  <si>
    <t>0   -818      0   -37</t>
  </si>
  <si>
    <t>4     -1    -85      0      0</t>
  </si>
  <si>
    <t>0   -679      0   111</t>
  </si>
  <si>
    <t>1   -137    -95      0  -9869</t>
  </si>
  <si>
    <t>211   1762</t>
  </si>
  <si>
    <t>0      0      0    98</t>
  </si>
  <si>
    <t>8   2544   4532  -1787  -1476</t>
  </si>
  <si>
    <t>0    487</t>
  </si>
  <si>
    <t>0      0   1138</t>
  </si>
  <si>
    <t>0    823      0    806      0</t>
  </si>
  <si>
    <t>0      0   1652      0   -406</t>
  </si>
  <si>
    <t>-42    295</t>
  </si>
  <si>
    <t>0  -8678  -2057</t>
  </si>
  <si>
    <t>242  11665</t>
  </si>
  <si>
    <t>1982  -2029   -215  -366</t>
  </si>
  <si>
    <t>641      0</t>
  </si>
  <si>
    <t>1513      0      0   500</t>
  </si>
  <si>
    <t>2   2828      0      0      0</t>
  </si>
  <si>
    <t>0   1288</t>
  </si>
  <si>
    <t>0   1091   -544   -18</t>
  </si>
  <si>
    <t>8  14321  23300  -1672     84</t>
  </si>
  <si>
    <t>093  -4745</t>
  </si>
  <si>
    <t>3674      0      0   -91</t>
  </si>
  <si>
    <t>2      0      0      0   4419</t>
  </si>
  <si>
    <t>535      0</t>
  </si>
  <si>
    <t>0      0  -7509      0      0</t>
  </si>
  <si>
    <t>715      0</t>
  </si>
  <si>
    <t>-761      0   -213   315</t>
  </si>
  <si>
    <t>7    949      0   2604    427</t>
  </si>
  <si>
    <t>765  -3316</t>
  </si>
  <si>
    <t>4107  -1128      0    10</t>
  </si>
  <si>
    <t>0    591</t>
  </si>
  <si>
    <t>0      0      0    31</t>
  </si>
  <si>
    <t>2      0    132      0      0</t>
  </si>
  <si>
    <t>0    846      0     2</t>
  </si>
  <si>
    <t>0    948      0      0  -6492</t>
  </si>
  <si>
    <t>0      0   5071  -2538  -1522</t>
  </si>
  <si>
    <t>-935   5522      0   -61</t>
  </si>
  <si>
    <t>7   -797   -470   -113    198</t>
  </si>
  <si>
    <t>721  -5940</t>
  </si>
  <si>
    <t>0      0   3091      0  -1913</t>
  </si>
  <si>
    <t>25    720</t>
  </si>
  <si>
    <t>0  -3692   3223  -390</t>
  </si>
  <si>
    <t>6 -12383 -28833      0  -2263</t>
  </si>
  <si>
    <t>727    179</t>
  </si>
  <si>
    <t>197      0    -21   -61</t>
  </si>
  <si>
    <t>0      0      0      0   1782</t>
  </si>
  <si>
    <t>317      0</t>
  </si>
  <si>
    <t>-60   -536   -500   100</t>
  </si>
  <si>
    <t>0   2477</t>
  </si>
  <si>
    <t>0  -1061     43   -30</t>
  </si>
  <si>
    <t>8      0  -1509   1443  -3849</t>
  </si>
  <si>
    <t>992 -25704</t>
  </si>
  <si>
    <t>3693  -2851  -3141</t>
  </si>
  <si>
    <t>0    117      0      0   -454</t>
  </si>
  <si>
    <t>2562      0      0   -49</t>
  </si>
  <si>
    <t>9      0    619    291    -52</t>
  </si>
  <si>
    <t>0      0      0     1</t>
  </si>
  <si>
    <t>1      0    865    -76   -384</t>
  </si>
  <si>
    <t>0  -8001</t>
  </si>
  <si>
    <t>-335   1637      0</t>
  </si>
  <si>
    <t>0      0    741   1666   4398</t>
  </si>
  <si>
    <t>787   -449</t>
  </si>
  <si>
    <t>0    527      0</t>
  </si>
  <si>
    <t>0    922      0      4      0</t>
  </si>
  <si>
    <t>736      0</t>
  </si>
  <si>
    <t>0      0      0      0   1881</t>
  </si>
  <si>
    <t>0   -256</t>
  </si>
  <si>
    <t>-110    187      0  -655</t>
  </si>
  <si>
    <t>9  -1624      0      0      0</t>
  </si>
  <si>
    <t>3600   9175   -665   -57</t>
  </si>
  <si>
    <t>4   -341  -1696      0      0</t>
  </si>
  <si>
    <t>1552      0  -2644</t>
  </si>
  <si>
    <t>0      0  -7110   1960      0</t>
  </si>
  <si>
    <t>0   1112      0    72</t>
  </si>
  <si>
    <t>0   -653   -369  15930  24506</t>
  </si>
  <si>
    <t>293  -1264</t>
  </si>
  <si>
    <t>2      0      0   -572      0</t>
  </si>
  <si>
    <t>2220    848      0</t>
  </si>
  <si>
    <t>485      0</t>
  </si>
  <si>
    <t>0   2132      0  -219</t>
  </si>
  <si>
    <t>9      0      8   2198   1186</t>
  </si>
  <si>
    <t>0   9103</t>
  </si>
  <si>
    <t>1710 -16088  -6311  -650</t>
  </si>
  <si>
    <t>7  -3262      0   -366      0</t>
  </si>
  <si>
    <t>0      0    -83</t>
  </si>
  <si>
    <t>0      0      0   4268      0</t>
  </si>
  <si>
    <t>0    755      0    -22  -3088</t>
  </si>
  <si>
    <t>1770     25      0   186</t>
  </si>
  <si>
    <t>111  -1484</t>
  </si>
  <si>
    <t>-864      0      0  -178</t>
  </si>
  <si>
    <t>0   4104      0    953   1305</t>
  </si>
  <si>
    <t>4    836</t>
  </si>
  <si>
    <t>847   -862    975</t>
  </si>
  <si>
    <t>526      0</t>
  </si>
  <si>
    <t>1062    691   -679</t>
  </si>
  <si>
    <t>0  -2631   -311   1073   1366</t>
  </si>
  <si>
    <t>440      0</t>
  </si>
  <si>
    <t>-454   -315   4079  -126</t>
  </si>
  <si>
    <t>6      0    595   -832      0</t>
  </si>
  <si>
    <t>302    457      0    82</t>
  </si>
  <si>
    <t>1    604  -1099    352      0</t>
  </si>
  <si>
    <t>0      0   2395</t>
  </si>
  <si>
    <t>0    -68    785      7      0</t>
  </si>
  <si>
    <t>043  -1176</t>
  </si>
  <si>
    <t>3152  -4876  -5243 -2664</t>
  </si>
  <si>
    <t>6  -6539  -7155      0    502</t>
  </si>
  <si>
    <t>1114     41      0   243</t>
  </si>
  <si>
    <t>9      0      0   -808      0</t>
  </si>
  <si>
    <t>105    410</t>
  </si>
  <si>
    <t>-216      0      0</t>
  </si>
  <si>
    <t>0      0      0     65      0</t>
  </si>
  <si>
    <t>367    -88</t>
  </si>
  <si>
    <t>-75      0  -1471   -40</t>
  </si>
  <si>
    <t>4    684      0      0      0</t>
  </si>
  <si>
    <t>350    411</t>
  </si>
  <si>
    <t>3019   -942   -378</t>
  </si>
  <si>
    <t>0   -135      0      0    996</t>
  </si>
  <si>
    <t>0    216</t>
  </si>
  <si>
    <t>0    361      0</t>
  </si>
  <si>
    <t>1432      0     50    45</t>
  </si>
  <si>
    <t>6    104      0  -1503  -1082</t>
  </si>
  <si>
    <t>0      0      0   161</t>
  </si>
  <si>
    <t>6   7544  -1455   -252   -473</t>
  </si>
  <si>
    <t>4      0  -1859      0      0</t>
  </si>
  <si>
    <t>578   -334</t>
  </si>
  <si>
    <t>0   1227      0    522    509</t>
  </si>
  <si>
    <t>922  11591</t>
  </si>
  <si>
    <t>5605  20888  21974    32</t>
  </si>
  <si>
    <t>0    182  -3135  -4030 -19067</t>
  </si>
  <si>
    <t>-73      0      0</t>
  </si>
  <si>
    <t>0    621   -230      0      0</t>
  </si>
  <si>
    <t>0      0  -2131</t>
  </si>
  <si>
    <t>0      0   3058      0  -3133</t>
  </si>
  <si>
    <t>0    -24</t>
  </si>
  <si>
    <t>1165    229      0   835</t>
  </si>
  <si>
    <t>0   2437  -5559 -16659  -5841</t>
  </si>
  <si>
    <t>879      0</t>
  </si>
  <si>
    <t>-153      0      0</t>
  </si>
  <si>
    <t>769      0   -606</t>
  </si>
  <si>
    <t>413      0</t>
  </si>
  <si>
    <t>46  -2566      0</t>
  </si>
  <si>
    <t>0  -2298   -640      0   3777</t>
  </si>
  <si>
    <t>0      0   7419  -116</t>
  </si>
  <si>
    <t>4  -1103      0      0    339</t>
  </si>
  <si>
    <t>729   2755    240   248</t>
  </si>
  <si>
    <t>5   1814   2511   4392      0</t>
  </si>
  <si>
    <t>0      0   2233</t>
  </si>
  <si>
    <t>0    398    378  -2892      0</t>
  </si>
  <si>
    <t>838   1443</t>
  </si>
  <si>
    <t>0 -28448  -8503    998   -542</t>
  </si>
  <si>
    <t>0    327</t>
  </si>
  <si>
    <t>2960      0      0</t>
  </si>
  <si>
    <t>0   -321  -1106      0  -1076</t>
  </si>
  <si>
    <t>493   -588</t>
  </si>
  <si>
    <t>-588      0      0</t>
  </si>
  <si>
    <t>0      0      0   3634      0</t>
  </si>
  <si>
    <t>408    221</t>
  </si>
  <si>
    <t>592      0    108   -32</t>
  </si>
  <si>
    <t>5  -1976  -3351  -3938  -7004</t>
  </si>
  <si>
    <t>772  -9953</t>
  </si>
  <si>
    <t>0    187      0</t>
  </si>
  <si>
    <t>0  -2940    -72      0  -2081</t>
  </si>
  <si>
    <t>1139      0   1063   -15</t>
  </si>
  <si>
    <t>6    183      0      0      0</t>
  </si>
  <si>
    <t>1911      0   1863    10</t>
  </si>
  <si>
    <t>5    555      0   -326   1031</t>
  </si>
  <si>
    <t>264      0</t>
  </si>
  <si>
    <t>0      0 -22723  -628</t>
  </si>
  <si>
    <t>4    819   -712   -392      0</t>
  </si>
  <si>
    <t>0  -2560      0  -165</t>
  </si>
  <si>
    <t>8      0  -1445      0      0</t>
  </si>
  <si>
    <t>0   2335      0   -535    105</t>
  </si>
  <si>
    <t>666      0</t>
  </si>
  <si>
    <t>2876  -2319      0</t>
  </si>
  <si>
    <t>0      0      0      0   4240</t>
  </si>
  <si>
    <t>017    534</t>
  </si>
  <si>
    <t>0      0      0      0   2178</t>
  </si>
  <si>
    <t>0      0   3226    -2</t>
  </si>
  <si>
    <t>032      0</t>
  </si>
  <si>
    <t>2308    -71  -5502  1081</t>
  </si>
  <si>
    <t>4   9850  18179  16212  32732</t>
  </si>
  <si>
    <t>435    205</t>
  </si>
  <si>
    <t>3200  -5215  -6420</t>
  </si>
  <si>
    <t>0      0   -305      0      0</t>
  </si>
  <si>
    <t>0   1039</t>
  </si>
  <si>
    <t>0      0      0      0  -3048</t>
  </si>
  <si>
    <t>1280      0  -1281</t>
  </si>
  <si>
    <t>0     23   1006    157      0</t>
  </si>
  <si>
    <t>279    212</t>
  </si>
  <si>
    <t>3631  -4847 -17462  -146</t>
  </si>
  <si>
    <t>8      0    476      0      0</t>
  </si>
  <si>
    <t>0    -45      0</t>
  </si>
  <si>
    <t>0      0  -1109      0   -262</t>
  </si>
  <si>
    <t>0      0      0   124</t>
  </si>
  <si>
    <t>8      0    999    288      0</t>
  </si>
  <si>
    <t>0   5636</t>
  </si>
  <si>
    <t>2069      0   3485</t>
  </si>
  <si>
    <t>0      0      0      0  14762</t>
  </si>
  <si>
    <t>278   -647</t>
  </si>
  <si>
    <t>0      0     18   239</t>
  </si>
  <si>
    <t>7      0   -139   2335    128</t>
  </si>
  <si>
    <t>295   4183</t>
  </si>
  <si>
    <t>3264   4243      0</t>
  </si>
  <si>
    <t>0      0      0      0  -9172</t>
  </si>
  <si>
    <t>0  -4600</t>
  </si>
  <si>
    <t>276  -3280      0  -283</t>
  </si>
  <si>
    <t>4   1211  -1243  -5124  -4466</t>
  </si>
  <si>
    <t>0  -4074</t>
  </si>
  <si>
    <t>2123   1318   -472</t>
  </si>
  <si>
    <t>0    254   2001      0      0</t>
  </si>
  <si>
    <t>-791      0  -1049  -172</t>
  </si>
  <si>
    <t>7   -463   -570      0      0</t>
  </si>
  <si>
    <t>0   1749      0  -103</t>
  </si>
  <si>
    <t>1   -257    588      0  -5971</t>
  </si>
  <si>
    <t>328  -1871</t>
  </si>
  <si>
    <t>5028  -5123  -3862  -593</t>
  </si>
  <si>
    <t>8 -22511      0    116      0</t>
  </si>
  <si>
    <t>0   1619</t>
  </si>
  <si>
    <t>-166      0  -1980</t>
  </si>
  <si>
    <t>0      0   -995      0   -601</t>
  </si>
  <si>
    <t>362     78</t>
  </si>
  <si>
    <t>0      0   4954      0  -1331</t>
  </si>
  <si>
    <t>322    489</t>
  </si>
  <si>
    <t>0  -3600   -206    24</t>
  </si>
  <si>
    <t>0      0      0      0  -4118</t>
  </si>
  <si>
    <t>453   1207</t>
  </si>
  <si>
    <t>-791   -368      0   165</t>
  </si>
  <si>
    <t>5      0      0  -2236      0</t>
  </si>
  <si>
    <t>663      0</t>
  </si>
  <si>
    <t>1260      0      0</t>
  </si>
  <si>
    <t>0   -477    -72    22</t>
  </si>
  <si>
    <t>6      0  -8127    992      0</t>
  </si>
  <si>
    <t>0      0 -21286   736</t>
  </si>
  <si>
    <t>1   -214     59    531   2114</t>
  </si>
  <si>
    <t>0      0    392</t>
  </si>
  <si>
    <t>0   -850      0      0    268</t>
  </si>
  <si>
    <t>0      0      0   570</t>
  </si>
  <si>
    <t>2      0  -2093   -158    733</t>
  </si>
  <si>
    <t>605   8931</t>
  </si>
  <si>
    <t>1226  18998  27563  3597</t>
  </si>
  <si>
    <t>0   2527    433   1935   1651</t>
  </si>
  <si>
    <t>0    248      0</t>
  </si>
  <si>
    <t>0      0  -9010  -1370      0</t>
  </si>
  <si>
    <t>0      0      0    41</t>
  </si>
  <si>
    <t>7      0      0   -121      0</t>
  </si>
  <si>
    <t>152   -439   -211</t>
  </si>
  <si>
    <t>0  -1413   -118    934    960</t>
  </si>
  <si>
    <t>175   1922</t>
  </si>
  <si>
    <t>0    414      0</t>
  </si>
  <si>
    <t>0      0      0      0    648</t>
  </si>
  <si>
    <t>0    360      0    -5</t>
  </si>
  <si>
    <t>0    -36</t>
  </si>
  <si>
    <t>0    168    451</t>
  </si>
  <si>
    <t>0      0  -1161    563      0</t>
  </si>
  <si>
    <t>0      0      0   208</t>
  </si>
  <si>
    <t>9   -837    -79      0      0</t>
  </si>
  <si>
    <t>51    199</t>
  </si>
  <si>
    <t>0   -168    158   -70</t>
  </si>
  <si>
    <t>1    191    244    184   -357</t>
  </si>
  <si>
    <t>0      0      0   146</t>
  </si>
  <si>
    <t>7      0   -752   -371    239</t>
  </si>
  <si>
    <t>0  -2175</t>
  </si>
  <si>
    <t>85    599   1127   121</t>
  </si>
  <si>
    <t>7      0    302    493   2623</t>
  </si>
  <si>
    <t>837      0</t>
  </si>
  <si>
    <t>48      4      0</t>
  </si>
  <si>
    <t>0      0   -514    -98      0</t>
  </si>
  <si>
    <t>-62    297</t>
  </si>
  <si>
    <t>459   -772      0</t>
  </si>
  <si>
    <t>0      0      0      0   2048</t>
  </si>
  <si>
    <t>0    -96</t>
  </si>
  <si>
    <t>68    827      0    12</t>
  </si>
  <si>
    <t>4    625   2404   4760   2342</t>
  </si>
  <si>
    <t>033  -1418</t>
  </si>
  <si>
    <t>1490      0    306</t>
  </si>
  <si>
    <t>0      0    215    446      0</t>
  </si>
  <si>
    <t>0  -2444      0    -2</t>
  </si>
  <si>
    <t>7   -552   2180      0      0</t>
  </si>
  <si>
    <t>0    834      0    64</t>
  </si>
  <si>
    <t>7    -69     79      0   1563</t>
  </si>
  <si>
    <t>659    970</t>
  </si>
  <si>
    <t>0      0      0  -292</t>
  </si>
  <si>
    <t>4  -3562  -2143    336    104</t>
  </si>
  <si>
    <t>0    110</t>
  </si>
  <si>
    <t>0      0 -19315</t>
  </si>
  <si>
    <t>0  -5291      0  -5141      0</t>
  </si>
  <si>
    <t>0      0   1135      0   -413</t>
  </si>
  <si>
    <t>15   -230</t>
  </si>
  <si>
    <t>0  -1282   -488</t>
  </si>
  <si>
    <t>202   3047</t>
  </si>
  <si>
    <t>1200    -89    -69   -15</t>
  </si>
  <si>
    <t>366      0</t>
  </si>
  <si>
    <t>432      0      0   -82</t>
  </si>
  <si>
    <t>6    200      0      0      0</t>
  </si>
  <si>
    <t>0   1420</t>
  </si>
  <si>
    <t>0    846    199    97</t>
  </si>
  <si>
    <t>1  -1018 -10654 -11379 -11334</t>
  </si>
  <si>
    <t>849  10663</t>
  </si>
  <si>
    <t>9557      0      0</t>
  </si>
  <si>
    <t>021    -66</t>
  </si>
  <si>
    <t>951    471   -252</t>
  </si>
  <si>
    <t>0      0     22      0      0</t>
  </si>
  <si>
    <t>0  -1282</t>
  </si>
  <si>
    <t>8759      0      0</t>
  </si>
  <si>
    <t>0      0      0      0      8</t>
  </si>
  <si>
    <t>365      0   -359</t>
  </si>
  <si>
    <t>0   -201    -49    -42      0</t>
  </si>
  <si>
    <t>79     90</t>
  </si>
  <si>
    <t>119   -261   -174    14</t>
  </si>
  <si>
    <t>2      0     48      0      0</t>
  </si>
  <si>
    <t>0  -7021      0</t>
  </si>
  <si>
    <t>0      0    955      0     12</t>
  </si>
  <si>
    <t>7      0     81    210      0</t>
  </si>
  <si>
    <t>0    942</t>
  </si>
  <si>
    <t>1428      0   -929</t>
  </si>
  <si>
    <t>0      0      0      0   -315</t>
  </si>
  <si>
    <t>138    -36</t>
  </si>
  <si>
    <t>0      0    363   -65</t>
  </si>
  <si>
    <t>3      0 -24626   6721   -986</t>
  </si>
  <si>
    <t>911   1514</t>
  </si>
  <si>
    <t>588    294      0</t>
  </si>
  <si>
    <t>0      0      0      0     64</t>
  </si>
  <si>
    <t>0   -114</t>
  </si>
  <si>
    <t>-407   -376      0     9</t>
  </si>
  <si>
    <t>9   -299    997   -519   2038</t>
  </si>
  <si>
    <t>0   -370</t>
  </si>
  <si>
    <t>-106    162    -69</t>
  </si>
  <si>
    <t>0     34    139      0      0</t>
  </si>
  <si>
    <t>0 -22425</t>
  </si>
  <si>
    <t>4685      0  -1255   168</t>
  </si>
  <si>
    <t>4    584   -562      0      0</t>
  </si>
  <si>
    <t>0     91      0    29</t>
  </si>
  <si>
    <t>4    183     18      0    400</t>
  </si>
  <si>
    <t>1    128</t>
  </si>
  <si>
    <t>-232     56    393   -29</t>
  </si>
  <si>
    <t>5   -364      0   -574      0</t>
  </si>
  <si>
    <t>0    181</t>
  </si>
  <si>
    <t>885      0  -1045</t>
  </si>
  <si>
    <t>0      0    298      0   -493</t>
  </si>
  <si>
    <t>528    735</t>
  </si>
  <si>
    <t>0      0   -227      0     29</t>
  </si>
  <si>
    <t>351    350</t>
  </si>
  <si>
    <t>0    282    125    13</t>
  </si>
  <si>
    <t>7      0      0      0   -112</t>
  </si>
  <si>
    <t>110    202</t>
  </si>
  <si>
    <t>-235   -224      0    21</t>
  </si>
  <si>
    <t>8      0      0   -539      0</t>
  </si>
  <si>
    <t>174      0</t>
  </si>
  <si>
    <t>-245      0      0</t>
  </si>
  <si>
    <t>0     64</t>
  </si>
  <si>
    <t>0    -62   -234    10</t>
  </si>
  <si>
    <t>9      0    -67   -219      0</t>
  </si>
  <si>
    <t>0      0    270   106</t>
  </si>
  <si>
    <t>4   -564   -533    199    -18</t>
  </si>
  <si>
    <t>0      0    786</t>
  </si>
  <si>
    <t>0    -16      0      0   2283</t>
  </si>
  <si>
    <t>0      0      0    16</t>
  </si>
  <si>
    <t>5      0    229   -336    167</t>
  </si>
  <si>
    <t>486  -4703</t>
  </si>
  <si>
    <t>718  -7307    436   230</t>
  </si>
  <si>
    <t>6   1358      0      0      0</t>
  </si>
  <si>
    <t>0      0   9362    65</t>
  </si>
  <si>
    <t>6   -608    715    692   1071</t>
  </si>
  <si>
    <t>145      0      0</t>
  </si>
  <si>
    <t>0    697     61      0      0</t>
  </si>
  <si>
    <t>0      0    186</t>
  </si>
  <si>
    <t>0      0   -159      0    -71</t>
  </si>
  <si>
    <t>0   -325</t>
  </si>
  <si>
    <t>-753    149      0  -130</t>
  </si>
  <si>
    <t>8   -647    708   1033   1072</t>
  </si>
  <si>
    <t>518      0</t>
  </si>
  <si>
    <t>1      0      0</t>
  </si>
  <si>
    <t>0      0      0    747      0</t>
  </si>
  <si>
    <t>302      0    448</t>
  </si>
  <si>
    <t>418      0</t>
  </si>
  <si>
    <t>-290    172      0</t>
  </si>
  <si>
    <t>0   -331   3015      0  -1339</t>
  </si>
  <si>
    <t>0      0   -473   -16</t>
  </si>
  <si>
    <t>5    -32      0      0    529</t>
  </si>
  <si>
    <t>572      0</t>
  </si>
  <si>
    <t>5215 -24985  -1734  -182</t>
  </si>
  <si>
    <t>9    -91    -75    714      0</t>
  </si>
  <si>
    <t>0      0   2022</t>
  </si>
  <si>
    <t>0  -1575  -1113   -600      0</t>
  </si>
  <si>
    <t>659   -162</t>
  </si>
  <si>
    <t>1742  -1393   1461</t>
  </si>
  <si>
    <t>0   -557   -772    617   -417</t>
  </si>
  <si>
    <t>490      0      0</t>
  </si>
  <si>
    <t>0   4942 -24665      0  -3986</t>
  </si>
  <si>
    <t>188   -312</t>
  </si>
  <si>
    <t>-739      0      0</t>
  </si>
  <si>
    <t>0      0      0   1225      0</t>
  </si>
  <si>
    <t>565   -147</t>
  </si>
  <si>
    <t>154      0   -218   -90</t>
  </si>
  <si>
    <t>3    -21   1135  -1092    -11</t>
  </si>
  <si>
    <t>870   1107</t>
  </si>
  <si>
    <t>0    768      0</t>
  </si>
  <si>
    <t>0    765    430      0  -1508</t>
  </si>
  <si>
    <t>1      0    877    13</t>
  </si>
  <si>
    <t>9   4422      0      0      0</t>
  </si>
  <si>
    <t>-43      0     68   -16</t>
  </si>
  <si>
    <t>3   1434      0    687  -1057</t>
  </si>
  <si>
    <t>0      0  -1206  -123</t>
  </si>
  <si>
    <t>0   -717   -127   -199      0</t>
  </si>
  <si>
    <t>0  -5768      0 -1298</t>
  </si>
  <si>
    <t>4      0  -4220      0      0</t>
  </si>
  <si>
    <t>0    472      0   -693    202</t>
  </si>
  <si>
    <t>-31   -943      0</t>
  </si>
  <si>
    <t>0      0      0      0  -1025</t>
  </si>
  <si>
    <t>690     47</t>
  </si>
  <si>
    <t>227    438   1378</t>
  </si>
  <si>
    <t>0      0      0      0 -26020</t>
  </si>
  <si>
    <t>0  -4585</t>
  </si>
  <si>
    <t>0      0   1577    35</t>
  </si>
  <si>
    <t>271      0</t>
  </si>
  <si>
    <t>447    200    600   -18</t>
  </si>
  <si>
    <t>1  -8094   2417  -9897  -5611</t>
  </si>
  <si>
    <t>745   7715</t>
  </si>
  <si>
    <t>0      0      0      0  25428</t>
  </si>
  <si>
    <t>574     50</t>
  </si>
  <si>
    <t>-90    241    429    35</t>
  </si>
  <si>
    <t>8      0      0    550      0</t>
  </si>
  <si>
    <t>302    154      0</t>
  </si>
  <si>
    <t>0    -40      0     -</t>
  </si>
  <si>
    <t>2      0    -53   -426   -506</t>
  </si>
  <si>
    <t>0  -1009</t>
  </si>
  <si>
    <t>-237    367    647    96</t>
  </si>
  <si>
    <t>4    918      0     15      0</t>
  </si>
  <si>
    <t>0      0    159</t>
  </si>
  <si>
    <t>0      0      0    888      0</t>
  </si>
  <si>
    <t>0    605      0     43     50</t>
  </si>
  <si>
    <t>322    886      0   -52</t>
  </si>
  <si>
    <t>122   -229</t>
  </si>
  <si>
    <t>-157      0      0</t>
  </si>
  <si>
    <t>6    395      0   -969  -1104</t>
  </si>
  <si>
    <t>849   6915</t>
  </si>
  <si>
    <t>798    323   -124</t>
  </si>
  <si>
    <t>299      0</t>
  </si>
  <si>
    <t>-220   -218    163</t>
  </si>
  <si>
    <t>0   -308    -73    -52    385</t>
  </si>
  <si>
    <t>150      0</t>
  </si>
  <si>
    <t>82    250    971   -10</t>
  </si>
  <si>
    <t>2      0    188   -137      0</t>
  </si>
  <si>
    <t>572    -14      0   111</t>
  </si>
  <si>
    <t>6    -91  -2376   1178      0</t>
  </si>
  <si>
    <t>0      0    563</t>
  </si>
  <si>
    <t>0     16   -239   -863      0</t>
  </si>
  <si>
    <t>328   -148</t>
  </si>
  <si>
    <t>1266  -1066   -594   -87</t>
  </si>
  <si>
    <t>2  -1242  -1156      0     62</t>
  </si>
  <si>
    <t>-183   -133      0  -293</t>
  </si>
  <si>
    <t>8      0      0 -20742      0</t>
  </si>
  <si>
    <t>406   -165</t>
  </si>
  <si>
    <t>-345      0      0</t>
  </si>
  <si>
    <t>0      0      0    488      0</t>
  </si>
  <si>
    <t>436     75</t>
  </si>
  <si>
    <t>586      0    256    11</t>
  </si>
  <si>
    <t>1    130      0      0      0</t>
  </si>
  <si>
    <t>29     86</t>
  </si>
  <si>
    <t>570   -412   -589</t>
  </si>
  <si>
    <t>0     29      0      0    -19</t>
  </si>
  <si>
    <t>0    104      0</t>
  </si>
  <si>
    <t>296      0    -48   -21</t>
  </si>
  <si>
    <t>0   -816      0    -54   -178</t>
  </si>
  <si>
    <t>0      0      0    51</t>
  </si>
  <si>
    <t>9   1551   -507   -836    211</t>
  </si>
  <si>
    <t>202      0</t>
  </si>
  <si>
    <t>9      0    869      0      0</t>
  </si>
  <si>
    <t>310   -162</t>
  </si>
  <si>
    <t>0    444      0    249   -200</t>
  </si>
  <si>
    <t>273   -747</t>
  </si>
  <si>
    <t>1766   2503    520   270</t>
  </si>
  <si>
    <t>0   3782   2610      0      0</t>
  </si>
  <si>
    <t>0      0      0   849</t>
  </si>
  <si>
    <t>1   2800   6287    389   -489</t>
  </si>
  <si>
    <t>240    422</t>
  </si>
  <si>
    <t>1113      0      0    -2</t>
  </si>
  <si>
    <t>6      0      0      0   1271</t>
  </si>
  <si>
    <t>41      0</t>
  </si>
  <si>
    <t>0      0    387      0      0</t>
  </si>
  <si>
    <t>-27      0   -166    -8</t>
  </si>
  <si>
    <t>0   -942      0   -663   -399</t>
  </si>
  <si>
    <t>312    465</t>
  </si>
  <si>
    <t>452   1046      0    25</t>
  </si>
  <si>
    <t>0    174</t>
  </si>
  <si>
    <t>7      0    242      0      0</t>
  </si>
  <si>
    <t>0    286      0   -20</t>
  </si>
  <si>
    <t>5    -32      0      0   -553</t>
  </si>
  <si>
    <t>013      0</t>
  </si>
  <si>
    <t>-898      0      0</t>
  </si>
  <si>
    <t>0      0    576   -605   -400</t>
  </si>
  <si>
    <t>-129    806      0  -183</t>
  </si>
  <si>
    <t>2  -2346   6176 -24537   -299</t>
  </si>
  <si>
    <t>-36     53</t>
  </si>
  <si>
    <t>0      0   1370      0   -978</t>
  </si>
  <si>
    <t>583   -457</t>
  </si>
  <si>
    <t>0  -1022    287  -224</t>
  </si>
  <si>
    <t>7  -2226   -683      0   -874</t>
  </si>
  <si>
    <t>014    406</t>
  </si>
  <si>
    <t>-459      0     24    16</t>
  </si>
  <si>
    <t>9      0      0      0  -1006</t>
  </si>
  <si>
    <t>207      0</t>
  </si>
  <si>
    <t>3734  -1109    362   -90</t>
  </si>
  <si>
    <t>0   1648</t>
  </si>
  <si>
    <t>0   -773     10    57</t>
  </si>
  <si>
    <t>4      0   -841   -580   -100</t>
  </si>
  <si>
    <t>068   -171</t>
  </si>
  <si>
    <t>-35    828   1169</t>
  </si>
  <si>
    <t>0    418      0      0    521</t>
  </si>
  <si>
    <t>083      0</t>
  </si>
  <si>
    <t>-830      0      0    17</t>
  </si>
  <si>
    <t>0      0    748    904   2997</t>
  </si>
  <si>
    <t>0      0      0    40</t>
  </si>
  <si>
    <t>4      0    -71     26   -260</t>
  </si>
  <si>
    <t>0   -218</t>
  </si>
  <si>
    <t>-284   -961      0</t>
  </si>
  <si>
    <t>0      0  -1059  -1027   -376</t>
  </si>
  <si>
    <t>169   -128</t>
  </si>
  <si>
    <t>0    309      0</t>
  </si>
  <si>
    <t>0  -5113      0  -3744      0</t>
  </si>
  <si>
    <t>0      0      0      0   1115</t>
  </si>
  <si>
    <t>0   -877</t>
  </si>
  <si>
    <t>136    227      0   -72</t>
  </si>
  <si>
    <t>7   -715      0      0      0</t>
  </si>
  <si>
    <t>-317   1679    -34    28</t>
  </si>
  <si>
    <t>2    187    630      0      0</t>
  </si>
  <si>
    <t>4958      0 -28408</t>
  </si>
  <si>
    <t>0      0    252    476      0</t>
  </si>
  <si>
    <t>0    622      0    15</t>
  </si>
  <si>
    <t>5     55    766   4758   6850</t>
  </si>
  <si>
    <t>081   1398</t>
  </si>
  <si>
    <t>522   7884   7992</t>
  </si>
  <si>
    <t>0869   5916  21342 -2062</t>
  </si>
  <si>
    <t>3    756    726     88  -1421</t>
  </si>
  <si>
    <t>639      0</t>
  </si>
  <si>
    <t>0    664      0</t>
  </si>
  <si>
    <t>0      0    -16   -237      0</t>
  </si>
  <si>
    <t>0      0      0   -577      0</t>
  </si>
  <si>
    <t>694      0</t>
  </si>
  <si>
    <t>0   1519    584   4374     40</t>
  </si>
  <si>
    <t>074   -883</t>
  </si>
  <si>
    <t>0   -253      0</t>
  </si>
  <si>
    <t>0      0      0      0    723</t>
  </si>
  <si>
    <t>0 -14610      0   -19</t>
  </si>
  <si>
    <t>0    218</t>
  </si>
  <si>
    <t>0   -431    -55</t>
  </si>
  <si>
    <t>0      0    942    -32      0</t>
  </si>
  <si>
    <t>541      0</t>
  </si>
  <si>
    <t>6    742    211      0      0</t>
  </si>
  <si>
    <t>735   -938</t>
  </si>
  <si>
    <t>0   1955  -1228    85</t>
  </si>
  <si>
    <t>6   -972 -18330    910    425</t>
  </si>
  <si>
    <t>3      0   -743     18   -129</t>
  </si>
  <si>
    <t>540  -1086  -2874  -114</t>
  </si>
  <si>
    <t>3      0  -1815  -3070  -1794</t>
  </si>
  <si>
    <t>698      0</t>
  </si>
  <si>
    <t>-196   -385      0</t>
  </si>
  <si>
    <t>0      0   1966  -1479      0</t>
  </si>
  <si>
    <t>526 -21430</t>
  </si>
  <si>
    <t>135   -439      0</t>
  </si>
  <si>
    <t>0      0      0      0    976</t>
  </si>
  <si>
    <t>0   -546</t>
  </si>
  <si>
    <t>-178    429      0   -28</t>
  </si>
  <si>
    <t>6   -204    579   -608   1001</t>
  </si>
  <si>
    <t>103    934</t>
  </si>
  <si>
    <t>338      0    211</t>
  </si>
  <si>
    <t>0      0    -95    -48      0</t>
  </si>
  <si>
    <t>287      0</t>
  </si>
  <si>
    <t>0    581      0 -2369</t>
  </si>
  <si>
    <t>9     67   -245      0      0</t>
  </si>
  <si>
    <t>0    661      0    -6</t>
  </si>
  <si>
    <t>7    183    379      0   -572</t>
  </si>
  <si>
    <t>279   -150</t>
  </si>
  <si>
    <t>8   1663   1037  -1050   -122</t>
  </si>
  <si>
    <t>0   1068</t>
  </si>
  <si>
    <t>0      0    149</t>
  </si>
  <si>
    <t>0     81      0    174      0</t>
  </si>
  <si>
    <t>0      0    666      0   -229</t>
  </si>
  <si>
    <t>580  -1038</t>
  </si>
  <si>
    <t>0   -537   -265</t>
  </si>
  <si>
    <t>280   3037</t>
  </si>
  <si>
    <t>2006   -329   -535    24</t>
  </si>
  <si>
    <t>992      0      0   578</t>
  </si>
  <si>
    <t>0     51      0      0      0</t>
  </si>
  <si>
    <t>0    617</t>
  </si>
  <si>
    <t>0    289  -1069  -282</t>
  </si>
  <si>
    <t>8   -863  -2527   4126  -1713</t>
  </si>
  <si>
    <t>263  -2491</t>
  </si>
  <si>
    <t>4733      0      0</t>
  </si>
  <si>
    <t>848  -7338</t>
  </si>
  <si>
    <t>6150  -3130   4244</t>
  </si>
  <si>
    <t>0  -1022    514   -979  -2189</t>
  </si>
  <si>
    <t>992      0</t>
  </si>
  <si>
    <t>0      0   1327    345      0</t>
  </si>
  <si>
    <t>0      0      0 -2579</t>
  </si>
  <si>
    <t>2      0      0    -27      0</t>
  </si>
  <si>
    <t>-26      0</t>
  </si>
  <si>
    <t>-381   2465    781</t>
  </si>
  <si>
    <t>0    -86    -91   -698   -106</t>
  </si>
  <si>
    <t>420    900</t>
  </si>
  <si>
    <t>0   -541      0</t>
  </si>
  <si>
    <t>0    958      0   -33</t>
  </si>
  <si>
    <t>0    651</t>
  </si>
  <si>
    <t>0    -21    428</t>
  </si>
  <si>
    <t>0      0  -2564    791      0</t>
  </si>
  <si>
    <t>989      0</t>
  </si>
  <si>
    <t>0      0      0   167</t>
  </si>
  <si>
    <t>9   -579   -436      0      0</t>
  </si>
  <si>
    <t>439    -67</t>
  </si>
  <si>
    <t>0   -606    310    12</t>
  </si>
  <si>
    <t>1    743    193    491   -745</t>
  </si>
  <si>
    <t>0      0      0   175</t>
  </si>
  <si>
    <t>2      0  -1050   -290    651</t>
  </si>
  <si>
    <t>0  -2234</t>
  </si>
  <si>
    <t>900   1372  -4392  -366</t>
  </si>
  <si>
    <t>0      0    -43   -112   1537</t>
  </si>
  <si>
    <t>248   -375      0</t>
  </si>
  <si>
    <t>0      0   -106    695      0</t>
  </si>
  <si>
    <t>485    127</t>
  </si>
  <si>
    <t>422    133      0</t>
  </si>
  <si>
    <t>0      0      0      0   1443</t>
  </si>
  <si>
    <t>0   -239</t>
  </si>
  <si>
    <t>-246    234      0   -43</t>
  </si>
  <si>
    <t>5    523   1287  -4787  -4144</t>
  </si>
  <si>
    <t>438   -595</t>
  </si>
  <si>
    <t>-809      0   -133</t>
  </si>
  <si>
    <t>0      0   -182    116      0</t>
  </si>
  <si>
    <t>-52      0</t>
  </si>
  <si>
    <t>0   -100      0   -20</t>
  </si>
  <si>
    <t>4    179   -274      0      0</t>
  </si>
  <si>
    <t>0   -202      0    30</t>
  </si>
  <si>
    <t>0   -244    378      0  -3083</t>
  </si>
  <si>
    <t>321   1148</t>
  </si>
  <si>
    <t>2    536   1633   -183   -262</t>
  </si>
  <si>
    <t>0    -41</t>
  </si>
  <si>
    <t>0      0    121</t>
  </si>
  <si>
    <t>0    235      0    577      0</t>
  </si>
  <si>
    <t>0      0   1245      0    -47</t>
  </si>
  <si>
    <t>158    343</t>
  </si>
  <si>
    <t>0  -2847   -651</t>
  </si>
  <si>
    <t>759   3139</t>
  </si>
  <si>
    <t>-537   -366    123   -58</t>
  </si>
  <si>
    <t>610      0</t>
  </si>
  <si>
    <t>1263      0      0    75</t>
  </si>
  <si>
    <t>3 -14118      0      0      0</t>
  </si>
  <si>
    <t>0    921</t>
  </si>
  <si>
    <t>0    544    -83     2</t>
  </si>
  <si>
    <t>4   2231  -9640  25743  24191</t>
  </si>
  <si>
    <t>770   7281</t>
  </si>
  <si>
    <t>0053      0      0</t>
  </si>
  <si>
    <t>252    360</t>
  </si>
  <si>
    <t>62    331  -3406   184</t>
  </si>
  <si>
    <t>0   1511</t>
  </si>
  <si>
    <t>5      0      0    870      0</t>
  </si>
  <si>
    <t>52    252      0</t>
  </si>
  <si>
    <t>584      0</t>
  </si>
  <si>
    <t>0     81      0   -31</t>
  </si>
  <si>
    <t>1      0    -56   -853    521</t>
  </si>
  <si>
    <t>0   1196</t>
  </si>
  <si>
    <t>6    153      0   -620      0</t>
  </si>
  <si>
    <t>0      0      0    414      0</t>
  </si>
  <si>
    <t>0   -646      0    154  -1210</t>
  </si>
  <si>
    <t>7752    836      0   -42</t>
  </si>
  <si>
    <t>343   -628</t>
  </si>
  <si>
    <t>-915      0      0  -268</t>
  </si>
  <si>
    <t>8    106      0    271   -321</t>
  </si>
  <si>
    <t>233   -327</t>
  </si>
  <si>
    <t>566      0</t>
  </si>
  <si>
    <t>1081   -569     60</t>
  </si>
  <si>
    <t>0  12292   -858   -565   -880</t>
  </si>
  <si>
    <t>4      0   -345   3078      0</t>
  </si>
  <si>
    <t>736   -345      0   -51</t>
  </si>
  <si>
    <t>6   -237  -1175    590      0</t>
  </si>
  <si>
    <t>0      0 -10076</t>
  </si>
  <si>
    <t>0    202   -397    800      0</t>
  </si>
  <si>
    <t>776  -1893</t>
  </si>
  <si>
    <t>5   -396  -1643      0   -776</t>
  </si>
  <si>
    <t>2207  -3263      0   -37</t>
  </si>
  <si>
    <t>6      0      0   -128      0</t>
  </si>
  <si>
    <t>89  -1139</t>
  </si>
  <si>
    <t>889      0      0</t>
  </si>
  <si>
    <t>0      0      0  -3392      0</t>
  </si>
  <si>
    <t>010   -346</t>
  </si>
  <si>
    <t>-282      0  12109   -79</t>
  </si>
  <si>
    <t>3   -232      0      0      0</t>
  </si>
  <si>
    <t>557  -1436</t>
  </si>
  <si>
    <t>0   2597      0      0   -448</t>
  </si>
  <si>
    <t>0   -512</t>
  </si>
  <si>
    <t>0   -604      0</t>
  </si>
  <si>
    <t>0323      0   -356     3</t>
  </si>
  <si>
    <t>1    317      0  14866    -54</t>
  </si>
  <si>
    <t>0      0      0  -347</t>
  </si>
  <si>
    <t>3  -2382  -1974  -1820   -444</t>
  </si>
  <si>
    <t>764      0</t>
  </si>
  <si>
    <t>9      0   -586      0      0</t>
  </si>
  <si>
    <t>098    152</t>
  </si>
  <si>
    <t>0 -12160      0   -679   -406</t>
  </si>
  <si>
    <t>522    406</t>
  </si>
  <si>
    <t>2966   5389   3309   180</t>
  </si>
  <si>
    <t>1   6637   4665      0      0</t>
  </si>
  <si>
    <t>0      0      0   273</t>
  </si>
  <si>
    <t>5   -573   6916    216   7624</t>
  </si>
  <si>
    <t>0   1233      0  -731</t>
  </si>
  <si>
    <t>0  -1061   4333   3569   3525</t>
  </si>
  <si>
    <t>18      0      0</t>
  </si>
  <si>
    <t>0  -1078   -160      0      0</t>
  </si>
  <si>
    <t>0      0   4267</t>
  </si>
  <si>
    <t>0      0   -882      0    583</t>
  </si>
  <si>
    <t>556    222      0  -625</t>
  </si>
  <si>
    <t>8  -1327   2829   3239   3551</t>
  </si>
  <si>
    <t>32      0      0</t>
  </si>
  <si>
    <t>0      0      0     82      0</t>
  </si>
  <si>
    <t>531      0    162</t>
  </si>
  <si>
    <t>375      0</t>
  </si>
  <si>
    <t>39   1363      0</t>
  </si>
  <si>
    <t>0  -8013   -539      0   2502</t>
  </si>
  <si>
    <t>0      0   -747   223</t>
  </si>
  <si>
    <t>4   1184      0      0    -72</t>
  </si>
  <si>
    <t>453      0</t>
  </si>
  <si>
    <t>815    962    492    54</t>
  </si>
  <si>
    <t>4    719  -1045   -386      0</t>
  </si>
  <si>
    <t>0      0  -3349</t>
  </si>
  <si>
    <t>0    531    111   1108      0</t>
  </si>
  <si>
    <t>435   -586</t>
  </si>
  <si>
    <t>2745   9170   7640</t>
  </si>
  <si>
    <t>0   2989   5575   2096    486</t>
  </si>
  <si>
    <t>0    -32</t>
  </si>
  <si>
    <t>258      0      0</t>
  </si>
  <si>
    <t>0    119   1235      0   1995</t>
  </si>
  <si>
    <t>367    336</t>
  </si>
  <si>
    <t>-102      0      0</t>
  </si>
  <si>
    <t>0      0      0 -17188      0</t>
  </si>
  <si>
    <t>113    723</t>
  </si>
  <si>
    <t>-339      0   3865    77</t>
  </si>
  <si>
    <t>0   3470   8956   8514   3498</t>
  </si>
  <si>
    <t>158   2942</t>
  </si>
  <si>
    <t>0   -316      0</t>
  </si>
  <si>
    <t>0    583     94      0   2754</t>
  </si>
  <si>
    <t>1485      0   1091    16</t>
  </si>
  <si>
    <t>9   -583      0      0      0</t>
  </si>
  <si>
    <t>6076      0  -1647    56</t>
  </si>
  <si>
    <t>9   -227      0  -8910    552</t>
  </si>
  <si>
    <t>210      0</t>
  </si>
  <si>
    <t>0      0   1379   234</t>
  </si>
  <si>
    <t>3   -148   1543    926      0</t>
  </si>
  <si>
    <t>528      0</t>
  </si>
  <si>
    <t>0   3354      0   160</t>
  </si>
  <si>
    <t>6      0   1658      0      0</t>
  </si>
  <si>
    <t>0 -11024      0   -179   1027</t>
  </si>
  <si>
    <t>3651    856      0</t>
  </si>
  <si>
    <t>0      0      0      0  -2349</t>
  </si>
  <si>
    <t>815   2085</t>
  </si>
  <si>
    <t>920    498    906</t>
  </si>
  <si>
    <t>0      0      0      0    861</t>
  </si>
  <si>
    <t>0   2277</t>
  </si>
  <si>
    <t>0      0   -906   -89</t>
  </si>
  <si>
    <t>828      0</t>
  </si>
  <si>
    <t>-299   1698   -190  -859</t>
  </si>
  <si>
    <t>6 -12011 -33851 -27859 -14531</t>
  </si>
  <si>
    <t>848 -14461</t>
  </si>
  <si>
    <t>0      0      0      0 -14226</t>
  </si>
  <si>
    <t>193  -8735</t>
  </si>
  <si>
    <t>5374 -11169  -5913</t>
  </si>
  <si>
    <t>0      0 -15311      0 -28708</t>
  </si>
  <si>
    <t>497    262</t>
  </si>
  <si>
    <t>1023    -65  -1972</t>
  </si>
  <si>
    <t>0      0   -294      0      0</t>
  </si>
  <si>
    <t>0   1138</t>
  </si>
  <si>
    <t>1129      0      0</t>
  </si>
  <si>
    <t>0      0      0      0  -1777</t>
  </si>
  <si>
    <t>-36      0    -10</t>
  </si>
  <si>
    <t>0    833   1156    583      0</t>
  </si>
  <si>
    <t>422    -97</t>
  </si>
  <si>
    <t>2      0    148      0      0</t>
  </si>
  <si>
    <t>0   -216      0</t>
  </si>
  <si>
    <t>0      0    331      0     69</t>
  </si>
  <si>
    <t>0      0      0    28</t>
  </si>
  <si>
    <t>1      0   1174    392      0</t>
  </si>
  <si>
    <t>0   -267</t>
  </si>
  <si>
    <t>4335      0  12919</t>
  </si>
  <si>
    <t>0      0      0      0   5607</t>
  </si>
  <si>
    <t>975  -1228</t>
  </si>
  <si>
    <t>0      0   -124   362</t>
  </si>
  <si>
    <t>3      0  -2081  -1757   -344</t>
  </si>
  <si>
    <t>547    937</t>
  </si>
  <si>
    <t>-481  -5711      0</t>
  </si>
  <si>
    <t>0   2089</t>
  </si>
  <si>
    <t>-271    486      0   227</t>
  </si>
  <si>
    <t>5  -1194   -724    202 -30637</t>
  </si>
  <si>
    <t>0  -2136</t>
  </si>
  <si>
    <t>3187    707    228</t>
  </si>
  <si>
    <t>0   -217    -55      0      0</t>
  </si>
  <si>
    <t>-284      0    425    22</t>
  </si>
  <si>
    <t>0    -20    639      0      0</t>
  </si>
  <si>
    <t>0   -531      0    55</t>
  </si>
  <si>
    <t>4     49   -136      0   1548</t>
  </si>
  <si>
    <t>1948 -30213    -20  -175</t>
  </si>
  <si>
    <t>9  -3048      0    136      0</t>
  </si>
  <si>
    <t>0    -50</t>
  </si>
  <si>
    <t>146      0      6</t>
  </si>
  <si>
    <t>0      0    247      0     60</t>
  </si>
  <si>
    <t>210    467</t>
  </si>
  <si>
    <t>0      0    149      0  -1094</t>
  </si>
  <si>
    <t>-37     66</t>
  </si>
  <si>
    <t>0   -543  -3847   413</t>
  </si>
  <si>
    <t>6      0      0      0   -555</t>
  </si>
  <si>
    <t>343   4554</t>
  </si>
  <si>
    <t>654    767      0    48</t>
  </si>
  <si>
    <t>4      0      0  -1185      0</t>
  </si>
  <si>
    <t>0    916    -20    22</t>
  </si>
  <si>
    <t>2      0   -278   -896      0</t>
  </si>
  <si>
    <t>0      0   -976   207</t>
  </si>
  <si>
    <t>5    710    665    527   1682</t>
  </si>
  <si>
    <t>0      0  -5022</t>
  </si>
  <si>
    <t>0  -1467      0      0  -9554</t>
  </si>
  <si>
    <t>436      0</t>
  </si>
  <si>
    <t>0      0      0   -31</t>
  </si>
  <si>
    <t>0      0     17   -510    441</t>
  </si>
  <si>
    <t>497   2462</t>
  </si>
  <si>
    <t>2235  11888   1927   245</t>
  </si>
  <si>
    <t>2   2212      0      0      0</t>
  </si>
  <si>
    <t>0      0    470    44</t>
  </si>
  <si>
    <t>0   2316   -254    125   -770</t>
  </si>
  <si>
    <t>212      0    197  -180</t>
  </si>
  <si>
    <t>0    272</t>
  </si>
  <si>
    <t>2365   -630   2063 -2094</t>
  </si>
  <si>
    <t>8      0      0     11      0</t>
  </si>
  <si>
    <t>383   -448      0</t>
  </si>
  <si>
    <t>0   -924      0    96</t>
  </si>
  <si>
    <t>0      0     25    146     71</t>
  </si>
  <si>
    <t>0   3294</t>
  </si>
  <si>
    <t>584  -1182  -9487  -326</t>
  </si>
  <si>
    <t>1   -850      0    188      0</t>
  </si>
  <si>
    <t>0      0    886</t>
  </si>
  <si>
    <t>0      0      0   -695      0</t>
  </si>
  <si>
    <t>0    236      0   3678   -403</t>
  </si>
  <si>
    <t>222  -3304      0   623</t>
  </si>
  <si>
    <t>413   -707</t>
  </si>
  <si>
    <t>-965      0      0   158</t>
  </si>
  <si>
    <t>4    986      0    709   4472</t>
  </si>
  <si>
    <t>873   3660</t>
  </si>
  <si>
    <t>4101   3396   5127</t>
  </si>
  <si>
    <t>530      0</t>
  </si>
  <si>
    <t>4368    183  -3242</t>
  </si>
  <si>
    <t>0   1146    362   -811   -995</t>
  </si>
  <si>
    <t>620      0</t>
  </si>
  <si>
    <t>8224  -8434   -108    -5</t>
  </si>
  <si>
    <t>4      0     -7  -1215      0</t>
  </si>
  <si>
    <t>-151    599      0    17</t>
  </si>
  <si>
    <t>4    883   -113   -697      0</t>
  </si>
  <si>
    <t>0      0   -211</t>
  </si>
  <si>
    <t>0    973     40    473      0</t>
  </si>
  <si>
    <t>139    323</t>
  </si>
  <si>
    <t>-343    202  -1946   101</t>
  </si>
  <si>
    <t>5 -35294  -8048      0   -132</t>
  </si>
  <si>
    <t>1372    -24      0     4</t>
  </si>
  <si>
    <t>2      0      0    -73      0</t>
  </si>
  <si>
    <t>214   -111</t>
  </si>
  <si>
    <t>-478      0      0</t>
  </si>
  <si>
    <t>0      0      0    827      0</t>
  </si>
  <si>
    <t>545    158</t>
  </si>
  <si>
    <t>584      0   1403    64</t>
  </si>
  <si>
    <t>0    152      0      0      0</t>
  </si>
  <si>
    <t>542  -8782</t>
  </si>
  <si>
    <t>195    -59    161</t>
  </si>
  <si>
    <t>0  -1169      0      0     63</t>
  </si>
  <si>
    <t>0   -182</t>
  </si>
  <si>
    <t>0    -39      0</t>
  </si>
  <si>
    <t>-563      0    777    10</t>
  </si>
  <si>
    <t>6    925      0    498  -3811</t>
  </si>
  <si>
    <t>0      0      0  -154</t>
  </si>
  <si>
    <t>8   6195   1197   -348  -2517</t>
  </si>
  <si>
    <t>0      0      0   473</t>
  </si>
  <si>
    <t>1      0   2972      0      0</t>
  </si>
  <si>
    <t>410   -460</t>
  </si>
  <si>
    <t>0   -760      0   3935     46</t>
  </si>
  <si>
    <t>523   9239</t>
  </si>
  <si>
    <t>2370   1331   2319     -</t>
  </si>
  <si>
    <t>9  22423   5369      0      0</t>
  </si>
  <si>
    <t>0      0      0    -1</t>
  </si>
  <si>
    <t>5    140  -1543     73   -936</t>
  </si>
  <si>
    <t>573      0</t>
  </si>
  <si>
    <t>0    453      0    31</t>
  </si>
  <si>
    <t>3  -1540      0      0      0</t>
  </si>
  <si>
    <t>0   6992</t>
  </si>
  <si>
    <t>0    338    769   -32</t>
  </si>
  <si>
    <t>1    498  -4277      0      0</t>
  </si>
  <si>
    <t>204      0</t>
  </si>
  <si>
    <t>0      0    484   -64</t>
  </si>
  <si>
    <t>-849      0      0   -45</t>
  </si>
  <si>
    <t>9      0    419      0    484</t>
  </si>
  <si>
    <t>424     98</t>
  </si>
  <si>
    <t>0    215  -4451    -3</t>
  </si>
  <si>
    <t>1  -1161  -3786   1111      0</t>
  </si>
  <si>
    <t>222      0</t>
  </si>
  <si>
    <t>0    750      0      0      0</t>
  </si>
  <si>
    <t>927      0</t>
  </si>
  <si>
    <t>-244      0      0</t>
  </si>
  <si>
    <t>0      0      0    426      0</t>
  </si>
  <si>
    <t>338   1107</t>
  </si>
  <si>
    <t>0      0   7518   933</t>
  </si>
  <si>
    <t>1      0   9413      0      0</t>
  </si>
  <si>
    <t>3198    989   -249</t>
  </si>
  <si>
    <t>0      0    829   1124      0</t>
  </si>
  <si>
    <t>361   5060</t>
  </si>
  <si>
    <t>828   4125  10335   516</t>
  </si>
  <si>
    <t>4   6490      0      0      0</t>
  </si>
  <si>
    <t>0392      0 -15223    44</t>
  </si>
  <si>
    <t>1  -4671      0   2241    775</t>
  </si>
  <si>
    <t>822   -918</t>
  </si>
  <si>
    <t>3261      0  -5597 -3414</t>
  </si>
  <si>
    <t>6   1281   -232      0   -105</t>
  </si>
  <si>
    <t>649      0</t>
  </si>
  <si>
    <t>0      0    -23    86</t>
  </si>
  <si>
    <t>3      0    208    783   -256</t>
  </si>
  <si>
    <t>924      0</t>
  </si>
  <si>
    <t>0  -1627      0   -343   -189</t>
  </si>
  <si>
    <t>389      0</t>
  </si>
  <si>
    <t>3605  -3234   -276    36</t>
  </si>
  <si>
    <t>8  -2676   1297  -6105 -33300</t>
  </si>
  <si>
    <t>0   -259</t>
  </si>
  <si>
    <t>0      0   2605   -10</t>
  </si>
  <si>
    <t>6      0   -180      0      0</t>
  </si>
  <si>
    <t>4715    -60    616</t>
  </si>
  <si>
    <t>0   1945    587    147      0</t>
  </si>
  <si>
    <t>7362 -35269   1870   -14</t>
  </si>
  <si>
    <t>8     71      0   1322      0</t>
  </si>
  <si>
    <t>0     65</t>
  </si>
  <si>
    <t>0   -472      0   -16</t>
  </si>
  <si>
    <t>0      0  -1479</t>
  </si>
  <si>
    <t>0   -283   -136    463      0</t>
  </si>
  <si>
    <t>632  -8261</t>
  </si>
  <si>
    <t>0      0 -42387    660    867</t>
  </si>
  <si>
    <t>614   -117</t>
  </si>
  <si>
    <t>4648      0      0</t>
  </si>
  <si>
    <t>0      0   3463      0   2070</t>
  </si>
  <si>
    <t>684  -1189      0</t>
  </si>
  <si>
    <t>0      0      0  -7526      0</t>
  </si>
  <si>
    <t>769    -81</t>
  </si>
  <si>
    <t>1036   6930   1577  -105</t>
  </si>
  <si>
    <t>5   1217    952   5026  19953</t>
  </si>
  <si>
    <t>0      0    181     82  -1639</t>
  </si>
  <si>
    <t>64  -1063</t>
  </si>
  <si>
    <t>1944      0      0    16</t>
  </si>
  <si>
    <t>4      0   2057   -711      0</t>
  </si>
  <si>
    <t>0  10354      0  2184</t>
  </si>
  <si>
    <t>0  -1252</t>
  </si>
  <si>
    <t>75   -615    137   -63</t>
  </si>
  <si>
    <t>6      0      0   -248      0</t>
  </si>
  <si>
    <t>185   -192      0</t>
  </si>
  <si>
    <t>290      0</t>
  </si>
  <si>
    <t>0  -1170      0   105</t>
  </si>
  <si>
    <t>5      0   6409   1591    635</t>
  </si>
  <si>
    <t>102   -248   -516   -32</t>
  </si>
  <si>
    <t>7   -352      0     95      0</t>
  </si>
  <si>
    <t>0      0     26</t>
  </si>
  <si>
    <t>0      0      0     39      0</t>
  </si>
  <si>
    <t>0     95      0    610    117</t>
  </si>
  <si>
    <t>-22  -1663      0   531</t>
  </si>
  <si>
    <t>072   -287</t>
  </si>
  <si>
    <t>-236      0      0    38</t>
  </si>
  <si>
    <t>0   -210      0    -50    751</t>
  </si>
  <si>
    <t>232     -5</t>
  </si>
  <si>
    <t>909    582     24</t>
  </si>
  <si>
    <t>248      0</t>
  </si>
  <si>
    <t>1217   -281    478</t>
  </si>
  <si>
    <t>0     35   -919  -1973   3474</t>
  </si>
  <si>
    <t>38    240   2279   -11</t>
  </si>
  <si>
    <t>9      0     44    -25      0</t>
  </si>
  <si>
    <t>-82    662      0   -54</t>
  </si>
  <si>
    <t>3    964    565      0      0</t>
  </si>
  <si>
    <t>0      0   -397</t>
  </si>
  <si>
    <t>0    347   -228    335      0</t>
  </si>
  <si>
    <t>76    195</t>
  </si>
  <si>
    <t>2231   3547   -256    69</t>
  </si>
  <si>
    <t>7   -125   -431      0   -202</t>
  </si>
  <si>
    <t>117    270      0    31</t>
  </si>
  <si>
    <t>258    288</t>
  </si>
  <si>
    <t>-489      0      0</t>
  </si>
  <si>
    <t>0      0      0   -325      0</t>
  </si>
  <si>
    <t>047   -231</t>
  </si>
  <si>
    <t>745      0    127  -109</t>
  </si>
  <si>
    <t>0  -4454      0      0      0</t>
  </si>
  <si>
    <t>480   -386</t>
  </si>
  <si>
    <t>1584    700    426</t>
  </si>
  <si>
    <t>0   -216      0      0   1280</t>
  </si>
  <si>
    <t>0  -1028      0</t>
  </si>
  <si>
    <t>-219      0    646   -21</t>
  </si>
  <si>
    <t>1    724      0     20     48</t>
  </si>
  <si>
    <t>0      0      0   -75</t>
  </si>
  <si>
    <t>4    120    280    296    229</t>
  </si>
  <si>
    <t>543      0</t>
  </si>
  <si>
    <t>0      0      0   -29</t>
  </si>
  <si>
    <t>0      0   -118      0      0</t>
  </si>
  <si>
    <t>975 -12121</t>
  </si>
  <si>
    <t>0   -128      0     84    175</t>
  </si>
  <si>
    <t>152   2937</t>
  </si>
  <si>
    <t>2819  -3068   -697    30</t>
  </si>
  <si>
    <t>0    579    166      0      0</t>
  </si>
  <si>
    <t>4     28   -110    -56    557</t>
  </si>
  <si>
    <t>467      0</t>
  </si>
  <si>
    <t>0    622      0    -1</t>
  </si>
  <si>
    <t>0    961      0      0      0</t>
  </si>
  <si>
    <t>0  12150</t>
  </si>
  <si>
    <t>0   3507   5639</t>
  </si>
  <si>
    <t>288  -1805</t>
  </si>
  <si>
    <t>1603   -646  -1952</t>
  </si>
  <si>
    <t>0      0   1079      0      0</t>
  </si>
  <si>
    <t>0    710</t>
  </si>
  <si>
    <t>1588      0      0</t>
  </si>
  <si>
    <t>0      0      0      0  -8543</t>
  </si>
  <si>
    <t>1537      0 -20380</t>
  </si>
  <si>
    <t>0 -29142  -2500   -688      0</t>
  </si>
  <si>
    <t>173   -148</t>
  </si>
  <si>
    <t>6      0     30      0      0</t>
  </si>
  <si>
    <t>0   -182      0</t>
  </si>
  <si>
    <t>0      0     44      0     84</t>
  </si>
  <si>
    <t>0      0      0    -2</t>
  </si>
  <si>
    <t>8      0  -1006    -77      0</t>
  </si>
  <si>
    <t>0    144</t>
  </si>
  <si>
    <t>339      0   -995</t>
  </si>
  <si>
    <t>0      0      0      0   -674</t>
  </si>
  <si>
    <t>919    398</t>
  </si>
  <si>
    <t>0      0     71    69</t>
  </si>
  <si>
    <t>5      0  -2376  -2866  -1512</t>
  </si>
  <si>
    <t>528    -21</t>
  </si>
  <si>
    <t>-423    273      0</t>
  </si>
  <si>
    <t>0      0      0      0     32</t>
  </si>
  <si>
    <t>0   -674</t>
  </si>
  <si>
    <t>-861    389      0     5</t>
  </si>
  <si>
    <t>4   1681  -1760  -1028   -397</t>
  </si>
  <si>
    <t>0   -730</t>
  </si>
  <si>
    <t>-763   -833    719</t>
  </si>
  <si>
    <t>0   -452    -82      0      0</t>
  </si>
  <si>
    <t>0   -999</t>
  </si>
  <si>
    <t>2003      0  -2169   -40</t>
  </si>
  <si>
    <t>0    104   -292      0      0</t>
  </si>
  <si>
    <t>0     48      0  -270</t>
  </si>
  <si>
    <t>9   -164    360      0   -171</t>
  </si>
  <si>
    <t>950  -1801</t>
  </si>
  <si>
    <t>6   -646      0   1003      0</t>
  </si>
  <si>
    <t>0   -246</t>
  </si>
  <si>
    <t>748      0      3</t>
  </si>
  <si>
    <t>0      0  -1057      0    499</t>
  </si>
  <si>
    <t>220    836</t>
  </si>
  <si>
    <t>0      0     52      0  -1839</t>
  </si>
  <si>
    <t>406    498</t>
  </si>
  <si>
    <t>0   -101   1237  -124</t>
  </si>
  <si>
    <t>2      0      0      0   -887</t>
  </si>
  <si>
    <t>548   -578</t>
  </si>
  <si>
    <t>799   -135      0    15</t>
  </si>
  <si>
    <t>3      0      0  -1016      0</t>
  </si>
  <si>
    <t>2091      0      0</t>
  </si>
  <si>
    <t>0     18</t>
  </si>
  <si>
    <t>0  -3302   -219    19</t>
  </si>
  <si>
    <t>7      0   -290     21      0</t>
  </si>
  <si>
    <t>0      0    -28    -9</t>
  </si>
  <si>
    <t>4    313    -86   -265    -82</t>
  </si>
  <si>
    <t>0      0  -1509</t>
  </si>
  <si>
    <t>0  -1375      0      0     56</t>
  </si>
  <si>
    <t>1      0   -561   -145    191</t>
  </si>
  <si>
    <t>749    978</t>
  </si>
  <si>
    <t>423    372     36    16</t>
  </si>
  <si>
    <t>0    130      0      0      0</t>
  </si>
  <si>
    <t>0      0   -249    53</t>
  </si>
  <si>
    <t>1   1242     59    998     -5</t>
  </si>
  <si>
    <t>288      0   -452    47</t>
  </si>
  <si>
    <t>398      0</t>
  </si>
  <si>
    <t>-703   -588      0</t>
  </si>
  <si>
    <t>0      0      0      0  -1449</t>
  </si>
  <si>
    <t>0      0      0  -979</t>
  </si>
  <si>
    <t>3 -82968   1879  14845   8363</t>
  </si>
  <si>
    <t>3632      0      0</t>
  </si>
  <si>
    <t>0   4773    471      0      0</t>
  </si>
  <si>
    <t>0      0   4496</t>
  </si>
  <si>
    <t>0      0  60311      0 -59217</t>
  </si>
  <si>
    <t>0 -20452</t>
  </si>
  <si>
    <t>3056   5626      0  1715</t>
  </si>
  <si>
    <t>7  -3574 -13712 -14269 -16968</t>
  </si>
  <si>
    <t>502      0</t>
  </si>
  <si>
    <t>275      0      0</t>
  </si>
  <si>
    <t>0      0      0  -2009      0</t>
  </si>
  <si>
    <t>2480      0   -213</t>
  </si>
  <si>
    <t>360      0</t>
  </si>
  <si>
    <t>512  -2044      0</t>
  </si>
  <si>
    <t>0   -470  -1396      0    425</t>
  </si>
  <si>
    <t>0      0     40    32</t>
  </si>
  <si>
    <t>2    113      0      0      1</t>
  </si>
  <si>
    <t>169      0</t>
  </si>
  <si>
    <t>7    818    124     11      0</t>
  </si>
  <si>
    <t>0      0    362</t>
  </si>
  <si>
    <t>0   -256    -81    224      0</t>
  </si>
  <si>
    <t>241  -1561</t>
  </si>
  <si>
    <t>-180     66   -138</t>
  </si>
  <si>
    <t>0    209   -323     45     31</t>
  </si>
  <si>
    <t>0    176</t>
  </si>
  <si>
    <t>-302      0      0</t>
  </si>
  <si>
    <t>0   -183   -373      0   -335</t>
  </si>
  <si>
    <t>496    135</t>
  </si>
  <si>
    <t>-77      0      0</t>
  </si>
  <si>
    <t>244    104</t>
  </si>
  <si>
    <t>199      0    274  -160</t>
  </si>
  <si>
    <t>9   -241     48   -259     16</t>
  </si>
  <si>
    <t>124   -315</t>
  </si>
  <si>
    <t>0   -294    104      0    331</t>
  </si>
  <si>
    <t>-99      0    365     7</t>
  </si>
  <si>
    <t>9     -3      0      0      0</t>
  </si>
  <si>
    <t>-363      0    299     5</t>
  </si>
  <si>
    <t>2    164      0     62  -1733</t>
  </si>
  <si>
    <t>-30      0</t>
  </si>
  <si>
    <t>0      0    482   -30</t>
  </si>
  <si>
    <t>7      5     48     37      0</t>
  </si>
  <si>
    <t>0   -190      0   -27</t>
  </si>
  <si>
    <t>1      0    -87      0      0</t>
  </si>
  <si>
    <t>0   -175      0    384   -107</t>
  </si>
  <si>
    <t>197      0</t>
  </si>
  <si>
    <t>480   -171      0</t>
  </si>
  <si>
    <t>0      0      0      0   -920</t>
  </si>
  <si>
    <t>360   -362</t>
  </si>
  <si>
    <t>0      0      0      0   -301</t>
  </si>
  <si>
    <t>0   -150</t>
  </si>
  <si>
    <t>0      0   -474    -1</t>
  </si>
  <si>
    <t>407      0</t>
  </si>
  <si>
    <t>691   -233    -26    25</t>
  </si>
  <si>
    <t>0    146   -158     37    209</t>
  </si>
  <si>
    <t>153   -111</t>
  </si>
  <si>
    <t>0      0      0      0   -417</t>
  </si>
  <si>
    <t>178    118</t>
  </si>
  <si>
    <t>119     -3   -834</t>
  </si>
  <si>
    <t>0      0   -607      0   -165</t>
  </si>
  <si>
    <t>100      0</t>
  </si>
  <si>
    <t>6      0  -1969    575      0</t>
  </si>
  <si>
    <t>0      0     70</t>
  </si>
  <si>
    <t>710    213</t>
  </si>
  <si>
    <t>5408    -80    305  -108</t>
  </si>
  <si>
    <t>3      0      0    -79      0</t>
  </si>
  <si>
    <t>-30    -29      0</t>
  </si>
  <si>
    <t>238      0</t>
  </si>
  <si>
    <t>0    639      0   -62</t>
  </si>
  <si>
    <t>0      0    729      2     -5</t>
  </si>
  <si>
    <t>0   1062</t>
  </si>
  <si>
    <t>7639   -320   -567   -97</t>
  </si>
  <si>
    <t>7    351      0   -128      0</t>
  </si>
  <si>
    <t>0      0     33</t>
  </si>
  <si>
    <t>0      0      0    -28      0</t>
  </si>
  <si>
    <t>-87      0</t>
  </si>
  <si>
    <t>0  -1360      0  -4723    182</t>
  </si>
  <si>
    <t>70   -641      0    74</t>
  </si>
  <si>
    <t>099    221</t>
  </si>
  <si>
    <t>77      0      0     5</t>
  </si>
  <si>
    <t>3     38      0    -60    321</t>
  </si>
  <si>
    <t>23    264</t>
  </si>
  <si>
    <t>1195    460    299</t>
  </si>
  <si>
    <t>442      0</t>
  </si>
  <si>
    <t>1365     31   -179</t>
  </si>
  <si>
    <t>0    341  -1521     -1   -303</t>
  </si>
  <si>
    <t>548      0</t>
  </si>
  <si>
    <t>245  -2067      4    -1</t>
  </si>
  <si>
    <t>7      0     57    -57      0</t>
  </si>
  <si>
    <t>56   -117      0    -6</t>
  </si>
  <si>
    <t>4   -368    -11    -42      0</t>
  </si>
  <si>
    <t>0      0   -434</t>
  </si>
  <si>
    <t>0    233     66     64      0</t>
  </si>
  <si>
    <t>487  -2058</t>
  </si>
  <si>
    <t>-25    216   -213     9</t>
  </si>
  <si>
    <t>5    417  -2112      0     32</t>
  </si>
  <si>
    <t>44     12      0    11</t>
  </si>
  <si>
    <t>1      0      0    -32      0</t>
  </si>
  <si>
    <t>109     74</t>
  </si>
  <si>
    <t>0      0      0   -665      0</t>
  </si>
  <si>
    <t>701     58</t>
  </si>
  <si>
    <t>80      0   -115  -135</t>
  </si>
  <si>
    <t>0    320      0      0      0</t>
  </si>
  <si>
    <t>802   -488</t>
  </si>
  <si>
    <t>971   -262   -135</t>
  </si>
  <si>
    <t>0    -43      0      0   -100</t>
  </si>
  <si>
    <t>0    116      0</t>
  </si>
  <si>
    <t>-195      0    366     -</t>
  </si>
  <si>
    <t>1    -44      0    566   -544</t>
  </si>
  <si>
    <t>0      0      0  -249</t>
  </si>
  <si>
    <t>2     17   -517   -354   -164</t>
  </si>
  <si>
    <t>720      0</t>
  </si>
  <si>
    <t>7      0    167      0      0</t>
  </si>
  <si>
    <t>149   -141</t>
  </si>
  <si>
    <t>0   -598      0   1078   -192</t>
  </si>
  <si>
    <t>442    606</t>
  </si>
  <si>
    <t>82    222    372    44</t>
  </si>
  <si>
    <t>8   -303   1020      0      0</t>
  </si>
  <si>
    <t>0      0      0    -3</t>
  </si>
  <si>
    <t>9    -85    -92     58   -120</t>
  </si>
  <si>
    <t>0    103      0   -11</t>
  </si>
  <si>
    <t>3    762      0      0      0</t>
  </si>
  <si>
    <t>0   1437</t>
  </si>
  <si>
    <t>0   -236   5995</t>
  </si>
  <si>
    <t>997      0</t>
  </si>
  <si>
    <t>0  -1110   6712  -1350  -2450</t>
  </si>
  <si>
    <t>740    190</t>
  </si>
  <si>
    <t>-884      0      0   -38</t>
  </si>
  <si>
    <t>0      0      0      0   1854</t>
  </si>
  <si>
    <t>914      0</t>
  </si>
  <si>
    <t>0      0   -598      0      0</t>
  </si>
  <si>
    <t>151      0   2237    81</t>
  </si>
  <si>
    <t>7    464      0    337  -2468</t>
  </si>
  <si>
    <t>246   -305</t>
  </si>
  <si>
    <t>-865   -260      0     9</t>
  </si>
  <si>
    <t>5      0    -11      0      0</t>
  </si>
  <si>
    <t>0     25      0   114</t>
  </si>
  <si>
    <t>2    265      0      0   7971</t>
  </si>
  <si>
    <t>960      0</t>
  </si>
  <si>
    <t>8109      0      0</t>
  </si>
  <si>
    <t>0      0   6417   1752   1620</t>
  </si>
  <si>
    <t>333  -4030      0   176</t>
  </si>
  <si>
    <t>7  -1875   -384  -3284  -3167</t>
  </si>
  <si>
    <t>554  -1434</t>
  </si>
  <si>
    <t>0      0  -6116      0  12113</t>
  </si>
  <si>
    <t>242   2395</t>
  </si>
  <si>
    <t>0   1254  -6756   -37</t>
  </si>
  <si>
    <t>9   -351  -3981      0   -985</t>
  </si>
  <si>
    <t>639     29</t>
  </si>
  <si>
    <t>-52      0    120  -161</t>
  </si>
  <si>
    <t>2      0      0      0    152</t>
  </si>
  <si>
    <t>-148    146    599    13</t>
  </si>
  <si>
    <t>0   -536</t>
  </si>
  <si>
    <t>0    363     13     2</t>
  </si>
  <si>
    <t>7      0   1064  -7001   -321</t>
  </si>
  <si>
    <t>240  -3869</t>
  </si>
  <si>
    <t>11  -1003  -3488</t>
  </si>
  <si>
    <t>0    -23      0      0  -1538</t>
  </si>
  <si>
    <t>263      0</t>
  </si>
  <si>
    <t>-82      0      0   -12</t>
  </si>
  <si>
    <t>0      0     97    567     12</t>
  </si>
  <si>
    <t>2      0    339    106    200</t>
  </si>
  <si>
    <t>0   1106</t>
  </si>
  <si>
    <t>8812    299      0</t>
  </si>
  <si>
    <t>0      0   -816  -2954    805</t>
  </si>
  <si>
    <t>42     86</t>
  </si>
  <si>
    <t>0   -698      0</t>
  </si>
  <si>
    <t>0   -379      0   -296      0</t>
  </si>
  <si>
    <t>54      0</t>
  </si>
  <si>
    <t>0      0      0      0   -289</t>
  </si>
  <si>
    <t>0    813</t>
  </si>
  <si>
    <t>-113     73      0   216</t>
  </si>
  <si>
    <t>7    644      0      0      0</t>
  </si>
  <si>
    <t>5864   -738  -2382  -187</t>
  </si>
  <si>
    <t>0  -1098  -4206      0      0</t>
  </si>
  <si>
    <t>590      0    383</t>
  </si>
  <si>
    <t>0      0  -2460   -732      0</t>
  </si>
  <si>
    <t>0   -659      0   226</t>
  </si>
  <si>
    <t>1  -1472  -2078    711     26</t>
  </si>
  <si>
    <t>250    640</t>
  </si>
  <si>
    <t>1101   1168   2237</t>
  </si>
  <si>
    <t>312  -1810  -2982   -48</t>
  </si>
  <si>
    <t>6  -1455   2226      0      0</t>
  </si>
  <si>
    <t>-72     -9      0</t>
  </si>
  <si>
    <t>0      0      0  15708      0</t>
  </si>
  <si>
    <t>658   8397</t>
  </si>
  <si>
    <t>0      0   6307      0      0</t>
  </si>
  <si>
    <t>0  -1703   6670   637</t>
  </si>
  <si>
    <t>8  -6611   -969  -1476    274</t>
  </si>
  <si>
    <t>522      0</t>
  </si>
  <si>
    <t>0   -960      0</t>
  </si>
  <si>
    <t>0      0   -735   1603      0</t>
  </si>
  <si>
    <t>3      0      0    -72      0</t>
  </si>
  <si>
    <t>151      0</t>
  </si>
  <si>
    <t>987   5397   2031</t>
  </si>
  <si>
    <t>0  -1851  -1758    172    665</t>
  </si>
  <si>
    <t>401    917</t>
  </si>
  <si>
    <t>0     28      0</t>
  </si>
  <si>
    <t>0     43      0     7</t>
  </si>
  <si>
    <t>0    573    630</t>
  </si>
  <si>
    <t>0      0    621  -6925      0</t>
  </si>
  <si>
    <t>0      0      0   -57</t>
  </si>
  <si>
    <t>4    -57    -95      0      0</t>
  </si>
  <si>
    <t>-6    469</t>
  </si>
  <si>
    <t>0   -686    433    22</t>
  </si>
  <si>
    <t>4    411    748    586     84</t>
  </si>
  <si>
    <t>8      0     51   -651    -17</t>
  </si>
  <si>
    <t>0  -4090</t>
  </si>
  <si>
    <t>9009   2201  28924  2449</t>
  </si>
  <si>
    <t>6      0   7080  13563  16270</t>
  </si>
  <si>
    <t>000      0</t>
  </si>
  <si>
    <t>1281  -2089      0</t>
  </si>
  <si>
    <t>0      0   1419  -2864      0</t>
  </si>
  <si>
    <t>161   2720</t>
  </si>
  <si>
    <t>832   -471      0</t>
  </si>
  <si>
    <t>0      0      0      0   -111</t>
  </si>
  <si>
    <t>0  -4418</t>
  </si>
  <si>
    <t>2942    455      0   153</t>
  </si>
  <si>
    <t>8  -8062   -620   -740  -4047</t>
  </si>
  <si>
    <t>112  -1017</t>
  </si>
  <si>
    <t>1175      0   -246</t>
  </si>
  <si>
    <t>0      0  -1703    369      0</t>
  </si>
  <si>
    <t>329      0</t>
  </si>
  <si>
    <t>0     64      0    19</t>
  </si>
  <si>
    <t>0    536    503      0      0</t>
  </si>
  <si>
    <t>0    -43      0   131</t>
  </si>
  <si>
    <t>8   -859    229      0   2330</t>
  </si>
  <si>
    <t>575     36</t>
  </si>
  <si>
    <t>0      0      0   -92</t>
  </si>
  <si>
    <t>9  -1586   -770    -73     43</t>
  </si>
  <si>
    <t>0   -714</t>
  </si>
  <si>
    <t>0      0   -115</t>
  </si>
  <si>
    <t>0   -987      0   -316      0</t>
  </si>
  <si>
    <t>0      0   -361      0    976</t>
  </si>
  <si>
    <t>688    318</t>
  </si>
  <si>
    <t>0   3534    366</t>
  </si>
  <si>
    <t>632  -2761</t>
  </si>
  <si>
    <t>2817  -2188  -1136  -529</t>
  </si>
  <si>
    <t>273      0</t>
  </si>
  <si>
    <t>84      0      0  -213</t>
  </si>
  <si>
    <t>6  -3050      0      0      0</t>
  </si>
  <si>
    <t>0   -890</t>
  </si>
  <si>
    <t>0   3061  -2201  -222</t>
  </si>
  <si>
    <t>6    595   -386 -10467  -8652</t>
  </si>
  <si>
    <t>035   -446</t>
  </si>
  <si>
    <t>1762      0      0</t>
  </si>
  <si>
    <t>316    616</t>
  </si>
  <si>
    <t>1282    146   1558    71</t>
  </si>
  <si>
    <t>6      0      0  -3032      0</t>
  </si>
  <si>
    <t>535   1428</t>
  </si>
  <si>
    <t>0   9597      0   1954   4770</t>
  </si>
  <si>
    <t>0      0      0   694</t>
  </si>
  <si>
    <t>0   1384</t>
  </si>
  <si>
    <t>5937   5804  28618  -537</t>
  </si>
  <si>
    <t>7   -744   -448    343   -164</t>
  </si>
  <si>
    <t>-16      0      0</t>
  </si>
  <si>
    <t>0  -1292    279      0      0</t>
  </si>
  <si>
    <t>0      0   -228</t>
  </si>
  <si>
    <t>0      0   -325      0    359</t>
  </si>
  <si>
    <t>0   1245</t>
  </si>
  <si>
    <t>4273   2007      0  -169</t>
  </si>
  <si>
    <t>0  -2016   1165    721   1284</t>
  </si>
  <si>
    <t>254      0</t>
  </si>
  <si>
    <t>-13      0      0</t>
  </si>
  <si>
    <t>0      0      0     32      0</t>
  </si>
  <si>
    <t>-399      0     49</t>
  </si>
  <si>
    <t>-63      0</t>
  </si>
  <si>
    <t>424    416      0</t>
  </si>
  <si>
    <t>0    224  -7679      0   2985</t>
  </si>
  <si>
    <t>0      0    631     6</t>
  </si>
  <si>
    <t>5     26      0      0     15</t>
  </si>
  <si>
    <t>327      0</t>
  </si>
  <si>
    <t>-162    751     46    74</t>
  </si>
  <si>
    <t>8    949    732    226      0</t>
  </si>
  <si>
    <t>0      0    309</t>
  </si>
  <si>
    <t>0    344   -511   -133      0</t>
  </si>
  <si>
    <t>096  -8726</t>
  </si>
  <si>
    <t>0  -1452  -2061    214   -281</t>
  </si>
  <si>
    <t>0    164</t>
  </si>
  <si>
    <t>1922      0      0</t>
  </si>
  <si>
    <t>0   -275   -472      0   -288</t>
  </si>
  <si>
    <t>247    803</t>
  </si>
  <si>
    <t>444      0      0</t>
  </si>
  <si>
    <t>0      0      0   -544      0</t>
  </si>
  <si>
    <t>099   -803</t>
  </si>
  <si>
    <t>-122      0  -2523 -1389</t>
  </si>
  <si>
    <t>8   1527  27929  22872   9652</t>
  </si>
  <si>
    <t>699   8308</t>
  </si>
  <si>
    <t>0   1430      0</t>
  </si>
  <si>
    <t>0   -541   -218      0  -1789</t>
  </si>
  <si>
    <t>1747      0  -2735  -161</t>
  </si>
  <si>
    <t>6  -2542      0      0      0</t>
  </si>
  <si>
    <t>-608      0 -10260   320</t>
  </si>
  <si>
    <t>9   3476      0   2083 -10865</t>
  </si>
  <si>
    <t>451      0</t>
  </si>
  <si>
    <t>0      0  -1049  -151</t>
  </si>
  <si>
    <t>9    273    164    242      0</t>
  </si>
  <si>
    <t>830      0</t>
  </si>
  <si>
    <t>0    302      0   -71</t>
  </si>
  <si>
    <t>6      0   -257      0      0</t>
  </si>
  <si>
    <t>0   -257      0   1260   -602</t>
  </si>
  <si>
    <t>154      0</t>
  </si>
  <si>
    <t>2939    373      0</t>
  </si>
  <si>
    <t>0      0      0      0  -3710</t>
  </si>
  <si>
    <t>513  -2874</t>
  </si>
  <si>
    <t>2252  -1212  -5457</t>
  </si>
  <si>
    <t>0      0      0      0    371</t>
  </si>
  <si>
    <t>0    738</t>
  </si>
  <si>
    <t>0      0  -2006  -224</t>
  </si>
  <si>
    <t>309      0</t>
  </si>
  <si>
    <t>3077  -2323  -2358   104</t>
  </si>
  <si>
    <t>9    -35  -8961  -7563  -1934</t>
  </si>
  <si>
    <t>368  -1007</t>
  </si>
  <si>
    <t>0      0      0      0   -129</t>
  </si>
  <si>
    <t>174   -761</t>
  </si>
  <si>
    <t>1034   -852   1632</t>
  </si>
  <si>
    <t>0      0  -3054      0     15</t>
  </si>
  <si>
    <t>267      0</t>
  </si>
  <si>
    <t>0      0      0  1050</t>
  </si>
  <si>
    <t>6      0   2529   4860      0</t>
  </si>
  <si>
    <t>0      0   6740</t>
  </si>
  <si>
    <t>131   6046</t>
  </si>
  <si>
    <t>6834  31133  30619  -182</t>
  </si>
  <si>
    <t>8   1631   1213   -207  -1150</t>
  </si>
  <si>
    <t>-115      0      0</t>
  </si>
  <si>
    <t>0   -288     51      0      0</t>
  </si>
  <si>
    <t>0      0   -389</t>
  </si>
  <si>
    <t>0      0    212      0   -103</t>
  </si>
  <si>
    <t>0    778</t>
  </si>
  <si>
    <t>1827    300      0   -60</t>
  </si>
  <si>
    <t>6   1413    255     32    266</t>
  </si>
  <si>
    <t>293      0</t>
  </si>
  <si>
    <t>61      0      0</t>
  </si>
  <si>
    <t>0      0      0     26      0</t>
  </si>
  <si>
    <t>24      0     35</t>
  </si>
  <si>
    <t>808    213      0</t>
  </si>
  <si>
    <t>0   -141  -3702      0   3166</t>
  </si>
  <si>
    <t>0      0    866   -36</t>
  </si>
  <si>
    <t>6   -342      0      0      0</t>
  </si>
  <si>
    <t>445      0</t>
  </si>
  <si>
    <t>-132    -49    161    61</t>
  </si>
  <si>
    <t>6    922    415   -292      0</t>
  </si>
  <si>
    <t>0      0    433</t>
  </si>
  <si>
    <t>0   -206   -382     27      0</t>
  </si>
  <si>
    <t>187  -4615</t>
  </si>
  <si>
    <t>443    623  -3511</t>
  </si>
  <si>
    <t>0  -1026  -1552   -163   -433</t>
  </si>
  <si>
    <t>0    223</t>
  </si>
  <si>
    <t>1658      0      0</t>
  </si>
  <si>
    <t>0   -241   -430      0     96</t>
  </si>
  <si>
    <t>193    260</t>
  </si>
  <si>
    <t>-19      0      0</t>
  </si>
  <si>
    <t>0      0      0   -519      0</t>
  </si>
  <si>
    <t>285   -308</t>
  </si>
  <si>
    <t>369      0   1254  -459</t>
  </si>
  <si>
    <t>5   -149   1330  -3347     59</t>
  </si>
  <si>
    <t>742  -1237</t>
  </si>
  <si>
    <t>0   -129      0</t>
  </si>
  <si>
    <t>0  -1514    108      0    -34</t>
  </si>
  <si>
    <t>-2      0    251    14</t>
  </si>
  <si>
    <t>8    161      0      0      0</t>
  </si>
  <si>
    <t>1086      0    226    10</t>
  </si>
  <si>
    <t>6    423      0   -294 -26801</t>
  </si>
  <si>
    <t>114      0</t>
  </si>
  <si>
    <t>0      0    790   688</t>
  </si>
  <si>
    <t>4   9733   6446   4957      0</t>
  </si>
  <si>
    <t>191      0</t>
  </si>
  <si>
    <t>0   2292      0  -453</t>
  </si>
  <si>
    <t>6      0  -8113      0      0</t>
  </si>
  <si>
    <t>0   -204      0  -5927   3870</t>
  </si>
  <si>
    <t>391      0</t>
  </si>
  <si>
    <t>2792   4152      0</t>
  </si>
  <si>
    <t>0      0      0      0  -3853</t>
  </si>
  <si>
    <t>649  -3172</t>
  </si>
  <si>
    <t>2540  -1402  -5222</t>
  </si>
  <si>
    <t>0      0      0      0   -604</t>
  </si>
  <si>
    <t>0    542</t>
  </si>
  <si>
    <t>0      0  -2783   -27</t>
  </si>
  <si>
    <t>377      0</t>
  </si>
  <si>
    <t>2470  -2133  -2192  -155</t>
  </si>
  <si>
    <t>0   2153  -1698    416    444</t>
  </si>
  <si>
    <t>867   1049</t>
  </si>
  <si>
    <t>0      0      0      0    425</t>
  </si>
  <si>
    <t>150   2959</t>
  </si>
  <si>
    <t>-144   2128    303</t>
  </si>
  <si>
    <t>0      0  -1100      0    757</t>
  </si>
  <si>
    <t>0      0      0  1413</t>
  </si>
  <si>
    <t>1      0   2617   5112      0</t>
  </si>
  <si>
    <t>0      0   6006</t>
  </si>
  <si>
    <t>354   5084</t>
  </si>
  <si>
    <t>3528  26501  30292  3126</t>
  </si>
  <si>
    <t>6 -11417   -347    192    406</t>
  </si>
  <si>
    <t>779      0</t>
  </si>
  <si>
    <t>0    887      0</t>
  </si>
  <si>
    <t>0      0   -241   -716      0</t>
  </si>
  <si>
    <t>0      0      0 -2210</t>
  </si>
  <si>
    <t>3      0      0  -5772      0</t>
  </si>
  <si>
    <t>5915    508   -312</t>
  </si>
  <si>
    <t>0    111     83    436    579</t>
  </si>
  <si>
    <t>155    547</t>
  </si>
  <si>
    <t>0     99      0</t>
  </si>
  <si>
    <t>0      0      0      0    -32</t>
  </si>
  <si>
    <t>0    -76      0    10</t>
  </si>
  <si>
    <t>0   -431   -150</t>
  </si>
  <si>
    <t>0      0    759   2937      0</t>
  </si>
  <si>
    <t>370      0</t>
  </si>
  <si>
    <t>0      0      0   -97</t>
  </si>
  <si>
    <t>3   -396   -529      0      0</t>
  </si>
  <si>
    <t>0    613    509    -9</t>
  </si>
  <si>
    <t>1   -509  -1058   -826    304</t>
  </si>
  <si>
    <t>0      0      0    76</t>
  </si>
  <si>
    <t>1      0  -1762  -1378   -407</t>
  </si>
  <si>
    <t>0  -1635</t>
  </si>
  <si>
    <t>3798    749   -763   164</t>
  </si>
  <si>
    <t>0      0    758     97  -1134</t>
  </si>
  <si>
    <t>-70      0</t>
  </si>
  <si>
    <t>1172    675      0</t>
  </si>
  <si>
    <t>0      0    876   1821      0</t>
  </si>
  <si>
    <t>283   -713</t>
  </si>
  <si>
    <t>1148    279      0</t>
  </si>
  <si>
    <t>0      0      0      0   2253</t>
  </si>
  <si>
    <t>0  -1155</t>
  </si>
  <si>
    <t>1019   -680      0  -100</t>
  </si>
  <si>
    <t>7   3316   1153  -1744   1833</t>
  </si>
  <si>
    <t>403    707</t>
  </si>
  <si>
    <t>378      0   -401</t>
  </si>
  <si>
    <t>0      0    577   -297      0</t>
  </si>
  <si>
    <t>102      0</t>
  </si>
  <si>
    <t>0    562      0   -96</t>
  </si>
  <si>
    <t>1   -922    -30      0      0</t>
  </si>
  <si>
    <t>0   1759      0   -25</t>
  </si>
  <si>
    <t>5  -1081   -940      0    147</t>
  </si>
  <si>
    <t>927    448</t>
  </si>
  <si>
    <t>0      0      0   109</t>
  </si>
  <si>
    <t>7    981   -455   -514   -667</t>
  </si>
  <si>
    <t>0    636</t>
  </si>
  <si>
    <t>0      0    614</t>
  </si>
  <si>
    <t>0   2022      0   1151      0</t>
  </si>
  <si>
    <t>0      0   1074      0  -2120</t>
  </si>
  <si>
    <t>998   -619</t>
  </si>
  <si>
    <t>0   -547   2858</t>
  </si>
  <si>
    <t>436     88</t>
  </si>
  <si>
    <t>270      0      0    82</t>
  </si>
  <si>
    <t>8   2197      0      0      0</t>
  </si>
  <si>
    <t>0   2095</t>
  </si>
  <si>
    <t>0  -3223   -718  -137</t>
  </si>
  <si>
    <t>1  -8742  -1981   -661  -2053</t>
  </si>
  <si>
    <t>447  -1442</t>
  </si>
  <si>
    <t>-651      0      0</t>
  </si>
  <si>
    <t>244    -81</t>
  </si>
  <si>
    <t>-641    192    -87    84</t>
  </si>
  <si>
    <t>8      0      0  -1512      0</t>
  </si>
  <si>
    <t>404  -1230</t>
  </si>
  <si>
    <t>0 -10952      0  -2429  -4922</t>
  </si>
  <si>
    <t>0      0      0  -692</t>
  </si>
  <si>
    <t>0 -19075</t>
  </si>
  <si>
    <t>8098  -3636 -17100 -2233</t>
  </si>
  <si>
    <t>8 -23531 -16233  -5390    725</t>
  </si>
  <si>
    <t>516    200</t>
  </si>
  <si>
    <t>1564      0      0  -238</t>
  </si>
  <si>
    <t>5      0      0      0   -441</t>
  </si>
  <si>
    <t>575      0</t>
  </si>
  <si>
    <t>0      0  31516      0      0</t>
  </si>
  <si>
    <t>47      0</t>
  </si>
  <si>
    <t>707      0  -2435   299</t>
  </si>
  <si>
    <t>5   1376      0     57    408</t>
  </si>
  <si>
    <t>-66     14</t>
  </si>
  <si>
    <t>-9    144      0   -23</t>
  </si>
  <si>
    <t>0     25</t>
  </si>
  <si>
    <t>0      0      0    11</t>
  </si>
  <si>
    <t>5      0   -195      0      0</t>
  </si>
  <si>
    <t>0   -361      0    44</t>
  </si>
  <si>
    <t>1      0      0      0    569</t>
  </si>
  <si>
    <t>270      0</t>
  </si>
  <si>
    <t>1108      0      0</t>
  </si>
  <si>
    <t>0      0    760   -180    282</t>
  </si>
  <si>
    <t>76  -1083      0    91</t>
  </si>
  <si>
    <t>8    343    603    308    -25</t>
  </si>
  <si>
    <t>441   -155</t>
  </si>
  <si>
    <t>0      0   -662      0   1827</t>
  </si>
  <si>
    <t>106    -62</t>
  </si>
  <si>
    <t>0    928  -1178    89</t>
  </si>
  <si>
    <t>7   2095   1625      0    768</t>
  </si>
  <si>
    <t>069   1406</t>
  </si>
  <si>
    <t>-430      0   -886    37</t>
  </si>
  <si>
    <t>8      0      0      0    108</t>
  </si>
  <si>
    <t>417      0</t>
  </si>
  <si>
    <t>560    648    586   -40</t>
  </si>
  <si>
    <t>0  -1218</t>
  </si>
  <si>
    <t>0   1634    430    17</t>
  </si>
  <si>
    <t>1      0    866   -421    719</t>
  </si>
  <si>
    <t>984   1592</t>
  </si>
  <si>
    <t>653    459    573</t>
  </si>
  <si>
    <t>0   -244      0      0    544</t>
  </si>
  <si>
    <t>551      0</t>
  </si>
  <si>
    <t>-243      0      0    12</t>
  </si>
  <si>
    <t>7      0     58    496   -833</t>
  </si>
  <si>
    <t>0      0      0  -105</t>
  </si>
  <si>
    <t>7      0    604    688    295</t>
  </si>
  <si>
    <t>0    469</t>
  </si>
  <si>
    <t>1012    310      0</t>
  </si>
  <si>
    <t>0      0    368    343    472</t>
  </si>
  <si>
    <t>-87    638</t>
  </si>
  <si>
    <t>0    136      0</t>
  </si>
  <si>
    <t>0    117      0    413      0</t>
  </si>
  <si>
    <t>490      0</t>
  </si>
  <si>
    <t>0      0      0      0   -580</t>
  </si>
  <si>
    <t>0   2470</t>
  </si>
  <si>
    <t>719    311      0    78</t>
  </si>
  <si>
    <t>3     -7      0      0      0</t>
  </si>
  <si>
    <t>17    140   -159     5</t>
  </si>
  <si>
    <t>1   -395    278      0      0</t>
  </si>
  <si>
    <t>201      0    320</t>
  </si>
  <si>
    <t>0      0   -542   -315      0</t>
  </si>
  <si>
    <t>0   -640      0    39</t>
  </si>
  <si>
    <t>1    309     95  -1266   -652</t>
  </si>
  <si>
    <t>143    301</t>
  </si>
  <si>
    <t>362     93    -24</t>
  </si>
  <si>
    <t>84   -285   -348    -9</t>
  </si>
  <si>
    <t>1   -422   -265      0      0</t>
  </si>
  <si>
    <t>487      0</t>
  </si>
  <si>
    <t>1134   -319      0</t>
  </si>
  <si>
    <t>0      0      0   1007      0</t>
  </si>
  <si>
    <t>518    362</t>
  </si>
  <si>
    <t>0      0   1987      0      0</t>
  </si>
  <si>
    <t>0 -35745    180     -</t>
  </si>
  <si>
    <t>1    900    -89   -120   -644</t>
  </si>
  <si>
    <t>132    118</t>
  </si>
  <si>
    <t>1736    154    538   118</t>
  </si>
  <si>
    <t>0      0      0   -370      0</t>
  </si>
  <si>
    <t>-206    102      0</t>
  </si>
  <si>
    <t>228      0</t>
  </si>
  <si>
    <t>0  -4955      0   491</t>
  </si>
  <si>
    <t>6      0   -100   -113    -37</t>
  </si>
  <si>
    <t>0   5006</t>
  </si>
  <si>
    <t>2013   1562   2766   147</t>
  </si>
  <si>
    <t>1  -3565      0  -2860      0</t>
  </si>
  <si>
    <t>0      0      0    360      0</t>
  </si>
  <si>
    <t>281      0</t>
  </si>
  <si>
    <t>0 -34859      0 -12853  -1425</t>
  </si>
  <si>
    <t>1454    902      0  -153</t>
  </si>
  <si>
    <t>887   2643</t>
  </si>
  <si>
    <t>1959      0      0   -64</t>
  </si>
  <si>
    <t>5   -297      0   -585   -697</t>
  </si>
  <si>
    <t>1067   -685  -1282</t>
  </si>
  <si>
    <t>896      0</t>
  </si>
  <si>
    <t>-994  -1111    567</t>
  </si>
  <si>
    <t>0   -333    519    116    285</t>
  </si>
  <si>
    <t>304      0</t>
  </si>
  <si>
    <t>1777   2501  -2135    65</t>
  </si>
  <si>
    <t>5      0   -481    100      0</t>
  </si>
  <si>
    <t>117    158      0    17</t>
  </si>
  <si>
    <t>7   -194    119     70      0</t>
  </si>
  <si>
    <t>0  -1003   -243    -70      0</t>
  </si>
  <si>
    <t>964     10</t>
  </si>
  <si>
    <t>391    961    736     2</t>
  </si>
  <si>
    <t>8   2529   3758      0    739</t>
  </si>
  <si>
    <t>18     45      0    20</t>
  </si>
  <si>
    <t>2      0      0    274      0</t>
  </si>
  <si>
    <t>432    491</t>
  </si>
  <si>
    <t>424      0      0</t>
  </si>
  <si>
    <t>0      0      0    609      0</t>
  </si>
  <si>
    <t>455   -246</t>
  </si>
  <si>
    <t>-465      0   -326    -1</t>
  </si>
  <si>
    <t>5    -58      0      0      0</t>
  </si>
  <si>
    <t>347   2215</t>
  </si>
  <si>
    <t>1637    581    518</t>
  </si>
  <si>
    <t>0    283      0      0     79</t>
  </si>
  <si>
    <t>0     81</t>
  </si>
  <si>
    <t>0     70      0</t>
  </si>
  <si>
    <t>63      0   -409   -15</t>
  </si>
  <si>
    <t>6    -50      0   -285   2115</t>
  </si>
  <si>
    <t>0      0      0   322</t>
  </si>
  <si>
    <t>8  -4435   1500   1287     20</t>
  </si>
  <si>
    <t>427      0</t>
  </si>
  <si>
    <t>6      0    -72      0      0</t>
  </si>
  <si>
    <t>0    264      0  -2936   -928</t>
  </si>
  <si>
    <t>244     60</t>
  </si>
  <si>
    <t>7  -2259   -707      0      0</t>
  </si>
  <si>
    <t>0      0      0   -48</t>
  </si>
  <si>
    <t>6   -225     90   -231     16</t>
  </si>
  <si>
    <t>91      0</t>
  </si>
  <si>
    <t>0   -235      0   -39</t>
  </si>
  <si>
    <t>4    887      0      0      0</t>
  </si>
  <si>
    <t>0   -225</t>
  </si>
  <si>
    <t>0    597  -2156</t>
  </si>
  <si>
    <t>-34      0</t>
  </si>
  <si>
    <t>0   -120  -2615   -222   -739</t>
  </si>
  <si>
    <t>325    617</t>
  </si>
  <si>
    <t>-73    189   -183   -14</t>
  </si>
  <si>
    <t>0 -60842     55     91    419</t>
  </si>
  <si>
    <t>-220      0      0</t>
  </si>
  <si>
    <t>0    -90    -38      0      0</t>
  </si>
  <si>
    <t>0      0      9</t>
  </si>
  <si>
    <t>0      0   1829      0  -1693</t>
  </si>
  <si>
    <t>0  -5739</t>
  </si>
  <si>
    <t>140     79      0    99</t>
  </si>
  <si>
    <t>8  -5959    194     50   -490</t>
  </si>
  <si>
    <t>-185      0      0</t>
  </si>
  <si>
    <t>0      0      0    427      0</t>
  </si>
  <si>
    <t>-88      0   -213</t>
  </si>
  <si>
    <t>-442   -484      0</t>
  </si>
  <si>
    <t>0   -618  -1871      0    116</t>
  </si>
  <si>
    <t>0      0   -744    19</t>
  </si>
  <si>
    <t>5    141      0      0     17</t>
  </si>
  <si>
    <t>-79      0</t>
  </si>
  <si>
    <t>7   1015    132    -62      0</t>
  </si>
  <si>
    <t>0      0    451</t>
  </si>
  <si>
    <t>0   -852     15     89      0</t>
  </si>
  <si>
    <t>89  -2545</t>
  </si>
  <si>
    <t>144    -67   -139</t>
  </si>
  <si>
    <t>0   2193    899    -61     12</t>
  </si>
  <si>
    <t>0      7</t>
  </si>
  <si>
    <t>-110      0      0</t>
  </si>
  <si>
    <t>0     75   -141      0    -52</t>
  </si>
  <si>
    <t>154     -3</t>
  </si>
  <si>
    <t>2      0      0</t>
  </si>
  <si>
    <t>0      0      0   -380      0</t>
  </si>
  <si>
    <t>379     94</t>
  </si>
  <si>
    <t>-6      0    112  -246</t>
  </si>
  <si>
    <t>0     95    -27   -153    -29</t>
  </si>
  <si>
    <t>935    784</t>
  </si>
  <si>
    <t>0    -34    -16      0     -4</t>
  </si>
  <si>
    <t>-20      0    -67     2</t>
  </si>
  <si>
    <t>1     46      0      0      0</t>
  </si>
  <si>
    <t>-404      0    271    10</t>
  </si>
  <si>
    <t>4    -34      0   -313  -3053</t>
  </si>
  <si>
    <t>0      0   2521   133</t>
  </si>
  <si>
    <t>6     -1    -13      4      0</t>
  </si>
  <si>
    <t>42      0</t>
  </si>
  <si>
    <t>0    -21      0    -8</t>
  </si>
  <si>
    <t>1      0     12      0      0</t>
  </si>
  <si>
    <t>0   -197      0    318     33</t>
  </si>
  <si>
    <t>-71      0</t>
  </si>
  <si>
    <t>-495    879      0</t>
  </si>
  <si>
    <t>0      0      0      0   2124</t>
  </si>
  <si>
    <t>111   -683</t>
  </si>
  <si>
    <t>-497     58  -1152</t>
  </si>
  <si>
    <t>0      0      0      0   -521</t>
  </si>
  <si>
    <t>0   -260</t>
  </si>
  <si>
    <t>0      0  -1123    15</t>
  </si>
  <si>
    <t>397      0</t>
  </si>
  <si>
    <t>-239   -315    342  -197</t>
  </si>
  <si>
    <t>0   -389    -98    -17     58</t>
  </si>
  <si>
    <t>679   -727</t>
  </si>
  <si>
    <t>0      0      0      0     70</t>
  </si>
  <si>
    <t>23    178</t>
  </si>
  <si>
    <t>124     18    -56</t>
  </si>
  <si>
    <t>0      0    -91      0   -348</t>
  </si>
  <si>
    <t>8      0  -5299  -5052      0</t>
  </si>
  <si>
    <t>0      0    512</t>
  </si>
  <si>
    <t>321  69578</t>
  </si>
  <si>
    <t>8119   7253   6368   646</t>
  </si>
  <si>
    <t>8   5685  -2471   -159    277</t>
  </si>
  <si>
    <t>523  -3520</t>
  </si>
  <si>
    <t>189   4346   4124</t>
  </si>
  <si>
    <t>0      0   -161      0      0</t>
  </si>
  <si>
    <t>0   -112</t>
  </si>
  <si>
    <t>-44      0      0</t>
  </si>
  <si>
    <t>0      0      0      0    -37</t>
  </si>
  <si>
    <t>2040      0   2058</t>
  </si>
  <si>
    <t>0     27   -131    125      0</t>
  </si>
  <si>
    <t>747 -82415</t>
  </si>
  <si>
    <t>5196  15573  16588  1405</t>
  </si>
  <si>
    <t>6      0   3876      0      0</t>
  </si>
  <si>
    <t>0   2418      0</t>
  </si>
  <si>
    <t>0      0   8981      0   7643</t>
  </si>
  <si>
    <t>0      0      0   -91</t>
  </si>
  <si>
    <t>5      0  -8194   3211      0</t>
  </si>
  <si>
    <t>0   -492</t>
  </si>
  <si>
    <t>1022      0    -14</t>
  </si>
  <si>
    <t>0      0      0      0   -819</t>
  </si>
  <si>
    <t>134    126</t>
  </si>
  <si>
    <t>0      0     11   -11</t>
  </si>
  <si>
    <t>1      0    -99   -131   -148</t>
  </si>
  <si>
    <t>-73    564</t>
  </si>
  <si>
    <t>53   -126      0</t>
  </si>
  <si>
    <t>0      0      0      0    285</t>
  </si>
  <si>
    <t>26     74      0    14</t>
  </si>
  <si>
    <t>9  -1549    120    104     60</t>
  </si>
  <si>
    <t>0   2040</t>
  </si>
  <si>
    <t>941   -130     30</t>
  </si>
  <si>
    <t>0    -44     62      0      0</t>
  </si>
  <si>
    <t>0     59</t>
  </si>
  <si>
    <t>-216      0   -172    72</t>
  </si>
  <si>
    <t>7     29     94      0      0</t>
  </si>
  <si>
    <t>0   -481      0    29</t>
  </si>
  <si>
    <t>2     49      2      0    124</t>
  </si>
  <si>
    <t>666    374</t>
  </si>
  <si>
    <t>515    332    564   173</t>
  </si>
  <si>
    <t>2    667      0    -11      0</t>
  </si>
  <si>
    <t>0     63</t>
  </si>
  <si>
    <t>-65      0    -96</t>
  </si>
  <si>
    <t>0      0    -84      0    366</t>
  </si>
  <si>
    <t>-13    315</t>
  </si>
  <si>
    <t>0      0   -488      0    286</t>
  </si>
  <si>
    <t>119    -58</t>
  </si>
  <si>
    <t>0   -325  -1429   -18</t>
  </si>
  <si>
    <t>0      0      0      0   2998</t>
  </si>
  <si>
    <t>471    514</t>
  </si>
  <si>
    <t>159     50      0     5</t>
  </si>
  <si>
    <t>1      0      0     37      0</t>
  </si>
  <si>
    <t>-94      0</t>
  </si>
  <si>
    <t>-194      0      0</t>
  </si>
  <si>
    <t>0   -210</t>
  </si>
  <si>
    <t>0    307   -112     7</t>
  </si>
  <si>
    <t>5      0   -160    571      0</t>
  </si>
  <si>
    <t>0      0   1016   -58</t>
  </si>
  <si>
    <t>3   -423   -331     41   -710</t>
  </si>
  <si>
    <t>0      0   -476</t>
  </si>
  <si>
    <t>0   -269      0      0   -811</t>
  </si>
  <si>
    <t>46      0</t>
  </si>
  <si>
    <t>0      0      0     5</t>
  </si>
  <si>
    <t>0      0     16   -261    284</t>
  </si>
  <si>
    <t>809   -875</t>
  </si>
  <si>
    <t>4  -1903      0      0      0</t>
  </si>
  <si>
    <t>0      0    291    -6</t>
  </si>
  <si>
    <t>6    416    277    194   -695</t>
  </si>
  <si>
    <t>1      0   -388   176</t>
  </si>
  <si>
    <t>119      0</t>
  </si>
  <si>
    <t>3262  -3334      0</t>
  </si>
  <si>
    <t>0      0      0      0    323</t>
  </si>
  <si>
    <t>9   3998  86964   4317   4331</t>
  </si>
  <si>
    <t>703   2964</t>
  </si>
  <si>
    <t>1370    -27    243   900</t>
  </si>
  <si>
    <t>8   -474  -2655    160   -432</t>
  </si>
  <si>
    <t>0   -305      0</t>
  </si>
  <si>
    <t>0      0   -528    906      0</t>
  </si>
  <si>
    <t>9      0      0    416      0</t>
  </si>
  <si>
    <t>343      0</t>
  </si>
  <si>
    <t>884    514    109</t>
  </si>
  <si>
    <t>0  -1278   -610    419    869</t>
  </si>
  <si>
    <t>549   -118</t>
  </si>
  <si>
    <t>0    497      0</t>
  </si>
  <si>
    <t>0      0      0      0  -3092</t>
  </si>
  <si>
    <t>0   2235      0    86</t>
  </si>
  <si>
    <t>0    -13</t>
  </si>
  <si>
    <t>0  -1529    538</t>
  </si>
  <si>
    <t>0      0  -8916  -8069      0</t>
  </si>
  <si>
    <t>907      0</t>
  </si>
  <si>
    <t>0      0      0  -310</t>
  </si>
  <si>
    <t>9    434   -246      0      0</t>
  </si>
  <si>
    <t>905   4432</t>
  </si>
  <si>
    <t>0   5195   5748   336</t>
  </si>
  <si>
    <t>7   6648  -7593   2484   8021</t>
  </si>
  <si>
    <t>0      0      0  1132</t>
  </si>
  <si>
    <t>4      0 -18630   1931  -4373</t>
  </si>
  <si>
    <t>6276    283   -247  -125</t>
  </si>
  <si>
    <t>2      0   4272   7115    130</t>
  </si>
  <si>
    <t>90      0</t>
  </si>
  <si>
    <t>33    545      0</t>
  </si>
  <si>
    <t>0      0    228    178      0</t>
  </si>
  <si>
    <t>-112   -522      0</t>
  </si>
  <si>
    <t>116    486      0     9</t>
  </si>
  <si>
    <t>2  -5362     65   -255  -1400</t>
  </si>
  <si>
    <t>119   3990</t>
  </si>
  <si>
    <t>6343      0    130</t>
  </si>
  <si>
    <t>0      0    790     70      0</t>
  </si>
  <si>
    <t>0    -43      0   -23</t>
  </si>
  <si>
    <t>5     83   -271      0      0</t>
  </si>
  <si>
    <t>0    109      0  -150</t>
  </si>
  <si>
    <t>7    154    303      0     79</t>
  </si>
  <si>
    <t>567    167</t>
  </si>
  <si>
    <t>0      0      0   562</t>
  </si>
  <si>
    <t>3   7914    692    214    174</t>
  </si>
  <si>
    <t>0    585</t>
  </si>
  <si>
    <t>0      0   -142</t>
  </si>
  <si>
    <t>0   -113      0    -55      0</t>
  </si>
  <si>
    <t>0      0    176      0     54</t>
  </si>
  <si>
    <t>-53    355</t>
  </si>
  <si>
    <t>0  -1638   4231</t>
  </si>
  <si>
    <t>808    735</t>
  </si>
  <si>
    <t>2435  -1760   -515  -398</t>
  </si>
  <si>
    <t>893      0</t>
  </si>
  <si>
    <t>900      0      0  -321</t>
  </si>
  <si>
    <t>2    330      0      0      0</t>
  </si>
  <si>
    <t>0   2729</t>
  </si>
  <si>
    <t>0  -2174  -1006   -27</t>
  </si>
  <si>
    <t>4  -5011   -967  -1636   -128</t>
  </si>
  <si>
    <t>094  -2109</t>
  </si>
  <si>
    <t>5034      0      0</t>
  </si>
  <si>
    <t>364  -2931</t>
  </si>
  <si>
    <t>5148  -1699  -4058   316</t>
  </si>
  <si>
    <t>0      0      0   -410      0</t>
  </si>
  <si>
    <t>194    169</t>
  </si>
  <si>
    <t>0   6176      0 -13315 -22065</t>
  </si>
  <si>
    <t>0      0      0   261</t>
  </si>
  <si>
    <t>4337   3495  55295  1852</t>
  </si>
  <si>
    <t>7  19572  17482  -4316   -257</t>
  </si>
  <si>
    <t>083  12506</t>
  </si>
  <si>
    <t>7693  -1612  -2186    62</t>
  </si>
  <si>
    <t>3   -455    310      0      0</t>
  </si>
  <si>
    <t>-96      0</t>
  </si>
  <si>
    <t>0      0   -319    27</t>
  </si>
  <si>
    <t>617      0      0    58</t>
  </si>
  <si>
    <t>3      0   -540      0    534</t>
  </si>
  <si>
    <t>803    137</t>
  </si>
  <si>
    <t>0  -2305    607    55</t>
  </si>
  <si>
    <t>8  -1732   -600    296      0</t>
  </si>
  <si>
    <t>87      0</t>
  </si>
  <si>
    <t>0   1033      0      0      0</t>
  </si>
  <si>
    <t>110      0</t>
  </si>
  <si>
    <t>-887      0      0</t>
  </si>
  <si>
    <t>0      0      0    329      0</t>
  </si>
  <si>
    <t>470   5059</t>
  </si>
  <si>
    <t>0      0    145  -719</t>
  </si>
  <si>
    <t>2521    -19    203</t>
  </si>
  <si>
    <t>0      0    -18   -246      0</t>
  </si>
  <si>
    <t>923   -799</t>
  </si>
  <si>
    <t>4   -995      0      0      0</t>
  </si>
  <si>
    <t>1587      0   2045   -50</t>
  </si>
  <si>
    <t>1    481      0    691 -14258</t>
  </si>
  <si>
    <t>532   8767</t>
  </si>
  <si>
    <t>7340      0 -18538 -2633</t>
  </si>
  <si>
    <t>6  -7576   -187      0    -17</t>
  </si>
  <si>
    <t>123      0</t>
  </si>
  <si>
    <t>0      0   3060  -178</t>
  </si>
  <si>
    <t>4      0    911 -11632  -1058</t>
  </si>
  <si>
    <t>361      0</t>
  </si>
  <si>
    <t>0    280      0   -746   2110</t>
  </si>
  <si>
    <t>4  -1483    674   3009   4753</t>
  </si>
  <si>
    <t>0    193</t>
  </si>
  <si>
    <t>0      0   -968     9</t>
  </si>
  <si>
    <t>0      0    -23      0      0</t>
  </si>
  <si>
    <t>-81      0</t>
  </si>
  <si>
    <t>931    200   -479</t>
  </si>
  <si>
    <t>717      0</t>
  </si>
  <si>
    <t>1699   -537    177</t>
  </si>
  <si>
    <t>0   1577 -10097   -265      0</t>
  </si>
  <si>
    <t>3701   4644    359    33</t>
  </si>
  <si>
    <t>2    189      0   -433      0</t>
  </si>
  <si>
    <t>0     72</t>
  </si>
  <si>
    <t>0   -142      0     2</t>
  </si>
  <si>
    <t>0      0    720</t>
  </si>
  <si>
    <t>0    755   -327     66      0</t>
  </si>
  <si>
    <t>315   4362</t>
  </si>
  <si>
    <t>0      0   5932    317  -2212</t>
  </si>
  <si>
    <t>696   -383</t>
  </si>
  <si>
    <t>4357      0      0</t>
  </si>
  <si>
    <t>0      0   -788      0   -122</t>
  </si>
  <si>
    <t>2860     17      0</t>
  </si>
  <si>
    <t>0      0      0   3900      0</t>
  </si>
  <si>
    <t>343  -1665</t>
  </si>
  <si>
    <t>9  -5857    -69   3501    765</t>
  </si>
  <si>
    <t>0      0   -281     60    539</t>
  </si>
  <si>
    <t>141    -40</t>
  </si>
  <si>
    <t>3684      0      0  -227</t>
  </si>
  <si>
    <t>9      0     39  -1114      0</t>
  </si>
  <si>
    <t>0   4465      0  -648</t>
  </si>
  <si>
    <t>8 -14999      0      0      0</t>
  </si>
  <si>
    <t>2892      0      0</t>
  </si>
  <si>
    <t>0      0      0    560   4030</t>
  </si>
  <si>
    <t>102  18191</t>
  </si>
  <si>
    <t>8683  21249  21115  -834</t>
  </si>
  <si>
    <t>1   -240   1270   9861   4983</t>
  </si>
  <si>
    <t>088  -1177</t>
  </si>
  <si>
    <t>2762    399  -1355     -</t>
  </si>
  <si>
    <t>8      0      0     -5      0</t>
  </si>
  <si>
    <t>-165     10      0</t>
  </si>
  <si>
    <t>0    858      0   -86</t>
  </si>
  <si>
    <t>8      0    484    575    155</t>
  </si>
  <si>
    <t>0  -2309</t>
  </si>
  <si>
    <t>-844  -2311  -1009     -</t>
  </si>
  <si>
    <t>4   -574      0   -269      0</t>
  </si>
  <si>
    <t>0      0    346</t>
  </si>
  <si>
    <t>0      0      0    873      0</t>
  </si>
  <si>
    <t>916      0</t>
  </si>
  <si>
    <t>0    521      0   -277   5008</t>
  </si>
  <si>
    <t>-144  -6968      0    57</t>
  </si>
  <si>
    <t>202     27</t>
  </si>
  <si>
    <t>172      0      0     1</t>
  </si>
  <si>
    <t>0   -141      0   -297   -303</t>
  </si>
  <si>
    <t>272   -314</t>
  </si>
  <si>
    <t>889      0</t>
  </si>
  <si>
    <t>1260   -152    359</t>
  </si>
  <si>
    <t>0   1708  -6282   -244   -676</t>
  </si>
  <si>
    <t>420      0</t>
  </si>
  <si>
    <t>3168   4579    220     5</t>
  </si>
  <si>
    <t>9      0     55  -1089      0</t>
  </si>
  <si>
    <t>-80   -138      0   -22</t>
  </si>
  <si>
    <t>1    880    147   -607      0</t>
  </si>
  <si>
    <t>0      0   -826</t>
  </si>
  <si>
    <t>0   -326   -322    284      0</t>
  </si>
  <si>
    <t>450 -21433</t>
  </si>
  <si>
    <t>2479   7723   4558 -2094</t>
  </si>
  <si>
    <t>5 -20689 -27645      0   1018</t>
  </si>
  <si>
    <t>3176    131      0   103</t>
  </si>
  <si>
    <t>1      0      0   1277      0</t>
  </si>
  <si>
    <t>237   1752</t>
  </si>
  <si>
    <t>3330      0      0</t>
  </si>
  <si>
    <t>0      0      0  -6485      0</t>
  </si>
  <si>
    <t>446   1533</t>
  </si>
  <si>
    <t>1367      0   1688  -946</t>
  </si>
  <si>
    <t>0   -180      0      0      0</t>
  </si>
  <si>
    <t>447   3016</t>
  </si>
  <si>
    <t>146    275    216</t>
  </si>
  <si>
    <t>0   -544      0      0    137</t>
  </si>
  <si>
    <t>0   -189</t>
  </si>
  <si>
    <t>0     -4      0</t>
  </si>
  <si>
    <t>-536      0     27   -14</t>
  </si>
  <si>
    <t>2     96      0   -137   3351</t>
  </si>
  <si>
    <t>0      0      0   598</t>
  </si>
  <si>
    <t>7    809  -2292  -1725   -393</t>
  </si>
  <si>
    <t>362      0</t>
  </si>
  <si>
    <t>0      0      0   -61</t>
  </si>
  <si>
    <t>1      0   -119      0      0</t>
  </si>
  <si>
    <t>809     43</t>
  </si>
  <si>
    <t>0   1931      0  -1427  -1584</t>
  </si>
  <si>
    <t>510  -4618</t>
  </si>
  <si>
    <t>1987  -4321  -3797   599</t>
  </si>
  <si>
    <t>9   5455   2032      0      0</t>
  </si>
  <si>
    <t>0      0      0   -74</t>
  </si>
  <si>
    <t>9    156   -278    356   -361</t>
  </si>
  <si>
    <t>382      0</t>
  </si>
  <si>
    <t>0  -1624      0    27</t>
  </si>
  <si>
    <t>5   -678      0      0      0</t>
  </si>
  <si>
    <t>0   4632</t>
  </si>
  <si>
    <t>0  -5899 -13211</t>
  </si>
  <si>
    <t>750      0</t>
  </si>
  <si>
    <t>0    486   4110   3607  18670</t>
  </si>
  <si>
    <t>093  45429</t>
  </si>
  <si>
    <t>0335  -8674    -61   -63</t>
  </si>
  <si>
    <t>5   9782   6133  27699  23869</t>
  </si>
  <si>
    <t>385    106   2152</t>
  </si>
  <si>
    <t>0   -213</t>
  </si>
  <si>
    <t>-70      0      0</t>
  </si>
  <si>
    <t>0      0      0      0    313</t>
  </si>
  <si>
    <t>340      0   -302</t>
  </si>
  <si>
    <t>0    409   -112     -1      0</t>
  </si>
  <si>
    <t>339   3400</t>
  </si>
  <si>
    <t>411  -1227   -187   -47</t>
  </si>
  <si>
    <t>4      0    574      0      0</t>
  </si>
  <si>
    <t>0    161      0</t>
  </si>
  <si>
    <t>0      0   -240      0   -259</t>
  </si>
  <si>
    <t>0      0      0    36</t>
  </si>
  <si>
    <t>9      0  -1498   3141      0</t>
  </si>
  <si>
    <t>6050      0    701</t>
  </si>
  <si>
    <t>0      0      0      0   -637</t>
  </si>
  <si>
    <t>-23     71</t>
  </si>
  <si>
    <t>0      0    -69    -1</t>
  </si>
  <si>
    <t>7      0   -317   -794   -109</t>
  </si>
  <si>
    <t>496    158</t>
  </si>
  <si>
    <t>-234   -654      0</t>
  </si>
  <si>
    <t>0      0      0      0    834</t>
  </si>
  <si>
    <t>0   1554</t>
  </si>
  <si>
    <t>-222    391      0    55</t>
  </si>
  <si>
    <t>9  -6395    275    478  -1211</t>
  </si>
  <si>
    <t>0   2383</t>
  </si>
  <si>
    <t>2333   1096    129</t>
  </si>
  <si>
    <t>0     86  -1264      0      0</t>
  </si>
  <si>
    <t>0    -69</t>
  </si>
  <si>
    <t>-13      0    110    48</t>
  </si>
  <si>
    <t>7    161      9      0      0</t>
  </si>
  <si>
    <t>0    439      0    59</t>
  </si>
  <si>
    <t>9   -231    106      0   -669</t>
  </si>
  <si>
    <t>896    134</t>
  </si>
  <si>
    <t>478  -1282    617    73</t>
  </si>
  <si>
    <t>9    495      0    162      0</t>
  </si>
  <si>
    <t>0  -1129</t>
  </si>
  <si>
    <t>9      0   -108</t>
  </si>
  <si>
    <t>0      0     -9      0     71</t>
  </si>
  <si>
    <t>0      0   1417      0  -1248</t>
  </si>
  <si>
    <t>119    243</t>
  </si>
  <si>
    <t>0   4088 -20685    63</t>
  </si>
  <si>
    <t>0      0      0      0 -23715</t>
  </si>
  <si>
    <t>539 -12447</t>
  </si>
  <si>
    <t>100   1203      0   -90</t>
  </si>
  <si>
    <t>1      0      0   -471      0</t>
  </si>
  <si>
    <t>449      0</t>
  </si>
  <si>
    <t>-582      0      0</t>
  </si>
  <si>
    <t>0  -1451</t>
  </si>
  <si>
    <t>0  -1808   2504   -95</t>
  </si>
  <si>
    <t>2      0    398   3031      0</t>
  </si>
  <si>
    <t>0      0   2770    21</t>
  </si>
  <si>
    <t>9  -2100  -1731   -734  -4312</t>
  </si>
  <si>
    <t>0      0   -966</t>
  </si>
  <si>
    <t>0   -155      0      0  -2415</t>
  </si>
  <si>
    <t>441      0</t>
  </si>
  <si>
    <t>0      0      0   202</t>
  </si>
  <si>
    <t>1      0   -891  -1560   -814</t>
  </si>
  <si>
    <t>842   -817</t>
  </si>
  <si>
    <t>2580  -1520   -688   293</t>
  </si>
  <si>
    <t>6   2689      0      0      0</t>
  </si>
  <si>
    <t>0      0    581   -12</t>
  </si>
  <si>
    <t>9   2066    -59    670    107</t>
  </si>
  <si>
    <t>1200      0    437   -94</t>
  </si>
  <si>
    <t>517      0</t>
  </si>
  <si>
    <t>3374  -9396      0</t>
  </si>
  <si>
    <t>0      0      0      0   2423</t>
  </si>
  <si>
    <t>0      0      0    26</t>
  </si>
  <si>
    <t>9   3206   1178  16122  19145</t>
  </si>
  <si>
    <t>347  48059</t>
  </si>
  <si>
    <t>5187   -210   -197   703</t>
  </si>
  <si>
    <t>2   -119  20484  22739  22748</t>
  </si>
  <si>
    <t>331    288</t>
  </si>
  <si>
    <t>138    -97  -1237</t>
  </si>
  <si>
    <t>0      0    358      0      0</t>
  </si>
  <si>
    <t>0    -16</t>
  </si>
  <si>
    <t>57      0      0</t>
  </si>
  <si>
    <t>0      0      0      0    -69</t>
  </si>
  <si>
    <t>2473      0  -2488</t>
  </si>
  <si>
    <t>0   -405   -599   -244      0</t>
  </si>
  <si>
    <t>631  -2923</t>
  </si>
  <si>
    <t>1166   -692   1617   233</t>
  </si>
  <si>
    <t>4      0   1363      0      0</t>
  </si>
  <si>
    <t>0   -795      0</t>
  </si>
  <si>
    <t>0      0    509      0   1509</t>
  </si>
  <si>
    <t>0      0      0   921</t>
  </si>
  <si>
    <t>4      0   8910   4170      0</t>
  </si>
  <si>
    <t>0   2552</t>
  </si>
  <si>
    <t>2400      0    304</t>
  </si>
  <si>
    <t>0      0      0      0   5321</t>
  </si>
  <si>
    <t>572  -1281</t>
  </si>
  <si>
    <t>0      0    194    23</t>
  </si>
  <si>
    <t>2      0    886    611    186</t>
  </si>
  <si>
    <t>482  -1043</t>
  </si>
  <si>
    <t>179    979      0</t>
  </si>
  <si>
    <t>0      0      0      0  -1374</t>
  </si>
  <si>
    <t>0    557</t>
  </si>
  <si>
    <t>-475   -373      0    54</t>
  </si>
  <si>
    <t>1   5131   -182      4   1300</t>
  </si>
  <si>
    <t>0  -3910</t>
  </si>
  <si>
    <t>2609   2139   -585</t>
  </si>
  <si>
    <t>0    820   -451      0      0</t>
  </si>
  <si>
    <t>0    -25</t>
  </si>
  <si>
    <t>243      0    -42   -53</t>
  </si>
  <si>
    <t>9   -308   -156      0      0</t>
  </si>
  <si>
    <t>0    623      0  -107</t>
  </si>
  <si>
    <t>1   -659   -111      0    589</t>
  </si>
  <si>
    <t>625   -414</t>
  </si>
  <si>
    <t>1017    816  -1082  -359</t>
  </si>
  <si>
    <t>8  -3039      0   -602      0</t>
  </si>
  <si>
    <t>0   -517</t>
  </si>
  <si>
    <t>-79      0    -37</t>
  </si>
  <si>
    <t>0      0   -217      0   -722</t>
  </si>
  <si>
    <t>463   -546</t>
  </si>
  <si>
    <t>0      0    760      0  -1522</t>
  </si>
  <si>
    <t>659    328</t>
  </si>
  <si>
    <t>0   1538   5354    20</t>
  </si>
  <si>
    <t>6      0      0      0  -4003</t>
  </si>
  <si>
    <t>317   2096</t>
  </si>
  <si>
    <t>-726   -500      0   -53</t>
  </si>
  <si>
    <t>8      0      0    121      0</t>
  </si>
  <si>
    <t>0    347</t>
  </si>
  <si>
    <t>0  -1134   -351    10</t>
  </si>
  <si>
    <t>9      0   5849  -3100      0</t>
  </si>
  <si>
    <t>0      0 -17021   -72</t>
  </si>
  <si>
    <t>2  -1396  -1179  -1551   -929</t>
  </si>
  <si>
    <t>0      0   1516</t>
  </si>
  <si>
    <t>0    967      0      0   3097</t>
  </si>
  <si>
    <t>0      0      0  -367</t>
  </si>
  <si>
    <t>0      0   4298   -461  -3892</t>
  </si>
  <si>
    <t>324    474</t>
  </si>
  <si>
    <t>220   -449   1991   350</t>
  </si>
  <si>
    <t>1   2283      0      0      0</t>
  </si>
  <si>
    <t>0      0     -1     7</t>
  </si>
  <si>
    <t>7   -657    238   -445    842</t>
  </si>
  <si>
    <t>-127      0    233  -221</t>
  </si>
  <si>
    <t>5391  24561      0</t>
  </si>
  <si>
    <t>0      0      0      0  -4151</t>
  </si>
  <si>
    <t>0      0      0  -122</t>
  </si>
  <si>
    <t>6    437   -839  -6179  -9436</t>
  </si>
  <si>
    <t>029  -6659</t>
  </si>
  <si>
    <t>6226   1122 -47718 -1366</t>
  </si>
  <si>
    <t>4  -7074 -33137 -34466 -33437</t>
  </si>
  <si>
    <t>0   -233  -1990    12</t>
  </si>
  <si>
    <t>3    -37   -469      0      0</t>
  </si>
  <si>
    <t>0      0   -577    44</t>
  </si>
  <si>
    <t>313      0      0     7</t>
  </si>
  <si>
    <t>3      0    -30      0    737</t>
  </si>
  <si>
    <t>193   -133</t>
  </si>
  <si>
    <t>0   -307  -2092    19</t>
  </si>
  <si>
    <t>8   -213   -534    130      0</t>
  </si>
  <si>
    <t>133      0</t>
  </si>
  <si>
    <t>0   -511      0      0      0</t>
  </si>
  <si>
    <t>296      0</t>
  </si>
  <si>
    <t>56      0      0</t>
  </si>
  <si>
    <t>861    256</t>
  </si>
  <si>
    <t>0      0  -7900 -2406</t>
  </si>
  <si>
    <t>5      0  18052      0      0</t>
  </si>
  <si>
    <t>1028   8435   9757</t>
  </si>
  <si>
    <t>0      0   9359   6561      0</t>
  </si>
  <si>
    <t>097  19581</t>
  </si>
  <si>
    <t>3300  16361   7795  1148</t>
  </si>
  <si>
    <t>3  25197      0      0      0</t>
  </si>
  <si>
    <t>2095      0    259   533</t>
  </si>
  <si>
    <t>3  23726      0   1287  -5167</t>
  </si>
  <si>
    <t>147  -1163</t>
  </si>
  <si>
    <t>536      0  -1007  -396</t>
  </si>
  <si>
    <t>4   -314   -709      0    790</t>
  </si>
  <si>
    <t>898      0</t>
  </si>
  <si>
    <t>0      0    265     9</t>
  </si>
  <si>
    <t>5      0     38   -650   -930</t>
  </si>
  <si>
    <t>0     66      0   -158   -864</t>
  </si>
  <si>
    <t>743      0</t>
  </si>
  <si>
    <t>975  -5513    107   -55</t>
  </si>
  <si>
    <t>3    583    157  -1145  -3938</t>
  </si>
  <si>
    <t>0   -340</t>
  </si>
  <si>
    <t>0      0  -1677   -89</t>
  </si>
  <si>
    <t>3      0   -406      0      0</t>
  </si>
  <si>
    <t>31   -546  -1128</t>
  </si>
  <si>
    <t>0   1716  -7795     28      0</t>
  </si>
  <si>
    <t>-915  -3062     95   -78</t>
  </si>
  <si>
    <t>5   -911      0  -1215      0</t>
  </si>
  <si>
    <t>0     62      0    -4</t>
  </si>
  <si>
    <t>0      0     40</t>
  </si>
  <si>
    <t>0   -156   -533  -1317      0</t>
  </si>
  <si>
    <t>456   1616</t>
  </si>
  <si>
    <t>0      0  -6478  -1209  -3022</t>
  </si>
  <si>
    <t>560  -1391</t>
  </si>
  <si>
    <t>5560      0      0</t>
  </si>
  <si>
    <t>0      0   1086      0   1234</t>
  </si>
  <si>
    <t>1747     40      0</t>
  </si>
  <si>
    <t>0      0      0     73      0</t>
  </si>
  <si>
    <t>527  -2007</t>
  </si>
  <si>
    <t>3301  -2944   -294  -228</t>
  </si>
  <si>
    <t>5   -921   1407   1878   3027</t>
  </si>
  <si>
    <t>0      0    451  -3356  -7529</t>
  </si>
  <si>
    <t>865  -5651</t>
  </si>
  <si>
    <t>780      0      0   -35</t>
  </si>
  <si>
    <t>1      0  -1184    529      0</t>
  </si>
  <si>
    <t>0   -532      0   296</t>
  </si>
  <si>
    <t>2   6847      0      0      0</t>
  </si>
  <si>
    <t>437      0      0</t>
  </si>
  <si>
    <t>0      0      0  -1060   3748</t>
  </si>
  <si>
    <t>123  52235</t>
  </si>
  <si>
    <t>1612  22580  21140    -7</t>
  </si>
  <si>
    <t>5    340   -913   5425   3358</t>
  </si>
  <si>
    <t>987  15987</t>
  </si>
  <si>
    <t>5998  14659   1193</t>
  </si>
  <si>
    <t>0   -610  -2288    295    192</t>
  </si>
  <si>
    <t>509      0</t>
  </si>
  <si>
    <t>0    141      0</t>
  </si>
  <si>
    <t>0      0    443  -1152      0</t>
  </si>
  <si>
    <t>0      0      0    92</t>
  </si>
  <si>
    <t>1      0      0    -51      0</t>
  </si>
  <si>
    <t>469   -682   -191</t>
  </si>
  <si>
    <t>0   -914  -2227    457    473</t>
  </si>
  <si>
    <t>568    287</t>
  </si>
  <si>
    <t>0      0      0      0   -487</t>
  </si>
  <si>
    <t>0    -66      0     7</t>
  </si>
  <si>
    <t>0    132</t>
  </si>
  <si>
    <t>0    233   -174</t>
  </si>
  <si>
    <t>0      0  -6751  -5923      0</t>
  </si>
  <si>
    <t>313      0</t>
  </si>
  <si>
    <t>5    793    322      0      0</t>
  </si>
  <si>
    <t>224    287</t>
  </si>
  <si>
    <t>0   1151   1641   -11</t>
  </si>
  <si>
    <t>7   1575    679    713   -760</t>
  </si>
  <si>
    <t>0      0      0   302</t>
  </si>
  <si>
    <t>7      0  -1138   5019   1413</t>
  </si>
  <si>
    <t>0   1684</t>
  </si>
  <si>
    <t>2708  -2204   1288  -129</t>
  </si>
  <si>
    <t>9      0  -1625  -1453  -2744</t>
  </si>
  <si>
    <t>188   -178      0</t>
  </si>
  <si>
    <t>0      0  -2397 -10502      0</t>
  </si>
  <si>
    <t>103   -454</t>
  </si>
  <si>
    <t>548   1568      0</t>
  </si>
  <si>
    <t>0      0      0      0   -628</t>
  </si>
  <si>
    <t>-11    699      0    80</t>
  </si>
  <si>
    <t>0  -6510    754    254   1482</t>
  </si>
  <si>
    <t>-740      0    -75</t>
  </si>
  <si>
    <t>0      0   -957    -77      0</t>
  </si>
  <si>
    <t>0    -77      0   -25</t>
  </si>
  <si>
    <t>0   -116   -419      0      0</t>
  </si>
  <si>
    <t>0     -7      0   -26</t>
  </si>
  <si>
    <t>6   -803   -101      0   1482</t>
  </si>
  <si>
    <t>594     78</t>
  </si>
  <si>
    <t>8   -633    -87     21     94</t>
  </si>
  <si>
    <t>0   -415</t>
  </si>
  <si>
    <t>0      0    161</t>
  </si>
  <si>
    <t>0    -11      0   -187      0</t>
  </si>
  <si>
    <t>0      0   -114      0   -172</t>
  </si>
  <si>
    <t>540     -5</t>
  </si>
  <si>
    <t>0   2834   1930</t>
  </si>
  <si>
    <t>794  -1928</t>
  </si>
  <si>
    <t>3648  -2909  -1782  -610</t>
  </si>
  <si>
    <t>679      0</t>
  </si>
  <si>
    <t>25      0      0  -147</t>
  </si>
  <si>
    <t>3   1018      0      0      0</t>
  </si>
  <si>
    <t>0     29</t>
  </si>
  <si>
    <t>0   1549  -2730  -326</t>
  </si>
  <si>
    <t>9  -4802  -1731  -2860  -2385</t>
  </si>
  <si>
    <t>382    -66</t>
  </si>
  <si>
    <t>47      0      0</t>
  </si>
  <si>
    <t>276   1399</t>
  </si>
  <si>
    <t>2279    143   1773   160</t>
  </si>
  <si>
    <t>1      0      0  -1824      0</t>
  </si>
  <si>
    <t>338  -1768</t>
  </si>
  <si>
    <t>0  -2167      0    540   1474</t>
  </si>
  <si>
    <t>0      0      0  -116</t>
  </si>
  <si>
    <t>4074   4229  21850  4738</t>
  </si>
  <si>
    <t>3  25016  25931  -1144   -366</t>
  </si>
  <si>
    <t>287   5902</t>
  </si>
  <si>
    <t>3896  17169  35731  1814</t>
  </si>
  <si>
    <t>6  18393   -118      0  23413</t>
  </si>
  <si>
    <t>614  -2318</t>
  </si>
  <si>
    <t>119     34    208</t>
  </si>
  <si>
    <t>0      0    108      0      0</t>
  </si>
  <si>
    <t>0    408</t>
  </si>
  <si>
    <t>-490      0      0</t>
  </si>
  <si>
    <t>0      0      0      0    858</t>
  </si>
  <si>
    <t>-26      0     55</t>
  </si>
  <si>
    <t>0    520   -677   -238      0</t>
  </si>
  <si>
    <t>729  -2357</t>
  </si>
  <si>
    <t>296    133    235    31</t>
  </si>
  <si>
    <t>0      0    -21      0      0</t>
  </si>
  <si>
    <t>0   -188      0</t>
  </si>
  <si>
    <t>0      0    -65      0     77</t>
  </si>
  <si>
    <t>0      0      0    10</t>
  </si>
  <si>
    <t>4      0    204    -85      0</t>
  </si>
  <si>
    <t>0  -6196</t>
  </si>
  <si>
    <t>6178      0   -188</t>
  </si>
  <si>
    <t>0      0      0      0   -134</t>
  </si>
  <si>
    <t>838    133</t>
  </si>
  <si>
    <t>0      0  -1315    51</t>
  </si>
  <si>
    <t>0      0    305    503    145</t>
  </si>
  <si>
    <t>393    509</t>
  </si>
  <si>
    <t>915   -933      0</t>
  </si>
  <si>
    <t>0      0      0      0   2850</t>
  </si>
  <si>
    <t>0  -1143</t>
  </si>
  <si>
    <t>4907   1442      0   115</t>
  </si>
  <si>
    <t>5  -6634    755   -308   1774</t>
  </si>
  <si>
    <t>0   -606</t>
  </si>
  <si>
    <t>1158     -3   -213</t>
  </si>
  <si>
    <t>0    323  -1023      0      0</t>
  </si>
  <si>
    <t>0   -206</t>
  </si>
  <si>
    <t>-156      0    -26   -33</t>
  </si>
  <si>
    <t>1   -125   -821      0      0</t>
  </si>
  <si>
    <t>0     15      0   -26</t>
  </si>
  <si>
    <t>5  -1060   -347      0    376</t>
  </si>
  <si>
    <t>775  -3815</t>
  </si>
  <si>
    <t>3040  -3488  -1506   -33</t>
  </si>
  <si>
    <t>7    207      0    644      0</t>
  </si>
  <si>
    <t>0   -115</t>
  </si>
  <si>
    <t>907      0   5278</t>
  </si>
  <si>
    <t>0      0   -255      0   1449</t>
  </si>
  <si>
    <t>823   5047</t>
  </si>
  <si>
    <t>0      0    -67      0   -594</t>
  </si>
  <si>
    <t>299   1331</t>
  </si>
  <si>
    <t>0   1584 -10618   -10</t>
  </si>
  <si>
    <t>5      0      0      0   -634</t>
  </si>
  <si>
    <t>903   -188</t>
  </si>
  <si>
    <t>20     95      0   -37</t>
  </si>
  <si>
    <t>5      0      0    164      0</t>
  </si>
  <si>
    <t>192      0</t>
  </si>
  <si>
    <t>-158      0      0</t>
  </si>
  <si>
    <t>0   -202   -473     3</t>
  </si>
  <si>
    <t>2      0   2802   1940      0</t>
  </si>
  <si>
    <t>0      0  -3944  -167</t>
  </si>
  <si>
    <t>1  -3695  -2952  -1808  -6152</t>
  </si>
  <si>
    <t>0      0    244</t>
  </si>
  <si>
    <t>0    577      0      0  -1484</t>
  </si>
  <si>
    <t>866      0</t>
  </si>
  <si>
    <t>0      0      0    34</t>
  </si>
  <si>
    <t>2      0   1493  -2750  -3391</t>
  </si>
  <si>
    <t>561   -465</t>
  </si>
  <si>
    <t>2270  -1740    408    89</t>
  </si>
  <si>
    <t>7    871      0      0      0</t>
  </si>
  <si>
    <t>0      0  -2126     5</t>
  </si>
  <si>
    <t>7  -1068   1081   -865   1240</t>
  </si>
  <si>
    <t>1540      0   -184  -201</t>
  </si>
  <si>
    <t>956      0</t>
  </si>
  <si>
    <t>882   1809      0</t>
  </si>
  <si>
    <t>0      0      0      0  -1007</t>
  </si>
  <si>
    <t>0      0      0   -34</t>
  </si>
  <si>
    <t>2   4082   4506  23182  25039</t>
  </si>
  <si>
    <t>522  26020</t>
  </si>
  <si>
    <t>1081   -303   -125   590</t>
  </si>
  <si>
    <t>7   4051  17391  19092  34419</t>
  </si>
  <si>
    <t>388    -39</t>
  </si>
  <si>
    <t>0  25451  19290   -15</t>
  </si>
  <si>
    <t>6    146    181    136    390</t>
  </si>
  <si>
    <t>62      0      0</t>
  </si>
  <si>
    <t>0    -56   -323      0      0</t>
  </si>
  <si>
    <t>0      0    700</t>
  </si>
  <si>
    <t>0      0    -20      0     24</t>
  </si>
  <si>
    <t>0    439</t>
  </si>
  <si>
    <t>-520   -159      0   -72</t>
  </si>
  <si>
    <t>3    199    377    397    318</t>
  </si>
  <si>
    <t>497      0</t>
  </si>
  <si>
    <t>-17      0      0</t>
  </si>
  <si>
    <t>0      0      0   -185      0</t>
  </si>
  <si>
    <t>62      0     43</t>
  </si>
  <si>
    <t>8      0</t>
  </si>
  <si>
    <t>188    -37      0</t>
  </si>
  <si>
    <t>0  -5102  -3293      0   -815</t>
  </si>
  <si>
    <t>0      0    -86    99</t>
  </si>
  <si>
    <t>6    912      0      0     38</t>
  </si>
  <si>
    <t>314      0</t>
  </si>
  <si>
    <t>240   2981     18   171</t>
  </si>
  <si>
    <t>5   -153     91      5      0</t>
  </si>
  <si>
    <t>0      0   2628</t>
  </si>
  <si>
    <t>0   -717   3804    592      0</t>
  </si>
  <si>
    <t>807  -3770</t>
  </si>
  <si>
    <t>149     45    825</t>
  </si>
  <si>
    <t>0    -98   -660    272   -119</t>
  </si>
  <si>
    <t>0    313</t>
  </si>
  <si>
    <t>-960      0      0</t>
  </si>
  <si>
    <t>0   -155   -437      0   -159</t>
  </si>
  <si>
    <t>80     72</t>
  </si>
  <si>
    <t>0      0      0   -298      0</t>
  </si>
  <si>
    <t>249   -698</t>
  </si>
  <si>
    <t>-99      0    349  -368</t>
  </si>
  <si>
    <t>0   -193    221    591     17</t>
  </si>
  <si>
    <t>142   -730</t>
  </si>
  <si>
    <t>0     38      0</t>
  </si>
  <si>
    <t>0   -802     -2      0     59</t>
  </si>
  <si>
    <t>0      0    111    -1</t>
  </si>
  <si>
    <t>3    241      0      0      0</t>
  </si>
  <si>
    <t>-227      0   -323   -27</t>
  </si>
  <si>
    <t>5    130      0   1077 -17616</t>
  </si>
  <si>
    <t>120      0</t>
  </si>
  <si>
    <t>0      0  -2496  -203</t>
  </si>
  <si>
    <t>6  -3577    747    788      0</t>
  </si>
  <si>
    <t>899      0</t>
  </si>
  <si>
    <t>0   1127      0 -1337</t>
  </si>
  <si>
    <t>8      0  -7501      0      0</t>
  </si>
  <si>
    <t>0   -821      0  -1767   1091</t>
  </si>
  <si>
    <t>345      0</t>
  </si>
  <si>
    <t>2557   4664      0</t>
  </si>
  <si>
    <t>0      0      0      0  -3395</t>
  </si>
  <si>
    <t>413  -3323</t>
  </si>
  <si>
    <t>2714  -1654  -5683</t>
  </si>
  <si>
    <t>0      0      0      0   -691</t>
  </si>
  <si>
    <t>0    153</t>
  </si>
  <si>
    <t>0      0  -1388    62</t>
  </si>
  <si>
    <t>1284  -2313  -2887  -390</t>
  </si>
  <si>
    <t>7    862  -1194  -1616   -266</t>
  </si>
  <si>
    <t>408   1183</t>
  </si>
  <si>
    <t>0      0      0      0    496</t>
  </si>
  <si>
    <t>394   4012</t>
  </si>
  <si>
    <t>-147   1943    712</t>
  </si>
  <si>
    <t>0      0  -1361      0    438</t>
  </si>
  <si>
    <t>0      0      0  -220</t>
  </si>
  <si>
    <t>5      0    640   1317      0</t>
  </si>
  <si>
    <t>0      0   -912</t>
  </si>
  <si>
    <t>159   3376</t>
  </si>
  <si>
    <t>2974  20961  23790  2381</t>
  </si>
  <si>
    <t>6  50913   -736   -160   -101</t>
  </si>
  <si>
    <t>003   2862</t>
  </si>
  <si>
    <t>5901  17992  17179  3491</t>
  </si>
  <si>
    <t>7    -39      0  20620  23755</t>
  </si>
  <si>
    <t>870    -45</t>
  </si>
  <si>
    <t>1469    158    -59    12</t>
  </si>
  <si>
    <t>2      0      0    -57      0</t>
  </si>
  <si>
    <t>-479    728      0</t>
  </si>
  <si>
    <t>0    141      0   -13</t>
  </si>
  <si>
    <t>7      0    225   -111    -84</t>
  </si>
  <si>
    <t>0   -167</t>
  </si>
  <si>
    <t>1407    244    236     6</t>
  </si>
  <si>
    <t>2    252      0     -2      0</t>
  </si>
  <si>
    <t>0      0     23</t>
  </si>
  <si>
    <t>0      0      0   -151      0</t>
  </si>
  <si>
    <t>-23      0</t>
  </si>
  <si>
    <t>0    -62      0    188    -30</t>
  </si>
  <si>
    <t>2616 -14705      0  -204</t>
  </si>
  <si>
    <t>697   -185</t>
  </si>
  <si>
    <t>-183      0      0   -52</t>
  </si>
  <si>
    <t>3    980      0   1585    599</t>
  </si>
  <si>
    <t>756   1073</t>
  </si>
  <si>
    <t>1419    315   -963</t>
  </si>
  <si>
    <t>2527   1785   1093</t>
  </si>
  <si>
    <t>0    -67  -4627   -117    633</t>
  </si>
  <si>
    <t>-207  -1258  -1139    46</t>
  </si>
  <si>
    <t>1      0   -147  -1322      0</t>
  </si>
  <si>
    <t>-913  -2808      0  -176</t>
  </si>
  <si>
    <t>0    683    470    785      0</t>
  </si>
  <si>
    <t>0      0  -1289</t>
  </si>
  <si>
    <t>0   -462    783    465      0</t>
  </si>
  <si>
    <t>208  -4765</t>
  </si>
  <si>
    <t>323   -562    346    -2</t>
  </si>
  <si>
    <t>1   -215  -1142      0    -77</t>
  </si>
  <si>
    <t>-932   -116      0   -64</t>
  </si>
  <si>
    <t>2      0      0    115      0</t>
  </si>
  <si>
    <t>459     16</t>
  </si>
  <si>
    <t>-543      0      0</t>
  </si>
  <si>
    <t>0      0      0   -721      0</t>
  </si>
  <si>
    <t>371   -214</t>
  </si>
  <si>
    <t>-109      0   -295  -710</t>
  </si>
  <si>
    <t>1     71      0      0      0</t>
  </si>
  <si>
    <t>8   -532</t>
  </si>
  <si>
    <t>352     17     64</t>
  </si>
  <si>
    <t>0   -427      0      0    -46</t>
  </si>
  <si>
    <t>0    725</t>
  </si>
  <si>
    <t>0    499      0</t>
  </si>
  <si>
    <t>-463      0   -307   -29</t>
  </si>
  <si>
    <t>2      0      0   1150   1948</t>
  </si>
  <si>
    <t>0      0      0  -295</t>
  </si>
  <si>
    <t>1   -715  -2689  -2173  -1360</t>
  </si>
  <si>
    <t>0      0      0   157</t>
  </si>
  <si>
    <t>6      0   1300      0      0</t>
  </si>
  <si>
    <t>197    826</t>
  </si>
  <si>
    <t>0   -629      0    832  -1581</t>
  </si>
  <si>
    <t>344  -3152</t>
  </si>
  <si>
    <t>-929   -524   -199    33</t>
  </si>
  <si>
    <t>4     -5    246      0      0</t>
  </si>
  <si>
    <t>0      0      0    37</t>
  </si>
  <si>
    <t>7  -1694  -4420  -1144  -3381</t>
  </si>
  <si>
    <t>748      0</t>
  </si>
  <si>
    <t>0   -401      0   -78</t>
  </si>
  <si>
    <t>0    768      0      0      0</t>
  </si>
  <si>
    <t>0   -971</t>
  </si>
  <si>
    <t>0    188   1659</t>
  </si>
  <si>
    <t>657      0</t>
  </si>
  <si>
    <t>0    -22   3195   3292  37626</t>
  </si>
  <si>
    <t>378  19675</t>
  </si>
  <si>
    <t>8410    143   -100   -20</t>
  </si>
  <si>
    <t>8   4647   2973  28978  14965</t>
  </si>
  <si>
    <t>494  13144</t>
  </si>
  <si>
    <t>704      0  23551  2385</t>
  </si>
  <si>
    <t>5  22963  19766  -6238  -1698</t>
  </si>
  <si>
    <t>949    360</t>
  </si>
  <si>
    <t>1058      0      0   -18</t>
  </si>
  <si>
    <t>0      0      0      0   -983</t>
  </si>
  <si>
    <t>0      0    758      0      0</t>
  </si>
  <si>
    <t>215      0</t>
  </si>
  <si>
    <t>241      0    417   360</t>
  </si>
  <si>
    <t>5   1767      0  -1870  -1549</t>
  </si>
  <si>
    <t>256   1618</t>
  </si>
  <si>
    <t>1690   1210      0   -35</t>
  </si>
  <si>
    <t>0      0      0    78</t>
  </si>
  <si>
    <t>0      0    284      0      0</t>
  </si>
  <si>
    <t>0    -47      0     -</t>
  </si>
  <si>
    <t>2    345      0      0   5049</t>
  </si>
  <si>
    <t>656      0</t>
  </si>
  <si>
    <t>1436      0      0</t>
  </si>
  <si>
    <t>0      0     88  -2010   -696</t>
  </si>
  <si>
    <t>293   -119      0   -50</t>
  </si>
  <si>
    <t>6  -1335     61  -1127  -1860</t>
  </si>
  <si>
    <t>609  -1872</t>
  </si>
  <si>
    <t>0      0  -3510      0  -3295</t>
  </si>
  <si>
    <t>184  -1310</t>
  </si>
  <si>
    <t>0 -13928 -21294  1690</t>
  </si>
  <si>
    <t>8  41041  25908      0  19009</t>
  </si>
  <si>
    <t>391  21750</t>
  </si>
  <si>
    <t>4549      0  11677  4506</t>
  </si>
  <si>
    <t>5      0      0      0   2610</t>
  </si>
  <si>
    <t>867      0</t>
  </si>
  <si>
    <t>3681  18239  17562  2325</t>
  </si>
  <si>
    <t>0  -5562</t>
  </si>
  <si>
    <t>0  -6533   7459  1558</t>
  </si>
  <si>
    <t>2      0   1315  -4553   -905</t>
  </si>
  <si>
    <t>078     69</t>
  </si>
  <si>
    <t>182      8   -844</t>
  </si>
  <si>
    <t>0  -2694      0      0   6051</t>
  </si>
  <si>
    <t>1007      0      0     7</t>
  </si>
  <si>
    <t>0      0  -1827  -2349  -3187</t>
  </si>
  <si>
    <t>7      0   -734  -2731  -3026</t>
  </si>
  <si>
    <t>0   1748</t>
  </si>
  <si>
    <t>8335   -523      0</t>
  </si>
  <si>
    <t>0      0    363    134   -574</t>
  </si>
  <si>
    <t>411    165</t>
  </si>
  <si>
    <t>0   4890      0</t>
  </si>
  <si>
    <t>0    -44      0    -68      0</t>
  </si>
  <si>
    <t>262      0</t>
  </si>
  <si>
    <t>0      0      0      0  -1241</t>
  </si>
  <si>
    <t>0   -807</t>
  </si>
  <si>
    <t>1357  -1366      0   387</t>
  </si>
  <si>
    <t>7   2504      0      0      0</t>
  </si>
  <si>
    <t>3579  -3148  -4807  -342</t>
  </si>
  <si>
    <t>7  -2513   4283      0      0</t>
  </si>
  <si>
    <t>246      0    694</t>
  </si>
  <si>
    <t>0      0  -2030   -993      0</t>
  </si>
  <si>
    <t>0  -2265      0   -71</t>
  </si>
  <si>
    <t>9  -2779  -3941  -6389  -4935</t>
  </si>
  <si>
    <t>049  -8778</t>
  </si>
  <si>
    <t>108  -3984  -2466</t>
  </si>
  <si>
    <t>393   -146  -1689    10</t>
  </si>
  <si>
    <t>6  -2175  -1150      0      0</t>
  </si>
  <si>
    <t>858   2728      0</t>
  </si>
  <si>
    <t>0      0      0  -4837      0</t>
  </si>
  <si>
    <t>285   -511</t>
  </si>
  <si>
    <t>0      0    782      0      0</t>
  </si>
  <si>
    <t>0   -828   2910   287</t>
  </si>
  <si>
    <t>7  15774  49203  16588  18374</t>
  </si>
  <si>
    <t>702    947</t>
  </si>
  <si>
    <t>177   4536   3155  1470</t>
  </si>
  <si>
    <t>3  27338  13286  13873   1506</t>
  </si>
  <si>
    <t>0  17013</t>
  </si>
  <si>
    <t>9823  22535  20661  1510</t>
  </si>
  <si>
    <t>0      0  -2198    130    -10</t>
  </si>
  <si>
    <t>0    -12      0</t>
  </si>
  <si>
    <t>0      0     24    148      0</t>
  </si>
  <si>
    <t>0      0      0    59</t>
  </si>
  <si>
    <t>-37      0</t>
  </si>
  <si>
    <t>373   -388   -222</t>
  </si>
  <si>
    <t>0   -549  -2273    366     77</t>
  </si>
  <si>
    <t>-8    331</t>
  </si>
  <si>
    <t>0    -11      0</t>
  </si>
  <si>
    <t>0      0      0      0    -41</t>
  </si>
  <si>
    <t>0   -220      0     -</t>
  </si>
  <si>
    <t>0     46</t>
  </si>
  <si>
    <t>0    194    192</t>
  </si>
  <si>
    <t>0      0   1703  -7996      0</t>
  </si>
  <si>
    <t>533      0</t>
  </si>
  <si>
    <t>9     54     76      0      0</t>
  </si>
  <si>
    <t>57   -160</t>
  </si>
  <si>
    <t>0      4    470   -10</t>
  </si>
  <si>
    <t>9    278    138    173    719</t>
  </si>
  <si>
    <t>6      0     45  -1230   -507</t>
  </si>
  <si>
    <t>0  -2368</t>
  </si>
  <si>
    <t>6763    699   1722    63</t>
  </si>
  <si>
    <t>4      0   -209   -635    321</t>
  </si>
  <si>
    <t>448      0</t>
  </si>
  <si>
    <t>370  -2785      0</t>
  </si>
  <si>
    <t>0      0     91     35      0</t>
  </si>
  <si>
    <t>200    267</t>
  </si>
  <si>
    <t>619   -260      0</t>
  </si>
  <si>
    <t>0      0      0      0    517</t>
  </si>
  <si>
    <t>3127   1271      0    72</t>
  </si>
  <si>
    <t>4 -13078  -3317  -6697  -3840</t>
  </si>
  <si>
    <t>184  -1680</t>
  </si>
  <si>
    <t>1173      0    121</t>
  </si>
  <si>
    <t>0      0  -1069   -214      0</t>
  </si>
  <si>
    <t>064      0</t>
  </si>
  <si>
    <t>0    -11      0   -39</t>
  </si>
  <si>
    <t>0   1088   -558      0      0</t>
  </si>
  <si>
    <t>0   1545      0  -314</t>
  </si>
  <si>
    <t>5   1845   1025      0   2085</t>
  </si>
  <si>
    <t>895     17</t>
  </si>
  <si>
    <t>7  -1082   -101      3     88</t>
  </si>
  <si>
    <t>0   -304</t>
  </si>
  <si>
    <t>0      0    330</t>
  </si>
  <si>
    <t>0    148      0     54      0</t>
  </si>
  <si>
    <t>0      0    161      0   -378</t>
  </si>
  <si>
    <t>970    -30</t>
  </si>
  <si>
    <t>0   2828   2575</t>
  </si>
  <si>
    <t>621  -1780</t>
  </si>
  <si>
    <t>4053  -3265  -2061  -689</t>
  </si>
  <si>
    <t>599      0</t>
  </si>
  <si>
    <t>783      0      0  -161</t>
  </si>
  <si>
    <t>0   1092      0      0      0</t>
  </si>
  <si>
    <t>0    623</t>
  </si>
  <si>
    <t>0   1217  -3198  -379</t>
  </si>
  <si>
    <t>1  -5165   -771   -445  -1474</t>
  </si>
  <si>
    <t>115    964</t>
  </si>
  <si>
    <t>1558      0      0</t>
  </si>
  <si>
    <t>241     72</t>
  </si>
  <si>
    <t>1165    883  -1040   157</t>
  </si>
  <si>
    <t>6      0      0  -1148      0</t>
  </si>
  <si>
    <t>222  -2916</t>
  </si>
  <si>
    <t>0    261      0   1001   2082</t>
  </si>
  <si>
    <t>0      0      0   -56</t>
  </si>
  <si>
    <t>0      4</t>
  </si>
  <si>
    <t>4131   4576  24311  2519</t>
  </si>
  <si>
    <t>8  50996  26685   1425   -137</t>
  </si>
  <si>
    <t>135   6102</t>
  </si>
  <si>
    <t>4146  19714  19051  3562</t>
  </si>
  <si>
    <t>3  19241   2372      0  26102</t>
  </si>
  <si>
    <t>167  42143</t>
  </si>
  <si>
    <t>8479  23620  17644   -19</t>
  </si>
  <si>
    <t>8     41    323    107     30</t>
  </si>
  <si>
    <t>-67      0      0</t>
  </si>
  <si>
    <t>0   -317     94      0      0</t>
  </si>
  <si>
    <t>0      0    562</t>
  </si>
  <si>
    <t>0      0     44      0    -32</t>
  </si>
  <si>
    <t>0    384</t>
  </si>
  <si>
    <t>-96   -125      0   -64</t>
  </si>
  <si>
    <t>9    186    324    210    160</t>
  </si>
  <si>
    <t>410      0</t>
  </si>
  <si>
    <t>0      0      0     -7      0</t>
  </si>
  <si>
    <t>-49      0    -11</t>
  </si>
  <si>
    <t>21      0</t>
  </si>
  <si>
    <t>263    265      0</t>
  </si>
  <si>
    <t>0    842  -4304      0    540</t>
  </si>
  <si>
    <t>0      0    329     8</t>
  </si>
  <si>
    <t>2     74      0      0    -87</t>
  </si>
  <si>
    <t>93   -369     61    -4</t>
  </si>
  <si>
    <t>9    315    177    304      0</t>
  </si>
  <si>
    <t>0   -139   -833   -307      0</t>
  </si>
  <si>
    <t>848  -4028</t>
  </si>
  <si>
    <t>955    762    696</t>
  </si>
  <si>
    <t>0   -610   -392    230    556</t>
  </si>
  <si>
    <t>2466      0      0</t>
  </si>
  <si>
    <t>0   -131   1097      0    719</t>
  </si>
  <si>
    <t>188     19</t>
  </si>
  <si>
    <t>-43      0      0</t>
  </si>
  <si>
    <t>0      0      0   1668      0</t>
  </si>
  <si>
    <t>422   2405</t>
  </si>
  <si>
    <t>366      0    586  -381</t>
  </si>
  <si>
    <t>3   -192     37    134     64</t>
  </si>
  <si>
    <t>277  -1073</t>
  </si>
  <si>
    <t>0    -23      0</t>
  </si>
  <si>
    <t>0   -883    -41      0    -39</t>
  </si>
  <si>
    <t>5      0     37</t>
  </si>
  <si>
    <t>9     63      0      0      0</t>
  </si>
  <si>
    <t>-347      0   -583   -73</t>
  </si>
  <si>
    <t>5    -15      0    457 -21796</t>
  </si>
  <si>
    <t>0      0  -1030   141</t>
  </si>
  <si>
    <t>5   3102   -322   -214      0</t>
  </si>
  <si>
    <t>580      0</t>
  </si>
  <si>
    <t>0   -145      0  -127</t>
  </si>
  <si>
    <t>3      0   -895      0      0</t>
  </si>
  <si>
    <t>0   -249      0  -2329   3450</t>
  </si>
  <si>
    <t>873      0</t>
  </si>
  <si>
    <t>2710   4779      0</t>
  </si>
  <si>
    <t>0      0      0      0  -3790</t>
  </si>
  <si>
    <t>386  -3572</t>
  </si>
  <si>
    <t>2890  -1867  -6260</t>
  </si>
  <si>
    <t>0      0      0      0   -153</t>
  </si>
  <si>
    <t>0    334</t>
  </si>
  <si>
    <t>0      0  -1767    70</t>
  </si>
  <si>
    <t>999  -2627  -3191  -398</t>
  </si>
  <si>
    <t>6    550  -1420  -1273   -116</t>
  </si>
  <si>
    <t>545   1323</t>
  </si>
  <si>
    <t>0      0      0      0   1017</t>
  </si>
  <si>
    <t>112   2131</t>
  </si>
  <si>
    <t>-30   1080    766</t>
  </si>
  <si>
    <t>0      0  -1193      0    240</t>
  </si>
  <si>
    <t>185      0</t>
  </si>
  <si>
    <t>5      0   1200   2148      0</t>
  </si>
  <si>
    <t>0      0     31</t>
  </si>
  <si>
    <t>177   3338</t>
  </si>
  <si>
    <t>3016  19798  23863  2363</t>
  </si>
  <si>
    <t>8  55905   1518     76   -226</t>
  </si>
  <si>
    <t>086   2858</t>
  </si>
  <si>
    <t>6208  18298  17345  3604</t>
  </si>
  <si>
    <t>1   1937      0  22358  28130</t>
  </si>
  <si>
    <t>251  37639</t>
  </si>
  <si>
    <t>9136  19182  26449    11</t>
  </si>
  <si>
    <t>4  -1522    197   -114    -13</t>
  </si>
  <si>
    <t>0   -625   1018      0      0</t>
  </si>
  <si>
    <t>0      0    415</t>
  </si>
  <si>
    <t>0      0    133      0   -103</t>
  </si>
  <si>
    <t>0    258</t>
  </si>
  <si>
    <t>-158   -121      0    -7</t>
  </si>
  <si>
    <t>5  -1495    212    152    -59</t>
  </si>
  <si>
    <t>-14      0      0</t>
  </si>
  <si>
    <t>0      0      0    139      0</t>
  </si>
  <si>
    <t>-173      0    -14</t>
  </si>
  <si>
    <t>232    -29      0</t>
  </si>
  <si>
    <t>0   2710 -14800      0  -2118</t>
  </si>
  <si>
    <t>0      0   -195   -26</t>
  </si>
  <si>
    <t>2   -341      0      0  -1084</t>
  </si>
  <si>
    <t>1211   -249   1286     4</t>
  </si>
  <si>
    <t>8  -1723    467  -1281      0</t>
  </si>
  <si>
    <t>0      0  -1530</t>
  </si>
  <si>
    <t>0   2641   1802   1215      0</t>
  </si>
  <si>
    <t>164  -4671</t>
  </si>
  <si>
    <t>280   -141    357</t>
  </si>
  <si>
    <t>0   -152   -997    302   -101</t>
  </si>
  <si>
    <t>0    271</t>
  </si>
  <si>
    <t>1010      0      0</t>
  </si>
  <si>
    <t>0    560   1566      0    975</t>
  </si>
  <si>
    <t>470    -60</t>
  </si>
  <si>
    <t>-410      0      0</t>
  </si>
  <si>
    <t>0      0      0   -662      0</t>
  </si>
  <si>
    <t>449   -396</t>
  </si>
  <si>
    <t>-164      0  -1051  -509</t>
  </si>
  <si>
    <t>1   -475   1456     13   -171</t>
  </si>
  <si>
    <t>344   -638</t>
  </si>
  <si>
    <t>0    616      0</t>
  </si>
  <si>
    <t>0  -1276    631      0   1427</t>
  </si>
  <si>
    <t>-396      0   1303    59</t>
  </si>
  <si>
    <t>9   2165      0      0      0</t>
  </si>
  <si>
    <t>-603      0   -388    99</t>
  </si>
  <si>
    <t>6    803      0     -6  -7114</t>
  </si>
  <si>
    <t>73      0</t>
  </si>
  <si>
    <t>0      0   -154   -80</t>
  </si>
  <si>
    <t>6    241     17     68      0</t>
  </si>
  <si>
    <t>444      0</t>
  </si>
  <si>
    <t>0   -160      0    84</t>
  </si>
  <si>
    <t>6      0    433      0      0</t>
  </si>
  <si>
    <t>0   -438      0   -322   -273</t>
  </si>
  <si>
    <t>9      0</t>
  </si>
  <si>
    <t>1332   1751      0</t>
  </si>
  <si>
    <t>0      0      0      0  -3111</t>
  </si>
  <si>
    <t>761  -2726</t>
  </si>
  <si>
    <t>2155  -1338  -4801</t>
  </si>
  <si>
    <t>0      0      0      0   2171</t>
  </si>
  <si>
    <t>0   1580</t>
  </si>
  <si>
    <t>0      0  -1289    71</t>
  </si>
  <si>
    <t>560      0</t>
  </si>
  <si>
    <t>851  -1656  -2391  -312</t>
  </si>
  <si>
    <t>3   -840   -738     13    473</t>
  </si>
  <si>
    <t>-57    393</t>
  </si>
  <si>
    <t>276  -6183</t>
  </si>
  <si>
    <t>1226  -4354   1819</t>
  </si>
  <si>
    <t>0      0   -270      0   -841</t>
  </si>
  <si>
    <t>946      0</t>
  </si>
  <si>
    <t>0      0      0  -135</t>
  </si>
  <si>
    <t>8      0    524   2073      0</t>
  </si>
  <si>
    <t>0      0   -517</t>
  </si>
  <si>
    <t>161   3080</t>
  </si>
  <si>
    <t>3280  36142  18541  2007</t>
  </si>
  <si>
    <t>1  17501    419    -47   -250</t>
  </si>
  <si>
    <t>519   2903</t>
  </si>
  <si>
    <t>8550  14340  14515  1241</t>
  </si>
  <si>
    <t>7    970      0  27088  21879</t>
  </si>
  <si>
    <t>068  17716</t>
  </si>
  <si>
    <t>3693  16226  22702  1962</t>
  </si>
  <si>
    <t>3     29  -2221    354     52</t>
  </si>
  <si>
    <t>333      0</t>
  </si>
  <si>
    <t>0    115      0</t>
  </si>
  <si>
    <t>0      0    -86    130      0</t>
  </si>
  <si>
    <t>5      0      0      4      0</t>
  </si>
  <si>
    <t>-17      0</t>
  </si>
  <si>
    <t>357   -537   -202</t>
  </si>
  <si>
    <t>0   -623  -2147    449    389</t>
  </si>
  <si>
    <t>273    393</t>
  </si>
  <si>
    <t>0    -35      0</t>
  </si>
  <si>
    <t>0      0      0      0     15</t>
  </si>
  <si>
    <t>0   -291      0    -1</t>
  </si>
  <si>
    <t>0     22</t>
  </si>
  <si>
    <t>0    213     43</t>
  </si>
  <si>
    <t>0      0   1428  -7460      0</t>
  </si>
  <si>
    <t>357      0</t>
  </si>
  <si>
    <t>6     85     80      0      0</t>
  </si>
  <si>
    <t>0   -600    187     5</t>
  </si>
  <si>
    <t>9   -106    144    133    697</t>
  </si>
  <si>
    <t>4      0   -199  -1284   -498</t>
  </si>
  <si>
    <t>0   2123</t>
  </si>
  <si>
    <t>4030  -2178  -4257  -339</t>
  </si>
  <si>
    <t>3      0   -713    416    194</t>
  </si>
  <si>
    <t>563  -1162      0</t>
  </si>
  <si>
    <t>0      0   2035  -1849      0</t>
  </si>
  <si>
    <t>695  -1358</t>
  </si>
  <si>
    <t>761   -427      0</t>
  </si>
  <si>
    <t>0      0      0      0   -385</t>
  </si>
  <si>
    <t>0  -2192</t>
  </si>
  <si>
    <t>1125   1055      0  -245</t>
  </si>
  <si>
    <t>3  -6557    104    -19    683</t>
  </si>
  <si>
    <t>173   -758</t>
  </si>
  <si>
    <t>1134      0    737</t>
  </si>
  <si>
    <t>0      0  -2117   -104      0</t>
  </si>
  <si>
    <t>0   -102      0    18</t>
  </si>
  <si>
    <t>1    196   -659      0      0</t>
  </si>
  <si>
    <t>0    136      0    17</t>
  </si>
  <si>
    <t>6   3712   1267      0   1744</t>
  </si>
  <si>
    <t>086     19</t>
  </si>
  <si>
    <t>5  -1134   -284    144    197</t>
  </si>
  <si>
    <t>0   -283</t>
  </si>
  <si>
    <t>0      0    266</t>
  </si>
  <si>
    <t>0    -66      0   -119      0</t>
  </si>
  <si>
    <t>0      0   -272      0   -466</t>
  </si>
  <si>
    <t>787    -46</t>
  </si>
  <si>
    <t>0   3249   2363</t>
  </si>
  <si>
    <t>605  -2101</t>
  </si>
  <si>
    <t>4018  -3180  -2027  -654</t>
  </si>
  <si>
    <t>351      0      0  -182</t>
  </si>
  <si>
    <t>8   1115      0      0      0</t>
  </si>
  <si>
    <t>0   -134</t>
  </si>
  <si>
    <t>0   1286  -3232  -369</t>
  </si>
  <si>
    <t>9  -5305  -1678  -1554  -1646</t>
  </si>
  <si>
    <t>404   -158</t>
  </si>
  <si>
    <t>608      0      0</t>
  </si>
  <si>
    <t>315    645</t>
  </si>
  <si>
    <t>434     92    890   189</t>
  </si>
  <si>
    <t>4      0      0  -1379      0</t>
  </si>
  <si>
    <t>482  -2099</t>
  </si>
  <si>
    <t>0    -73      0    777   2034</t>
  </si>
  <si>
    <t>0    -40</t>
  </si>
  <si>
    <t>4037   4264  23249  4964</t>
  </si>
  <si>
    <t>1  24579  26412   1466   -102</t>
  </si>
  <si>
    <t>177   5995</t>
  </si>
  <si>
    <t>3907  18663  36624  1781</t>
  </si>
  <si>
    <t>2  19185   2276      0  25238</t>
  </si>
  <si>
    <t>229  30428</t>
  </si>
  <si>
    <t>7641  22489  34834  3270</t>
  </si>
  <si>
    <t>6  29343  20988  -4811  -1819</t>
  </si>
  <si>
    <t>018    615</t>
  </si>
  <si>
    <t>1334      0      0   -18</t>
  </si>
  <si>
    <t>3      0      0      0   -275</t>
  </si>
  <si>
    <t>0      0    717      0      0</t>
  </si>
  <si>
    <t>218      0    255   254</t>
  </si>
  <si>
    <t>6   1350      0  -1671  -1921</t>
  </si>
  <si>
    <t>543   1664</t>
  </si>
  <si>
    <t>1602    736      0   -25</t>
  </si>
  <si>
    <t>2      0    289      0      0</t>
  </si>
  <si>
    <t>0   -274      0    -9</t>
  </si>
  <si>
    <t>3    -19      0      0   4231</t>
  </si>
  <si>
    <t>166      0</t>
  </si>
  <si>
    <t>1150      0      0</t>
  </si>
  <si>
    <t>0      0   1857  -1474   -928</t>
  </si>
  <si>
    <t>-164   -288      0    -3</t>
  </si>
  <si>
    <t>5   -621     95   -545  -1164</t>
  </si>
  <si>
    <t>663   -898</t>
  </si>
  <si>
    <t>0      0  -3474      0  -3610</t>
  </si>
  <si>
    <t>235   -711</t>
  </si>
  <si>
    <t>0   2109  -5153  -101</t>
  </si>
  <si>
    <t>8  -3019    107      0   -707</t>
  </si>
  <si>
    <t>472    557</t>
  </si>
  <si>
    <t>2452      0    272   629</t>
  </si>
  <si>
    <t>8      0      0      0    446</t>
  </si>
  <si>
    <t>0  -1369</t>
  </si>
  <si>
    <t>0   -401  -2869  -361</t>
  </si>
  <si>
    <t>2      0  -8378 -16659  15540</t>
  </si>
  <si>
    <t>631  24319</t>
  </si>
  <si>
    <t>1686  16440  13256</t>
  </si>
  <si>
    <t>0   9436      0      0  47087</t>
  </si>
  <si>
    <t>0799      0      0   585</t>
  </si>
  <si>
    <t>3      0   8663  13622  15928</t>
  </si>
  <si>
    <t>0      0      0  -920</t>
  </si>
  <si>
    <t>4      0 -10951   7538  21638</t>
  </si>
  <si>
    <t>0    851</t>
  </si>
  <si>
    <t>9176   -471      0</t>
  </si>
  <si>
    <t>0      0    456      4    506</t>
  </si>
  <si>
    <t>445     66</t>
  </si>
  <si>
    <t>0   6612      0</t>
  </si>
  <si>
    <t>0   -112      0    180      0</t>
  </si>
  <si>
    <t>-44      0</t>
  </si>
  <si>
    <t>0      0      0      0  -1314</t>
  </si>
  <si>
    <t>0  -1118</t>
  </si>
  <si>
    <t>-765   -735      0   355</t>
  </si>
  <si>
    <t>0   2233      0      0      0</t>
  </si>
  <si>
    <t>3871  -1511  -4807  -340</t>
  </si>
  <si>
    <t>0  -2070   3215      0      0</t>
  </si>
  <si>
    <t>-272      0    145</t>
  </si>
  <si>
    <t>0      0  -1996   -378      0</t>
  </si>
  <si>
    <t>0  -1752      0   -40</t>
  </si>
  <si>
    <t>9  -3119  -4633  -5630  -4461</t>
  </si>
  <si>
    <t>194  -7879</t>
  </si>
  <si>
    <t>3362  -4221  -2350</t>
  </si>
  <si>
    <t>3012   -160    353  -120</t>
  </si>
  <si>
    <t>8    168    444      0      0</t>
  </si>
  <si>
    <t>67   2797      0</t>
  </si>
  <si>
    <t>0      0      0  -4634      0</t>
  </si>
  <si>
    <t>447    410</t>
  </si>
  <si>
    <t>0      0    569      0      0</t>
  </si>
  <si>
    <t>0   -220   3035   341</t>
  </si>
  <si>
    <t>5  16862  17407  47862  19170</t>
  </si>
  <si>
    <t>259    811</t>
  </si>
  <si>
    <t>631   4673   3474  1534</t>
  </si>
  <si>
    <t>0  14477  24838  14057   1073</t>
  </si>
  <si>
    <t>0  18114</t>
  </si>
  <si>
    <t>2749  35528  20769  1689</t>
  </si>
  <si>
    <t>2  18775  35629  21942  17528</t>
  </si>
  <si>
    <t>135   -139</t>
  </si>
  <si>
    <t>6    262     89     3</t>
  </si>
  <si>
    <t>7      0      0    -15      0</t>
  </si>
  <si>
    <t>-236     64      0</t>
  </si>
  <si>
    <t>0     32      0    -3</t>
  </si>
  <si>
    <t>5      0    341   -185   -135</t>
  </si>
  <si>
    <t>0   -627</t>
  </si>
  <si>
    <t>69    285    228    16</t>
  </si>
  <si>
    <t>5    351      0    -26      0</t>
  </si>
  <si>
    <t>0      0      0    -34      0</t>
  </si>
  <si>
    <t>0     17      0    244    224</t>
  </si>
  <si>
    <t>400  -3806      0    54</t>
  </si>
  <si>
    <t>334    127</t>
  </si>
  <si>
    <t>81      0      0   -13</t>
  </si>
  <si>
    <t>6     48      0     89   -300</t>
  </si>
  <si>
    <t>88    -26</t>
  </si>
  <si>
    <t>301    200    343</t>
  </si>
  <si>
    <t>23      0</t>
  </si>
  <si>
    <t>0    875  -3464     -3     41</t>
  </si>
  <si>
    <t>-331   -978     69    -6</t>
  </si>
  <si>
    <t>8      0    269   -882      0</t>
  </si>
  <si>
    <t>75   -480      0   -23</t>
  </si>
  <si>
    <t>7     35     21   -135      0</t>
  </si>
  <si>
    <t>0      0   -465</t>
  </si>
  <si>
    <t>0   -513  -1008   -187      0</t>
  </si>
  <si>
    <t>623  -3760</t>
  </si>
  <si>
    <t>582    253    766   -18</t>
  </si>
  <si>
    <t>4   -775   -529      0    538</t>
  </si>
  <si>
    <t>1897     63      0    20</t>
  </si>
  <si>
    <t>5      0      0    -37      0</t>
  </si>
  <si>
    <t>290    -43</t>
  </si>
  <si>
    <t>-288      0      0</t>
  </si>
  <si>
    <t>0      0      0    362      0</t>
  </si>
  <si>
    <t>7   2510</t>
  </si>
  <si>
    <t>553      0    329 -1837</t>
  </si>
  <si>
    <t>8  -2242      0      0      0</t>
  </si>
  <si>
    <t>572   1561</t>
  </si>
  <si>
    <t>1798   -413   -363</t>
  </si>
  <si>
    <t>0   -743      0      0   -853</t>
  </si>
  <si>
    <t>0  -2092</t>
  </si>
  <si>
    <t>0  -1861      0</t>
  </si>
  <si>
    <t>-281      0  -1767   277</t>
  </si>
  <si>
    <t>3   1757      0   2480   4297</t>
  </si>
  <si>
    <t>0      0      0  -345</t>
  </si>
  <si>
    <t>4  -1283  -3201  -2578  -1627</t>
  </si>
  <si>
    <t>0      0      0   -26</t>
  </si>
  <si>
    <t>1      0    209      0      0</t>
  </si>
  <si>
    <t>563    611</t>
  </si>
  <si>
    <t>0   -178      0   1049  -2368</t>
  </si>
  <si>
    <t>868  -3581</t>
  </si>
  <si>
    <t>444  -1267  -1324   -14</t>
  </si>
  <si>
    <t>0    447   1184      0      0</t>
  </si>
  <si>
    <t>0      0      0    93</t>
  </si>
  <si>
    <t>8   -196   2402    -30   1337</t>
  </si>
  <si>
    <t>0  -1134      0    43</t>
  </si>
  <si>
    <t>7   -856      0      0      0</t>
  </si>
  <si>
    <t>0   -750</t>
  </si>
  <si>
    <t>0   1120   2007</t>
  </si>
  <si>
    <t>-39      0</t>
  </si>
  <si>
    <t>0    -84   3104   2860  18270</t>
  </si>
  <si>
    <t>769  22184</t>
  </si>
  <si>
    <t>8278    640     15   -16</t>
  </si>
  <si>
    <t>8   4678   2707  14751  16653</t>
  </si>
  <si>
    <t>943  31180</t>
  </si>
  <si>
    <t>1236      0  20087  2537</t>
  </si>
  <si>
    <t>1  25395  36468  17906  19415</t>
  </si>
  <si>
    <t>141  38961</t>
  </si>
  <si>
    <t>7422  23068  17350    33</t>
  </si>
  <si>
    <t>6  -1099    261   -147     31</t>
  </si>
  <si>
    <t>0   -691    777      0      0</t>
  </si>
  <si>
    <t>0      0    300</t>
  </si>
  <si>
    <t>0      0    117      0   -115</t>
  </si>
  <si>
    <t>0    141</t>
  </si>
  <si>
    <t>-271   -175      0    -3</t>
  </si>
  <si>
    <t>5  -1088    165    116    -50</t>
  </si>
  <si>
    <t>0      0      0    147      0</t>
  </si>
  <si>
    <t>-275      0    -52</t>
  </si>
  <si>
    <t>-42      0</t>
  </si>
  <si>
    <t>197    -38      0</t>
  </si>
  <si>
    <t>0   1759 -10300      0  -1245</t>
  </si>
  <si>
    <t>0      0      8     1</t>
  </si>
  <si>
    <t>4    217      0      0   -411</t>
  </si>
  <si>
    <t>423      0</t>
  </si>
  <si>
    <t>1055   2094    694   127</t>
  </si>
  <si>
    <t>6  -1735   -178   -622      0</t>
  </si>
  <si>
    <t>0      0   -629</t>
  </si>
  <si>
    <t>0   1422   1628    623      0</t>
  </si>
  <si>
    <t>553  -3793</t>
  </si>
  <si>
    <t>232    122    136</t>
  </si>
  <si>
    <t>0     -4   -701    377    -44</t>
  </si>
  <si>
    <t>0    229</t>
  </si>
  <si>
    <t>-700      0      0</t>
  </si>
  <si>
    <t>0    460   1346      0   1061</t>
  </si>
  <si>
    <t>307     51</t>
  </si>
  <si>
    <t>4      0      0</t>
  </si>
  <si>
    <t>0      0      0   -205      0</t>
  </si>
  <si>
    <t>204   -345</t>
  </si>
  <si>
    <t>-143      0    684  -379</t>
  </si>
  <si>
    <t>4    259   -188    228    -38</t>
  </si>
  <si>
    <t>200  -1008</t>
  </si>
  <si>
    <t>0    -33      0</t>
  </si>
  <si>
    <t>0   -646    -75      0   -453</t>
  </si>
  <si>
    <t>206      0   -435     6</t>
  </si>
  <si>
    <t>3   -310      0      0      0</t>
  </si>
  <si>
    <t>-188      0   -186   -20</t>
  </si>
  <si>
    <t>6    -70      0   -882  -5417</t>
  </si>
  <si>
    <t>527      0</t>
  </si>
  <si>
    <t>0      0   -637  -190</t>
  </si>
  <si>
    <t>7  -2399    924    658      0</t>
  </si>
  <si>
    <t>0    114      0  -624</t>
  </si>
  <si>
    <t>6      0  -3884      0      0</t>
  </si>
  <si>
    <t>0   -658      0   -524   1217</t>
  </si>
  <si>
    <t>965      0</t>
  </si>
  <si>
    <t>1702   1416      0</t>
  </si>
  <si>
    <t>0      0      0      0  -2375</t>
  </si>
  <si>
    <t>460  -2223</t>
  </si>
  <si>
    <t>1750  -1057  -3683</t>
  </si>
  <si>
    <t>0      0      0      0   1996</t>
  </si>
  <si>
    <t>0   1672</t>
  </si>
  <si>
    <t>0      0   -955    56</t>
  </si>
  <si>
    <t>739  -1469  -2005  -256</t>
  </si>
  <si>
    <t>9   -860   -608   -234    329</t>
  </si>
  <si>
    <t>72    446</t>
  </si>
  <si>
    <t>0      0      0      0    179</t>
  </si>
  <si>
    <t>108  -4651</t>
  </si>
  <si>
    <t>1214  -3607   1965</t>
  </si>
  <si>
    <t>0      0   -205      0   -596</t>
  </si>
  <si>
    <t>0      0      0   -37</t>
  </si>
  <si>
    <t>5      0    176   1715      0</t>
  </si>
  <si>
    <t>0      0   -235</t>
  </si>
  <si>
    <t>130   2370</t>
  </si>
  <si>
    <t>2494  24601  14870  1544</t>
  </si>
  <si>
    <t>1  14803    148    -31   -166</t>
  </si>
  <si>
    <t>500   2210</t>
  </si>
  <si>
    <t>0054  11474  11328  1059</t>
  </si>
  <si>
    <t>1    728      0  21592  17217</t>
  </si>
  <si>
    <t>865  16070</t>
  </si>
  <si>
    <t>6522  13023  18076  1554</t>
  </si>
  <si>
    <t>8  19166  17423  13192  13997</t>
  </si>
  <si>
    <t>137  -1713</t>
  </si>
  <si>
    <t>469    -12    191</t>
  </si>
  <si>
    <t>0      0     77      0      0</t>
  </si>
  <si>
    <t>0    -60</t>
  </si>
  <si>
    <t>0      0      0      0    543</t>
  </si>
  <si>
    <t>3      0     -8</t>
  </si>
  <si>
    <t>0    326   -567   -317      0</t>
  </si>
  <si>
    <t>583  -1708</t>
  </si>
  <si>
    <t>349    266    275    31</t>
  </si>
  <si>
    <t>3      0    -10      0      0</t>
  </si>
  <si>
    <t>0      4      0</t>
  </si>
  <si>
    <t>0      0   -335      0      3</t>
  </si>
  <si>
    <t>9      0    186     32      0</t>
  </si>
  <si>
    <t>0   1205</t>
  </si>
  <si>
    <t>5997      0   1037</t>
  </si>
  <si>
    <t>0      0      0      0    -91</t>
  </si>
  <si>
    <t>27     57</t>
  </si>
  <si>
    <t>0      0     17   -13</t>
  </si>
  <si>
    <t>6      0   -371     84     29</t>
  </si>
  <si>
    <t>167     50</t>
  </si>
  <si>
    <t>168    528      0</t>
  </si>
  <si>
    <t>0      0      0      0    -73</t>
  </si>
  <si>
    <t>0   -113</t>
  </si>
  <si>
    <t>1084   -445      0   136</t>
  </si>
  <si>
    <t>2  -9957   -685  -2353  -1047</t>
  </si>
  <si>
    <t>330    180    -59</t>
  </si>
  <si>
    <t>0    279  -1073      0      0</t>
  </si>
  <si>
    <t>0   1299</t>
  </si>
  <si>
    <t>328      0   -477  -156</t>
  </si>
  <si>
    <t>2     35   -256      0      0</t>
  </si>
  <si>
    <t>0     77      0  -240</t>
  </si>
  <si>
    <t>1   1284    259      0    592</t>
  </si>
  <si>
    <t>440    482</t>
  </si>
  <si>
    <t>939    657    -30   -27</t>
  </si>
  <si>
    <t>0   -823      0    -37      0</t>
  </si>
  <si>
    <t>0   -731</t>
  </si>
  <si>
    <t>-14      0    208</t>
  </si>
  <si>
    <t>0      0    -19      0   -151</t>
  </si>
  <si>
    <t>0      0    193      0   -171</t>
  </si>
  <si>
    <t>161   -106</t>
  </si>
  <si>
    <t>0  -9366  -9383   -29</t>
  </si>
  <si>
    <t>0      0      0      0   -384</t>
  </si>
  <si>
    <t>46   1792</t>
  </si>
  <si>
    <t>866    225      0  -177</t>
  </si>
  <si>
    <t>8      0      0   -286      0</t>
  </si>
  <si>
    <t>1179      0      0</t>
  </si>
  <si>
    <t>0   2490</t>
  </si>
  <si>
    <t>0    -14   5176   207</t>
  </si>
  <si>
    <t>7      0   2644   2052      0</t>
  </si>
  <si>
    <t>0      0  -3676  -176</t>
  </si>
  <si>
    <t>3  -3301  -2583  -1634  -5260</t>
  </si>
  <si>
    <t>0      0    181</t>
  </si>
  <si>
    <t>0    278      0      0  -1449</t>
  </si>
  <si>
    <t>841      0</t>
  </si>
  <si>
    <t>8      0   1154  -2745  -3148</t>
  </si>
  <si>
    <t>313  -1595</t>
  </si>
  <si>
    <t>1783  -1876   -203     2</t>
  </si>
  <si>
    <t>8    417      0      0      0</t>
  </si>
  <si>
    <t>0      0   -155    53</t>
  </si>
  <si>
    <t>4   -203    121    387   1855</t>
  </si>
  <si>
    <t>1182      0     66  -124</t>
  </si>
  <si>
    <t>774   1785      0</t>
  </si>
  <si>
    <t>0      0      0      0   -138</t>
  </si>
  <si>
    <t>0   3334   3578  19362  36995</t>
  </si>
  <si>
    <t>434  22559</t>
  </si>
  <si>
    <t>911    -44   -171   495</t>
  </si>
  <si>
    <t>8   3241  15483  27851  15635</t>
  </si>
  <si>
    <t>356   1749</t>
  </si>
  <si>
    <t>0  20770  35203  2510</t>
  </si>
  <si>
    <t>0  22578  18537  26403  27523</t>
  </si>
  <si>
    <t>721  18175</t>
  </si>
  <si>
    <t>0599  20031  21917  1321</t>
  </si>
  <si>
    <t>8     30  -1734    309    -60</t>
  </si>
  <si>
    <t>81      0</t>
  </si>
  <si>
    <t>0     41      0</t>
  </si>
  <si>
    <t>0      0    127     44      0</t>
  </si>
  <si>
    <t>0      0      0    52</t>
  </si>
  <si>
    <t>8      0      0     37      0</t>
  </si>
  <si>
    <t>316   -662   -386</t>
  </si>
  <si>
    <t>0   -518  -1781    311    111</t>
  </si>
  <si>
    <t>113    242</t>
  </si>
  <si>
    <t>0     -6      0</t>
  </si>
  <si>
    <t>0      0      0      0    -53</t>
  </si>
  <si>
    <t>0   -290      0     1</t>
  </si>
  <si>
    <t>0     54</t>
  </si>
  <si>
    <t>0    196     56</t>
  </si>
  <si>
    <t>0      0    872  -6366      0</t>
  </si>
  <si>
    <t>2     63     82      0      0</t>
  </si>
  <si>
    <t>45   -138</t>
  </si>
  <si>
    <t>0     -6    380   -15</t>
  </si>
  <si>
    <t>3    218     12    186    576</t>
  </si>
  <si>
    <t>0      0      0    -7</t>
  </si>
  <si>
    <t>4      0     57   -895   -423</t>
  </si>
  <si>
    <t>0    603</t>
  </si>
  <si>
    <t>5479    466    717    94</t>
  </si>
  <si>
    <t>9      0   -467  -1087    -15</t>
  </si>
  <si>
    <t>-93      0</t>
  </si>
  <si>
    <t>318   -801      0</t>
  </si>
  <si>
    <t>0      0     23     85      0</t>
  </si>
  <si>
    <t>-93    -79      0</t>
  </si>
  <si>
    <t>0      0      0      0    144</t>
  </si>
  <si>
    <t>0   -272</t>
  </si>
  <si>
    <t>1536   -349      0    -1</t>
  </si>
  <si>
    <t>3  -9599  -1086  -3541  -1522</t>
  </si>
  <si>
    <t>796   -957</t>
  </si>
  <si>
    <t>-72      0     55</t>
  </si>
  <si>
    <t>0      0  -1271   -259      0</t>
  </si>
  <si>
    <t>0     68      0  -118</t>
  </si>
  <si>
    <t>5    408   -631      0      0</t>
  </si>
  <si>
    <t>0   1097      0  -240</t>
  </si>
  <si>
    <t>4   1855    356      0  -7164</t>
  </si>
  <si>
    <t>215     97</t>
  </si>
  <si>
    <t>1    395    260    806     50</t>
  </si>
  <si>
    <t>0  -2174</t>
  </si>
  <si>
    <t>0      0  -1343</t>
  </si>
  <si>
    <t>0   -381      0    -53      0</t>
  </si>
  <si>
    <t>0      0    199      0      1</t>
  </si>
  <si>
    <t>223   2461</t>
  </si>
  <si>
    <t>0   2141   2144</t>
  </si>
  <si>
    <t>613  -1455</t>
  </si>
  <si>
    <t>3291  -2601  -1632  -535</t>
  </si>
  <si>
    <t>474      0</t>
  </si>
  <si>
    <t>602      0      0  -122</t>
  </si>
  <si>
    <t>2    805      0      0      0</t>
  </si>
  <si>
    <t>0    372</t>
  </si>
  <si>
    <t>0   1041  -2755  -323</t>
  </si>
  <si>
    <t>1  -4246  -1002   -748  -1873</t>
  </si>
  <si>
    <t>49    712</t>
  </si>
  <si>
    <t>1063      0      0</t>
  </si>
  <si>
    <t>075    103</t>
  </si>
  <si>
    <t>-807    844   -803   167</t>
  </si>
  <si>
    <t>3      0      0   -975      0</t>
  </si>
  <si>
    <t>214  -2035</t>
  </si>
  <si>
    <t>0   -120      0    648   1560</t>
  </si>
  <si>
    <t>0     49</t>
  </si>
  <si>
    <t>3389   3725  19893  2140</t>
  </si>
  <si>
    <t>8  36779  22595    730    -80</t>
  </si>
  <si>
    <t>129   5023</t>
  </si>
  <si>
    <t>3366  16067  16634  2616</t>
  </si>
  <si>
    <t>8  15150   1630      0  21190</t>
  </si>
  <si>
    <t>959  35488</t>
  </si>
  <si>
    <t>2742  18983  19951  3722</t>
  </si>
  <si>
    <t>2  24750  18519  26540  29571</t>
  </si>
  <si>
    <t>961  15095</t>
  </si>
  <si>
    <t>9662    -39     94     4</t>
  </si>
  <si>
    <t>5   -102    112      0      0</t>
  </si>
  <si>
    <t>138      0</t>
  </si>
  <si>
    <t>0      0   -509     7</t>
  </si>
  <si>
    <t>366      0      0     4</t>
  </si>
  <si>
    <t>2      0    -20      0    263</t>
  </si>
  <si>
    <t>225   -657</t>
  </si>
  <si>
    <t>0   -365    -47    22</t>
  </si>
  <si>
    <t>1    523    248    209      0</t>
  </si>
  <si>
    <t>0    -79      0      0      0</t>
  </si>
  <si>
    <t>49      0      0</t>
  </si>
  <si>
    <t>0      0   1798  -149</t>
  </si>
  <si>
    <t>2      0   -138      0      0</t>
  </si>
  <si>
    <t>660  -1614  -1494</t>
  </si>
  <si>
    <t>0      0     85     70      0</t>
  </si>
  <si>
    <t>47   -827</t>
  </si>
  <si>
    <t>82   -433   -562   -16</t>
  </si>
  <si>
    <t>1   -310      0      0      0</t>
  </si>
  <si>
    <t>1570      0  -1551  -106</t>
  </si>
  <si>
    <t>9   -998      0    560  -2445</t>
  </si>
  <si>
    <t>159    -56</t>
  </si>
  <si>
    <t>-93      0    148    -3</t>
  </si>
  <si>
    <t>5     17  -1421      0    505</t>
  </si>
  <si>
    <t>765      0</t>
  </si>
  <si>
    <t>0      0    222   -50</t>
  </si>
  <si>
    <t>0      0   -249    -73    -10</t>
  </si>
  <si>
    <t>0  -1072      0  -1081  -1194</t>
  </si>
  <si>
    <t>439      0</t>
  </si>
  <si>
    <t>-268  -2593     81    12</t>
  </si>
  <si>
    <t>1    -39    -24    506   -232</t>
  </si>
  <si>
    <t>0   -668</t>
  </si>
  <si>
    <t>0      0   5144   -19</t>
  </si>
  <si>
    <t>7      0   -625      0      0</t>
  </si>
  <si>
    <t>-46    -22    162</t>
  </si>
  <si>
    <t>1042   -635   -762</t>
  </si>
  <si>
    <t>0 -18700 -22382   3797      0</t>
  </si>
  <si>
    <t>8583   7063   5405  1635</t>
  </si>
  <si>
    <t>9  13182      0  38758      0</t>
  </si>
  <si>
    <t>0  17816</t>
  </si>
  <si>
    <t>0   9885      0   877</t>
  </si>
  <si>
    <t>0      0  -1295</t>
  </si>
  <si>
    <t>0  -4549   6587  16225      0</t>
  </si>
  <si>
    <t>974   3902</t>
  </si>
  <si>
    <t>0      0  -2018  -1211  -4064</t>
  </si>
  <si>
    <t>347  -1387</t>
  </si>
  <si>
    <t>-809      0      0</t>
  </si>
  <si>
    <t>0      0   -331      0    110</t>
  </si>
  <si>
    <t>1428    462      0</t>
  </si>
  <si>
    <t>0      0      0   -918      0</t>
  </si>
  <si>
    <t>196  -2096</t>
  </si>
  <si>
    <t>3629  -3032   -758   -16</t>
  </si>
  <si>
    <t>7    -83     55  -1837   -419</t>
  </si>
  <si>
    <t>0      0  -3143   -164  -1145</t>
  </si>
  <si>
    <t>208  -1507</t>
  </si>
  <si>
    <t>690      0      0   -50</t>
  </si>
  <si>
    <t>4      0    579   -330      0</t>
  </si>
  <si>
    <t>0    240      0  -123</t>
  </si>
  <si>
    <t>2     40      0      0      0</t>
  </si>
  <si>
    <t>0      0      0   -421   2203</t>
  </si>
  <si>
    <t>237  13387</t>
  </si>
  <si>
    <t>5883  16032  31054    97</t>
  </si>
  <si>
    <t>0    285    135   3648   2382</t>
  </si>
  <si>
    <t>006  12731</t>
  </si>
  <si>
    <t>2008  17857    543</t>
  </si>
  <si>
    <t>0  14087  18566  18564  25022</t>
  </si>
  <si>
    <t>420  15953</t>
  </si>
  <si>
    <t>0138  25815  13086  1938</t>
  </si>
  <si>
    <t>0  16885  25813   8633  13442</t>
  </si>
  <si>
    <t>047    -41</t>
  </si>
  <si>
    <t>1367    111   -182    20</t>
  </si>
  <si>
    <t>3      0      0    -43      0</t>
  </si>
  <si>
    <t>-436    808      0</t>
  </si>
  <si>
    <t>127      0</t>
  </si>
  <si>
    <t>0    100      0   -10</t>
  </si>
  <si>
    <t>3      0    272   -118    -64</t>
  </si>
  <si>
    <t>0    -88</t>
  </si>
  <si>
    <t>1232    133    211    36</t>
  </si>
  <si>
    <t>0    394      0    -59      0</t>
  </si>
  <si>
    <t>0      0    210</t>
  </si>
  <si>
    <t>0      0      0   -308      0</t>
  </si>
  <si>
    <t>-64      0</t>
  </si>
  <si>
    <t>0    -43      0     88   -172</t>
  </si>
  <si>
    <t>1150 -10956      0   -86</t>
  </si>
  <si>
    <t>266    545</t>
  </si>
  <si>
    <t>586      0      0   -46</t>
  </si>
  <si>
    <t>3   1116      0   1345    560</t>
  </si>
  <si>
    <t>879    933</t>
  </si>
  <si>
    <t>1759    197    495</t>
  </si>
  <si>
    <t>155      0</t>
  </si>
  <si>
    <t>-817   1825    702</t>
  </si>
  <si>
    <t>0    190  -4796    193    146</t>
  </si>
  <si>
    <t>-78   -191    449    -4</t>
  </si>
  <si>
    <t>8      0    262   -218      0</t>
  </si>
  <si>
    <t>536    950      0    60</t>
  </si>
  <si>
    <t>2   -497      2   -109      0</t>
  </si>
  <si>
    <t>0      0   -752</t>
  </si>
  <si>
    <t>0   -583   -328   -104      0</t>
  </si>
  <si>
    <t>308  -4762</t>
  </si>
  <si>
    <t>237   -111    272   -18</t>
  </si>
  <si>
    <t>0   -209   -644      0    -83</t>
  </si>
  <si>
    <t>-133   -104      0   -44</t>
  </si>
  <si>
    <t>9      0      0    176      0</t>
  </si>
  <si>
    <t>529     67</t>
  </si>
  <si>
    <t>-373      0      0</t>
  </si>
  <si>
    <t>0      0      0   -696      0</t>
  </si>
  <si>
    <t>612   -281</t>
  </si>
  <si>
    <t>-109      0     -9  -719</t>
  </si>
  <si>
    <t>3     24      0      0      0</t>
  </si>
  <si>
    <t>0    -51</t>
  </si>
  <si>
    <t>438   -106    -83</t>
  </si>
  <si>
    <t>0     21      0      0      5</t>
  </si>
  <si>
    <t>0    780</t>
  </si>
  <si>
    <t>0    589      0</t>
  </si>
  <si>
    <t>-422      0   -376   -43</t>
  </si>
  <si>
    <t>3   -129      0    684   2061</t>
  </si>
  <si>
    <t>0      0      0  -287</t>
  </si>
  <si>
    <t>2  -2974   -829   -747  -1053</t>
  </si>
  <si>
    <t>843      0</t>
  </si>
  <si>
    <t>0      0      0  -497</t>
  </si>
  <si>
    <t>0      0  -2481      0      0</t>
  </si>
  <si>
    <t>-75    388</t>
  </si>
  <si>
    <t>0  -1219      0    276   -140</t>
  </si>
  <si>
    <t>658  -2021</t>
  </si>
  <si>
    <t>-766   -630    -24    75</t>
  </si>
  <si>
    <t>9    388    147      0      0</t>
  </si>
  <si>
    <t>0      0      0    27</t>
  </si>
  <si>
    <t>2  -2390  -4083  -1318  -3206</t>
  </si>
  <si>
    <t>470      0</t>
  </si>
  <si>
    <t>0   -288      0   -93</t>
  </si>
  <si>
    <t>3   1574      0      0      0</t>
  </si>
  <si>
    <t>0   -305</t>
  </si>
  <si>
    <t>0   -222    834</t>
  </si>
  <si>
    <t>0     -4   3027   3085  30693</t>
  </si>
  <si>
    <t>795  19584</t>
  </si>
  <si>
    <t>8591    669    -49    -7</t>
  </si>
  <si>
    <t>0   4481   2799  23725  14825</t>
  </si>
  <si>
    <t>652  13499</t>
  </si>
  <si>
    <t>1079      0  23842  2151</t>
  </si>
  <si>
    <t>3  22514  20045  23492  17103</t>
  </si>
  <si>
    <t>422  19795</t>
  </si>
  <si>
    <t>2030  22738  17525  1790</t>
  </si>
  <si>
    <t>7  16797  18704  19054  13544</t>
  </si>
  <si>
    <t>15  -1884</t>
  </si>
  <si>
    <t>212   -101    132</t>
  </si>
  <si>
    <t>0      0    -29      0      0</t>
  </si>
  <si>
    <t>0   -106</t>
  </si>
  <si>
    <t>0      0      0      0    354</t>
  </si>
  <si>
    <t>30      0    -42</t>
  </si>
  <si>
    <t>0    428   -441   -241      0</t>
  </si>
  <si>
    <t>647  -1829</t>
  </si>
  <si>
    <t>354    144    182     5</t>
  </si>
  <si>
    <t>4      0     17      0      0</t>
  </si>
  <si>
    <t>0    -13      0</t>
  </si>
  <si>
    <t>0      0   -381      0     42</t>
  </si>
  <si>
    <t>7      0    169     27      0</t>
  </si>
  <si>
    <t>0   1021</t>
  </si>
  <si>
    <t>7200      0   1343</t>
  </si>
  <si>
    <t>0      0      0      0   -207</t>
  </si>
  <si>
    <t>-14     33</t>
  </si>
  <si>
    <t>0      0    -20   -18</t>
  </si>
  <si>
    <t>0      0   -516    147     32</t>
  </si>
  <si>
    <t>110    -49</t>
  </si>
  <si>
    <t>115    365      0</t>
  </si>
  <si>
    <t>0      0      0      0    154</t>
  </si>
  <si>
    <t>1187   -358      0   150</t>
  </si>
  <si>
    <t>6 -12177  -2723  -4064  -2415</t>
  </si>
  <si>
    <t>0  -2261</t>
  </si>
  <si>
    <t>2049  -1952    647</t>
  </si>
  <si>
    <t>0  -1330  -1688      0      0</t>
  </si>
  <si>
    <t>0   1782</t>
  </si>
  <si>
    <t>-796      0   -594  -225</t>
  </si>
  <si>
    <t>2      6   1424      0      0</t>
  </si>
  <si>
    <t>0    -47      0  -211</t>
  </si>
  <si>
    <t>8   2001    695      0    679</t>
  </si>
  <si>
    <t>040    679</t>
  </si>
  <si>
    <t>1428    852    -19   -17</t>
  </si>
  <si>
    <t>5   -414      0   -217      0</t>
  </si>
  <si>
    <t>0   -888</t>
  </si>
  <si>
    <t>-65      0    161</t>
  </si>
  <si>
    <t>0      0    -33      0   -143</t>
  </si>
  <si>
    <t>129   -365</t>
  </si>
  <si>
    <t>0      0     87      0   -633</t>
  </si>
  <si>
    <t>577   -125</t>
  </si>
  <si>
    <t>0   1488 -10139     5</t>
  </si>
  <si>
    <t>3      0      0      0   -337</t>
  </si>
  <si>
    <t>448    -22</t>
  </si>
  <si>
    <t>14    125      0   -30</t>
  </si>
  <si>
    <t>2      0      0    254      0</t>
  </si>
  <si>
    <t>-251      0      0</t>
  </si>
  <si>
    <t>0   -427   -971    -8</t>
  </si>
  <si>
    <t>6      0  -2563   1944      0</t>
  </si>
  <si>
    <t>0      0  -2402    99</t>
  </si>
  <si>
    <t>8  -3187  -3051  -2645  -8246</t>
  </si>
  <si>
    <t>0      0   1564</t>
  </si>
  <si>
    <t>0   1923      0      0  -2840</t>
  </si>
  <si>
    <t>0      0      0   119</t>
  </si>
  <si>
    <t>1      0   2156   3090  -1212</t>
  </si>
  <si>
    <t>153  -1301</t>
  </si>
  <si>
    <t>1917  -1978    -21    36</t>
  </si>
  <si>
    <t>6    436      0      0      0</t>
  </si>
  <si>
    <t>0      0   -377    69</t>
  </si>
  <si>
    <t>4   -146     84    186   2221</t>
  </si>
  <si>
    <t>1214      0    199  -211</t>
  </si>
  <si>
    <t>710      0</t>
  </si>
  <si>
    <t>752   1515      0</t>
  </si>
  <si>
    <t>0      0      0      0    556</t>
  </si>
  <si>
    <t>4   4016   4241  23229  44741</t>
  </si>
  <si>
    <t>893  26513</t>
  </si>
  <si>
    <t>706     38   -364   604</t>
  </si>
  <si>
    <t>5   3894  19160  33453  19297</t>
  </si>
  <si>
    <t>053   1473</t>
  </si>
  <si>
    <t>0  24608  39853  3026</t>
  </si>
  <si>
    <t>1  27644  21932  33130  32037</t>
  </si>
  <si>
    <t>206  21649</t>
  </si>
  <si>
    <t>5813  24179  26325  1713</t>
  </si>
  <si>
    <t>9  36109  26335  19393  21638</t>
  </si>
  <si>
    <t>103   -139      4</t>
  </si>
  <si>
    <t>0      0    -10      0      0</t>
  </si>
  <si>
    <t>0     36</t>
  </si>
  <si>
    <t>0      0      0      0    309</t>
  </si>
  <si>
    <t>66      0    -70</t>
  </si>
  <si>
    <t>0    404   -407   -233      0</t>
  </si>
  <si>
    <t>630  -1921</t>
  </si>
  <si>
    <t>258    -86     20    19</t>
  </si>
  <si>
    <t>0      0     14      0      0</t>
  </si>
  <si>
    <t>0    -67      0</t>
  </si>
  <si>
    <t>0      0   -275      0     40</t>
  </si>
  <si>
    <t>0      0      0    13</t>
  </si>
  <si>
    <t>9      0    190     96      0</t>
  </si>
  <si>
    <t>0    998</t>
  </si>
  <si>
    <t>7582      0    613</t>
  </si>
  <si>
    <t>32     54</t>
  </si>
  <si>
    <t>0      0     12   -12</t>
  </si>
  <si>
    <t>9      0    -14    359   -155</t>
  </si>
  <si>
    <t>216    -36</t>
  </si>
  <si>
    <t>157    489      0</t>
  </si>
  <si>
    <t>0      0      0      0     44</t>
  </si>
  <si>
    <t>0    119</t>
  </si>
  <si>
    <t>-994   -344      0    68</t>
  </si>
  <si>
    <t>8  -6375    602    888   1129</t>
  </si>
  <si>
    <t>0   -511</t>
  </si>
  <si>
    <t>-654    229   -227</t>
  </si>
  <si>
    <t>0    406   -993      0      0</t>
  </si>
  <si>
    <t>0     43</t>
  </si>
  <si>
    <t>141      0      5   -11</t>
  </si>
  <si>
    <t>4   -124   -491      0      0</t>
  </si>
  <si>
    <t>0    -90      0   -57</t>
  </si>
  <si>
    <t>6  -1388   -208      0    721</t>
  </si>
  <si>
    <t>110  -2829</t>
  </si>
  <si>
    <t>3701  -2233  -1397  -223</t>
  </si>
  <si>
    <t>1  -2008      0    976      0</t>
  </si>
  <si>
    <t>0  -1772</t>
  </si>
  <si>
    <t>56      0   1256</t>
  </si>
  <si>
    <t>0      0    347      0  -1038</t>
  </si>
  <si>
    <t>855   1976</t>
  </si>
  <si>
    <t>0      0    676      0   -933</t>
  </si>
  <si>
    <t>928    303</t>
  </si>
  <si>
    <t>0   1273 -10292    -7</t>
  </si>
  <si>
    <t>9      0      0      0   -583</t>
  </si>
  <si>
    <t>602     76</t>
  </si>
  <si>
    <t>-1    103      0   -26</t>
  </si>
  <si>
    <t>2      0      0    348      0</t>
  </si>
  <si>
    <t>135      0</t>
  </si>
  <si>
    <t>15      0      0</t>
  </si>
  <si>
    <t>0    -61</t>
  </si>
  <si>
    <t>0   -462   -841    -6</t>
  </si>
  <si>
    <t>8      0  -1009   2151      0</t>
  </si>
  <si>
    <t>0      0  -2988  -113</t>
  </si>
  <si>
    <t>3  -2998  -2891  -1721  -8033</t>
  </si>
  <si>
    <t>0      0    324</t>
  </si>
  <si>
    <t>0    839      0      0  -3213</t>
  </si>
  <si>
    <t>466      0</t>
  </si>
  <si>
    <t>0      0      0   -23</t>
  </si>
  <si>
    <t>8      0   1930   2546   -854</t>
  </si>
  <si>
    <t>609   -534</t>
  </si>
  <si>
    <t>-713  -1773    484   150</t>
  </si>
  <si>
    <t>3   1269      0      0      0</t>
  </si>
  <si>
    <t>0      0  -1311    11</t>
  </si>
  <si>
    <t>1  -1069    870  -1024   1834</t>
  </si>
  <si>
    <t>1015      0   -172  -259</t>
  </si>
  <si>
    <t>394      0</t>
  </si>
  <si>
    <t>873   1592      0</t>
  </si>
  <si>
    <t>0      0      0      0    396</t>
  </si>
  <si>
    <t>6   4102   4423  23969  25908</t>
  </si>
  <si>
    <t>076  26751</t>
  </si>
  <si>
    <t>816     57   -337   614</t>
  </si>
  <si>
    <t>9   4013  19831  20595  32011</t>
  </si>
  <si>
    <t>291   1532</t>
  </si>
  <si>
    <t>0  25351  30292  4041</t>
  </si>
  <si>
    <t>0  27840  22683  23564  48243</t>
  </si>
  <si>
    <t>424  22228</t>
  </si>
  <si>
    <t>2178  33590  26781  1763</t>
  </si>
  <si>
    <t>5  26581  36372  19684  23468</t>
  </si>
  <si>
    <t>569    118</t>
  </si>
  <si>
    <t>-921    265    122    12</t>
  </si>
  <si>
    <t>9      0      0      1      0</t>
  </si>
  <si>
    <t>-329     52      0</t>
  </si>
  <si>
    <t>328      0</t>
  </si>
  <si>
    <t>0      8      0    -1</t>
  </si>
  <si>
    <t>4      0    436   -311   -111</t>
  </si>
  <si>
    <t>-846    355    184     9</t>
  </si>
  <si>
    <t>9    280      0     10      0</t>
  </si>
  <si>
    <t>0      0      0    -44      0</t>
  </si>
  <si>
    <t>0     27      0    229    118</t>
  </si>
  <si>
    <t>1027  -5535      0    60</t>
  </si>
  <si>
    <t>464    -85</t>
  </si>
  <si>
    <t>-149      0      0    -4</t>
  </si>
  <si>
    <t>8     28      0     41   -267</t>
  </si>
  <si>
    <t>69    -73</t>
  </si>
  <si>
    <t>164     91    220</t>
  </si>
  <si>
    <t>167      0</t>
  </si>
  <si>
    <t>0    962  -5362      2    107</t>
  </si>
  <si>
    <t>187      0</t>
  </si>
  <si>
    <t>-289   -636    316   -14</t>
  </si>
  <si>
    <t>3      0    324   -469      0</t>
  </si>
  <si>
    <t>120   -254      0   -14</t>
  </si>
  <si>
    <t>8     38     -2   -197      0</t>
  </si>
  <si>
    <t>0      0   -373</t>
  </si>
  <si>
    <t>0   -544   -900   -126      0</t>
  </si>
  <si>
    <t>498  -5068</t>
  </si>
  <si>
    <t>-172    221    132    16</t>
  </si>
  <si>
    <t>2   -322   -840      0    -65</t>
  </si>
  <si>
    <t>-396    -75      0   -13</t>
  </si>
  <si>
    <t>5      0      0      8      0</t>
  </si>
  <si>
    <t>-6      0      0</t>
  </si>
  <si>
    <t>0      0      0   -206      0</t>
  </si>
  <si>
    <t>757   -570</t>
  </si>
  <si>
    <t>-11      0    869 -2116</t>
  </si>
  <si>
    <t>4  -3026      0      0      0</t>
  </si>
  <si>
    <t>521  -1511</t>
  </si>
  <si>
    <t>-917    788   1043</t>
  </si>
  <si>
    <t>0   -461      0      0    227</t>
  </si>
  <si>
    <t>0  -1389</t>
  </si>
  <si>
    <t>0   -967      0</t>
  </si>
  <si>
    <t>-427      0  -2302   288</t>
  </si>
  <si>
    <t>5    989      0  -1668   2682</t>
  </si>
  <si>
    <t>0      0      0  -187</t>
  </si>
  <si>
    <t>4   -195  -1251   -851   -915</t>
  </si>
  <si>
    <t>604      0</t>
  </si>
  <si>
    <t>0      0      0   334</t>
  </si>
  <si>
    <t>8      0   2217      0      0</t>
  </si>
  <si>
    <t>993    397</t>
  </si>
  <si>
    <t>0    996      0   1509   1615</t>
  </si>
  <si>
    <t>295  -3835</t>
  </si>
  <si>
    <t>853  -1303  -1224   -32</t>
  </si>
  <si>
    <t>2    556   1385      0      0</t>
  </si>
  <si>
    <t>0      0      0    96</t>
  </si>
  <si>
    <t>0   -239   1466    -97    718</t>
  </si>
  <si>
    <t>652      0</t>
  </si>
  <si>
    <t>0  -1131      0    14</t>
  </si>
  <si>
    <t>4   -178      0      0      0</t>
  </si>
  <si>
    <t>0    326</t>
  </si>
  <si>
    <t>0   1134   1646</t>
  </si>
  <si>
    <t>0   -173   3532   3417  20661</t>
  </si>
  <si>
    <t>581  24795</t>
  </si>
  <si>
    <t>8862   1302    135   -24</t>
  </si>
  <si>
    <t>0   5450   3344  17401  19443</t>
  </si>
  <si>
    <t>523  32211</t>
  </si>
  <si>
    <t>1183      0  22754  2855</t>
  </si>
  <si>
    <t>4  28651  36998  20287  22287</t>
  </si>
  <si>
    <t>649  43026</t>
  </si>
  <si>
    <t>0119  30166  22798  3685</t>
  </si>
  <si>
    <t>8  15994  24988  25038  26075</t>
  </si>
  <si>
    <t>162  26188</t>
  </si>
  <si>
    <t>6570  -2051  23619   105</t>
  </si>
  <si>
    <t>7 -34498 -29805      0      0</t>
  </si>
  <si>
    <t>0      0    328   189</t>
  </si>
  <si>
    <t>1788      0      0   101</t>
  </si>
  <si>
    <t>6      0  -1224      0   1056</t>
  </si>
  <si>
    <t>513  -1031</t>
  </si>
  <si>
    <t>0 -35296  10375  2440</t>
  </si>
  <si>
    <t>1  25607  33106  27388      0</t>
  </si>
  <si>
    <t>771      0</t>
  </si>
  <si>
    <t>0   1177      0      0      0</t>
  </si>
  <si>
    <t>839      0</t>
  </si>
  <si>
    <t>2182      0      0</t>
  </si>
  <si>
    <t>0      0      0  -1266      0</t>
  </si>
  <si>
    <t>073   7264</t>
  </si>
  <si>
    <t>0      0   3013    85</t>
  </si>
  <si>
    <t>8      0  -2089      0      0</t>
  </si>
  <si>
    <t>0      0    321    -25      0</t>
  </si>
  <si>
    <t>551    -54</t>
  </si>
  <si>
    <t>36    -57   1162   -17</t>
  </si>
  <si>
    <t>2   -737      0      0      0</t>
  </si>
  <si>
    <t>453      0   1645    25</t>
  </si>
  <si>
    <t>5     31      0  -3001   -985</t>
  </si>
  <si>
    <t>679  -2049</t>
  </si>
  <si>
    <t>1788      0   1415  -142</t>
  </si>
  <si>
    <t>3  -1052    186      0   -162</t>
  </si>
  <si>
    <t>408      0</t>
  </si>
  <si>
    <t>0      0   -488    71</t>
  </si>
  <si>
    <t>2      0    231   3804    338</t>
  </si>
  <si>
    <t>211      0</t>
  </si>
  <si>
    <t>0   7141      0    394     97</t>
  </si>
  <si>
    <t>3013   -809   -519  -156</t>
  </si>
  <si>
    <t>5  -1184   4067   1848    902</t>
  </si>
  <si>
    <t>0     -3</t>
  </si>
  <si>
    <t>0      0    400     1</t>
  </si>
  <si>
    <t>3      0    268      0      0</t>
  </si>
  <si>
    <t>-53      0</t>
  </si>
  <si>
    <t>2187   -104   -218</t>
  </si>
  <si>
    <t>714      0</t>
  </si>
  <si>
    <t>-88    301    137</t>
  </si>
  <si>
    <t>0   2361   -485   -294      0</t>
  </si>
  <si>
    <t>2518    478   -187     9</t>
  </si>
  <si>
    <t>5   -181      0    527      0</t>
  </si>
  <si>
    <t>0    233</t>
  </si>
  <si>
    <t>0    492      0    22</t>
  </si>
  <si>
    <t>0      0   4913</t>
  </si>
  <si>
    <t>0    416   -531    366      0</t>
  </si>
  <si>
    <t>620   -171</t>
  </si>
  <si>
    <t>0      0   -171   -566   -139</t>
  </si>
  <si>
    <t>184    209</t>
  </si>
  <si>
    <t>109      0      0</t>
  </si>
  <si>
    <t>0      0    281      0    200</t>
  </si>
  <si>
    <t>1050    334      0</t>
  </si>
  <si>
    <t>0      0      0   7951      0</t>
  </si>
  <si>
    <t>247   -353</t>
  </si>
  <si>
    <t>1295    -73   2174  1137</t>
  </si>
  <si>
    <t>9  10109 -12026 -10211  -7418</t>
  </si>
  <si>
    <t>0      0  -1714   1561  -2407</t>
  </si>
  <si>
    <t>120  -1586</t>
  </si>
  <si>
    <t>8083      0      0   616</t>
  </si>
  <si>
    <t>7      0   4514 -35770      0</t>
  </si>
  <si>
    <t>0   -483      0   189</t>
  </si>
  <si>
    <t>1    635      0      0      0</t>
  </si>
  <si>
    <t>-280      0      0</t>
  </si>
  <si>
    <t>0      0      0     79 -27028</t>
  </si>
  <si>
    <t>839  -6449</t>
  </si>
  <si>
    <t>2814   3506   1156  -248</t>
  </si>
  <si>
    <t>5    -54   -446 -19066 -11502</t>
  </si>
  <si>
    <t>418   2823</t>
  </si>
  <si>
    <t>1051  -1347  -5143</t>
  </si>
  <si>
    <t>0  -3626   1715   1935    145</t>
  </si>
  <si>
    <t>965    834</t>
  </si>
  <si>
    <t>2014     81  -1841   158</t>
  </si>
  <si>
    <t>6   1434    136  -1376   1186</t>
  </si>
  <si>
    <t>646    868</t>
  </si>
  <si>
    <t>1527   1615   1908     8</t>
  </si>
  <si>
    <t>8  -5014    180  -4381  -2693</t>
  </si>
  <si>
    <t>760      0</t>
  </si>
  <si>
    <t>0   -711      0</t>
  </si>
  <si>
    <t>0      0   5056  -2828      0</t>
  </si>
  <si>
    <t>0      0      0  -398</t>
  </si>
  <si>
    <t>3      0      0    395      0</t>
  </si>
  <si>
    <t>428      0</t>
  </si>
  <si>
    <t>9   2887   1441</t>
  </si>
  <si>
    <t>0   1438    368  -2099  -2222</t>
  </si>
  <si>
    <t>712  -1696</t>
  </si>
  <si>
    <t>0    134      0</t>
  </si>
  <si>
    <t>0      0      0      0   -329</t>
  </si>
  <si>
    <t>0    271      0    -3</t>
  </si>
  <si>
    <t>0   1171</t>
  </si>
  <si>
    <t>0    333    362</t>
  </si>
  <si>
    <t>0      0 -10899   7534      0</t>
  </si>
  <si>
    <t>240      0</t>
  </si>
  <si>
    <t>0      0      0   600</t>
  </si>
  <si>
    <t>9   1724   1368      0      0</t>
  </si>
  <si>
    <t>489  -3935</t>
  </si>
  <si>
    <t>0   5247   2675   128</t>
  </si>
  <si>
    <t>2   -484    858    870   4216</t>
  </si>
  <si>
    <t>0      0      0  1001</t>
  </si>
  <si>
    <t>5      0  -3945   5806   -485</t>
  </si>
  <si>
    <t>0  -4102</t>
  </si>
  <si>
    <t>488    579  -5336  -573</t>
  </si>
  <si>
    <t>7      0  -2355  -5160  -2314</t>
  </si>
  <si>
    <t>22    134      0</t>
  </si>
  <si>
    <t>0      0   -757   2752      0</t>
  </si>
  <si>
    <t>898   -246</t>
  </si>
  <si>
    <t>41    -59      0</t>
  </si>
  <si>
    <t>0      0      0      0  11776</t>
  </si>
  <si>
    <t>0    302</t>
  </si>
  <si>
    <t>156    232      0  -366</t>
  </si>
  <si>
    <t>1   -100     73  -5851  -5841</t>
  </si>
  <si>
    <t>209  -3247</t>
  </si>
  <si>
    <t>3374      0    106</t>
  </si>
  <si>
    <t>0      0   -248     16      0</t>
  </si>
  <si>
    <t>268      0</t>
  </si>
  <si>
    <t>0    630      0    -7</t>
  </si>
  <si>
    <t>4    -71   -907      0      0</t>
  </si>
  <si>
    <t>0  10895      0    83</t>
  </si>
  <si>
    <t>1    398     92      0   3598</t>
  </si>
  <si>
    <t>697   2058</t>
  </si>
  <si>
    <t>9  -2118    414   -965   -614</t>
  </si>
  <si>
    <t>0    814</t>
  </si>
  <si>
    <t>0      0     49</t>
  </si>
  <si>
    <t>0   1726      0   2267      0</t>
  </si>
  <si>
    <t>0      0   8182      0    677</t>
  </si>
  <si>
    <t>704    189</t>
  </si>
  <si>
    <t>0  -3982   -542</t>
  </si>
  <si>
    <t>617   3190</t>
  </si>
  <si>
    <t>1110   -565   -287   -58</t>
  </si>
  <si>
    <t>3828      0      0   -65</t>
  </si>
  <si>
    <t>1    191      0      0      0</t>
  </si>
  <si>
    <t>0  12668</t>
  </si>
  <si>
    <t>0    654   -449    -7</t>
  </si>
  <si>
    <t>9   3716   -357  20519  22604</t>
  </si>
  <si>
    <t>188  10201</t>
  </si>
  <si>
    <t>5705      0      0</t>
  </si>
  <si>
    <t>599  -2877</t>
  </si>
  <si>
    <t>4519  -2246 -11505   -83</t>
  </si>
  <si>
    <t>0      0      0  10574      0</t>
  </si>
  <si>
    <t>967 -55185</t>
  </si>
  <si>
    <t>0   2486      0   2859   3266</t>
  </si>
  <si>
    <t>0   -203</t>
  </si>
  <si>
    <t>196    466 -19476  -285</t>
  </si>
  <si>
    <t>6  -1555  -2906  -2481    599</t>
  </si>
  <si>
    <t>915   -460</t>
  </si>
  <si>
    <t>-654 -11478    199    26</t>
  </si>
  <si>
    <t>9  -1318    162      0 -13577</t>
  </si>
  <si>
    <t>811   4016</t>
  </si>
  <si>
    <t>3653  -4096  -1934   138</t>
  </si>
  <si>
    <t>4  -1128  -4085     96  -1613</t>
  </si>
  <si>
    <t>178  -2396</t>
  </si>
  <si>
    <t>661   1767    529  -232</t>
  </si>
  <si>
    <t>1   1118   2180   -809  30628</t>
  </si>
  <si>
    <t>690   -478</t>
  </si>
  <si>
    <t>4777  -2826  -2779</t>
  </si>
  <si>
    <t>0      0  -1382      0      0</t>
  </si>
  <si>
    <t>0   1805</t>
  </si>
  <si>
    <t>1903      0      0</t>
  </si>
  <si>
    <t>0      0      0      0  -4166</t>
  </si>
  <si>
    <t>555      0   -468</t>
  </si>
  <si>
    <t>0     33   7192   2474      0</t>
  </si>
  <si>
    <t>104    -15</t>
  </si>
  <si>
    <t>2148  -1620  -1068   -56</t>
  </si>
  <si>
    <t>1      0     58      0      0</t>
  </si>
  <si>
    <t>0      0    452      0    -94</t>
  </si>
  <si>
    <t>2      0    -37    839      0</t>
  </si>
  <si>
    <t>0   4652</t>
  </si>
  <si>
    <t>1056      0  -4381</t>
  </si>
  <si>
    <t>0      0      0      0   -278</t>
  </si>
  <si>
    <t>364   -724</t>
  </si>
  <si>
    <t>0      0    476   134</t>
  </si>
  <si>
    <t>2      0   -540   1341    362</t>
  </si>
  <si>
    <t>604    448</t>
  </si>
  <si>
    <t>778    112      0</t>
  </si>
  <si>
    <t>0      0      0      0   2021</t>
  </si>
  <si>
    <t>0     13</t>
  </si>
  <si>
    <t>471   -752      0  -877</t>
  </si>
  <si>
    <t>7  -3806   2243  18615  16851</t>
  </si>
  <si>
    <t>0   3892</t>
  </si>
  <si>
    <t>5369   9936    996</t>
  </si>
  <si>
    <t>0   -886   -232      0      0</t>
  </si>
  <si>
    <t>0    620</t>
  </si>
  <si>
    <t>1307      0  -1471   110</t>
  </si>
  <si>
    <t>8   -138    -22      0      0</t>
  </si>
  <si>
    <t>0   8645      0   111</t>
  </si>
  <si>
    <t>1   4691    641      0  -3508</t>
  </si>
  <si>
    <t>197    -36</t>
  </si>
  <si>
    <t>0369  -7238  -2602  -281</t>
  </si>
  <si>
    <t>4  -2416      0     79      0</t>
  </si>
  <si>
    <t>0   -176</t>
  </si>
  <si>
    <t>219      0   1014</t>
  </si>
  <si>
    <t>0      0     97      0     99</t>
  </si>
  <si>
    <t>135   -239</t>
  </si>
  <si>
    <t>0      0  11312      0   1677</t>
  </si>
  <si>
    <t>153    112</t>
  </si>
  <si>
    <t>0   4026   -162   255</t>
  </si>
  <si>
    <t>6      0      0      0   -179</t>
  </si>
  <si>
    <t>363   -150</t>
  </si>
  <si>
    <t>1286   -878      0   106</t>
  </si>
  <si>
    <t>2      0      0     91      0</t>
  </si>
  <si>
    <t>868      0</t>
  </si>
  <si>
    <t>1320      0      0</t>
  </si>
  <si>
    <t>0   8691</t>
  </si>
  <si>
    <t>0    841  -1053    25</t>
  </si>
  <si>
    <t>3      0  -4154   -769      0</t>
  </si>
  <si>
    <t>0      0    637   348</t>
  </si>
  <si>
    <t>5  -1471   -830   -244   -573</t>
  </si>
  <si>
    <t>0      0   1415</t>
  </si>
  <si>
    <t>0    906      0      0    832</t>
  </si>
  <si>
    <t>523      0</t>
  </si>
  <si>
    <t>0      0      0  1311</t>
  </si>
  <si>
    <t>1      0    722   -465    -14</t>
  </si>
  <si>
    <t>922   -389</t>
  </si>
  <si>
    <t>2071  18513  12883  1058</t>
  </si>
  <si>
    <t>7   5714      0      0      0</t>
  </si>
  <si>
    <t>0      0  -3754   176</t>
  </si>
  <si>
    <t>3  -3502     69  -3124  -1132</t>
  </si>
  <si>
    <t>0581      0   7865 -6090</t>
  </si>
  <si>
    <t>405      0</t>
  </si>
  <si>
    <t>764    489      0</t>
  </si>
  <si>
    <t>0      0      0      0    -51</t>
  </si>
  <si>
    <t>8    715    633   3728   9946</t>
  </si>
  <si>
    <t>033  -1333</t>
  </si>
  <si>
    <t>3327    775   -527    39</t>
  </si>
  <si>
    <t>9   -159   2366   2971   1198</t>
  </si>
  <si>
    <t>0   3052   2200   267</t>
  </si>
  <si>
    <t>1    402  -2795   9697   5009</t>
  </si>
  <si>
    <t>834   2480</t>
  </si>
  <si>
    <t>151  -1208    144   158</t>
  </si>
  <si>
    <t>2    872   2998   1459   2140</t>
  </si>
  <si>
    <t>236   3790</t>
  </si>
  <si>
    <t>141  29761  47371  -788</t>
  </si>
  <si>
    <t>7   -343  -3901  -2870  -2608</t>
  </si>
  <si>
    <t>-577      0      0</t>
  </si>
  <si>
    <t>0   1384    992      0      0</t>
  </si>
  <si>
    <t>0      0  -4182</t>
  </si>
  <si>
    <t>0      0    471      0   -414</t>
  </si>
  <si>
    <t>6182   2396      0   125</t>
  </si>
  <si>
    <t>5     49  -1510  -1507   -958</t>
  </si>
  <si>
    <t>922      0</t>
  </si>
  <si>
    <t>-1      0      0</t>
  </si>
  <si>
    <t>0      0      0   -224      0</t>
  </si>
  <si>
    <t>154      0   -153</t>
  </si>
  <si>
    <t>831      0</t>
  </si>
  <si>
    <t>-85    558      0</t>
  </si>
  <si>
    <t>0   4145   -628      0  -3299</t>
  </si>
  <si>
    <t>0      0    750  -125</t>
  </si>
  <si>
    <t>6   -637      0      0    429</t>
  </si>
  <si>
    <t>-453   1595     25   222</t>
  </si>
  <si>
    <t>9    713    823    200      0</t>
  </si>
  <si>
    <t>0      0   2285</t>
  </si>
  <si>
    <t>0   -249    465   -835      0</t>
  </si>
  <si>
    <t>195   -547</t>
  </si>
  <si>
    <t>646  -8700  -6926</t>
  </si>
  <si>
    <t>0  -2170  -4638  -1524   -155</t>
  </si>
  <si>
    <t>0     58</t>
  </si>
  <si>
    <t>88      0      0</t>
  </si>
  <si>
    <t>0   -332   1090      0   1384</t>
  </si>
  <si>
    <t>243    101</t>
  </si>
  <si>
    <t>347      0      0</t>
  </si>
  <si>
    <t>0      0      0  12352      0</t>
  </si>
  <si>
    <t>299     33</t>
  </si>
  <si>
    <t>-54      0  -2694  -271</t>
  </si>
  <si>
    <t>9   1136  15019  14783   4483</t>
  </si>
  <si>
    <t>950   3193</t>
  </si>
  <si>
    <t>0   1456      0</t>
  </si>
  <si>
    <t>0    886   -635      0    333</t>
  </si>
  <si>
    <t>-768      0  -2487  -175</t>
  </si>
  <si>
    <t>4  -1927      0      0      0</t>
  </si>
  <si>
    <t>2628      0    797   512</t>
  </si>
  <si>
    <t>0   2461      0   3890  -1287</t>
  </si>
  <si>
    <t>0      0   -166   -99</t>
  </si>
  <si>
    <t>3   1002  -1066   -705      0</t>
  </si>
  <si>
    <t>891      0</t>
  </si>
  <si>
    <t>0    385      0   103</t>
  </si>
  <si>
    <t>6      0   1500      0      0</t>
  </si>
  <si>
    <t>0   8333      0    602   -835</t>
  </si>
  <si>
    <t>4121   -889      0</t>
  </si>
  <si>
    <t>0      0      0      0    635</t>
  </si>
  <si>
    <t>254  -1554</t>
  </si>
  <si>
    <t>0      0      0      0   2016</t>
  </si>
  <si>
    <t>0   1874</t>
  </si>
  <si>
    <t>0      0    626    12</t>
  </si>
  <si>
    <t>927   -672   -153   423</t>
  </si>
  <si>
    <t>0    139  23220  19801  10922</t>
  </si>
  <si>
    <t>156   5380</t>
  </si>
  <si>
    <t>0      0      0      0  -4655</t>
  </si>
  <si>
    <t>515  -5536</t>
  </si>
  <si>
    <t>1001  -6218   -783</t>
  </si>
  <si>
    <t>0      0  10504      0   7848</t>
  </si>
  <si>
    <t>948      0</t>
  </si>
  <si>
    <t>0      0      0  -319</t>
  </si>
  <si>
    <t>0      0   1193   1254      0</t>
  </si>
  <si>
    <t>0      0   -320</t>
  </si>
  <si>
    <t>-50    646</t>
  </si>
  <si>
    <t>685   2990  -2055   614</t>
  </si>
  <si>
    <t>3   2780  -3334    680   -344</t>
  </si>
  <si>
    <t>370   -201</t>
  </si>
  <si>
    <t>1816    862   1810   139</t>
  </si>
  <si>
    <t>9   -684      0   2709   1647</t>
  </si>
  <si>
    <t>912   1555</t>
  </si>
  <si>
    <t>2300  -1692   -262   173</t>
  </si>
  <si>
    <t>7  -4021   4526   7403   -820</t>
  </si>
  <si>
    <t>177   1749</t>
  </si>
  <si>
    <t>1307   2080   2120   248</t>
  </si>
  <si>
    <t>7   1640   1509  30465  49571</t>
  </si>
  <si>
    <t>504  -4354</t>
  </si>
  <si>
    <t>1      0      0   -379      0</t>
  </si>
  <si>
    <t>1991    760      0</t>
  </si>
  <si>
    <t>790      0</t>
  </si>
  <si>
    <t>0    602      0   -50</t>
  </si>
  <si>
    <t>6      0      8   3392    889</t>
  </si>
  <si>
    <t>0   1794</t>
  </si>
  <si>
    <t>1   -914      0     90      0</t>
  </si>
  <si>
    <t>0      0   -192</t>
  </si>
  <si>
    <t>0      0      0    448      0</t>
  </si>
  <si>
    <t>0    866      0     12    162</t>
  </si>
  <si>
    <t>4630   -495      0  -254</t>
  </si>
  <si>
    <t>246  -1528</t>
  </si>
  <si>
    <t>-856      0      0    44</t>
  </si>
  <si>
    <t>3   1235      0   -108    725</t>
  </si>
  <si>
    <t>443   1646</t>
  </si>
  <si>
    <t>806    720    151</t>
  </si>
  <si>
    <t>-240    364   -692</t>
  </si>
  <si>
    <t>0  -3724   -299    629  -5647</t>
  </si>
  <si>
    <t>1879  -3951  -1832   -36</t>
  </si>
  <si>
    <t>1      0    152    238      0</t>
  </si>
  <si>
    <t>-294    572      0   111</t>
  </si>
  <si>
    <t>4    -97    -79    114      0</t>
  </si>
  <si>
    <t>0      0  11753</t>
  </si>
  <si>
    <t>0    708    199    295      0</t>
  </si>
  <si>
    <t>413  -1031</t>
  </si>
  <si>
    <t>6  -2493  -1954      0     77</t>
  </si>
  <si>
    <t>-5    103      0    75</t>
  </si>
  <si>
    <t>0      0      0    150      0</t>
  </si>
  <si>
    <t>437    -56</t>
  </si>
  <si>
    <t>-312      0      0</t>
  </si>
  <si>
    <t>0      0      0   9897      0</t>
  </si>
  <si>
    <t>465    446</t>
  </si>
  <si>
    <t>273      0  -3965  -149</t>
  </si>
  <si>
    <t>6  -5795      0      0      0</t>
  </si>
  <si>
    <t>302   3267</t>
  </si>
  <si>
    <t>6481   4683   3252</t>
  </si>
  <si>
    <t>0  -1199      0      0   2730</t>
  </si>
  <si>
    <t>0  -1918</t>
  </si>
  <si>
    <t>0  -5336      0</t>
  </si>
  <si>
    <t>2478      0    334   483</t>
  </si>
  <si>
    <t>3   -328      0  -2988   -871</t>
  </si>
  <si>
    <t>0      0      0    46</t>
  </si>
  <si>
    <t>0   3265  -1690  -1047   -264</t>
  </si>
  <si>
    <t>0      0      0    77</t>
  </si>
  <si>
    <t>3      0   1112      0      0</t>
  </si>
  <si>
    <t>107    862</t>
  </si>
  <si>
    <t>0  12346      0    796   -876</t>
  </si>
  <si>
    <t>97   4283</t>
  </si>
  <si>
    <t>3283  25881  22425  1147</t>
  </si>
  <si>
    <t>8  10395   6963      0      0</t>
  </si>
  <si>
    <t>0      0      0  -331</t>
  </si>
  <si>
    <t>5    711  -1886   -475  -2224</t>
  </si>
  <si>
    <t>074      0</t>
  </si>
  <si>
    <t>0  10305      0   705</t>
  </si>
  <si>
    <t>9 -53997      0      0      0</t>
  </si>
  <si>
    <t>0    907</t>
  </si>
  <si>
    <t>0   1150    734</t>
  </si>
  <si>
    <t>359      0</t>
  </si>
  <si>
    <t>0    282    555    639   2319</t>
  </si>
  <si>
    <t>609  -1060</t>
  </si>
  <si>
    <t>4419  -2967     70   -56</t>
  </si>
  <si>
    <t>9    343    -75   1596    892</t>
  </si>
  <si>
    <t>821  -1022</t>
  </si>
  <si>
    <t>-488      0   1766   106</t>
  </si>
  <si>
    <t>9   1775   1912   1660  -1448</t>
  </si>
  <si>
    <t>782   1713</t>
  </si>
  <si>
    <t>1221    874   -926   128</t>
  </si>
  <si>
    <t>2  -7839   5895   5014  -1417</t>
  </si>
  <si>
    <t>304   1717</t>
  </si>
  <si>
    <t>2650   1250  25835  4278</t>
  </si>
  <si>
    <t>1  43456  45724  -6278     49</t>
  </si>
  <si>
    <t>096  -3424</t>
  </si>
  <si>
    <t>3078      0      0  -201</t>
  </si>
  <si>
    <t>9      0      0      0   2123</t>
  </si>
  <si>
    <t>0      0  -2457      0      0</t>
  </si>
  <si>
    <t>747      0</t>
  </si>
  <si>
    <t>-646      0    -64   475</t>
  </si>
  <si>
    <t>0   1174      0   1586    370</t>
  </si>
  <si>
    <t>459  -1535</t>
  </si>
  <si>
    <t>1454  -1230      0    15</t>
  </si>
  <si>
    <t>0   -285</t>
  </si>
  <si>
    <t>9      0    -77      0      0</t>
  </si>
  <si>
    <t>0   1066      0   -27</t>
  </si>
  <si>
    <t>2    247      0      0   5628</t>
  </si>
  <si>
    <t>3663      0      0</t>
  </si>
  <si>
    <t>0      0   -643  -1324   -640</t>
  </si>
  <si>
    <t>508    853      0   -44</t>
  </si>
  <si>
    <t>5    881    454   1335    747</t>
  </si>
  <si>
    <t>571     63</t>
  </si>
  <si>
    <t>0      0   1582      0    -49</t>
  </si>
  <si>
    <t>398   -842</t>
  </si>
  <si>
    <t>0  -4331     28   231</t>
  </si>
  <si>
    <t>7  -6599  -5215      0  -1257</t>
  </si>
  <si>
    <t>093  -2465</t>
  </si>
  <si>
    <t>84      0    -34    75</t>
  </si>
  <si>
    <t>2      0      0      0   -376</t>
  </si>
  <si>
    <t>857     37   -123    18</t>
  </si>
  <si>
    <t>0  12476</t>
  </si>
  <si>
    <t>0    409    497    18</t>
  </si>
  <si>
    <t>9      0  -3797   -501   1035</t>
  </si>
  <si>
    <t>524  -5698</t>
  </si>
  <si>
    <t>2567  -1989  -1874</t>
  </si>
  <si>
    <t>0    157      0      0    416</t>
  </si>
  <si>
    <t>946      0      0    22</t>
  </si>
  <si>
    <t>9      0    667     -2   -163</t>
  </si>
  <si>
    <t>0      0      0  1166</t>
  </si>
  <si>
    <t>4      0   1165    253     36</t>
  </si>
  <si>
    <t>0   4919</t>
  </si>
  <si>
    <t>847   2184      0</t>
  </si>
  <si>
    <t>0      0    408   -975   -329</t>
  </si>
  <si>
    <t>401   -995</t>
  </si>
  <si>
    <t>0   1341      0</t>
  </si>
  <si>
    <t>0     55      0    799      0</t>
  </si>
  <si>
    <t>373      0</t>
  </si>
  <si>
    <t>0      0      0      0   8668</t>
  </si>
  <si>
    <t>0    619</t>
  </si>
  <si>
    <t>1221    123      0  -324</t>
  </si>
  <si>
    <t>4  -1520      0      0      0</t>
  </si>
  <si>
    <t>-44   5522   1678   136</t>
  </si>
  <si>
    <t>6   -902   1641      0      0</t>
  </si>
  <si>
    <t>3038      0  -1979</t>
  </si>
  <si>
    <t>0      0   -570   6509      0</t>
  </si>
  <si>
    <t>0   6994      0   454</t>
  </si>
  <si>
    <t>7   5475    763 -21274  -6122</t>
  </si>
  <si>
    <t>422  21908</t>
  </si>
  <si>
    <t>0152   9194   4574</t>
  </si>
  <si>
    <t>3785   1257  -2884   -48</t>
  </si>
  <si>
    <t>2  -3475  -2736      0      0</t>
  </si>
  <si>
    <t>285      0</t>
  </si>
  <si>
    <t>8187 -61052      0</t>
  </si>
  <si>
    <t>0      0      0  -1619      0</t>
  </si>
  <si>
    <t>151  -1560</t>
  </si>
  <si>
    <t>0      0  -2138      0      0</t>
  </si>
  <si>
    <t>0   -333    563    67</t>
  </si>
  <si>
    <t>8   4819    544    142  -1172</t>
  </si>
  <si>
    <t>835    408</t>
  </si>
  <si>
    <t>-819   1243    584   493</t>
  </si>
  <si>
    <t>5   4391   3577   1263  -2521</t>
  </si>
  <si>
    <t>0   4171</t>
  </si>
  <si>
    <t>3903   4307   1268   347</t>
  </si>
  <si>
    <t>8   1191   4720    882   3509</t>
  </si>
  <si>
    <t>951   1197</t>
  </si>
  <si>
    <t>1029   2107   3421   431</t>
  </si>
  <si>
    <t>8   2226  -2621   7641   6965</t>
  </si>
  <si>
    <t>614  30259</t>
  </si>
  <si>
    <t>8000  51649  51222  4415</t>
  </si>
  <si>
    <t>6  -1565    448  -1144   2211</t>
  </si>
  <si>
    <t>637      0</t>
  </si>
  <si>
    <t>0      0   1269  -2134      0</t>
  </si>
  <si>
    <t>7      0      0  -1103      0</t>
  </si>
  <si>
    <t>131      0</t>
  </si>
  <si>
    <t>43    386    275</t>
  </si>
  <si>
    <t>0  -5511   -504   2104   3107</t>
  </si>
  <si>
    <t>306   -973</t>
  </si>
  <si>
    <t>0    288      0</t>
  </si>
  <si>
    <t>0      0      0      0   -179</t>
  </si>
  <si>
    <t>0    739      0    81</t>
  </si>
  <si>
    <t>0   -370   2833</t>
  </si>
  <si>
    <t>0      0  10947    145      0</t>
  </si>
  <si>
    <t>0      0      0   481</t>
  </si>
  <si>
    <t>3   2443    818      0      0</t>
  </si>
  <si>
    <t>222   -556</t>
  </si>
  <si>
    <t>0   2882   2515    34</t>
  </si>
  <si>
    <t>1   1103   -779   1142   3604</t>
  </si>
  <si>
    <t>0      0      0 -1573</t>
  </si>
  <si>
    <t>2      0   5838   4599   -562</t>
  </si>
  <si>
    <t>0  -2515</t>
  </si>
  <si>
    <t>8      0   4603   9424  -1391</t>
  </si>
  <si>
    <t>-67   1476      0</t>
  </si>
  <si>
    <t>0      0  -1220   -478      0</t>
  </si>
  <si>
    <t>818   1737</t>
  </si>
  <si>
    <t>184   -125      0</t>
  </si>
  <si>
    <t>0      0      0      0   5694</t>
  </si>
  <si>
    <t>0    582</t>
  </si>
  <si>
    <t>-203    130      0  -164</t>
  </si>
  <si>
    <t>0  -1323   -938  -1477  -1888</t>
  </si>
  <si>
    <t>894   5330</t>
  </si>
  <si>
    <t>0892      0    -17</t>
  </si>
  <si>
    <t>0      0   1816    166      0</t>
  </si>
  <si>
    <t>0   -222      0     9</t>
  </si>
  <si>
    <t>4   -214    254      0      0</t>
  </si>
  <si>
    <t>0   4125      0    72</t>
  </si>
  <si>
    <t>3    162    254      0   1796</t>
  </si>
  <si>
    <t>795   -195</t>
  </si>
  <si>
    <t>0      0      0   412</t>
  </si>
  <si>
    <t>7   7891   -343   -217   -200</t>
  </si>
  <si>
    <t>0   1368</t>
  </si>
  <si>
    <t>0      0   -279</t>
  </si>
  <si>
    <t>0   -226      0   -305      0</t>
  </si>
  <si>
    <t>0      0   3692      0    490</t>
  </si>
  <si>
    <t>636    196</t>
  </si>
  <si>
    <t>0   -277   -887</t>
  </si>
  <si>
    <t>266  -2287</t>
  </si>
  <si>
    <t>1190   -754   -128    80</t>
  </si>
  <si>
    <t>-662      0      0  -127</t>
  </si>
  <si>
    <t>2     -5      0      0      0</t>
  </si>
  <si>
    <t>0   4626</t>
  </si>
  <si>
    <t>0   1253   -664    65</t>
  </si>
  <si>
    <t>3   -796   1873   5216   5192</t>
  </si>
  <si>
    <t>712 -22057</t>
  </si>
  <si>
    <t>7882      0      0</t>
  </si>
  <si>
    <t>924   1243</t>
  </si>
  <si>
    <t>1811    788    423  -133</t>
  </si>
  <si>
    <t>4      0      0   1508      0</t>
  </si>
  <si>
    <t>078 -30082</t>
  </si>
  <si>
    <t>0    334      0  -2885  -7893</t>
  </si>
  <si>
    <t>-390   -168 -12700    64</t>
  </si>
  <si>
    <t>4   1595    884  -1368    114</t>
  </si>
  <si>
    <t>358    835</t>
  </si>
  <si>
    <t>1798 -18753  -2187  -200</t>
  </si>
  <si>
    <t>9  -1889  -5515      0 -12911</t>
  </si>
  <si>
    <t>371   6239</t>
  </si>
  <si>
    <t>2647  -3305   1222   149</t>
  </si>
  <si>
    <t>7    678  -4205   1396   2586</t>
  </si>
  <si>
    <t>789  -2820</t>
  </si>
  <si>
    <t>1317   1845   2017  -209</t>
  </si>
  <si>
    <t>6   1653   1935    792  28956</t>
  </si>
  <si>
    <t>229  24670</t>
  </si>
  <si>
    <t>5837  21740  25189  -115</t>
  </si>
  <si>
    <t>1   -309   -644   2859   1933</t>
  </si>
  <si>
    <t>-171      0      0</t>
  </si>
  <si>
    <t>0    -74    342      0      0</t>
  </si>
  <si>
    <t>0      0   -336</t>
  </si>
  <si>
    <t>0      0   -813      0    959</t>
  </si>
  <si>
    <t>0    -12</t>
  </si>
  <si>
    <t>1127    272      0  -811</t>
  </si>
  <si>
    <t>2  -1193   2706   1241   3140</t>
  </si>
  <si>
    <t>253      0      0</t>
  </si>
  <si>
    <t>0      0      0   1145      0</t>
  </si>
  <si>
    <t>156      0   -197</t>
  </si>
  <si>
    <t>325      0</t>
  </si>
  <si>
    <t>180   7708      0</t>
  </si>
  <si>
    <t>0   -632    303      0  -4765</t>
  </si>
  <si>
    <t>0      0  -4369   -69</t>
  </si>
  <si>
    <t>1   -105      0      0    478</t>
  </si>
  <si>
    <t>1088  -1205   -477  -116</t>
  </si>
  <si>
    <t>6   1246   -271  -2288      0</t>
  </si>
  <si>
    <t>0      0   5784</t>
  </si>
  <si>
    <t>0   -501   -334    850      0</t>
  </si>
  <si>
    <t>429   -737</t>
  </si>
  <si>
    <t>3362   7225   6574</t>
  </si>
  <si>
    <t>0 -17007 -20041  -5594     24</t>
  </si>
  <si>
    <t>0    179</t>
  </si>
  <si>
    <t>-610      0      0</t>
  </si>
  <si>
    <t>0    990  -1425      0    377</t>
  </si>
  <si>
    <t>993   -875</t>
  </si>
  <si>
    <t>1355      0      0</t>
  </si>
  <si>
    <t>0      0      0   7031      0</t>
  </si>
  <si>
    <t>196   3639</t>
  </si>
  <si>
    <t>682      0   -701  -119</t>
  </si>
  <si>
    <t>3  -1500  -4924  -2736   5284</t>
  </si>
  <si>
    <t>598   9088</t>
  </si>
  <si>
    <t>0    139      0</t>
  </si>
  <si>
    <t>0    -14     93      0   -284</t>
  </si>
  <si>
    <t>-337      0   1026     7</t>
  </si>
  <si>
    <t>8   -555      0      0      0</t>
  </si>
  <si>
    <t>5253      0    770    -1</t>
  </si>
  <si>
    <t>4     52      0   3388  -1051</t>
  </si>
  <si>
    <t>239      0</t>
  </si>
  <si>
    <t>0      0   3197   516</t>
  </si>
  <si>
    <t>7    349   -158   -308      0</t>
  </si>
  <si>
    <t>0   -336      0    63</t>
  </si>
  <si>
    <t>2      0     94      0      0</t>
  </si>
  <si>
    <t>0   4917      0    583   -752</t>
  </si>
  <si>
    <t>77  -2006      0</t>
  </si>
  <si>
    <t>0      0      0      0   6480</t>
  </si>
  <si>
    <t>206   -701</t>
  </si>
  <si>
    <t>-479     67  -1385</t>
  </si>
  <si>
    <t>0      0      0      0    165</t>
  </si>
  <si>
    <t>0      0   -449    10</t>
  </si>
  <si>
    <t>116      0</t>
  </si>
  <si>
    <t>2764   -629    703</t>
  </si>
  <si>
    <t>1    680   5450   3275 -19458</t>
  </si>
  <si>
    <t>370 -27483</t>
  </si>
  <si>
    <t>0      0      0      0    952</t>
  </si>
  <si>
    <t>649   -386</t>
  </si>
  <si>
    <t>1072    158   -786</t>
  </si>
  <si>
    <t>0      0   1810      0   3873</t>
  </si>
  <si>
    <t>777      0</t>
  </si>
  <si>
    <t>0      0      0  -271</t>
  </si>
  <si>
    <t>7      0   4009    278      0</t>
  </si>
  <si>
    <t>0      0   -484</t>
  </si>
  <si>
    <t>126    195</t>
  </si>
  <si>
    <t>579   1026   2320   198</t>
  </si>
  <si>
    <t>1   1950   -675   -230   1142</t>
  </si>
  <si>
    <t>061   1695</t>
  </si>
  <si>
    <t>2809  13898  -3962  -165</t>
  </si>
  <si>
    <t>8  -5482      0    823   2160</t>
  </si>
  <si>
    <t>353   1538</t>
  </si>
  <si>
    <t>2358   2836   6985   331</t>
  </si>
  <si>
    <t>3   1574   -132   1788   1555</t>
  </si>
  <si>
    <t>814    574</t>
  </si>
  <si>
    <t>2628   2007    957   195</t>
  </si>
  <si>
    <t>9   2925   1275  29440  26049</t>
  </si>
  <si>
    <t>935  28644</t>
  </si>
  <si>
    <t>4327  28945  32696   -42</t>
  </si>
  <si>
    <t>2    -63   -777   2279   1038</t>
  </si>
  <si>
    <t>0      6    -46      0      0</t>
  </si>
  <si>
    <t>0      0   -356</t>
  </si>
  <si>
    <t>0      0   -511      0    681</t>
  </si>
  <si>
    <t>0     57</t>
  </si>
  <si>
    <t>608    157      0  -780</t>
  </si>
  <si>
    <t>3   -865    415   1738   3545</t>
  </si>
  <si>
    <t>958      0</t>
  </si>
  <si>
    <t>0      0      0    728      0</t>
  </si>
  <si>
    <t>616      0   -282</t>
  </si>
  <si>
    <t>461   7387      0</t>
  </si>
  <si>
    <t>0    473    181      0  -3318</t>
  </si>
  <si>
    <t>0      0  -3968   -78</t>
  </si>
  <si>
    <t>4   -162      0      0    537</t>
  </si>
  <si>
    <t>236      0</t>
  </si>
  <si>
    <t>5   1524      2  -1496      0</t>
  </si>
  <si>
    <t>0      0   4771</t>
  </si>
  <si>
    <t>0   -133   -118    495      0</t>
  </si>
  <si>
    <t>898   -370</t>
  </si>
  <si>
    <t>2294  -5502  -4052</t>
  </si>
  <si>
    <t>0   3906   5560  -2086    359</t>
  </si>
  <si>
    <t>0    -57</t>
  </si>
  <si>
    <t>-193      0      0</t>
  </si>
  <si>
    <t>0   -373    383      0   -665</t>
  </si>
  <si>
    <t>063    314</t>
  </si>
  <si>
    <t>-367      0      0</t>
  </si>
  <si>
    <t>0      0      0   8539      0</t>
  </si>
  <si>
    <t>331   -279</t>
  </si>
  <si>
    <t>115      0 -15906   333</t>
  </si>
  <si>
    <t>6   1721   5342   4850 -12857</t>
  </si>
  <si>
    <t>574 -18251</t>
  </si>
  <si>
    <t>0   1010      0</t>
  </si>
  <si>
    <t>0  -1956    522      0    531</t>
  </si>
  <si>
    <t>542      0  -2635    56</t>
  </si>
  <si>
    <t>2   2146      0      0      0</t>
  </si>
  <si>
    <t>6912      0  -4782   344</t>
  </si>
  <si>
    <t>2   -440      0   2836  -1594</t>
  </si>
  <si>
    <t>0      0   1717   295</t>
  </si>
  <si>
    <t>3   -654   -275   -290      0</t>
  </si>
  <si>
    <t>371      0</t>
  </si>
  <si>
    <t>0   -402      0    46</t>
  </si>
  <si>
    <t>9      0    -49      0      0</t>
  </si>
  <si>
    <t>0   5996      0    907   -567</t>
  </si>
  <si>
    <t>-597  -1476      0</t>
  </si>
  <si>
    <t>0      0      0      0   6038</t>
  </si>
  <si>
    <t>056   -791</t>
  </si>
  <si>
    <t>-502     52  -1270</t>
  </si>
  <si>
    <t>0      0   -780    31</t>
  </si>
  <si>
    <t>2180   -691    878    25</t>
  </si>
  <si>
    <t>4   1569   6668   4590 -15184</t>
  </si>
  <si>
    <t>506 -22462</t>
  </si>
  <si>
    <t>0      0      0      0    741</t>
  </si>
  <si>
    <t>948   -712</t>
  </si>
  <si>
    <t>910    591  -2734</t>
  </si>
  <si>
    <t>0      0   1969      0   3281</t>
  </si>
  <si>
    <t>687      0</t>
  </si>
  <si>
    <t>0      0      0  -269</t>
  </si>
  <si>
    <t>5      0   3303   -501      0</t>
  </si>
  <si>
    <t>0      0   -493</t>
  </si>
  <si>
    <t>398    211</t>
  </si>
  <si>
    <t>353    649    572   181</t>
  </si>
  <si>
    <t>6   2809   -676   -394    868</t>
  </si>
  <si>
    <t>990   1535</t>
  </si>
  <si>
    <t>2347  -2635  10811   190</t>
  </si>
  <si>
    <t>8  -4900      0    594   2305</t>
  </si>
  <si>
    <t>732   2302</t>
  </si>
  <si>
    <t>1329    364    335   229</t>
  </si>
  <si>
    <t>6  -2949   6317   1981   3746</t>
  </si>
  <si>
    <t>397   2090</t>
  </si>
  <si>
    <t>1269   2187    897   234</t>
  </si>
  <si>
    <t>0   2151   1805  28529  27240</t>
  </si>
  <si>
    <t>458  38151</t>
  </si>
  <si>
    <t>5385  29371  31943  3278</t>
  </si>
  <si>
    <t>8    278    678   -492   2821</t>
  </si>
  <si>
    <t>552      0</t>
  </si>
  <si>
    <t>0      0    137    -54      0</t>
  </si>
  <si>
    <t>6      0      0   -906      0</t>
  </si>
  <si>
    <t>-54   -188      3</t>
  </si>
  <si>
    <t>0  -5957    390   2267   1195</t>
  </si>
  <si>
    <t>893   1033</t>
  </si>
  <si>
    <t>0    601      0</t>
  </si>
  <si>
    <t>0      0      0      0    558</t>
  </si>
  <si>
    <t>0   -287      0    11</t>
  </si>
  <si>
    <t>0   -266</t>
  </si>
  <si>
    <t>0   -195   4871</t>
  </si>
  <si>
    <t>0      0    487   1471      0</t>
  </si>
  <si>
    <t>0      0      0  -185</t>
  </si>
  <si>
    <t>5   -461    -92      0      0</t>
  </si>
  <si>
    <t>551   -282</t>
  </si>
  <si>
    <t>0   -888   -432   -36</t>
  </si>
  <si>
    <t>2   -550   1837     37  -1045</t>
  </si>
  <si>
    <t>0      0      0   353</t>
  </si>
  <si>
    <t>0      0   -423   -155    405</t>
  </si>
  <si>
    <t>0  -1481</t>
  </si>
  <si>
    <t>514  -1294  -3125  -254</t>
  </si>
  <si>
    <t>7      0   2011   2921   -544</t>
  </si>
  <si>
    <t>374      0</t>
  </si>
  <si>
    <t>-47   -177      0</t>
  </si>
  <si>
    <t>0      0   -391    479      0</t>
  </si>
  <si>
    <t>292   2359</t>
  </si>
  <si>
    <t>251     67      0</t>
  </si>
  <si>
    <t>0      0      0      0   5768</t>
  </si>
  <si>
    <t>0    702</t>
  </si>
  <si>
    <t>-133     37      0  -114</t>
  </si>
  <si>
    <t>1    326   -623  -2346  -1556</t>
  </si>
  <si>
    <t>468   1575</t>
  </si>
  <si>
    <t>3550      0     79</t>
  </si>
  <si>
    <t>0      0    -78     88      0</t>
  </si>
  <si>
    <t>126      0</t>
  </si>
  <si>
    <t>0   -234      0    52</t>
  </si>
  <si>
    <t>5   -153   -148      0      0</t>
  </si>
  <si>
    <t>0   4870      0    61</t>
  </si>
  <si>
    <t>0    258    181      0  -5915</t>
  </si>
  <si>
    <t>595   1686</t>
  </si>
  <si>
    <t>0      0      0 -2379</t>
  </si>
  <si>
    <t>7 -29398  -8895   -479    213</t>
  </si>
  <si>
    <t>0    213</t>
  </si>
  <si>
    <t>0      0   -341</t>
  </si>
  <si>
    <t>0  -1735      0   -382      0</t>
  </si>
  <si>
    <t>0      0   4507      0  -1203</t>
  </si>
  <si>
    <t>385   -880</t>
  </si>
  <si>
    <t>0    342   -463</t>
  </si>
  <si>
    <t>319   -724</t>
  </si>
  <si>
    <t>-404   -390     67   -89</t>
  </si>
  <si>
    <t>-143      0      0   -59</t>
  </si>
  <si>
    <t>6    435      0      0      0</t>
  </si>
  <si>
    <t>0   5081</t>
  </si>
  <si>
    <t>0   2272   -751    75</t>
  </si>
  <si>
    <t>3    327   1280   7038   5110</t>
  </si>
  <si>
    <t>410 -14914</t>
  </si>
  <si>
    <t>7849      0      0</t>
  </si>
  <si>
    <t>996   1468</t>
  </si>
  <si>
    <t>138    876    586  -378</t>
  </si>
  <si>
    <t>3      0      0   2091      0</t>
  </si>
  <si>
    <t>946 -27469</t>
  </si>
  <si>
    <t>0   -480      0   7391   4534</t>
  </si>
  <si>
    <t>0      0      0   -59</t>
  </si>
  <si>
    <t>213     33    853    87</t>
  </si>
  <si>
    <t>3   1493  -1013  -1032   -381</t>
  </si>
  <si>
    <t>552    372</t>
  </si>
  <si>
    <t>371   -415  -3123  -330</t>
  </si>
  <si>
    <t>5  16133  -3290      0    448</t>
  </si>
  <si>
    <t>678   1722</t>
  </si>
  <si>
    <t>2078   1030    325   170</t>
  </si>
  <si>
    <t>2    688    673   1749   1219</t>
  </si>
  <si>
    <t>464  -5467</t>
  </si>
  <si>
    <t>6929   7183    247    48</t>
  </si>
  <si>
    <t>2   1611   1946   1884  22239</t>
  </si>
  <si>
    <t>555  21642</t>
  </si>
  <si>
    <t>2515  30879  22072  2587</t>
  </si>
  <si>
    <t>1  26992  27553    651   -706</t>
  </si>
  <si>
    <t>014   2944</t>
  </si>
  <si>
    <t>4615      0      0   -28</t>
  </si>
  <si>
    <t>9      0      0      0     87</t>
  </si>
  <si>
    <t>-16      0</t>
  </si>
  <si>
    <t>0      0   -508      0      0</t>
  </si>
  <si>
    <t>1372      0     43    17</t>
  </si>
  <si>
    <t>1    -81      0  -7247  -1978</t>
  </si>
  <si>
    <t>744   3239</t>
  </si>
  <si>
    <t>2388   -297      0   106</t>
  </si>
  <si>
    <t>0    458</t>
  </si>
  <si>
    <t>0      0    794      0      0</t>
  </si>
  <si>
    <t>0   -511      0    13</t>
  </si>
  <si>
    <t>2   5610      0      0   1279</t>
  </si>
  <si>
    <t>060      0</t>
  </si>
  <si>
    <t>4331      0      0</t>
  </si>
  <si>
    <t>0      0  -6031   -891   -205</t>
  </si>
  <si>
    <t>578   -327      0  -123</t>
  </si>
  <si>
    <t>3  -1598   -521  -1423    928</t>
  </si>
  <si>
    <t>550  -2214</t>
  </si>
  <si>
    <t>0      0   5551      0   -140</t>
  </si>
  <si>
    <t>305   1010</t>
  </si>
  <si>
    <t>0  -3026  -1808  -175</t>
  </si>
  <si>
    <t>6  -4251  -3418      0   6666</t>
  </si>
  <si>
    <t>791  -2291</t>
  </si>
  <si>
    <t>448      0   -115    -2</t>
  </si>
  <si>
    <t>1      0      0      0   -451</t>
  </si>
  <si>
    <t>243      0</t>
  </si>
  <si>
    <t>-535   2515    344    31</t>
  </si>
  <si>
    <t>0   9491</t>
  </si>
  <si>
    <t>0    330    112    -3</t>
  </si>
  <si>
    <t>0      0  -1192  -2548   -986</t>
  </si>
  <si>
    <t>109  -2200</t>
  </si>
  <si>
    <t>5055   7335   8966</t>
  </si>
  <si>
    <t>0     27      0      0     16</t>
  </si>
  <si>
    <t>-239      0      0   -31</t>
  </si>
  <si>
    <t>1      0    585    -43    -27</t>
  </si>
  <si>
    <t>0      0      0   707</t>
  </si>
  <si>
    <t>1      0   1126    187    201</t>
  </si>
  <si>
    <t>0   4695</t>
  </si>
  <si>
    <t>2185    -91      0</t>
  </si>
  <si>
    <t>0      0   5682   5746   -570</t>
  </si>
  <si>
    <t>335   -377</t>
  </si>
  <si>
    <t>0    393      0</t>
  </si>
  <si>
    <t>0   -385      0    304      0</t>
  </si>
  <si>
    <t>0      0      0      0   6411</t>
  </si>
  <si>
    <t>0    750</t>
  </si>
  <si>
    <t>-979    293      0 -1326</t>
  </si>
  <si>
    <t>5   3990      0      0      0</t>
  </si>
  <si>
    <t>2103  -3085   1349   103</t>
  </si>
  <si>
    <t>8   -973    931      0      0</t>
  </si>
  <si>
    <t>-292      0   -120</t>
  </si>
  <si>
    <t>0      0   3584   1984      0</t>
  </si>
  <si>
    <t>0  15793      0  -583</t>
  </si>
  <si>
    <t>0   4239  -1152    507   2023</t>
  </si>
  <si>
    <t>847   6950</t>
  </si>
  <si>
    <t>0520 -29410 -32239</t>
  </si>
  <si>
    <t>1353   2290   -263   135</t>
  </si>
  <si>
    <t>0    821  -4239      0      0</t>
  </si>
  <si>
    <t>3507 -42537      0</t>
  </si>
  <si>
    <t>0      0      0   -683      0</t>
  </si>
  <si>
    <t>476    368</t>
  </si>
  <si>
    <t>0      0   -862      0      0</t>
  </si>
  <si>
    <t>0    152    304    79</t>
  </si>
  <si>
    <t>6   2098   2164   2637   1664</t>
  </si>
  <si>
    <t>085   -480</t>
  </si>
  <si>
    <t>1355    872   1894   304</t>
  </si>
  <si>
    <t>3  -2395  -4405  -3094  -1603</t>
  </si>
  <si>
    <t>0   1077</t>
  </si>
  <si>
    <t>3109   2765   1555   180</t>
  </si>
  <si>
    <t>9   1665   3316   1519   1751</t>
  </si>
  <si>
    <t>192   2438</t>
  </si>
  <si>
    <t>1466    740   2580   294</t>
  </si>
  <si>
    <t>9   2227  -3435   7512   7432</t>
  </si>
  <si>
    <t>102  33207</t>
  </si>
  <si>
    <t>0220  33149  33705  2839</t>
  </si>
  <si>
    <t>9  42731  39382  43619  39932</t>
  </si>
  <si>
    <t>597  -1839</t>
  </si>
  <si>
    <t>3      0      0      7      0</t>
  </si>
  <si>
    <t>-228   -758      0</t>
  </si>
  <si>
    <t>018      0</t>
  </si>
  <si>
    <t>0     93      0    12</t>
  </si>
  <si>
    <t>7      0    164    743     48</t>
  </si>
  <si>
    <t>0   -351</t>
  </si>
  <si>
    <t>3  -1070      0    147      0</t>
  </si>
  <si>
    <t>0      0    -42</t>
  </si>
  <si>
    <t>0      0      0   -313      0</t>
  </si>
  <si>
    <t>0    637      0    150    603</t>
  </si>
  <si>
    <t>8906   1663      0  -535</t>
  </si>
  <si>
    <t>270    785</t>
  </si>
  <si>
    <t>122      0      0   -58</t>
  </si>
  <si>
    <t>7    656      0   2773   1706</t>
  </si>
  <si>
    <t>270   1129</t>
  </si>
  <si>
    <t>-123    316  -1130</t>
  </si>
  <si>
    <t>603      0</t>
  </si>
  <si>
    <t>1261   5126   1579</t>
  </si>
  <si>
    <t>0 -12535   1497   -790   2931</t>
  </si>
  <si>
    <t>662      0</t>
  </si>
  <si>
    <t>-567   -377   -172    66</t>
  </si>
  <si>
    <t>1      0   -217   1085      0</t>
  </si>
  <si>
    <t>1673  -5677      0  -284</t>
  </si>
  <si>
    <t>7    264    268   1442      0</t>
  </si>
  <si>
    <t>0      0  -4845</t>
  </si>
  <si>
    <t>0  -1922   1722    600      0</t>
  </si>
  <si>
    <t>986   1357</t>
  </si>
  <si>
    <t>822  -2203    632    22</t>
  </si>
  <si>
    <t>9     29   -949      0   -161</t>
  </si>
  <si>
    <t>506   -135      0   -90</t>
  </si>
  <si>
    <t>4      0      0     72      0</t>
  </si>
  <si>
    <t>297    -50</t>
  </si>
  <si>
    <t>-653      0      0</t>
  </si>
  <si>
    <t>0      0      0  -4023      0</t>
  </si>
  <si>
    <t>356    -72</t>
  </si>
  <si>
    <t>-297      0 -15342    87</t>
  </si>
  <si>
    <t>8   1200      0      0      0</t>
  </si>
  <si>
    <t>947   1696</t>
  </si>
  <si>
    <t>1423   -830   -655</t>
  </si>
  <si>
    <t>0    301      0      0   -346</t>
  </si>
  <si>
    <t>0   1632</t>
  </si>
  <si>
    <t>0    893      0</t>
  </si>
  <si>
    <t>1241      0   -382  -210</t>
  </si>
  <si>
    <t>3   -474      0 -12643    322</t>
  </si>
  <si>
    <t>1    230    -22   -282     85</t>
  </si>
  <si>
    <t>846      0</t>
  </si>
  <si>
    <t>0      0      0   250</t>
  </si>
  <si>
    <t>2      0   1370      0      0</t>
  </si>
  <si>
    <t>675   1636</t>
  </si>
  <si>
    <t>0  -3432      0   -804  -1432</t>
  </si>
  <si>
    <t>130   -459</t>
  </si>
  <si>
    <t>-866   6037   -538    23</t>
  </si>
  <si>
    <t>1   -293   -982      0      0</t>
  </si>
  <si>
    <t>0  -1384  -7444   -773  -3450</t>
  </si>
  <si>
    <t>636      0</t>
  </si>
  <si>
    <t>0  -2822      0    32</t>
  </si>
  <si>
    <t>3 -22390      0      0      0</t>
  </si>
  <si>
    <t>0    143    142</t>
  </si>
  <si>
    <t>195      0</t>
  </si>
  <si>
    <t>0     -3   -274   -109  -5243</t>
  </si>
  <si>
    <t>378  -2158</t>
  </si>
  <si>
    <t>2508    521   -335   -27</t>
  </si>
  <si>
    <t>7   -359   -172  -3505  -1404</t>
  </si>
  <si>
    <t>530  -2491</t>
  </si>
  <si>
    <t>263      0   3434  -173</t>
  </si>
  <si>
    <t>7  -1518  -1372 -15260  -1821</t>
  </si>
  <si>
    <t>622  -2813</t>
  </si>
  <si>
    <t>694  -1396   -793   -72</t>
  </si>
  <si>
    <t>1   -925  -1266    597    850</t>
  </si>
  <si>
    <t>121   -304</t>
  </si>
  <si>
    <t>838  -1507  13412  2887</t>
  </si>
  <si>
    <t>9  27824  20661  13589  18677</t>
  </si>
  <si>
    <t>169  20865</t>
  </si>
  <si>
    <t>4224   9858  15112  -178</t>
  </si>
  <si>
    <t>3     22   -201   -355   -666</t>
  </si>
  <si>
    <t>33      0      0</t>
  </si>
  <si>
    <t>0   -387   -298      0      0</t>
  </si>
  <si>
    <t>0      0    918</t>
  </si>
  <si>
    <t>0      0     91      0    142</t>
  </si>
  <si>
    <t>0    192</t>
  </si>
  <si>
    <t>683     42      0   -24</t>
  </si>
  <si>
    <t>8    -15   -153   -383   -624</t>
  </si>
  <si>
    <t>079      0</t>
  </si>
  <si>
    <t>128      0      0</t>
  </si>
  <si>
    <t>0      0      0    185      0</t>
  </si>
  <si>
    <t>-341      0    -29</t>
  </si>
  <si>
    <t>539      0</t>
  </si>
  <si>
    <t>122    643      0</t>
  </si>
  <si>
    <t>0 -17311   1784      0  -3157</t>
  </si>
  <si>
    <t>0      0   2352    67</t>
  </si>
  <si>
    <t>0     14      0      0  -1115</t>
  </si>
  <si>
    <t>643      0</t>
  </si>
  <si>
    <t>2114    684    450     1</t>
  </si>
  <si>
    <t>8   -364    287   -973      0</t>
  </si>
  <si>
    <t>0      0   -240</t>
  </si>
  <si>
    <t>0  -1203   4195   1275      0</t>
  </si>
  <si>
    <t>608   1549</t>
  </si>
  <si>
    <t>377  -2266    341</t>
  </si>
  <si>
    <t>0    -21    283    562     11</t>
  </si>
  <si>
    <t>386      0      0</t>
  </si>
  <si>
    <t>0    124   2562      0   1332</t>
  </si>
  <si>
    <t>-320      0      0</t>
  </si>
  <si>
    <t>0      0      0  -3820      0</t>
  </si>
  <si>
    <t>419    -50</t>
  </si>
  <si>
    <t>-202      0 -11789   112</t>
  </si>
  <si>
    <t>6  -1244   3092     77   -205</t>
  </si>
  <si>
    <t>312   -564</t>
  </si>
  <si>
    <t>0    666      0</t>
  </si>
  <si>
    <t>0   1079    288      0   2284</t>
  </si>
  <si>
    <t>-40      0    684    11</t>
  </si>
  <si>
    <t>6   2533      0      0      0</t>
  </si>
  <si>
    <t>4079      0  -1753   169</t>
  </si>
  <si>
    <t>3    857      0 -14360    300</t>
  </si>
  <si>
    <t>012      0</t>
  </si>
  <si>
    <t>0      0    748   154</t>
  </si>
  <si>
    <t>5   1284   -806   -642      0</t>
  </si>
  <si>
    <t>0   -429      0   186</t>
  </si>
  <si>
    <t>2      0    905      0      0</t>
  </si>
  <si>
    <t>0  -1121      0   -355  -1836</t>
  </si>
  <si>
    <t>1819    311      0</t>
  </si>
  <si>
    <t>0      0      0      0    -60</t>
  </si>
  <si>
    <t>391    -73</t>
  </si>
  <si>
    <t>-295     57    624</t>
  </si>
  <si>
    <t>0      0      0      0   3482</t>
  </si>
  <si>
    <t>0   1757</t>
  </si>
  <si>
    <t>0      0    622   154</t>
  </si>
  <si>
    <t>981      0</t>
  </si>
  <si>
    <t>3    -54   6931   -365    454</t>
  </si>
  <si>
    <t>159   -397</t>
  </si>
  <si>
    <t>0      0      0      0   -799</t>
  </si>
  <si>
    <t>658  -9973</t>
  </si>
  <si>
    <t>-389  -4879    395</t>
  </si>
  <si>
    <t>0      0  -2580      0    318</t>
  </si>
  <si>
    <t>913      0</t>
  </si>
  <si>
    <t>0      0      0    -5</t>
  </si>
  <si>
    <t>5      0    238    171      0</t>
  </si>
  <si>
    <t>0      0    -72</t>
  </si>
  <si>
    <t>168   -289</t>
  </si>
  <si>
    <t>9  -1185    510   -301   -121</t>
  </si>
  <si>
    <t>341   -203</t>
  </si>
  <si>
    <t>3289  -2265  -1009  -148</t>
  </si>
  <si>
    <t>7     62      0   1362  -2666</t>
  </si>
  <si>
    <t>320   2757</t>
  </si>
  <si>
    <t>996   -786   -887   -50</t>
  </si>
  <si>
    <t>7 -15363  -3401   -565  -1283</t>
  </si>
  <si>
    <t>766  -1190</t>
  </si>
  <si>
    <t>-172    933    362   -18</t>
  </si>
  <si>
    <t>4    488  -1025  12745  27657</t>
  </si>
  <si>
    <t>322  27353</t>
  </si>
  <si>
    <t>3694  17865  20108  1413</t>
  </si>
  <si>
    <t>5  18973   9665  14153  49338</t>
  </si>
  <si>
    <t>052      5</t>
  </si>
  <si>
    <t>0      0     28      0      0</t>
  </si>
  <si>
    <t>-333      0      0</t>
  </si>
  <si>
    <t>0      0      0      0    641</t>
  </si>
  <si>
    <t>54      0     95</t>
  </si>
  <si>
    <t>0    112    279    -16      0</t>
  </si>
  <si>
    <t>234    -12</t>
  </si>
  <si>
    <t>3      0    117      0      0</t>
  </si>
  <si>
    <t>0     57      0</t>
  </si>
  <si>
    <t>0      0   -177      0     12</t>
  </si>
  <si>
    <t>5      0     59    413      0</t>
  </si>
  <si>
    <t>0 -12377</t>
  </si>
  <si>
    <t>1047      0  -2844</t>
  </si>
  <si>
    <t>0      0      0      0   1637</t>
  </si>
  <si>
    <t>687    511</t>
  </si>
  <si>
    <t>0      0   -320     -</t>
  </si>
  <si>
    <t>6      0   1338   2254    141</t>
  </si>
  <si>
    <t>004   -548</t>
  </si>
  <si>
    <t>-170   -379      0</t>
  </si>
  <si>
    <t>0      0      0      0   -216</t>
  </si>
  <si>
    <t>0   -623</t>
  </si>
  <si>
    <t>3172    659      0  -707</t>
  </si>
  <si>
    <t>4   1089    109  -1228   -144</t>
  </si>
  <si>
    <t>0     84</t>
  </si>
  <si>
    <t>298    588     19</t>
  </si>
  <si>
    <t>0    -21    289      0      0</t>
  </si>
  <si>
    <t>1258      0    853    13</t>
  </si>
  <si>
    <t>7     30     90      0      0</t>
  </si>
  <si>
    <t>0  -2657      0  -106</t>
  </si>
  <si>
    <t>3     19    -78      0  -6819</t>
  </si>
  <si>
    <t>907    160</t>
  </si>
  <si>
    <t>1232     90    131</t>
  </si>
  <si>
    <t>6   -622      0    -33      0</t>
  </si>
  <si>
    <t>0    377</t>
  </si>
  <si>
    <t>-50      0   -410</t>
  </si>
  <si>
    <t>0      0     86      0     -4</t>
  </si>
  <si>
    <t>0      0  -2633      0   -941</t>
  </si>
  <si>
    <t>125    -72</t>
  </si>
  <si>
    <t>0 -15067    403  -164</t>
  </si>
  <si>
    <t>7      0      0      0   -626</t>
  </si>
  <si>
    <t>495  -1048</t>
  </si>
  <si>
    <t>451    195      0    97</t>
  </si>
  <si>
    <t>9      0      0    661      0</t>
  </si>
  <si>
    <t>4020      0      0</t>
  </si>
  <si>
    <t>0   -850    191    40</t>
  </si>
  <si>
    <t>5      0  -8573    145      0</t>
  </si>
  <si>
    <t>0      0   -102    46</t>
  </si>
  <si>
    <t>4    -51   -255     68    540</t>
  </si>
  <si>
    <t>0      0   1451</t>
  </si>
  <si>
    <t>0   1062      0      0    422</t>
  </si>
  <si>
    <t>278      0</t>
  </si>
  <si>
    <t>0      0      0  -207</t>
  </si>
  <si>
    <t>0      0   -516  -1049    -62</t>
  </si>
  <si>
    <t>116    625</t>
  </si>
  <si>
    <t>6064    955    132     6</t>
  </si>
  <si>
    <t>8     74      0      0      0</t>
  </si>
  <si>
    <t>0      0    356  -172</t>
  </si>
  <si>
    <t>2  -3191   -486  -1846    157</t>
  </si>
  <si>
    <t>1692      0    179 -1514</t>
  </si>
  <si>
    <t>388      0</t>
  </si>
  <si>
    <t>216    109      0</t>
  </si>
  <si>
    <t>0      0      0      0   -174</t>
  </si>
  <si>
    <t>3   -224   -159  -3226  -2155</t>
  </si>
  <si>
    <t>591   -348</t>
  </si>
  <si>
    <t>341   -325    -80   -28</t>
  </si>
  <si>
    <t>3   -158  -2275  -1776  -1174</t>
  </si>
  <si>
    <t>707     65</t>
  </si>
  <si>
    <t>0   -218  -1931  -199</t>
  </si>
  <si>
    <t>0   1791    836   -520   -247</t>
  </si>
  <si>
    <t>255   -555</t>
  </si>
  <si>
    <t>1071   -640   -250 -2159</t>
  </si>
  <si>
    <t>8  -3342  -2312  -1396   -110</t>
  </si>
  <si>
    <t>197    512</t>
  </si>
  <si>
    <t>-672   8821  18121  1356</t>
  </si>
  <si>
    <t>3  14141  19885  12443  14052</t>
  </si>
  <si>
    <t>178   9918</t>
  </si>
  <si>
    <t>4010  10177  33874  3503</t>
  </si>
  <si>
    <t>9  -1362   -270   -257   -345</t>
  </si>
  <si>
    <t>0     91      0</t>
  </si>
  <si>
    <t>0      0     15   -263      0</t>
  </si>
  <si>
    <t>5      0      0     53      0</t>
  </si>
  <si>
    <t>92    449    -48</t>
  </si>
  <si>
    <t>0   -519   -271    -53     65</t>
  </si>
  <si>
    <t>89   -879</t>
  </si>
  <si>
    <t>0     52      0</t>
  </si>
  <si>
    <t>0      0      0      0    129</t>
  </si>
  <si>
    <t>0   -186      0    -2</t>
  </si>
  <si>
    <t>0    480</t>
  </si>
  <si>
    <t>0     12    332</t>
  </si>
  <si>
    <t>0      0 -16273     44      0</t>
  </si>
  <si>
    <t>0      0      0   101</t>
  </si>
  <si>
    <t>0   2127   1306      0      0</t>
  </si>
  <si>
    <t>544    711</t>
  </si>
  <si>
    <t>0   2101   1476    36</t>
  </si>
  <si>
    <t>1   1242   -520    182   1549</t>
  </si>
  <si>
    <t>8      0     -8   4663    781</t>
  </si>
  <si>
    <t>0 -10011</t>
  </si>
  <si>
    <t>986    127  -1750   -21</t>
  </si>
  <si>
    <t>8      0    584   1036    957</t>
  </si>
  <si>
    <t>-21    521      0</t>
  </si>
  <si>
    <t>0      0    148   1049      0</t>
  </si>
  <si>
    <t>551    109</t>
  </si>
  <si>
    <t>24    -36      0</t>
  </si>
  <si>
    <t>0      0      0      0  -4544</t>
  </si>
  <si>
    <t>0  -1571</t>
  </si>
  <si>
    <t>24    -41      0  -940</t>
  </si>
  <si>
    <t>6    862    372  -1784     86</t>
  </si>
  <si>
    <t>149    584</t>
  </si>
  <si>
    <t>-327      0   -117</t>
  </si>
  <si>
    <t>0      0    627    -74      0</t>
  </si>
  <si>
    <t>0     72      0    -1</t>
  </si>
  <si>
    <t>4     38   -230      0      0</t>
  </si>
  <si>
    <t>0  -4533      0  -139</t>
  </si>
  <si>
    <t>7     -1    -87      0 -14996</t>
  </si>
  <si>
    <t>446   1001</t>
  </si>
  <si>
    <t>0      0      0   134</t>
  </si>
  <si>
    <t>0   2198   1632   -865   -760</t>
  </si>
  <si>
    <t>0    269</t>
  </si>
  <si>
    <t>0      0   -383</t>
  </si>
  <si>
    <t>0   1450      0    712      0</t>
  </si>
  <si>
    <t>0      0  -1477      0   -359</t>
  </si>
  <si>
    <t>103   -420</t>
  </si>
  <si>
    <t>0 -14109    715</t>
  </si>
  <si>
    <t>357  -2594</t>
  </si>
  <si>
    <t>973    266   -362   181</t>
  </si>
  <si>
    <t>788      0</t>
  </si>
  <si>
    <t>4819      0      0    69</t>
  </si>
  <si>
    <t>3  -2043      0      0      0</t>
  </si>
  <si>
    <t>0  -4767</t>
  </si>
  <si>
    <t>0  -1481    667    43</t>
  </si>
  <si>
    <t>3    241   -297   8847   2324</t>
  </si>
  <si>
    <t>2790      0      0</t>
  </si>
  <si>
    <t>408  -2706</t>
  </si>
  <si>
    <t>4202   -695  -1817    28</t>
  </si>
  <si>
    <t>9      0      0   1397      0</t>
  </si>
  <si>
    <t>249 -19602</t>
  </si>
  <si>
    <t>0   -748      0   -914   -743</t>
  </si>
  <si>
    <t>0     40</t>
  </si>
  <si>
    <t>0  -1593  -2372    489   -208</t>
  </si>
  <si>
    <t>0  -2304    163      0   3982</t>
  </si>
  <si>
    <t>811   -453</t>
  </si>
  <si>
    <t>2356    550   -287    -2</t>
  </si>
  <si>
    <t>4   -829    620   -431   -261</t>
  </si>
  <si>
    <t>640  -1459</t>
  </si>
  <si>
    <t>-574    705    758 -1481</t>
  </si>
  <si>
    <t>8  -1711  -1045  -3438  11504</t>
  </si>
  <si>
    <t>858  17836</t>
  </si>
  <si>
    <t>7875  11509  23615  1737</t>
  </si>
  <si>
    <t>6  14012  12856   8931  19739</t>
  </si>
  <si>
    <t>694  45620</t>
  </si>
  <si>
    <t>2869  -1179   -364   -14</t>
  </si>
  <si>
    <t>9   -226   -383      0      0</t>
  </si>
  <si>
    <t>20      0</t>
  </si>
  <si>
    <t>0      0     40    21</t>
  </si>
  <si>
    <t>933      0      0    11</t>
  </si>
  <si>
    <t>5      0    111      0    148</t>
  </si>
  <si>
    <t>704     14</t>
  </si>
  <si>
    <t>0    -64   -270</t>
  </si>
  <si>
    <t>9   -183   -576   -790      0</t>
  </si>
  <si>
    <t>-12      0      0</t>
  </si>
  <si>
    <t>0      0      0    569      0</t>
  </si>
  <si>
    <t>76    638</t>
  </si>
  <si>
    <t>0      0 -13363   -89</t>
  </si>
  <si>
    <t>2      0   -631      0      0</t>
  </si>
  <si>
    <t>818    313    120</t>
  </si>
  <si>
    <t>0      0   -202    -76      0</t>
  </si>
  <si>
    <t>855    403</t>
  </si>
  <si>
    <t>-210    197   -291   -15</t>
  </si>
  <si>
    <t>3   -254      0      0      0</t>
  </si>
  <si>
    <t>1670      0    183    11</t>
  </si>
  <si>
    <t>3    185      0 -12955    992</t>
  </si>
  <si>
    <t>540   1019</t>
  </si>
  <si>
    <t>44      0    154    85</t>
  </si>
  <si>
    <t>7   1461    317      0    -74</t>
  </si>
  <si>
    <t>0      0    283  -100</t>
  </si>
  <si>
    <t>0      0   -544   -284    381</t>
  </si>
  <si>
    <t>22      0</t>
  </si>
  <si>
    <t>0  -5962      0  -1490   3171</t>
  </si>
  <si>
    <t>923      0</t>
  </si>
  <si>
    <t>1960    831   -886   -86</t>
  </si>
  <si>
    <t>6    252    -38    -43  -1230</t>
  </si>
  <si>
    <t>0    416</t>
  </si>
  <si>
    <t>0      0    416   -19</t>
  </si>
  <si>
    <t>7      0    982      0      0</t>
  </si>
  <si>
    <t>39      0</t>
  </si>
  <si>
    <t>-79    232   -125</t>
  </si>
  <si>
    <t>510      0</t>
  </si>
  <si>
    <t>1027   3570    910</t>
  </si>
  <si>
    <t>0 -15971   -325    714      0</t>
  </si>
  <si>
    <t>735   1570   1191   -73</t>
  </si>
  <si>
    <t>0   -551      0    150      0</t>
  </si>
  <si>
    <t>0    -44</t>
  </si>
  <si>
    <t>0    299      0    11</t>
  </si>
  <si>
    <t>0      0  -1503</t>
  </si>
  <si>
    <t>0   -497  -2352   -538      0</t>
  </si>
  <si>
    <t>178    441</t>
  </si>
  <si>
    <t>0      0   -958   -701    234</t>
  </si>
  <si>
    <t>-51     94</t>
  </si>
  <si>
    <t>1117      0      0</t>
  </si>
  <si>
    <t>0      0   -480      0     87</t>
  </si>
  <si>
    <t>57    923      0</t>
  </si>
  <si>
    <t>0      0      0  -3803      0</t>
  </si>
  <si>
    <t>961  -1764</t>
  </si>
  <si>
    <t>3  -2602   -107   -191    142</t>
  </si>
  <si>
    <t>0      0  -1698   1937  -1008</t>
  </si>
  <si>
    <t>262   -647</t>
  </si>
  <si>
    <t>628      0      0  -271</t>
  </si>
  <si>
    <t>1      0    576 -23276      0</t>
  </si>
  <si>
    <t>0     64      0   -22</t>
  </si>
  <si>
    <t>7    -45      0      0      0</t>
  </si>
  <si>
    <t>141      0      0</t>
  </si>
  <si>
    <t>0      0      0     47    -61</t>
  </si>
  <si>
    <t>-48   1062</t>
  </si>
  <si>
    <t>-970  -1817    223    25</t>
  </si>
  <si>
    <t>0   -392    -38    -78    -51</t>
  </si>
  <si>
    <t>707  -1506</t>
  </si>
  <si>
    <t>1006   -608   -195</t>
  </si>
  <si>
    <t>0    105    218    100    364</t>
  </si>
  <si>
    <t>444   -857</t>
  </si>
  <si>
    <t>3784   2859   4777  -143</t>
  </si>
  <si>
    <t>2   -902    132   -681   -615</t>
  </si>
  <si>
    <t>739   1384</t>
  </si>
  <si>
    <t>1406    462    971   -20</t>
  </si>
  <si>
    <t>1  12577  17022  26257  27347</t>
  </si>
  <si>
    <t>483  17769</t>
  </si>
  <si>
    <t>4228  19701  18822   947</t>
  </si>
  <si>
    <t>0  14624  53816  48237  33790</t>
  </si>
  <si>
    <t>576  -1086</t>
  </si>
  <si>
    <t>2      0      0     -3      0</t>
  </si>
  <si>
    <t>-71    143      0</t>
  </si>
  <si>
    <t>758      0</t>
  </si>
  <si>
    <t>0     75      0    10</t>
  </si>
  <si>
    <t>0      0    120    461    -73</t>
  </si>
  <si>
    <t>-195     14    -83   -41</t>
  </si>
  <si>
    <t>2   -592      0    105      0</t>
  </si>
  <si>
    <t>0      0    -35</t>
  </si>
  <si>
    <t>0      0      0   -188      0</t>
  </si>
  <si>
    <t>0    456      0     22    529</t>
  </si>
  <si>
    <t>1135   -405      0   -39</t>
  </si>
  <si>
    <t>687    226</t>
  </si>
  <si>
    <t>96      0      0   -19</t>
  </si>
  <si>
    <t>8     34      0   -477   -115</t>
  </si>
  <si>
    <t>144    -19</t>
  </si>
  <si>
    <t>39     24    168</t>
  </si>
  <si>
    <t>0  -9945    796    -90    871</t>
  </si>
  <si>
    <t>655      0</t>
  </si>
  <si>
    <t>-44    821   1207    34</t>
  </si>
  <si>
    <t>6      0   -176    138      0</t>
  </si>
  <si>
    <t>121     65      0     1</t>
  </si>
  <si>
    <t>3   -544     17    105      0</t>
  </si>
  <si>
    <t>0      0  -5608</t>
  </si>
  <si>
    <t>0  -1148   2747    300      0</t>
  </si>
  <si>
    <t>784    787</t>
  </si>
  <si>
    <t>209    761    200    11</t>
  </si>
  <si>
    <t>7    224   -590      0    -60</t>
  </si>
  <si>
    <t>402    -28      0    -8</t>
  </si>
  <si>
    <t>2      0      0     32      0</t>
  </si>
  <si>
    <t>58    -40</t>
  </si>
  <si>
    <t>239      0      0</t>
  </si>
  <si>
    <t>0      0      0  -3924      0</t>
  </si>
  <si>
    <t>076   -339</t>
  </si>
  <si>
    <t>-78      0 -21523   -40</t>
  </si>
  <si>
    <t>3   -663      0      0      0</t>
  </si>
  <si>
    <t>781   2134</t>
  </si>
  <si>
    <t>3274   -317   -626</t>
  </si>
  <si>
    <t>0    -48      0      0    108</t>
  </si>
  <si>
    <t>0     -6</t>
  </si>
  <si>
    <t>0     67      0</t>
  </si>
  <si>
    <t>3068      0   -369   285</t>
  </si>
  <si>
    <t>1    951      0 -10602    437</t>
  </si>
  <si>
    <t>0      0      0   -82</t>
  </si>
  <si>
    <t>8   -687    212    -20    101</t>
  </si>
  <si>
    <t>0      0      0   -89</t>
  </si>
  <si>
    <t>2      0   -151      0      0</t>
  </si>
  <si>
    <t>144    787</t>
  </si>
  <si>
    <t>0  -3285      0   -815  -1733</t>
  </si>
  <si>
    <t>183   -634</t>
  </si>
  <si>
    <t>3    -53    460      0      0</t>
  </si>
  <si>
    <t>8   1232    460     62    345</t>
  </si>
  <si>
    <t>0  -2235      0    37</t>
  </si>
  <si>
    <t>5 -17713      0      0      0</t>
  </si>
  <si>
    <t>0    -86   -175</t>
  </si>
  <si>
    <t>234      0</t>
  </si>
  <si>
    <t>0     25   -108    -34    272</t>
  </si>
  <si>
    <t>887   -904</t>
  </si>
  <si>
    <t>262    269   -246    -5</t>
  </si>
  <si>
    <t>4   -101     -8    113  -1115</t>
  </si>
  <si>
    <t>525  -1334</t>
  </si>
  <si>
    <t>-38      0   -200   -10</t>
  </si>
  <si>
    <t>5    151    216   2793   -760</t>
  </si>
  <si>
    <t>260   1248</t>
  </si>
  <si>
    <t>1413   -671     53    54</t>
  </si>
  <si>
    <t>0   2982  -1676  -1195   1212</t>
  </si>
  <si>
    <t>015    339</t>
  </si>
  <si>
    <t>931   -298   9483  1302</t>
  </si>
  <si>
    <t>1  19032  15446  22105  13055</t>
  </si>
  <si>
    <t>258  14803</t>
  </si>
  <si>
    <t>1090  14970  10928  4378</t>
  </si>
  <si>
    <t>5  38276  28966  38027  48846</t>
  </si>
  <si>
    <t>117   -244</t>
  </si>
  <si>
    <t>0      0    -81      0      0</t>
  </si>
  <si>
    <t>0     51</t>
  </si>
  <si>
    <t>149      0      0</t>
  </si>
  <si>
    <t>0      0      0      0    -23</t>
  </si>
  <si>
    <t>113      0     85</t>
  </si>
  <si>
    <t>0    124    720     -8      0</t>
  </si>
  <si>
    <t>295   -256</t>
  </si>
  <si>
    <t>4      0    101      0      0</t>
  </si>
  <si>
    <t>0      0   -140      0     -2</t>
  </si>
  <si>
    <t>0      0      0    57</t>
  </si>
  <si>
    <t>9      0    115    505      0</t>
  </si>
  <si>
    <t>0 -13289</t>
  </si>
  <si>
    <t>-569      0   -380</t>
  </si>
  <si>
    <t>0      0      0      0   1023</t>
  </si>
  <si>
    <t>203     66</t>
  </si>
  <si>
    <t>0      0   -260     8</t>
  </si>
  <si>
    <t>8      0   -654    141   -151</t>
  </si>
  <si>
    <t>23   -149</t>
  </si>
  <si>
    <t>-177   -601      0</t>
  </si>
  <si>
    <t>0      0      0      0  -1361</t>
  </si>
  <si>
    <t>0    -34</t>
  </si>
  <si>
    <t>103    286      0 -1184</t>
  </si>
  <si>
    <t>9    827  -1006    -25   -334</t>
  </si>
  <si>
    <t>0  -1051</t>
  </si>
  <si>
    <t>1434   -181    967</t>
  </si>
  <si>
    <t>0  -1231   -241      0      0</t>
  </si>
  <si>
    <t>0    293</t>
  </si>
  <si>
    <t>-406      0     28   -93</t>
  </si>
  <si>
    <t>0    -45   1220      0      0</t>
  </si>
  <si>
    <t>0  -6254      0  -136</t>
  </si>
  <si>
    <t>7   3478    581      0 -10023</t>
  </si>
  <si>
    <t>832    356</t>
  </si>
  <si>
    <t>764    -92     57    28</t>
  </si>
  <si>
    <t>3   -705      0   -216      0</t>
  </si>
  <si>
    <t>-51      0     18</t>
  </si>
  <si>
    <t>0      0     24      0    120</t>
  </si>
  <si>
    <t>0      0  -4788      0  -1328</t>
  </si>
  <si>
    <t>509   -105</t>
  </si>
  <si>
    <t>0 -15364    660    79</t>
  </si>
  <si>
    <t>4      0      0      0    808</t>
  </si>
  <si>
    <t>495   1189</t>
  </si>
  <si>
    <t>-699   -505      0     8</t>
  </si>
  <si>
    <t>9      0      0   -225      0</t>
  </si>
  <si>
    <t>7      0      0</t>
  </si>
  <si>
    <t>0  -1640</t>
  </si>
  <si>
    <t>0   -371  -2456   -52</t>
  </si>
  <si>
    <t>0      0 -15118   -103      0</t>
  </si>
  <si>
    <t>0      0   -427   208</t>
  </si>
  <si>
    <t>2    239   -536   -622   -174</t>
  </si>
  <si>
    <t>0      0  -1058</t>
  </si>
  <si>
    <t>0   -196      0      0   -594</t>
  </si>
  <si>
    <t>940      0</t>
  </si>
  <si>
    <t>0      0      0  -592</t>
  </si>
  <si>
    <t>5      0   -314   3328    928</t>
  </si>
  <si>
    <t>702   -344</t>
  </si>
  <si>
    <t>-853    619    275   -11</t>
  </si>
  <si>
    <t>0  -1821      0      0      0</t>
  </si>
  <si>
    <t>0      0   -219   138</t>
  </si>
  <si>
    <t>7   -488      0    -46    293</t>
  </si>
  <si>
    <t>495      0    523 -2063</t>
  </si>
  <si>
    <t>368      0</t>
  </si>
  <si>
    <t>103    465      0</t>
  </si>
  <si>
    <t>0      0      0      0    209</t>
  </si>
  <si>
    <t>5    -78     41    909   -448</t>
  </si>
  <si>
    <t>342  -1550</t>
  </si>
  <si>
    <t>99   -277   -295   -11</t>
  </si>
  <si>
    <t>1    -25    304    364   -325</t>
  </si>
  <si>
    <t>877    -20</t>
  </si>
  <si>
    <t>0   -154    535    54</t>
  </si>
  <si>
    <t>9   -196   4888    457   -664</t>
  </si>
  <si>
    <t>296   1658</t>
  </si>
  <si>
    <t>-46    237   -131   -83</t>
  </si>
  <si>
    <t>3   -255    935    936   4199</t>
  </si>
  <si>
    <t>304    224</t>
  </si>
  <si>
    <t>1742  11031  15200  2242</t>
  </si>
  <si>
    <t>0  17763  10668  23515  13140</t>
  </si>
  <si>
    <t>582  12791</t>
  </si>
  <si>
    <t>8559  19003  49263  4485</t>
  </si>
  <si>
    <t>4  31827  45792  54662  44199</t>
  </si>
  <si>
    <t>008   -198</t>
  </si>
  <si>
    <t>0      0      2      0      0</t>
  </si>
  <si>
    <t>78      0      0</t>
  </si>
  <si>
    <t>0      0      0      0    598</t>
  </si>
  <si>
    <t>72      0     71</t>
  </si>
  <si>
    <t>0     88    387    -44      0</t>
  </si>
  <si>
    <t>209   -181</t>
  </si>
  <si>
    <t>6    -91   -363   -51</t>
  </si>
  <si>
    <t>1      0     85      0      0</t>
  </si>
  <si>
    <t>0      0   -112      0      9</t>
  </si>
  <si>
    <t>9      0     24    473      0</t>
  </si>
  <si>
    <t>0  -9373</t>
  </si>
  <si>
    <t>-294      0   -822</t>
  </si>
  <si>
    <t>0      0      0      0    577</t>
  </si>
  <si>
    <t>225     91</t>
  </si>
  <si>
    <t>0      0   -172     3</t>
  </si>
  <si>
    <t>9      0   -277    -95   -157</t>
  </si>
  <si>
    <t>88   -139</t>
  </si>
  <si>
    <t>-106   -242      0</t>
  </si>
  <si>
    <t>0      0      0      0   -968</t>
  </si>
  <si>
    <t>0     39</t>
  </si>
  <si>
    <t>197    163      0  -748</t>
  </si>
  <si>
    <t>5    899    103    227    181</t>
  </si>
  <si>
    <t>343    478     48</t>
  </si>
  <si>
    <t>0    -68    221      0      0</t>
  </si>
  <si>
    <t>0   -240</t>
  </si>
  <si>
    <t>-29      0    162    13</t>
  </si>
  <si>
    <t>2     -4     88      0      0</t>
  </si>
  <si>
    <t>0  -3191      0   -98</t>
  </si>
  <si>
    <t>7   -319   -139      0  -7454</t>
  </si>
  <si>
    <t>605   -104</t>
  </si>
  <si>
    <t>160    810    -10    12</t>
  </si>
  <si>
    <t>0   -414      0    239      0</t>
  </si>
  <si>
    <t>0    171</t>
  </si>
  <si>
    <t>-146      0    925</t>
  </si>
  <si>
    <t>0      0     69      0   -385</t>
  </si>
  <si>
    <t>0      0  -4810      0   -670</t>
  </si>
  <si>
    <t>425    330</t>
  </si>
  <si>
    <t>0 -16883   -504   -42</t>
  </si>
  <si>
    <t>6      0      0      0    878</t>
  </si>
  <si>
    <t>166   2108</t>
  </si>
  <si>
    <t>-423   -646      0   -28</t>
  </si>
  <si>
    <t>0      0      0   -498      0</t>
  </si>
  <si>
    <t>646      0</t>
  </si>
  <si>
    <t>-620      0      0</t>
  </si>
  <si>
    <t>0  -2357</t>
  </si>
  <si>
    <t>0   -359   1951    85</t>
  </si>
  <si>
    <t>0      0  -8854    272      0</t>
  </si>
  <si>
    <t>0      0   -439   -33</t>
  </si>
  <si>
    <t>8    169    -39     80    762</t>
  </si>
  <si>
    <t>0      0   -569</t>
  </si>
  <si>
    <t>0     45      0      0     43</t>
  </si>
  <si>
    <t>702      0</t>
  </si>
  <si>
    <t>7      0   -607  -1346   -128</t>
  </si>
  <si>
    <t>389    190</t>
  </si>
  <si>
    <t>400   -824    -74     2</t>
  </si>
  <si>
    <t>9    485      0      0      0</t>
  </si>
  <si>
    <t>0      0   -229    70</t>
  </si>
  <si>
    <t>4    225    194   -144    113</t>
  </si>
  <si>
    <t>1732      0    277 -1488</t>
  </si>
  <si>
    <t>-241   -321      0</t>
  </si>
  <si>
    <t>0      0      0      0     91</t>
  </si>
  <si>
    <t>5    -82    -41    -39  -1382</t>
  </si>
  <si>
    <t>232    764</t>
  </si>
  <si>
    <t>164   -233      2    -7</t>
  </si>
  <si>
    <t>0      4    -30  -1110   -709</t>
  </si>
  <si>
    <t>962   -172</t>
  </si>
  <si>
    <t>0   -255   -380   -45</t>
  </si>
  <si>
    <t>1    541   1296   -321   -507</t>
  </si>
  <si>
    <t>628   1922</t>
  </si>
  <si>
    <t>2364  -1445   1735   136</t>
  </si>
  <si>
    <t>7  -2877  -4352   4190    839</t>
  </si>
  <si>
    <t>-1    506</t>
  </si>
  <si>
    <t>-35   8180  11618  1315</t>
  </si>
  <si>
    <t>1  17065  18007  11476   9915</t>
  </si>
  <si>
    <t>155  12123</t>
  </si>
  <si>
    <t>2269   9591  34298  3470</t>
  </si>
  <si>
    <t>2  27115  31510  37933  33583</t>
  </si>
  <si>
    <t>056  -1124</t>
  </si>
  <si>
    <t>6      0      0    -15      0</t>
  </si>
  <si>
    <t>93    126      0</t>
  </si>
  <si>
    <t>-51      0</t>
  </si>
  <si>
    <t>0    128      0     7</t>
  </si>
  <si>
    <t>8      0    127    655      5</t>
  </si>
  <si>
    <t>0   -242</t>
  </si>
  <si>
    <t>3   -857      0    101      0</t>
  </si>
  <si>
    <t>0      0    -47</t>
  </si>
  <si>
    <t>0      0      0    -78      0</t>
  </si>
  <si>
    <t>-6      0</t>
  </si>
  <si>
    <t>0    581      0    106    527</t>
  </si>
  <si>
    <t>3808   -575      0  -102</t>
  </si>
  <si>
    <t>985    300</t>
  </si>
  <si>
    <t>108      0      0   -30</t>
  </si>
  <si>
    <t>3     97      0   -592    158</t>
  </si>
  <si>
    <t>226     79</t>
  </si>
  <si>
    <t>19    225    329</t>
  </si>
  <si>
    <t>0 -10703   1059    118    145</t>
  </si>
  <si>
    <t>90    683    942    -6</t>
  </si>
  <si>
    <t>0      0    -50    104      0</t>
  </si>
  <si>
    <t>-284    130      0     8</t>
  </si>
  <si>
    <t>8    175     -8   -117      0</t>
  </si>
  <si>
    <t>0      0  -5348</t>
  </si>
  <si>
    <t>0  -1616   -226    -67      0</t>
  </si>
  <si>
    <t>068   1110</t>
  </si>
  <si>
    <t>-762    -86    387   -36</t>
  </si>
  <si>
    <t>1   -545  -2226      0   1021</t>
  </si>
  <si>
    <t>-315     -9      0    87</t>
  </si>
  <si>
    <t>0      0      0    247      0</t>
  </si>
  <si>
    <t>342    229</t>
  </si>
  <si>
    <t>1424      0      0</t>
  </si>
  <si>
    <t>0      0      0  -5265      0</t>
  </si>
  <si>
    <t>482   3257</t>
  </si>
  <si>
    <t>323      0 -15926     4</t>
  </si>
  <si>
    <t>6    696      0      0      0</t>
  </si>
  <si>
    <t>775   1676</t>
  </si>
  <si>
    <t>1292   -740   -557</t>
  </si>
  <si>
    <t>0     31      0      0   -198</t>
  </si>
  <si>
    <t>0    273</t>
  </si>
  <si>
    <t>0     74      0</t>
  </si>
  <si>
    <t>1850      0   -438  -239</t>
  </si>
  <si>
    <t>1   -513      0 -15143    -47</t>
  </si>
  <si>
    <t>8   1005    149   -497   -109</t>
  </si>
  <si>
    <t>0      0      0  -193</t>
  </si>
  <si>
    <t>3      0   -983      0      0</t>
  </si>
  <si>
    <t>934   -978</t>
  </si>
  <si>
    <t>0  -6226      0   -335   2469</t>
  </si>
  <si>
    <t>985   1411</t>
  </si>
  <si>
    <t>89   1326    512    35</t>
  </si>
  <si>
    <t>0    104   -997      0      0</t>
  </si>
  <si>
    <t>0      0      0  -101</t>
  </si>
  <si>
    <t>5   1102   -752    201   -352</t>
  </si>
  <si>
    <t>0    640      0    13</t>
  </si>
  <si>
    <t>9 -19271      0      0      0</t>
  </si>
  <si>
    <t>0    -60     20</t>
  </si>
  <si>
    <t>0    104    -65     11    614</t>
  </si>
  <si>
    <t>615  -1104</t>
  </si>
  <si>
    <t>-451    228   -306   -23</t>
  </si>
  <si>
    <t>3    -55     12    309   -800</t>
  </si>
  <si>
    <t>305  -1196</t>
  </si>
  <si>
    <t>-149      0     23    37</t>
  </si>
  <si>
    <t>2    217    143   2217     32</t>
  </si>
  <si>
    <t>333    291</t>
  </si>
  <si>
    <t>4472    477   -536  -116</t>
  </si>
  <si>
    <t>2   -709   -363    685   1209</t>
  </si>
  <si>
    <t>403   -645</t>
  </si>
  <si>
    <t>2679   2237  10459  1446</t>
  </si>
  <si>
    <t>2  17110  21685   9871  21447</t>
  </si>
  <si>
    <t>431  13161</t>
  </si>
  <si>
    <t>4544   7852  17428  4831</t>
  </si>
  <si>
    <t>5  46028  31503  47700  55598</t>
  </si>
  <si>
    <t>171  51888</t>
  </si>
  <si>
    <t>6529   -133 -29011   -11</t>
  </si>
  <si>
    <t>3    119   -143      0      0</t>
  </si>
  <si>
    <t>14      0</t>
  </si>
  <si>
    <t>0      0    314   -26</t>
  </si>
  <si>
    <t>-228      0      0    97</t>
  </si>
  <si>
    <t>2      0  -1021      0  -3897</t>
  </si>
  <si>
    <t>226     16</t>
  </si>
  <si>
    <t>0     61 -23809    10</t>
  </si>
  <si>
    <t>4    -31   -265   -456      0</t>
  </si>
  <si>
    <t>108      0</t>
  </si>
  <si>
    <t>0    -65      0      0      0</t>
  </si>
  <si>
    <t>0      0      0     -6      0</t>
  </si>
  <si>
    <t>124    130</t>
  </si>
  <si>
    <t>0      0    -68 -2933</t>
  </si>
  <si>
    <t>9      0     92      0      0</t>
  </si>
  <si>
    <t>0      0    424   -395      0</t>
  </si>
  <si>
    <t>720    141</t>
  </si>
  <si>
    <t>271   -341   -830    -7</t>
  </si>
  <si>
    <t>4    -10      0      0      0</t>
  </si>
  <si>
    <t>-252      0   3404    77</t>
  </si>
  <si>
    <t>5      2      0  -1346 -33741</t>
  </si>
  <si>
    <t>115    -60</t>
  </si>
  <si>
    <t>315      0    -30  -182</t>
  </si>
  <si>
    <t>7  -1366    129      0     13</t>
  </si>
  <si>
    <t>-62      0</t>
  </si>
  <si>
    <t>0      0   -172   -11</t>
  </si>
  <si>
    <t>3      0    -62    188    -13</t>
  </si>
  <si>
    <t>0   1138      0   8608    146</t>
  </si>
  <si>
    <t>1543 -33060     46   -15</t>
  </si>
  <si>
    <t>0    208    -83   -288    224</t>
  </si>
  <si>
    <t>0    215</t>
  </si>
  <si>
    <t>0      0   -177    24</t>
  </si>
  <si>
    <t>0      0    127      0      0</t>
  </si>
  <si>
    <t>19     -3    -61</t>
  </si>
  <si>
    <t>8041    328     97</t>
  </si>
  <si>
    <t>0   -665 -35049    368      0</t>
  </si>
  <si>
    <t>1134    353    330   -88</t>
  </si>
  <si>
    <t>3   -847      0    508      0</t>
  </si>
  <si>
    <t>0     23</t>
  </si>
  <si>
    <t>0   -697      0  -101</t>
  </si>
  <si>
    <t>0      0    610</t>
  </si>
  <si>
    <t>0   3030  -1658   -476      0</t>
  </si>
  <si>
    <t>121 -32738</t>
  </si>
  <si>
    <t>0      0  -2911  -1032   -436</t>
  </si>
  <si>
    <t>435   -191</t>
  </si>
  <si>
    <t>-210      0      0</t>
  </si>
  <si>
    <t>0      0  -1640      0  -1029</t>
  </si>
  <si>
    <t>109    368      0</t>
  </si>
  <si>
    <t>0      0      0    125      0</t>
  </si>
  <si>
    <t>801  -1453</t>
  </si>
  <si>
    <t>-529    523    -45     -</t>
  </si>
  <si>
    <t>9   -106    -27   -162    580</t>
  </si>
  <si>
    <t>0      0   -178   -243    355</t>
  </si>
  <si>
    <t>-81    466</t>
  </si>
  <si>
    <t>63      0      0     2</t>
  </si>
  <si>
    <t>2      0    397    -71      0</t>
  </si>
  <si>
    <t>0  -1282      0   -23</t>
  </si>
  <si>
    <t>5   1116      0      0      0</t>
  </si>
  <si>
    <t>1972      0      0</t>
  </si>
  <si>
    <t>0      0      0   2086  -2449</t>
  </si>
  <si>
    <t>641  -9244</t>
  </si>
  <si>
    <t>3961  -4655  -5197   708</t>
  </si>
  <si>
    <t>3   -595    785  -2292    -96</t>
  </si>
  <si>
    <t>018  -1110</t>
  </si>
  <si>
    <t>-431   -512   1368</t>
  </si>
  <si>
    <t>0   1403    423    372  -1338</t>
  </si>
  <si>
    <t>975     10</t>
  </si>
  <si>
    <t>167  -1455   1077    22</t>
  </si>
  <si>
    <t>7    163  -1319    836     33</t>
  </si>
  <si>
    <t>13  -1102</t>
  </si>
  <si>
    <t>917   -197    -97   -72</t>
  </si>
  <si>
    <t>9    472     -4    -92   -114</t>
  </si>
  <si>
    <t>159   -401</t>
  </si>
  <si>
    <t>-683    321   -113   -66</t>
  </si>
  <si>
    <t>9    567    269    235    195</t>
  </si>
  <si>
    <t>481    526</t>
  </si>
  <si>
    <t>343    417    319    45</t>
  </si>
  <si>
    <t>0   -404 -38203   -111    120</t>
  </si>
  <si>
    <t>0    -69      0</t>
  </si>
  <si>
    <t>0      0    -13     11      0</t>
  </si>
  <si>
    <t>1      0      0   -245      0</t>
  </si>
  <si>
    <t>1019    711    155</t>
  </si>
  <si>
    <t>0    223 -28777     24    -64</t>
  </si>
  <si>
    <t>188   -615</t>
  </si>
  <si>
    <t>0     75      0</t>
  </si>
  <si>
    <t>0      0      0      0    258</t>
  </si>
  <si>
    <t>0    -45      0    -9</t>
  </si>
  <si>
    <t>0   -151</t>
  </si>
  <si>
    <t>0    -26     44</t>
  </si>
  <si>
    <t>0      0   -676 -32507      0</t>
  </si>
  <si>
    <t>0      0      0  -118</t>
  </si>
  <si>
    <t>1   -275    -80      0      0</t>
  </si>
  <si>
    <t>504     72</t>
  </si>
  <si>
    <t>0    190   -115    17</t>
  </si>
  <si>
    <t>6   -250    491    495    497</t>
  </si>
  <si>
    <t>0      0      0    45</t>
  </si>
  <si>
    <t>2      0   1453    395   -440</t>
  </si>
  <si>
    <t>0  -1971</t>
  </si>
  <si>
    <t>1585    808   1434   152</t>
  </si>
  <si>
    <t>2      0    800   1746     21</t>
  </si>
  <si>
    <t>120   -210      0</t>
  </si>
  <si>
    <t>0      0    388    867      0</t>
  </si>
  <si>
    <t>729   -479</t>
  </si>
  <si>
    <t>-238    -48      0</t>
  </si>
  <si>
    <t>0      0      0      0   1303</t>
  </si>
  <si>
    <t>0  11322</t>
  </si>
  <si>
    <t>495      3      0  -167</t>
  </si>
  <si>
    <t>6 -39560     45   -219    373</t>
  </si>
  <si>
    <t>102   -421</t>
  </si>
  <si>
    <t>726      0    254</t>
  </si>
  <si>
    <t>0      0     -4    272      0</t>
  </si>
  <si>
    <t>0    -53      0     6</t>
  </si>
  <si>
    <t>5     60   -128      0      0</t>
  </si>
  <si>
    <t>0   1259      0   982</t>
  </si>
  <si>
    <t>6    444    123      0   -856</t>
  </si>
  <si>
    <t>650    421</t>
  </si>
  <si>
    <t>0      0      0   131</t>
  </si>
  <si>
    <t>7   1002    349  -1055  -1009</t>
  </si>
  <si>
    <t>0    712</t>
  </si>
  <si>
    <t>0      0     50</t>
  </si>
  <si>
    <t>0   -647      0   -990      0</t>
  </si>
  <si>
    <t>0      0    633      0   3635</t>
  </si>
  <si>
    <t>888   -517</t>
  </si>
  <si>
    <t>0   -237 -39308</t>
  </si>
  <si>
    <t>139   -976</t>
  </si>
  <si>
    <t>926      0</t>
  </si>
  <si>
    <t>1287      0      0    23</t>
  </si>
  <si>
    <t>2    339      0      0      0</t>
  </si>
  <si>
    <t>0   6993  -1610   -60</t>
  </si>
  <si>
    <t>7    509   -127   -273   -374</t>
  </si>
  <si>
    <t>-212      0      0</t>
  </si>
  <si>
    <t>100   -197</t>
  </si>
  <si>
    <t>318    -37    332</t>
  </si>
  <si>
    <t>2      0      0     -8      0</t>
  </si>
  <si>
    <t>467    228</t>
  </si>
  <si>
    <t>0  -1805      0   -347     42</t>
  </si>
  <si>
    <t>0      0      0  -211</t>
  </si>
  <si>
    <t>0    549</t>
  </si>
  <si>
    <t>2  -4750  -6820   9341   -933</t>
  </si>
  <si>
    <t>862   2450</t>
  </si>
  <si>
    <t>159  -1302  -5249    -1</t>
  </si>
  <si>
    <t>6   -879    850      0   -629</t>
  </si>
  <si>
    <t>181   -361</t>
  </si>
  <si>
    <t>2696   -734   1331   -33</t>
  </si>
  <si>
    <t>8  -2157   -424    656   -132</t>
  </si>
  <si>
    <t>980   -388</t>
  </si>
  <si>
    <t>347   -437  -1546   -65</t>
  </si>
  <si>
    <t>5    314   -657  -1366   -793</t>
  </si>
  <si>
    <t>125    421</t>
  </si>
  <si>
    <t>6   -155     87   -640    857</t>
  </si>
  <si>
    <t>195    238</t>
  </si>
  <si>
    <t>172    550    588    41</t>
  </si>
  <si>
    <t>6    353    336    485  44799</t>
  </si>
  <si>
    <t>237 -38454</t>
  </si>
  <si>
    <t>-67    -29    230</t>
  </si>
  <si>
    <t>0      0      1      0      0</t>
  </si>
  <si>
    <t>0      0      0      0   -294</t>
  </si>
  <si>
    <t>118      0   -194</t>
  </si>
  <si>
    <t>0    105    599    139      0</t>
  </si>
  <si>
    <t>366 -28820</t>
  </si>
  <si>
    <t>0      0     56      0      0</t>
  </si>
  <si>
    <t>0    208      0</t>
  </si>
  <si>
    <t>0      0   -127      0    -84</t>
  </si>
  <si>
    <t>0      0   -115     72      0</t>
  </si>
  <si>
    <t>0   -717</t>
  </si>
  <si>
    <t>2656      0     45</t>
  </si>
  <si>
    <t>0      0      0      0  -1202</t>
  </si>
  <si>
    <t>298    -75</t>
  </si>
  <si>
    <t>0      0    539     9</t>
  </si>
  <si>
    <t>4      0    205    -76    156</t>
  </si>
  <si>
    <t>173    522</t>
  </si>
  <si>
    <t>514    528      0</t>
  </si>
  <si>
    <t>0   1557</t>
  </si>
  <si>
    <t>411   -459      0  -172</t>
  </si>
  <si>
    <t>2 -40602    142    -42    474</t>
  </si>
  <si>
    <t>0   -274</t>
  </si>
  <si>
    <t>1780  -1580    168</t>
  </si>
  <si>
    <t>0     36     83      0      0</t>
  </si>
  <si>
    <t>59      0     25    23</t>
  </si>
  <si>
    <t>0     18    -94      0      0</t>
  </si>
  <si>
    <t>0   1437      0  1070</t>
  </si>
  <si>
    <t>5    228     96      0  -2548</t>
  </si>
  <si>
    <t>781    573</t>
  </si>
  <si>
    <t>625   1172     27   -19</t>
  </si>
  <si>
    <t>5   3319      0    161      0</t>
  </si>
  <si>
    <t>0   -204</t>
  </si>
  <si>
    <t>149      0   -488</t>
  </si>
  <si>
    <t>0      0    140      0  -1029</t>
  </si>
  <si>
    <t>385   -588</t>
  </si>
  <si>
    <t>0      0   2115      0   9442</t>
  </si>
  <si>
    <t>743    224</t>
  </si>
  <si>
    <t>0   -895 -41905    44</t>
  </si>
  <si>
    <t>1      0      0      0   1050</t>
  </si>
  <si>
    <t>961    451</t>
  </si>
  <si>
    <t>1065  -1007      0    70</t>
  </si>
  <si>
    <t>6      0      0     60      0</t>
  </si>
  <si>
    <t>-987      0      0</t>
  </si>
  <si>
    <t>0    800</t>
  </si>
  <si>
    <t>0   3856  -1896   -52</t>
  </si>
  <si>
    <t>0      0   -358 -39328      0</t>
  </si>
  <si>
    <t>0      0  -2186   -87</t>
  </si>
  <si>
    <t>2   -578   -553   -259   -289</t>
  </si>
  <si>
    <t>0      0  -1939</t>
  </si>
  <si>
    <t>0  -1268      0      0    219</t>
  </si>
  <si>
    <t>5      0   7144  -1646   -693</t>
  </si>
  <si>
    <t>361   -173</t>
  </si>
  <si>
    <t>2     -8      0      0      0</t>
  </si>
  <si>
    <t>0      0     17    -8</t>
  </si>
  <si>
    <t>4    467   -111    451     93</t>
  </si>
  <si>
    <t>-48      0    450    -1</t>
  </si>
  <si>
    <t>230    294      0</t>
  </si>
  <si>
    <t>0      0      0      0  -2132</t>
  </si>
  <si>
    <t>0      0      0    84</t>
  </si>
  <si>
    <t>0     35   -606  -3564  -3964</t>
  </si>
  <si>
    <t>254  -6522</t>
  </si>
  <si>
    <t>9630   -911   1047   261</t>
  </si>
  <si>
    <t>0    182  -1135   -681  -3905</t>
  </si>
  <si>
    <t>631    801</t>
  </si>
  <si>
    <t>0   -199    132    81</t>
  </si>
  <si>
    <t>8  -2227   -251    176   1222</t>
  </si>
  <si>
    <t>666   -139</t>
  </si>
  <si>
    <t>318   1177  -1409   -11</t>
  </si>
  <si>
    <t>1     85    740  -1181   -305</t>
  </si>
  <si>
    <t>160    935</t>
  </si>
  <si>
    <t>8    210   -162   -283   -136</t>
  </si>
  <si>
    <t>814   -338</t>
  </si>
  <si>
    <t>-565    902    219    16</t>
  </si>
  <si>
    <t>5    135    491    472    323</t>
  </si>
  <si>
    <t>370    314</t>
  </si>
  <si>
    <t>376  46309  49083    -4</t>
  </si>
  <si>
    <t>6 -34776    -65     -8     44</t>
  </si>
  <si>
    <t>13      0      0</t>
  </si>
  <si>
    <t>0    133    -33      0      0</t>
  </si>
  <si>
    <t>0      0   -204</t>
  </si>
  <si>
    <t>0      0   -416      0    341</t>
  </si>
  <si>
    <t>400      6      0    32</t>
  </si>
  <si>
    <t>9 -27117    -39   -130   -370</t>
  </si>
  <si>
    <t>63      0      0</t>
  </si>
  <si>
    <t>0      0      0    169      0</t>
  </si>
  <si>
    <t>-124      0     -7</t>
  </si>
  <si>
    <t>-133     30      0</t>
  </si>
  <si>
    <t>0   -748 -30607      0    -57</t>
  </si>
  <si>
    <t>0      0  -1243   -27</t>
  </si>
  <si>
    <t>5    -74      0      0    452</t>
  </si>
  <si>
    <t>71      0</t>
  </si>
  <si>
    <t>214   -159    171   -24</t>
  </si>
  <si>
    <t>7    426    456    441      0</t>
  </si>
  <si>
    <t>0      0    487</t>
  </si>
  <si>
    <t>0   1327    403   -370      0</t>
  </si>
  <si>
    <t>581 -38033</t>
  </si>
  <si>
    <t>151     18    535</t>
  </si>
  <si>
    <t>0   -124  -1267  -1510    143</t>
  </si>
  <si>
    <t>164      0      0</t>
  </si>
  <si>
    <t>0    -25      2      0     39</t>
  </si>
  <si>
    <t>81    -69</t>
  </si>
  <si>
    <t>-133      0      0</t>
  </si>
  <si>
    <t>0      0      0   1161      0</t>
  </si>
  <si>
    <t>627    268</t>
  </si>
  <si>
    <t>96      0  -1739 -3727</t>
  </si>
  <si>
    <t>8     83   -196    412    -96</t>
  </si>
  <si>
    <t>404    955</t>
  </si>
  <si>
    <t>0    231      0</t>
  </si>
  <si>
    <t>0     45    239      0     81</t>
  </si>
  <si>
    <t>-60      0    -38</t>
  </si>
  <si>
    <t>4   -135      0      0      0</t>
  </si>
  <si>
    <t>1274      0   9032    46</t>
  </si>
  <si>
    <t>7    109      0  -1167 -41174</t>
  </si>
  <si>
    <t>0      0   1947   420</t>
  </si>
  <si>
    <t>8   1808  -1109   -959      0</t>
  </si>
  <si>
    <t>0    217      0    35</t>
  </si>
  <si>
    <t>5      0   -370      0      0</t>
  </si>
  <si>
    <t>0    808      0   4534  -1613</t>
  </si>
  <si>
    <t>-275 -36953      0</t>
  </si>
  <si>
    <t>0      0      0      0  -1985</t>
  </si>
  <si>
    <t>011   -433</t>
  </si>
  <si>
    <t>-444   -115     54</t>
  </si>
  <si>
    <t>0      0      0      0  -1902</t>
  </si>
  <si>
    <t>0  -1249</t>
  </si>
  <si>
    <t>0      0    269    17</t>
  </si>
  <si>
    <t>26      0</t>
  </si>
  <si>
    <t>6470  -1580   -483   104</t>
  </si>
  <si>
    <t>9     35    159    -58     38</t>
  </si>
  <si>
    <t>302   -130</t>
  </si>
  <si>
    <t>0      0      0      0   -176</t>
  </si>
  <si>
    <t>-94    317</t>
  </si>
  <si>
    <t>-54    367    -37</t>
  </si>
  <si>
    <t>0      0     82      0    430</t>
  </si>
  <si>
    <t>70      0</t>
  </si>
  <si>
    <t>0      0      0  -182</t>
  </si>
  <si>
    <t>3      0   -276   -513      0</t>
  </si>
  <si>
    <t>0      0  -1965</t>
  </si>
  <si>
    <t>390  -1652</t>
  </si>
  <si>
    <t>3 -17077   9051   -883    951</t>
  </si>
  <si>
    <t>611    281</t>
  </si>
  <si>
    <t>1152  -1002   -152  -501</t>
  </si>
  <si>
    <t>5     22      0   -904   -640</t>
  </si>
  <si>
    <t>629  -1863</t>
  </si>
  <si>
    <t>3   -563   -676   -346   -556</t>
  </si>
  <si>
    <t>688   -584</t>
  </si>
  <si>
    <t>3   -829    104   -276    -69</t>
  </si>
  <si>
    <t>166   -174</t>
  </si>
  <si>
    <t>-105   -634   -133    60</t>
  </si>
  <si>
    <t>4     85  -1715    787    393</t>
  </si>
  <si>
    <t>415    145</t>
  </si>
  <si>
    <t>662    645    496    49</t>
  </si>
  <si>
    <t>7    482    579  41037  48467</t>
  </si>
  <si>
    <t>133   -837</t>
  </si>
  <si>
    <t>0240    -47    -75   -84</t>
  </si>
  <si>
    <t>7      0      0   -468      0</t>
  </si>
  <si>
    <t>-17    -55      0</t>
  </si>
  <si>
    <t>0   -288      0    28</t>
  </si>
  <si>
    <t>3      0    105   1004    109</t>
  </si>
  <si>
    <t>0    298</t>
  </si>
  <si>
    <t>3708    -57   -199   -26</t>
  </si>
  <si>
    <t>7   -513      0     84      0</t>
  </si>
  <si>
    <t>0      0    154</t>
  </si>
  <si>
    <t>0      0      0    -72      0</t>
  </si>
  <si>
    <t>0    -84      0    -15     94</t>
  </si>
  <si>
    <t>-605 -27665      0    47</t>
  </si>
  <si>
    <t>985   -214</t>
  </si>
  <si>
    <t>-53      0      0    39</t>
  </si>
  <si>
    <t>3     30      0     74    -87</t>
  </si>
  <si>
    <t>150   -161</t>
  </si>
  <si>
    <t>596    447    170</t>
  </si>
  <si>
    <t>550      0</t>
  </si>
  <si>
    <t>991    213   -302</t>
  </si>
  <si>
    <t>0   -890 -34179    342     59</t>
  </si>
  <si>
    <t>275      0</t>
  </si>
  <si>
    <t>78  -1176  -1246    11</t>
  </si>
  <si>
    <t>4      0     34   -225      0</t>
  </si>
  <si>
    <t>-75   -119      0   -13</t>
  </si>
  <si>
    <t>3    120      7   -127      0</t>
  </si>
  <si>
    <t>0      0    840</t>
  </si>
  <si>
    <t>0   7909    135    125      0</t>
  </si>
  <si>
    <t>996 -33551</t>
  </si>
  <si>
    <t>165     16   -393    -6</t>
  </si>
  <si>
    <t>4   -149    603      0    190</t>
  </si>
  <si>
    <t>-287    251      0     5</t>
  </si>
  <si>
    <t>1      0      0    -68      0</t>
  </si>
  <si>
    <t>31     66</t>
  </si>
  <si>
    <t>0      0      0    875      0</t>
  </si>
  <si>
    <t>481    316</t>
  </si>
  <si>
    <t>147      0   -400 -3568</t>
  </si>
  <si>
    <t>6    243      0      0      0</t>
  </si>
  <si>
    <t>411    868</t>
  </si>
  <si>
    <t>457   -871   -825</t>
  </si>
  <si>
    <t>0    436      0      0    -26</t>
  </si>
  <si>
    <t>0   -749</t>
  </si>
  <si>
    <t>0   -895      0</t>
  </si>
  <si>
    <t>469      0   2860  -164</t>
  </si>
  <si>
    <t>8   -391      0  -1045 -33972</t>
  </si>
  <si>
    <t>0      0      0   141</t>
  </si>
  <si>
    <t>5   1050   -865   -634   -668</t>
  </si>
  <si>
    <t>630      0</t>
  </si>
  <si>
    <t>0      0      0  -140</t>
  </si>
  <si>
    <t>8      0   -641      0      0</t>
  </si>
  <si>
    <t>307    996</t>
  </si>
  <si>
    <t>0   1555      0   3444   -828</t>
  </si>
  <si>
    <t>311  -6503</t>
  </si>
  <si>
    <t>1356   -979   -657   -61</t>
  </si>
  <si>
    <t>0   -440   -638      0      0</t>
  </si>
  <si>
    <t>6    -24    529     12    426</t>
  </si>
  <si>
    <t>0    -32      0    15</t>
  </si>
  <si>
    <t>3    450      0      0      0</t>
  </si>
  <si>
    <t>0   1159</t>
  </si>
  <si>
    <t>0   -729    425</t>
  </si>
  <si>
    <t>0    833   -358    -22  -2074</t>
  </si>
  <si>
    <t>949  -3265</t>
  </si>
  <si>
    <t>4854   3209   -911    83</t>
  </si>
  <si>
    <t>0   -501   -165  -2176  -1513</t>
  </si>
  <si>
    <t>712  -1218</t>
  </si>
  <si>
    <t>-383      0  -1493  -157</t>
  </si>
  <si>
    <t>8  -1571  -3560  -1427  -1462</t>
  </si>
  <si>
    <t>750  -3221</t>
  </si>
  <si>
    <t>1261  -1636  -1362  -290</t>
  </si>
  <si>
    <t>6  -1026  -1476  -1505  -2271</t>
  </si>
  <si>
    <t>646  -1928</t>
  </si>
  <si>
    <t>1864  -2390    129   -27</t>
  </si>
  <si>
    <t>4   -298   -326   -312   1663</t>
  </si>
  <si>
    <t>-15    520</t>
  </si>
  <si>
    <t>58   -560   -618     4</t>
  </si>
  <si>
    <t>1     29     -2    129    351</t>
  </si>
  <si>
    <t>189    137</t>
  </si>
  <si>
    <t>184    215  33558  4305</t>
  </si>
  <si>
    <t>2  43013  34747    142 -15403</t>
  </si>
  <si>
    <t>-5    140</t>
  </si>
  <si>
    <t>422      0      0     7</t>
  </si>
  <si>
    <t>7      0      0      0    -15</t>
  </si>
  <si>
    <t>0      0    -18      0      0</t>
  </si>
  <si>
    <t>-210      0   -106   -14</t>
  </si>
  <si>
    <t>9    -45      0   -678 -16248</t>
  </si>
  <si>
    <t>112    399</t>
  </si>
  <si>
    <t>556     72      0    20</t>
  </si>
  <si>
    <t>0   -936</t>
  </si>
  <si>
    <t>0      0      0    69</t>
  </si>
  <si>
    <t>8      0    324      0      0</t>
  </si>
  <si>
    <t>0   -175      0  -116</t>
  </si>
  <si>
    <t>4    560      0      0  -1192</t>
  </si>
  <si>
    <t>0      0  -1798   -243    -70</t>
  </si>
  <si>
    <t>-106    851      0    88</t>
  </si>
  <si>
    <t>2    621    524    928  -2640</t>
  </si>
  <si>
    <t>103   1039</t>
  </si>
  <si>
    <t>0      0   1144      0    287</t>
  </si>
  <si>
    <t>636   -599</t>
  </si>
  <si>
    <t>0   -718 -18403     6</t>
  </si>
  <si>
    <t>4     72    445      0   1554</t>
  </si>
  <si>
    <t>368   -374</t>
  </si>
  <si>
    <t>57      0     68    -6</t>
  </si>
  <si>
    <t>-166    175     27    -9</t>
  </si>
  <si>
    <t>0    594</t>
  </si>
  <si>
    <t>0   4197     64     6</t>
  </si>
  <si>
    <t>0      0   -856 -17778   -135</t>
  </si>
  <si>
    <t>137    189</t>
  </si>
  <si>
    <t>-242   1337   1328</t>
  </si>
  <si>
    <t>0     99      0      0   -120</t>
  </si>
  <si>
    <t>152      0      0    -8</t>
  </si>
  <si>
    <t>9      0    -31    -15     25</t>
  </si>
  <si>
    <t>8      0   3642    144    128</t>
  </si>
  <si>
    <t>0   -394</t>
  </si>
  <si>
    <t>9251    181      0</t>
  </si>
  <si>
    <t>0      0   2214   1467    334</t>
  </si>
  <si>
    <t>458   -480</t>
  </si>
  <si>
    <t>0    189      0</t>
  </si>
  <si>
    <t>0     50      0   -189      0</t>
  </si>
  <si>
    <t>0      0      0      0    391</t>
  </si>
  <si>
    <t>0   1383</t>
  </si>
  <si>
    <t>-931   -200      0    24</t>
  </si>
  <si>
    <t>4 -18067      0      0      0</t>
  </si>
  <si>
    <t>1737  -1121   -252   -22</t>
  </si>
  <si>
    <t>8     13   -193      0      0</t>
  </si>
  <si>
    <t>-965      0   -550</t>
  </si>
  <si>
    <t>0      0      3      5      0</t>
  </si>
  <si>
    <t>0   -177      0   290</t>
  </si>
  <si>
    <t>6   -883    -58    665     27</t>
  </si>
  <si>
    <t>7   -194</t>
  </si>
  <si>
    <t>172   -685   -312</t>
  </si>
  <si>
    <t>-195   -150    141   -11</t>
  </si>
  <si>
    <t>8    -38    289      0      0</t>
  </si>
  <si>
    <t>168    -87      0</t>
  </si>
  <si>
    <t>0      0      0  -1184      0</t>
  </si>
  <si>
    <t>962   -657</t>
  </si>
  <si>
    <t>0      0   -818      0      0</t>
  </si>
  <si>
    <t>0    638    -75  -335</t>
  </si>
  <si>
    <t>6  -2250  -1463  -1997  -2244</t>
  </si>
  <si>
    <t>192   -491</t>
  </si>
  <si>
    <t>9  -2838  -2931  -1555   7054</t>
  </si>
  <si>
    <t>-86   -561   -404    23</t>
  </si>
  <si>
    <t>8   -107   -341  -1320    124</t>
  </si>
  <si>
    <t>284   -162</t>
  </si>
  <si>
    <t>1167    159   -317   -36</t>
  </si>
  <si>
    <t>5   -746    362   -550   -570</t>
  </si>
  <si>
    <t>777    285</t>
  </si>
  <si>
    <t>-478    111     25    -1</t>
  </si>
  <si>
    <t>6   -298    443   -366   -528</t>
  </si>
  <si>
    <t>937    617</t>
  </si>
  <si>
    <t>120    122     73    34</t>
  </si>
  <si>
    <t>6    297    181    171    185</t>
  </si>
  <si>
    <t>211  20330</t>
  </si>
  <si>
    <t>2363  22627  20447  1782</t>
  </si>
  <si>
    <t>8    388 -18875    183     36</t>
  </si>
  <si>
    <t>0    126      0</t>
  </si>
  <si>
    <t>0      0      1    -17      0</t>
  </si>
  <si>
    <t>3      0      0    330      0</t>
  </si>
  <si>
    <t>352      0</t>
  </si>
  <si>
    <t>81   -283   -140</t>
  </si>
  <si>
    <t>0   -705 -28991     29   -530</t>
  </si>
  <si>
    <t>359   -189</t>
  </si>
  <si>
    <t>0      0      0      0    208</t>
  </si>
  <si>
    <t>0    332      0   -28</t>
  </si>
  <si>
    <t>0   1326   1363</t>
  </si>
  <si>
    <t>0      0   -714 -18444      0</t>
  </si>
  <si>
    <t>558      0</t>
  </si>
  <si>
    <t>0      0      0  -173</t>
  </si>
  <si>
    <t>5   -161    -17      0      0</t>
  </si>
  <si>
    <t>131    -15</t>
  </si>
  <si>
    <t>0    113   -363     6</t>
  </si>
  <si>
    <t>5   -283   -388    -13   -412</t>
  </si>
  <si>
    <t>0      0   1187     73    143</t>
  </si>
  <si>
    <t>0   -402</t>
  </si>
  <si>
    <t>2088   1090  -1093   -68</t>
  </si>
  <si>
    <t>3      0  -5886  -1657  -2543</t>
  </si>
  <si>
    <t>379      0</t>
  </si>
  <si>
    <t>222   -809      0</t>
  </si>
  <si>
    <t>0      0    517   -427      0</t>
  </si>
  <si>
    <t>362  -4592</t>
  </si>
  <si>
    <t>-652    613      0</t>
  </si>
  <si>
    <t>0      0      0      0    690</t>
  </si>
  <si>
    <t>0   5162</t>
  </si>
  <si>
    <t>566    -45      0   -99</t>
  </si>
  <si>
    <t>0 -21699   -125   -108    327</t>
  </si>
  <si>
    <t>294   1705</t>
  </si>
  <si>
    <t>2180      0    214</t>
  </si>
  <si>
    <t>0      0    -72    153      0</t>
  </si>
  <si>
    <t>0    -72      0    28</t>
  </si>
  <si>
    <t>5     96   -268      0      0</t>
  </si>
  <si>
    <t>0    837      0   458</t>
  </si>
  <si>
    <t>2    162    109      0   -515</t>
  </si>
  <si>
    <t>981    198</t>
  </si>
  <si>
    <t>0      0      0   225</t>
  </si>
  <si>
    <t>6   2276    533   -550   -553</t>
  </si>
  <si>
    <t>0    251</t>
  </si>
  <si>
    <t>0      0     36</t>
  </si>
  <si>
    <t>0   -475      0   -742      0</t>
  </si>
  <si>
    <t>0      0    508      0   1666</t>
  </si>
  <si>
    <t>075   -276</t>
  </si>
  <si>
    <t>0    162 -21815</t>
  </si>
  <si>
    <t>085   -975</t>
  </si>
  <si>
    <t>266      0</t>
  </si>
  <si>
    <t>-765      0      0    23</t>
  </si>
  <si>
    <t>0    259      0      0      0</t>
  </si>
  <si>
    <t>0    -99</t>
  </si>
  <si>
    <t>0   3570   -977   -37</t>
  </si>
  <si>
    <t>5    542   -450    100    -70</t>
  </si>
  <si>
    <t>410   1538</t>
  </si>
  <si>
    <t>-286      0      0</t>
  </si>
  <si>
    <t>193   -170</t>
  </si>
  <si>
    <t>409     -4    129   103</t>
  </si>
  <si>
    <t>5      0      0      9      0</t>
  </si>
  <si>
    <t>291   -274</t>
  </si>
  <si>
    <t>0  -1237      0  -4112  -2198</t>
  </si>
  <si>
    <t>0      0      0  -106</t>
  </si>
  <si>
    <t>0    524</t>
  </si>
  <si>
    <t>-32   3004  -1440  -491</t>
  </si>
  <si>
    <t>1  -1795  -3496   2937   -563</t>
  </si>
  <si>
    <t>509   -609</t>
  </si>
  <si>
    <t>4949  -1958  -9060  -136</t>
  </si>
  <si>
    <t>3  -2039   6234      0   -756</t>
  </si>
  <si>
    <t>249   -464</t>
  </si>
  <si>
    <t>1459   -457   -914   -50</t>
  </si>
  <si>
    <t>2  -1311   -339     90   -150</t>
  </si>
  <si>
    <t>131   -281</t>
  </si>
  <si>
    <t>40   -440   -784   -40</t>
  </si>
  <si>
    <t>8    134   -645   -803  -1058</t>
  </si>
  <si>
    <t>22   -316</t>
  </si>
  <si>
    <t>217    187    -12   -33</t>
  </si>
  <si>
    <t>9   1519  -1100  -1490     87</t>
  </si>
  <si>
    <t>102     80</t>
  </si>
  <si>
    <t>55    293    271    23</t>
  </si>
  <si>
    <t>5    308    185    198  22687</t>
  </si>
  <si>
    <t>097  27229</t>
  </si>
  <si>
    <t>5404  21963  16402    46</t>
  </si>
  <si>
    <t>7 -15057     36   -534    500</t>
  </si>
  <si>
    <t>87      0      0</t>
  </si>
  <si>
    <t>0     19    -12      0      0</t>
  </si>
  <si>
    <t>0      0     -8</t>
  </si>
  <si>
    <t>0      0    111      0   -130</t>
  </si>
  <si>
    <t>0    -56</t>
  </si>
  <si>
    <t>-281   -122      0   -47</t>
  </si>
  <si>
    <t>8 -22443   -858   -353     97</t>
  </si>
  <si>
    <t>0      0      0     80      0</t>
  </si>
  <si>
    <t>347      0   -248</t>
  </si>
  <si>
    <t>1494   1314      0</t>
  </si>
  <si>
    <t>0   -396 -15005      0   -209</t>
  </si>
  <si>
    <t>0      0   -945   -14</t>
  </si>
  <si>
    <t>8    -30      0      0    142</t>
  </si>
  <si>
    <t>110   -187     96   -15</t>
  </si>
  <si>
    <t>0   -178     82   -138      0</t>
  </si>
  <si>
    <t>0      0    474</t>
  </si>
  <si>
    <t>0    808     92    -11      0</t>
  </si>
  <si>
    <t>744 -17996</t>
  </si>
  <si>
    <t>4    132    367</t>
  </si>
  <si>
    <t>0   1160    407   -461     85</t>
  </si>
  <si>
    <t>0    -35    -48      0    -64</t>
  </si>
  <si>
    <t>253      3</t>
  </si>
  <si>
    <t>-196      0      0</t>
  </si>
  <si>
    <t>0      0      0    636      0</t>
  </si>
  <si>
    <t>855     89</t>
  </si>
  <si>
    <t>137      0   -621 -1777</t>
  </si>
  <si>
    <t>5    320  -1634  -1569  -6694</t>
  </si>
  <si>
    <t>714  -1878</t>
  </si>
  <si>
    <t>0     42      0</t>
  </si>
  <si>
    <t>0  -1055    250      0     -3</t>
  </si>
  <si>
    <t>285      0  -1659    10</t>
  </si>
  <si>
    <t>7   1047      0      0      0</t>
  </si>
  <si>
    <t>1072      0   4326    42</t>
  </si>
  <si>
    <t>6   -495      0   -368 -18872</t>
  </si>
  <si>
    <t>0      0   1639   150</t>
  </si>
  <si>
    <t>5    448   -521   -476      0</t>
  </si>
  <si>
    <t>0     21      0   -32</t>
  </si>
  <si>
    <t>8      0   -521      0      0</t>
  </si>
  <si>
    <t>0    408      0   1226   -864</t>
  </si>
  <si>
    <t>225      0</t>
  </si>
  <si>
    <t>305 -17866      0</t>
  </si>
  <si>
    <t>0      0      0      0  -1410</t>
  </si>
  <si>
    <t>781   -330</t>
  </si>
  <si>
    <t>0      0      0      0   -961</t>
  </si>
  <si>
    <t>0   -614</t>
  </si>
  <si>
    <t>0      0    131    15</t>
  </si>
  <si>
    <t>203      0</t>
  </si>
  <si>
    <t>2917   -816   -358    71</t>
  </si>
  <si>
    <t>5   -163    260    150   2235</t>
  </si>
  <si>
    <t>347    362</t>
  </si>
  <si>
    <t>0      0      0      0    -76</t>
  </si>
  <si>
    <t>-15    288</t>
  </si>
  <si>
    <t>-67    240    409</t>
  </si>
  <si>
    <t>0      0     70      0    253</t>
  </si>
  <si>
    <t>525      0</t>
  </si>
  <si>
    <t>0      0      0   -71</t>
  </si>
  <si>
    <t>3      0  -1570   -376      0</t>
  </si>
  <si>
    <t>0      0   -768</t>
  </si>
  <si>
    <t>553   -226</t>
  </si>
  <si>
    <t>1393  -1133  -1183  -470</t>
  </si>
  <si>
    <t>3  -2570   2614   -458    -48</t>
  </si>
  <si>
    <t>579   4650</t>
  </si>
  <si>
    <t>2090  -1698  -5719  -193</t>
  </si>
  <si>
    <t>6   5025      0   -398    -95</t>
  </si>
  <si>
    <t>513  -1045</t>
  </si>
  <si>
    <t>-249    156    615   -81</t>
  </si>
  <si>
    <t>7   -220     -3  -1217   -636</t>
  </si>
  <si>
    <t>149    -63</t>
  </si>
  <si>
    <t>349   -499   -218   -22</t>
  </si>
  <si>
    <t>3    482   -394  -1050    240</t>
  </si>
  <si>
    <t>466   -359</t>
  </si>
  <si>
    <t>309     81   -511   -89</t>
  </si>
  <si>
    <t>7   2169  -1322    -98     44</t>
  </si>
  <si>
    <t>42     14</t>
  </si>
  <si>
    <t>185    194    112     9</t>
  </si>
  <si>
    <t>2    153    270  18156  21617</t>
  </si>
  <si>
    <t>337  20246</t>
  </si>
  <si>
    <t>7480  15174  10572    20</t>
  </si>
  <si>
    <t>9 -20431   -274     43    458</t>
  </si>
  <si>
    <t>80      0      0</t>
  </si>
  <si>
    <t>0     71      9      0      0</t>
  </si>
  <si>
    <t>0      0    -10</t>
  </si>
  <si>
    <t>0      0    118      0   -142</t>
  </si>
  <si>
    <t>0     55</t>
  </si>
  <si>
    <t>-114    -57      0   -26</t>
  </si>
  <si>
    <t>5 -28752   -131   -563    -22</t>
  </si>
  <si>
    <t>392      0</t>
  </si>
  <si>
    <t>188      0      0</t>
  </si>
  <si>
    <t>0      0      0    -36      0</t>
  </si>
  <si>
    <t>18      0   -104</t>
  </si>
  <si>
    <t>168      0</t>
  </si>
  <si>
    <t>-781   1106      0</t>
  </si>
  <si>
    <t>0   -491 -20240      0   -258</t>
  </si>
  <si>
    <t>0      0  -1010    -7</t>
  </si>
  <si>
    <t>1      7      0      0    179</t>
  </si>
  <si>
    <t>122    -72    102   -11</t>
  </si>
  <si>
    <t>3   -140    112    -17      0</t>
  </si>
  <si>
    <t>0    778    158     11      0</t>
  </si>
  <si>
    <t>918 -24570</t>
  </si>
  <si>
    <t>-27     78    428</t>
  </si>
  <si>
    <t>0   1014    -44   -468    198</t>
  </si>
  <si>
    <t>0     37</t>
  </si>
  <si>
    <t>0    -54    -17      0    -48</t>
  </si>
  <si>
    <t>0      0      0    779      0</t>
  </si>
  <si>
    <t>341    123</t>
  </si>
  <si>
    <t>99      0   -992 -2392</t>
  </si>
  <si>
    <t>3    -31   -139    314     47</t>
  </si>
  <si>
    <t>860   1121</t>
  </si>
  <si>
    <t>0    201      0</t>
  </si>
  <si>
    <t>0    -68    157      0     74</t>
  </si>
  <si>
    <t>-68      0      9     -</t>
  </si>
  <si>
    <t>8   -155      0      0      0</t>
  </si>
  <si>
    <t>843      0   4792    23</t>
  </si>
  <si>
    <t>6    155      0    304 -26294</t>
  </si>
  <si>
    <t>109      0</t>
  </si>
  <si>
    <t>0      0  -6953  -132</t>
  </si>
  <si>
    <t>0  -1546  -2034  -1003      0</t>
  </si>
  <si>
    <t>0   -762      0   -84</t>
  </si>
  <si>
    <t>6      0     54      0      0</t>
  </si>
  <si>
    <t>0    219      0   1592   -571</t>
  </si>
  <si>
    <t>047      0</t>
  </si>
  <si>
    <t>135 -24045      0</t>
  </si>
  <si>
    <t>0      0      0      0  -1542</t>
  </si>
  <si>
    <t>726   -288</t>
  </si>
  <si>
    <t>0      0      0      0  -1305</t>
  </si>
  <si>
    <t>0   -862</t>
  </si>
  <si>
    <t>0      0    257     3</t>
  </si>
  <si>
    <t>-76      0</t>
  </si>
  <si>
    <t>3578  -1030   -295   111</t>
  </si>
  <si>
    <t>3   -204      9   -151    325</t>
  </si>
  <si>
    <t>341    159</t>
  </si>
  <si>
    <t>-51    348</t>
  </si>
  <si>
    <t>-32    153     75</t>
  </si>
  <si>
    <t>0      0     -5      0    294</t>
  </si>
  <si>
    <t>181      0</t>
  </si>
  <si>
    <t>0      0      0  -126</t>
  </si>
  <si>
    <t>8      0  -2349    342      0</t>
  </si>
  <si>
    <t>0      0   -979</t>
  </si>
  <si>
    <t>555   -208</t>
  </si>
  <si>
    <t>3200  -1651  -1912  -235</t>
  </si>
  <si>
    <t>9  -6843   3317   -504   -155</t>
  </si>
  <si>
    <t>470   5639</t>
  </si>
  <si>
    <t>2013  -2217  -1841 -1176</t>
  </si>
  <si>
    <t>0   5210      0   -476   -294</t>
  </si>
  <si>
    <t>421   -895</t>
  </si>
  <si>
    <t>3   -267   -364   -183   -605</t>
  </si>
  <si>
    <t>280   -398</t>
  </si>
  <si>
    <t>6   -589   -272   -235    -76</t>
  </si>
  <si>
    <t>139     86</t>
  </si>
  <si>
    <t>0   -815   1520     89     66</t>
  </si>
  <si>
    <t>106     45</t>
  </si>
  <si>
    <t>270    259     82    16</t>
  </si>
  <si>
    <t>4     79    189  24461  29575</t>
  </si>
  <si>
    <t>640  31279</t>
  </si>
  <si>
    <t>3640  15532  18417  1557</t>
  </si>
  <si>
    <t>3    489 -22088   -227   -185</t>
  </si>
  <si>
    <t>0      0     26     88      0</t>
  </si>
  <si>
    <t>3      0      0    481      0</t>
  </si>
  <si>
    <t>495      0</t>
  </si>
  <si>
    <t>133   -182   -159</t>
  </si>
  <si>
    <t>0     67 -29507   -556   -446</t>
  </si>
  <si>
    <t>291  -1065</t>
  </si>
  <si>
    <t>0    337      0</t>
  </si>
  <si>
    <t>0      0      0      0    -84</t>
  </si>
  <si>
    <t>0     86      0    20</t>
  </si>
  <si>
    <t>0   1439   1093</t>
  </si>
  <si>
    <t>0      0  -1041 -22312      0</t>
  </si>
  <si>
    <t>885      0</t>
  </si>
  <si>
    <t>0      0      0  -294</t>
  </si>
  <si>
    <t>1   -273    -38      0      0</t>
  </si>
  <si>
    <t>45    -22</t>
  </si>
  <si>
    <t>0     10   -721</t>
  </si>
  <si>
    <t>1   -564   -864   -361   -902</t>
  </si>
  <si>
    <t>0      0   2011     35    545</t>
  </si>
  <si>
    <t>0   -867</t>
  </si>
  <si>
    <t>6442    -34    156    14</t>
  </si>
  <si>
    <t>6      0   2749   2442   -544</t>
  </si>
  <si>
    <t>72      0</t>
  </si>
  <si>
    <t>73   -510      0</t>
  </si>
  <si>
    <t>0      0    -84   -139      0</t>
  </si>
  <si>
    <t>82     21      0</t>
  </si>
  <si>
    <t>0      0      0      0    750</t>
  </si>
  <si>
    <t>0   5695</t>
  </si>
  <si>
    <t>128     69      0  -114</t>
  </si>
  <si>
    <t>1 -25347   -185   -135    -64</t>
  </si>
  <si>
    <t>420   2450</t>
  </si>
  <si>
    <t>3713      0    150</t>
  </si>
  <si>
    <t>0      0   -499    194      0</t>
  </si>
  <si>
    <t>96      0</t>
  </si>
  <si>
    <t>0    -66      0    -2</t>
  </si>
  <si>
    <t>4     57   -126      0      0</t>
  </si>
  <si>
    <t>0   1023      0   458</t>
  </si>
  <si>
    <t>7    222    204      0   -581</t>
  </si>
  <si>
    <t>879    225</t>
  </si>
  <si>
    <t>0      0      0   378</t>
  </si>
  <si>
    <t>4   3991    530   -535   -536</t>
  </si>
  <si>
    <t>0      0     83</t>
  </si>
  <si>
    <t>0   -614      0   -781      0</t>
  </si>
  <si>
    <t>0      0    547      0   1959</t>
  </si>
  <si>
    <t>142   -179</t>
  </si>
  <si>
    <t>0    836 -27617</t>
  </si>
  <si>
    <t>142  -1802</t>
  </si>
  <si>
    <t>785      0</t>
  </si>
  <si>
    <t>-358      0      0   213</t>
  </si>
  <si>
    <t>6   -110      0      0      0</t>
  </si>
  <si>
    <t>0   3985   -604  -216</t>
  </si>
  <si>
    <t>8   4391    662    614    300</t>
  </si>
  <si>
    <t>063   -337</t>
  </si>
  <si>
    <t>-994      0      0</t>
  </si>
  <si>
    <t>351    -48</t>
  </si>
  <si>
    <t>281    -29    164    30</t>
  </si>
  <si>
    <t>9      0      0     65      0</t>
  </si>
  <si>
    <t>398   -366</t>
  </si>
  <si>
    <t>0   -192      0  -8341  -7682</t>
  </si>
  <si>
    <t>0    683</t>
  </si>
  <si>
    <t>422   4659  -1826  -184</t>
  </si>
  <si>
    <t>9  -2057  -3709   1048   -631</t>
  </si>
  <si>
    <t>569   -150</t>
  </si>
  <si>
    <t>1107   -409   -968   -91</t>
  </si>
  <si>
    <t>3   -490   2362      0  -1808</t>
  </si>
  <si>
    <t>342  -1352</t>
  </si>
  <si>
    <t>2561  -1193  -1011  -161</t>
  </si>
  <si>
    <t>6  -2460  -1109  -1501  -1181</t>
  </si>
  <si>
    <t>240   -870</t>
  </si>
  <si>
    <t>1311  -1347  -1544  -116</t>
  </si>
  <si>
    <t>0  -1666  -1887  -1790   -899</t>
  </si>
  <si>
    <t>190    254</t>
  </si>
  <si>
    <t>138    222  -1464    -6</t>
  </si>
  <si>
    <t>4  -1018  -1130  -1896   1308</t>
  </si>
  <si>
    <t>9     40</t>
  </si>
  <si>
    <t>7    176    242    14</t>
  </si>
  <si>
    <t>1     73    176    106  25567</t>
  </si>
  <si>
    <t>107  31212</t>
  </si>
  <si>
    <t>8717  27370  13451  2309</t>
  </si>
  <si>
    <t>3  18427  12951    328 -30849</t>
  </si>
  <si>
    <t>261    -60</t>
  </si>
  <si>
    <t>414      0      0    -1</t>
  </si>
  <si>
    <t>5      0      0      0    199</t>
  </si>
  <si>
    <t>250      0</t>
  </si>
  <si>
    <t>0      0    -74      0      0</t>
  </si>
  <si>
    <t>-219      0   -252     -</t>
  </si>
  <si>
    <t>3      5      0     34 -26256</t>
  </si>
  <si>
    <t>-242   -338      0     9</t>
  </si>
  <si>
    <t>0      0    102      0      0</t>
  </si>
  <si>
    <t>0     88      0   -15</t>
  </si>
  <si>
    <t>1    282      0      0   1348</t>
  </si>
  <si>
    <t>963      0</t>
  </si>
  <si>
    <t>-315      0      0</t>
  </si>
  <si>
    <t>0      0    696     13     71</t>
  </si>
  <si>
    <t>152    253      0   127</t>
  </si>
  <si>
    <t>2   1266    129   2146    471</t>
  </si>
  <si>
    <t>840   -891</t>
  </si>
  <si>
    <t>0      0  -1204      0   2845</t>
  </si>
  <si>
    <t>579   1664</t>
  </si>
  <si>
    <t>0   -246 -43007   -77</t>
  </si>
  <si>
    <t>4   -400    236      0   -690</t>
  </si>
  <si>
    <t>722  -2000</t>
  </si>
  <si>
    <t>433      0   -544    81</t>
  </si>
  <si>
    <t>3      0      0      0  -2736</t>
  </si>
  <si>
    <t>5535   1490    790   152</t>
  </si>
  <si>
    <t>0   -217</t>
  </si>
  <si>
    <t>0   -290   1096    79</t>
  </si>
  <si>
    <t>4      0   -539 -41325     19</t>
  </si>
  <si>
    <t>-53    331</t>
  </si>
  <si>
    <t>-41    740    348</t>
  </si>
  <si>
    <t>0     59      0      0     23</t>
  </si>
  <si>
    <t>-41      0</t>
  </si>
  <si>
    <t>-290      0      0     1</t>
  </si>
  <si>
    <t>1      0   -228   -141   -409</t>
  </si>
  <si>
    <t>1      0     43     93   -118</t>
  </si>
  <si>
    <t>0   -252</t>
  </si>
  <si>
    <t>9302    536      0</t>
  </si>
  <si>
    <t>0      0   2881   3594   2304</t>
  </si>
  <si>
    <t>364  -1267</t>
  </si>
  <si>
    <t>0    297      0</t>
  </si>
  <si>
    <t>0     77      0   -719      0</t>
  </si>
  <si>
    <t>0      0      0      0    177</t>
  </si>
  <si>
    <t>0  -2739</t>
  </si>
  <si>
    <t>2993  -1081      0   104</t>
  </si>
  <si>
    <t>3 -41350      0      0      0</t>
  </si>
  <si>
    <t>3911  -1505   -561   -72</t>
  </si>
  <si>
    <t>9    -88      0      0      0</t>
  </si>
  <si>
    <t>3068      0  -1890</t>
  </si>
  <si>
    <t>0      0    178      9      0</t>
  </si>
  <si>
    <t>0  -1198      0   -31</t>
  </si>
  <si>
    <t>4  -2544   -771   2549    581</t>
  </si>
  <si>
    <t>379    160</t>
  </si>
  <si>
    <t>242   -372    432</t>
  </si>
  <si>
    <t>-163   -182   2076   -20</t>
  </si>
  <si>
    <t>8   1305   -177      0      0</t>
  </si>
  <si>
    <t>253   -230      0</t>
  </si>
  <si>
    <t>0      0      0  -1130      0</t>
  </si>
  <si>
    <t>119  -2461</t>
  </si>
  <si>
    <t>0      0  -1750      0      0</t>
  </si>
  <si>
    <t>0    583    189     4</t>
  </si>
  <si>
    <t>6   5477  -4479    740  -3177</t>
  </si>
  <si>
    <t>008    -82</t>
  </si>
  <si>
    <t>-136    749    360   712</t>
  </si>
  <si>
    <t>0  -2547   2200   1500  -1924</t>
  </si>
  <si>
    <t>0    606</t>
  </si>
  <si>
    <t>4199   4274   -362   -59</t>
  </si>
  <si>
    <t>8   3190    268  -1840    237</t>
  </si>
  <si>
    <t>655    257</t>
  </si>
  <si>
    <t>1567    -66   1764    34</t>
  </si>
  <si>
    <t>5  -1327   2378   4058   -263</t>
  </si>
  <si>
    <t>837   -666</t>
  </si>
  <si>
    <t>-855    725    152    20</t>
  </si>
  <si>
    <t>4   -913   -459    438    -29</t>
  </si>
  <si>
    <t>744   1287</t>
  </si>
  <si>
    <t>2291    713    739    55</t>
  </si>
  <si>
    <t>8    138    -25     68     43</t>
  </si>
  <si>
    <t>-3  33244</t>
  </si>
  <si>
    <t>2682  39451  36863  3363</t>
  </si>
  <si>
    <t>0  18092  23723  17622  24683</t>
  </si>
  <si>
    <t>905    251</t>
  </si>
  <si>
    <t>0906   -214    -30    15</t>
  </si>
  <si>
    <t>4      0      0      6      0</t>
  </si>
  <si>
    <t>232    218      0</t>
  </si>
  <si>
    <t>0    124      0   -16</t>
  </si>
  <si>
    <t>2      0   -240      2    -32</t>
  </si>
  <si>
    <t>6312    -70   -121   -26</t>
  </si>
  <si>
    <t>0   -353      0     83      0</t>
  </si>
  <si>
    <t>0      0    -30</t>
  </si>
  <si>
    <t>0      0      0    148      0</t>
  </si>
  <si>
    <t>0     64      0    -28    275</t>
  </si>
  <si>
    <t>1613 -45106      0   -37</t>
  </si>
  <si>
    <t>533    118</t>
  </si>
  <si>
    <t>-32      0      0   -62</t>
  </si>
  <si>
    <t>4   -108      0    197    -67</t>
  </si>
  <si>
    <t>118     69</t>
  </si>
  <si>
    <t>9   1033   -763</t>
  </si>
  <si>
    <t>2522   3003   1474</t>
  </si>
  <si>
    <t>0   -388 -42209    -11    -73</t>
  </si>
  <si>
    <t>348    -19    -79    -2</t>
  </si>
  <si>
    <t>4      0    -19     14      0</t>
  </si>
  <si>
    <t>18    -83      0     7</t>
  </si>
  <si>
    <t>4   -248   -214   -600      0</t>
  </si>
  <si>
    <t>0      0    -21</t>
  </si>
  <si>
    <t>0    412     27   -155      0</t>
  </si>
  <si>
    <t>905 -42781</t>
  </si>
  <si>
    <t>1212    644   -494   -30</t>
  </si>
  <si>
    <t>3    153    682      0    557</t>
  </si>
  <si>
    <t>768   1166      0   306</t>
  </si>
  <si>
    <t>1      0      0  -1349      0</t>
  </si>
  <si>
    <t>268    818</t>
  </si>
  <si>
    <t>3681      0      0</t>
  </si>
  <si>
    <t>0      0      0   -160      0</t>
  </si>
  <si>
    <t>15   1214</t>
  </si>
  <si>
    <t>1257      0   -204 -4928</t>
  </si>
  <si>
    <t>3    515      0      0      0</t>
  </si>
  <si>
    <t>179   3052</t>
  </si>
  <si>
    <t>2158  -1340  -1248</t>
  </si>
  <si>
    <t>0    316      0      0     21</t>
  </si>
  <si>
    <t>0   -974</t>
  </si>
  <si>
    <t>0  -1320      0</t>
  </si>
  <si>
    <t>77      0  -2697  -286</t>
  </si>
  <si>
    <t>8  -1009      0   1130 -41423</t>
  </si>
  <si>
    <t>0      0      0  -402</t>
  </si>
  <si>
    <t>1  -1451   -597   -746   -148</t>
  </si>
  <si>
    <t>-22      0</t>
  </si>
  <si>
    <t>0      0      0  -258</t>
  </si>
  <si>
    <t>2      0  -1605      0      0</t>
  </si>
  <si>
    <t>0  -1286      0    -84  -2528</t>
  </si>
  <si>
    <t>896   2457</t>
  </si>
  <si>
    <t>680    432    362    28</t>
  </si>
  <si>
    <t>5   -415    274      0      0</t>
  </si>
  <si>
    <t>0      0      0  -103</t>
  </si>
  <si>
    <t>7   -344    659   -198    421</t>
  </si>
  <si>
    <t>0     22      0    22</t>
  </si>
  <si>
    <t>4    -23      0      0      0</t>
  </si>
  <si>
    <t>0  -1644</t>
  </si>
  <si>
    <t>0   -829   -909</t>
  </si>
  <si>
    <t>0    378     62    -54   4137</t>
  </si>
  <si>
    <t>444  -4950</t>
  </si>
  <si>
    <t>3331   1690    -45     -</t>
  </si>
  <si>
    <t>1    707    204   7358   2116</t>
  </si>
  <si>
    <t>172   1452</t>
  </si>
  <si>
    <t>2070      0   -167   436</t>
  </si>
  <si>
    <t>2 -15121   -401    868    134</t>
  </si>
  <si>
    <t>744  -1696</t>
  </si>
  <si>
    <t>2403    668   4745  -143</t>
  </si>
  <si>
    <t>6   -258    438   1976  -1354</t>
  </si>
  <si>
    <t>286   -220</t>
  </si>
  <si>
    <t>4251   -709   -585   -35</t>
  </si>
  <si>
    <t>4    234    626    272   -814</t>
  </si>
  <si>
    <t>964     74</t>
  </si>
  <si>
    <t>529  -1430   1402    76</t>
  </si>
  <si>
    <t>3   2075    941    972    -53</t>
  </si>
  <si>
    <t>35    -47  33674  3975</t>
  </si>
  <si>
    <t>9  43012  37098  33701  19604</t>
  </si>
  <si>
    <t>704  19341</t>
  </si>
  <si>
    <t>4540  26455  47183    40</t>
  </si>
  <si>
    <t>8 -30221     73    -49    211</t>
  </si>
  <si>
    <t>51      0      0</t>
  </si>
  <si>
    <t>0   -406    301      0      0</t>
  </si>
  <si>
    <t>0      0    -64</t>
  </si>
  <si>
    <t>0      0    120      0   -160</t>
  </si>
  <si>
    <t>0   -250</t>
  </si>
  <si>
    <t>0   -109      0     1</t>
  </si>
  <si>
    <t>4 -25857    -31    -42   -237</t>
  </si>
  <si>
    <t>84      0      0</t>
  </si>
  <si>
    <t>0      0      0     13      0</t>
  </si>
  <si>
    <t>-7      0     41</t>
  </si>
  <si>
    <t>-15    265      0</t>
  </si>
  <si>
    <t>0    621 -42878      0    198</t>
  </si>
  <si>
    <t>0      0    108    27</t>
  </si>
  <si>
    <t>1    611      0      0    228</t>
  </si>
  <si>
    <t>-120   3304    -44   208</t>
  </si>
  <si>
    <t>1   -429   -224   -365      0</t>
  </si>
  <si>
    <t>0      0   -573</t>
  </si>
  <si>
    <t>0   2178   2687    622      0</t>
  </si>
  <si>
    <t>375 -41435</t>
  </si>
  <si>
    <t>-30     49     26</t>
  </si>
  <si>
    <t>0    558    -32     78     58</t>
  </si>
  <si>
    <t>0      3</t>
  </si>
  <si>
    <t>42      0      0</t>
  </si>
  <si>
    <t>0    -17    164      0    135</t>
  </si>
  <si>
    <t>-2      0      0</t>
  </si>
  <si>
    <t>0      0      0    192      0</t>
  </si>
  <si>
    <t>226     49</t>
  </si>
  <si>
    <t>-106      0   -495 -4053</t>
  </si>
  <si>
    <t>9     -6    -15     14     14</t>
  </si>
  <si>
    <t>420     -4</t>
  </si>
  <si>
    <t>0    128      0</t>
  </si>
  <si>
    <t>0     22     29      0    -12</t>
  </si>
  <si>
    <t>-40      0    -18    -4</t>
  </si>
  <si>
    <t>2     74      0      0      0</t>
  </si>
  <si>
    <t>313      0     32    23</t>
  </si>
  <si>
    <t>9     16      0    122 -51376</t>
  </si>
  <si>
    <t>0      0    593   115</t>
  </si>
  <si>
    <t>3   -397   -685   -566      0</t>
  </si>
  <si>
    <t>0    424      0  -924</t>
  </si>
  <si>
    <t>1      0  -7696      0      0</t>
  </si>
  <si>
    <t>0   -258      0  -3161  -1276</t>
  </si>
  <si>
    <t>303      0</t>
  </si>
  <si>
    <t>1002 -40721      0</t>
  </si>
  <si>
    <t>0      0      0      0  -3542</t>
  </si>
  <si>
    <t>989   -577</t>
  </si>
  <si>
    <t>0      0      0      0  -1582</t>
  </si>
  <si>
    <t>0  -1201</t>
  </si>
  <si>
    <t>0      0    140    -3</t>
  </si>
  <si>
    <t>-330  -2384   -770   229</t>
  </si>
  <si>
    <t>0    370    116    266    218</t>
  </si>
  <si>
    <t>238    531</t>
  </si>
  <si>
    <t>0      0      0      0    -68</t>
  </si>
  <si>
    <t>161    192</t>
  </si>
  <si>
    <t>-91    929     99</t>
  </si>
  <si>
    <t>0      0     55      0    202</t>
  </si>
  <si>
    <t>2      0  -1234   -407      0</t>
  </si>
  <si>
    <t>0      0  -1093</t>
  </si>
  <si>
    <t>499   -164</t>
  </si>
  <si>
    <t>99  -1685   -587   -77</t>
  </si>
  <si>
    <t>2  -7427   2859    -13    -39</t>
  </si>
  <si>
    <t>586    466</t>
  </si>
  <si>
    <t>4683   1336   1306  -277</t>
  </si>
  <si>
    <t>9  -1202      0    457   2451</t>
  </si>
  <si>
    <t>293 -18328</t>
  </si>
  <si>
    <t>978    442    497   393</t>
  </si>
  <si>
    <t>7   4377    511    496   2382</t>
  </si>
  <si>
    <t>048    294</t>
  </si>
  <si>
    <t>456    347   -513    13</t>
  </si>
  <si>
    <t>1    119   4932   -181    917</t>
  </si>
  <si>
    <t>165   -491</t>
  </si>
  <si>
    <t>625   -939    -71   -19</t>
  </si>
  <si>
    <t>8   -366   -902   1172    298</t>
  </si>
  <si>
    <t>862   1366</t>
  </si>
  <si>
    <t>1054    139     49   -30</t>
  </si>
  <si>
    <t>9    244     12  31328  38240</t>
  </si>
  <si>
    <t>169  39891</t>
  </si>
  <si>
    <t>2408  14671  21209  1706</t>
  </si>
  <si>
    <t>2  25923  25700  49051  49171</t>
  </si>
  <si>
    <t>9 -29950</t>
  </si>
  <si>
    <t>-69    -24   1009</t>
  </si>
  <si>
    <t>0      0    -79      0      0</t>
  </si>
  <si>
    <t>0    203</t>
  </si>
  <si>
    <t>12      0      0</t>
  </si>
  <si>
    <t>66      0   -109</t>
  </si>
  <si>
    <t>0    -59     90      2      0</t>
  </si>
  <si>
    <t>167 -25288</t>
  </si>
  <si>
    <t>36    355    108   -10</t>
  </si>
  <si>
    <t>0    180      0</t>
  </si>
  <si>
    <t>0      0    -73      0     29</t>
  </si>
  <si>
    <t>0      0      0    -6</t>
  </si>
  <si>
    <t>2      0   -718    356      0</t>
  </si>
  <si>
    <t>0  -1510</t>
  </si>
  <si>
    <t>2271      0    175</t>
  </si>
  <si>
    <t>0      0      0      0  -1660</t>
  </si>
  <si>
    <t>618   1594</t>
  </si>
  <si>
    <t>0      0     79    51</t>
  </si>
  <si>
    <t>9      0     43   1140     99</t>
  </si>
  <si>
    <t>529    437</t>
  </si>
  <si>
    <t>408   1371      0</t>
  </si>
  <si>
    <t>0      0      0      0    614</t>
  </si>
  <si>
    <t>0    460</t>
  </si>
  <si>
    <t>3939    957      0    19</t>
  </si>
  <si>
    <t>5 -41460     56    244    114</t>
  </si>
  <si>
    <t>0   1806</t>
  </si>
  <si>
    <t>1761     48    -49</t>
  </si>
  <si>
    <t>0    188   -374      0      0</t>
  </si>
  <si>
    <t>1187      0   -734</t>
  </si>
  <si>
    <t>6      6   -218      0      0</t>
  </si>
  <si>
    <t>0   -259      0    35</t>
  </si>
  <si>
    <t>3   -228     -9      0    -93</t>
  </si>
  <si>
    <t>294    -89</t>
  </si>
  <si>
    <t>136    -97    -93   180</t>
  </si>
  <si>
    <t>3   1931      0     67      0</t>
  </si>
  <si>
    <t>0   -302</t>
  </si>
  <si>
    <t>59      0    282</t>
  </si>
  <si>
    <t>0      0    -39      0    141</t>
  </si>
  <si>
    <t>16     43</t>
  </si>
  <si>
    <t>0      0    -44      0   -237</t>
  </si>
  <si>
    <t>-22    126</t>
  </si>
  <si>
    <t>0     78 -48285    42</t>
  </si>
  <si>
    <t>5      0      0      0   3683</t>
  </si>
  <si>
    <t>094   2164</t>
  </si>
  <si>
    <t>1295  -1273      0     -</t>
  </si>
  <si>
    <t>1      0      0    113      0</t>
  </si>
  <si>
    <t>799      0</t>
  </si>
  <si>
    <t>1120      0      0</t>
  </si>
  <si>
    <t>0  -2456  -2876   -83</t>
  </si>
  <si>
    <t>4      0   3235 -42589      0</t>
  </si>
  <si>
    <t>0      0  -5429  -551</t>
  </si>
  <si>
    <t>0  -1360  -1311  -1628  -2086</t>
  </si>
  <si>
    <t>0      0 -13795</t>
  </si>
  <si>
    <t>0  -8285      0      0   1097</t>
  </si>
  <si>
    <t>0      0      0  -210</t>
  </si>
  <si>
    <t>2      0   -879  -1724  -1426</t>
  </si>
  <si>
    <t>508   -157</t>
  </si>
  <si>
    <t>1   -768      0      0      0</t>
  </si>
  <si>
    <t>0      0   -386   -26</t>
  </si>
  <si>
    <t>9   3120   -159   2033    -56</t>
  </si>
  <si>
    <t>-295      0    269    23</t>
  </si>
  <si>
    <t>4535  -7888      0</t>
  </si>
  <si>
    <t>0      0      0      0     61</t>
  </si>
  <si>
    <t>0      0      0    42</t>
  </si>
  <si>
    <t>7    398      8   4177   1690</t>
  </si>
  <si>
    <t>603  -1641</t>
  </si>
  <si>
    <t>127   -198     69    46</t>
  </si>
  <si>
    <t>9    421    402   1746   1474</t>
  </si>
  <si>
    <t>709     29</t>
  </si>
  <si>
    <t>0   4933   2559   235</t>
  </si>
  <si>
    <t>4   -251   3108   1251   1827</t>
  </si>
  <si>
    <t>577   2983</t>
  </si>
  <si>
    <t>1961   1488   -636   210</t>
  </si>
  <si>
    <t>5   1338   1342   -685   2718</t>
  </si>
  <si>
    <t>962   1246</t>
  </si>
  <si>
    <t>2   -515   -281    160    534</t>
  </si>
  <si>
    <t>492   -464</t>
  </si>
  <si>
    <t>2112   1810     62   -10</t>
  </si>
  <si>
    <t>8    137   2626    267    187</t>
  </si>
  <si>
    <t>6    185</t>
  </si>
  <si>
    <t>254  32869  37559  3752</t>
  </si>
  <si>
    <t>2  34794  35346  16411  21596</t>
  </si>
  <si>
    <t>190  23909</t>
  </si>
  <si>
    <t>7868  51560  50686  4408</t>
  </si>
  <si>
    <t>1    326 -32220   -286    -20</t>
  </si>
  <si>
    <t>0    151      0</t>
  </si>
  <si>
    <t>0      0    -32     67      0</t>
  </si>
  <si>
    <t>2      0      0     68      0</t>
  </si>
  <si>
    <t>-46      0</t>
  </si>
  <si>
    <t>0     92 -27780   -135   -253</t>
  </si>
  <si>
    <t>196   -367</t>
  </si>
  <si>
    <t>0     79      0</t>
  </si>
  <si>
    <t>0      0      0      0     72</t>
  </si>
  <si>
    <t>0     51      0    -2</t>
  </si>
  <si>
    <t>0    202</t>
  </si>
  <si>
    <t>0    176    299</t>
  </si>
  <si>
    <t>0      0    139 -43834      0</t>
  </si>
  <si>
    <t>481      0</t>
  </si>
  <si>
    <t>2    137    156      0      0</t>
  </si>
  <si>
    <t>101    -45</t>
  </si>
  <si>
    <t>0     65    -88</t>
  </si>
  <si>
    <t>0    -55    -54   -174    -81</t>
  </si>
  <si>
    <t>0      0      0   -28</t>
  </si>
  <si>
    <t>3      0     27   -276     67</t>
  </si>
  <si>
    <t>0    -21</t>
  </si>
  <si>
    <t>9389   -241    301    27</t>
  </si>
  <si>
    <t>5      0    110   1275    206</t>
  </si>
  <si>
    <t>-21   -205      0</t>
  </si>
  <si>
    <t>0      0      1     69      0</t>
  </si>
  <si>
    <t>524    671</t>
  </si>
  <si>
    <t>1290     30      0</t>
  </si>
  <si>
    <t>0      0      0      0   -454</t>
  </si>
  <si>
    <t>0   -662</t>
  </si>
  <si>
    <t>2658   1482      0     2</t>
  </si>
  <si>
    <t>5 -48868  -1002   -978    172</t>
  </si>
  <si>
    <t>312  -1253</t>
  </si>
  <si>
    <t>-48      0    486</t>
  </si>
  <si>
    <t>0      0    110     65      0</t>
  </si>
  <si>
    <t>728      0</t>
  </si>
  <si>
    <t>0    189      0    73</t>
  </si>
  <si>
    <t>7    788   -694      0      0</t>
  </si>
  <si>
    <t>0   -124      0   -13</t>
  </si>
  <si>
    <t>6   3027   1377      0    369</t>
  </si>
  <si>
    <t>072    496</t>
  </si>
  <si>
    <t>0      0      0   217</t>
  </si>
  <si>
    <t>3   3314   2457  -1486  -1376</t>
  </si>
  <si>
    <t>0    152</t>
  </si>
  <si>
    <t>0      0     98</t>
  </si>
  <si>
    <t>0   -857      0  -1363      0</t>
  </si>
  <si>
    <t>0      0   -143      0  -3664</t>
  </si>
  <si>
    <t>604  -1225</t>
  </si>
  <si>
    <t>0   1612 -45286</t>
  </si>
  <si>
    <t>581  -1454</t>
  </si>
  <si>
    <t>-549   -780    -12     2</t>
  </si>
  <si>
    <t>1618      0      0    43</t>
  </si>
  <si>
    <t>7   -287      0      0      0</t>
  </si>
  <si>
    <t>0  -1725</t>
  </si>
  <si>
    <t>0   -567  -3067   -75</t>
  </si>
  <si>
    <t>6   3960   1008    830    621</t>
  </si>
  <si>
    <t>503    107</t>
  </si>
  <si>
    <t>223      0      0</t>
  </si>
  <si>
    <t>107   -174</t>
  </si>
  <si>
    <t>555   -112    397   -30</t>
  </si>
  <si>
    <t>2      0      0    142      0</t>
  </si>
  <si>
    <t>360   -384</t>
  </si>
  <si>
    <t>0  -2421      0   -291    280</t>
  </si>
  <si>
    <t>0    244</t>
  </si>
  <si>
    <t>724    815   2628   600</t>
  </si>
  <si>
    <t>3   7023  -1297  -5773   -127</t>
  </si>
  <si>
    <t>53   1486</t>
  </si>
  <si>
    <t>747   4066   8266   819</t>
  </si>
  <si>
    <t>9   3172  -9171      0    856</t>
  </si>
  <si>
    <t>243   -281</t>
  </si>
  <si>
    <t>1805   1134    805    25</t>
  </si>
  <si>
    <t>6  -1400   1263  -1852    273</t>
  </si>
  <si>
    <t>035    627</t>
  </si>
  <si>
    <t>-845   -383  -1470    62</t>
  </si>
  <si>
    <t>2   -119   1290   -647    635</t>
  </si>
  <si>
    <t>-2    435</t>
  </si>
  <si>
    <t>11    208  -1026   -29</t>
  </si>
  <si>
    <t>4   -489   -303  -1690   1410</t>
  </si>
  <si>
    <t>294    367</t>
  </si>
  <si>
    <t>299    579    415    22</t>
  </si>
  <si>
    <t>5    104    325    153  33881</t>
  </si>
  <si>
    <t>286  40102</t>
  </si>
  <si>
    <t>8073  35376  18375  2362</t>
  </si>
  <si>
    <t>3  18027  25476  28034  59875</t>
  </si>
  <si>
    <t>513  56476</t>
  </si>
  <si>
    <t>6913    120 -31932    11</t>
  </si>
  <si>
    <t>0    -23    205      0      0</t>
  </si>
  <si>
    <t>63      0</t>
  </si>
  <si>
    <t>0      0     -2     2</t>
  </si>
  <si>
    <t>-39      0      0     5</t>
  </si>
  <si>
    <t>8      0    -48      0    -74</t>
  </si>
  <si>
    <t>211    -88</t>
  </si>
  <si>
    <t>0     22 -26853    -9</t>
  </si>
  <si>
    <t>1   -178   -130   -338      0</t>
  </si>
  <si>
    <t>89      0</t>
  </si>
  <si>
    <t>0     55      0      0      0</t>
  </si>
  <si>
    <t>-28      0</t>
  </si>
  <si>
    <t>6      0      0</t>
  </si>
  <si>
    <t>0      0      0    135      0</t>
  </si>
  <si>
    <t>-59    348</t>
  </si>
  <si>
    <t>0      0    194 -4172</t>
  </si>
  <si>
    <t>7      0   -283      0      0</t>
  </si>
  <si>
    <t>-373     24    104</t>
  </si>
  <si>
    <t>0      0    -44    -42      0</t>
  </si>
  <si>
    <t>3   -262      0      0      0</t>
  </si>
  <si>
    <t>-140      0    266   -26</t>
  </si>
  <si>
    <t>8     41      0   -149 -47737</t>
  </si>
  <si>
    <t>462    608</t>
  </si>
  <si>
    <t>326      0    -75   154</t>
  </si>
  <si>
    <t>2    263    374      0   -286</t>
  </si>
  <si>
    <t>0      0   -217   277</t>
  </si>
  <si>
    <t>2      0   1768     27     16</t>
  </si>
  <si>
    <t>62      0</t>
  </si>
  <si>
    <t>0   -247      0   2079   2386</t>
  </si>
  <si>
    <t>415      0</t>
  </si>
  <si>
    <t>-132 -43294   -144     1</t>
  </si>
  <si>
    <t>7    174     51    375    381</t>
  </si>
  <si>
    <t>0      0   -117     3</t>
  </si>
  <si>
    <t>6      0    147      0      0</t>
  </si>
  <si>
    <t>16      0</t>
  </si>
  <si>
    <t>58     25    148</t>
  </si>
  <si>
    <t>198      0</t>
  </si>
  <si>
    <t>0   -621 -59752   -209      0</t>
  </si>
  <si>
    <t>1579   4136   3631   -85</t>
  </si>
  <si>
    <t>0  -1080      0     93      0</t>
  </si>
  <si>
    <t>0    517      0    69</t>
  </si>
  <si>
    <t>0      0    -15</t>
  </si>
  <si>
    <t>0   -497   1002   1186      0</t>
  </si>
  <si>
    <t>746 -43277</t>
  </si>
  <si>
    <t>0      0  -3416  -1674   -622</t>
  </si>
  <si>
    <t>788    -77</t>
  </si>
  <si>
    <t>-100      0      0</t>
  </si>
  <si>
    <t>0      0  -2560      0  -1610</t>
  </si>
  <si>
    <t>156     -7      0</t>
  </si>
  <si>
    <t>0      0      0  -1531      0</t>
  </si>
  <si>
    <t>392  -3099</t>
  </si>
  <si>
    <t>-936   2721    214    38</t>
  </si>
  <si>
    <t>2    340    389   -149    -74</t>
  </si>
  <si>
    <t>0      0     12     51   -138</t>
  </si>
  <si>
    <t>17      0      0    12</t>
  </si>
  <si>
    <t>4      0    239      7      0</t>
  </si>
  <si>
    <t>0   -536      0  -102</t>
  </si>
  <si>
    <t>1  -1059      0      0      0</t>
  </si>
  <si>
    <t>1227      0      0</t>
  </si>
  <si>
    <t>0      0      0    -56    184</t>
  </si>
  <si>
    <t>81    626</t>
  </si>
  <si>
    <t>-323   1366   3837   -81</t>
  </si>
  <si>
    <t>4     59     44    999    151</t>
  </si>
  <si>
    <t>804   5861</t>
  </si>
  <si>
    <t>2620   8296  -5641</t>
  </si>
  <si>
    <t>0    783   -797   1655  -3173</t>
  </si>
  <si>
    <t>718   1205</t>
  </si>
  <si>
    <t>1225   -941    671   388</t>
  </si>
  <si>
    <t>1    359  -1732    379   2003</t>
  </si>
  <si>
    <t>882   -736</t>
  </si>
  <si>
    <t>619  -1131    733   207</t>
  </si>
  <si>
    <t>6    -72     41     88    214</t>
  </si>
  <si>
    <t>381  -1177</t>
  </si>
  <si>
    <t>8    965     34    149     67</t>
  </si>
  <si>
    <t>663    101</t>
  </si>
  <si>
    <t>347    136    172    11</t>
  </si>
  <si>
    <t>0  33840  39692  41252  37941</t>
  </si>
  <si>
    <t>926  18644</t>
  </si>
  <si>
    <t>9667  18678  24956  2767</t>
  </si>
  <si>
    <t>0  53749  55334  52563  52534</t>
  </si>
  <si>
    <t>695    552</t>
  </si>
  <si>
    <t>2265   -287    -47    12</t>
  </si>
  <si>
    <t>3      0      0    153      0</t>
  </si>
  <si>
    <t>27     39      0</t>
  </si>
  <si>
    <t>206      0</t>
  </si>
  <si>
    <t>0     29      0    -3</t>
  </si>
  <si>
    <t>1      0    -29   -340    -77</t>
  </si>
  <si>
    <t>0     79</t>
  </si>
  <si>
    <t>7425   -178   -106   -10</t>
  </si>
  <si>
    <t>1   -100      0     -7      0</t>
  </si>
  <si>
    <t>35      0</t>
  </si>
  <si>
    <t>0     30      0   -114     34</t>
  </si>
  <si>
    <t>-465 -40870      0   -39</t>
  </si>
  <si>
    <t>277     59</t>
  </si>
  <si>
    <t>129      0      0     -</t>
  </si>
  <si>
    <t>8     25      0     93    -67</t>
  </si>
  <si>
    <t>41     17</t>
  </si>
  <si>
    <t>-75     44    -66</t>
  </si>
  <si>
    <t>286      0</t>
  </si>
  <si>
    <t>140     44     64</t>
  </si>
  <si>
    <t>0   -336 -47395   -955   -463</t>
  </si>
  <si>
    <t>1234  -1631  -1665    79</t>
  </si>
  <si>
    <t>6      0  -1601   -649      0</t>
  </si>
  <si>
    <t>-80   1005      0   112</t>
  </si>
  <si>
    <t>3     35     34   1291      0</t>
  </si>
  <si>
    <t>0      0    158</t>
  </si>
  <si>
    <t>0   2975   2312    685      0</t>
  </si>
  <si>
    <t>250 -42633</t>
  </si>
  <si>
    <t>-159    -44    583   -17</t>
  </si>
  <si>
    <t>9    250    511      0     29</t>
  </si>
  <si>
    <t>-175     68      0     8</t>
  </si>
  <si>
    <t>9      0      0    -52      0</t>
  </si>
  <si>
    <t>28     13</t>
  </si>
  <si>
    <t>-48      0      0</t>
  </si>
  <si>
    <t>0      0      0     45      0</t>
  </si>
  <si>
    <t>103   -125</t>
  </si>
  <si>
    <t>-42      0     -6 -5092</t>
  </si>
  <si>
    <t>2    505      0      0      0</t>
  </si>
  <si>
    <t>167   3402</t>
  </si>
  <si>
    <t>2194  -1366  -1239</t>
  </si>
  <si>
    <t>0     90      0      0     84</t>
  </si>
  <si>
    <t>0   -989</t>
  </si>
  <si>
    <t>0  -1448      0</t>
  </si>
  <si>
    <t>146      0  -2614  -309</t>
  </si>
  <si>
    <t>5  -1034      0    165 -48196</t>
  </si>
  <si>
    <t>0      0      0   -64</t>
  </si>
  <si>
    <t>1    291  -1231  -1471   -946</t>
  </si>
  <si>
    <t>0      0      0  -180</t>
  </si>
  <si>
    <t>9      0   -327      0      0</t>
  </si>
  <si>
    <t>088  -1323</t>
  </si>
  <si>
    <t>0   -185      0   1214    181</t>
  </si>
  <si>
    <t>578   6049</t>
  </si>
  <si>
    <t>1380   1054    828    73</t>
  </si>
  <si>
    <t>0    352    367      0      0</t>
  </si>
  <si>
    <t>4    -30    286     -3     30</t>
  </si>
  <si>
    <t>2      0</t>
  </si>
  <si>
    <t>0    275      0     9</t>
  </si>
  <si>
    <t>2   -500      0      0      0</t>
  </si>
  <si>
    <t>0  -1731</t>
  </si>
  <si>
    <t>0   -630  -2171</t>
  </si>
  <si>
    <t>469      0</t>
  </si>
  <si>
    <t>0    236     53    -25   -216</t>
  </si>
  <si>
    <t>587   -176</t>
  </si>
  <si>
    <t>3810   -442   -154   -13</t>
  </si>
  <si>
    <t>7   -154   -208   -327  -1072</t>
  </si>
  <si>
    <t>19    -65</t>
  </si>
  <si>
    <t>446      0   -103   170</t>
  </si>
  <si>
    <t>0   -265  -3096     95    674</t>
  </si>
  <si>
    <t>261  -2386</t>
  </si>
  <si>
    <t>172   1153   -320  -233</t>
  </si>
  <si>
    <t>4    -54    701   -490  -2110</t>
  </si>
  <si>
    <t>136    161</t>
  </si>
  <si>
    <t>-197  -1180    -49    16</t>
  </si>
  <si>
    <t>8    180    349    306  -1307</t>
  </si>
  <si>
    <t>-53    901</t>
  </si>
  <si>
    <t>-106  -1653    263    22</t>
  </si>
  <si>
    <t>9    255    225    503    261</t>
  </si>
  <si>
    <t>165    625</t>
  </si>
  <si>
    <t>180    443  34101  4238</t>
  </si>
  <si>
    <t>3  41052  38377  36922  19381</t>
  </si>
  <si>
    <t>879  19041</t>
  </si>
  <si>
    <t>6011  28876  51355  5432</t>
  </si>
  <si>
    <t>4  51719  52285  59793  52244</t>
  </si>
  <si>
    <t>182 -31925</t>
  </si>
  <si>
    <t>14    -23    141</t>
  </si>
  <si>
    <t>0      0     69      0      0</t>
  </si>
  <si>
    <t>0      0      0      0    -28</t>
  </si>
  <si>
    <t>63      0    -69</t>
  </si>
  <si>
    <t>0    -83   -225   -126      0</t>
  </si>
  <si>
    <t>38 -27075</t>
  </si>
  <si>
    <t>5      0     85      0      0</t>
  </si>
  <si>
    <t>0     47      0</t>
  </si>
  <si>
    <t>0      0    -32      0      2</t>
  </si>
  <si>
    <t>0      0     47    323      0</t>
  </si>
  <si>
    <t>0    -37</t>
  </si>
  <si>
    <t>1958      0   -359</t>
  </si>
  <si>
    <t>0      0      0      0   -327</t>
  </si>
  <si>
    <t>93    168</t>
  </si>
  <si>
    <t>0      0    -81    -6</t>
  </si>
  <si>
    <t>2      0    -21   -169     -8</t>
  </si>
  <si>
    <t>202   -103</t>
  </si>
  <si>
    <t>-49   -196      0</t>
  </si>
  <si>
    <t>0      0      0      0     14</t>
  </si>
  <si>
    <t>0    370</t>
  </si>
  <si>
    <t>-39     84      0     8</t>
  </si>
  <si>
    <t>1 -44306   -217     50    322</t>
  </si>
  <si>
    <t>0    299</t>
  </si>
  <si>
    <t>455    -47     44</t>
  </si>
  <si>
    <t>0    -64   -172      0      0</t>
  </si>
  <si>
    <t>0     -1</t>
  </si>
  <si>
    <t>-20      0      4     5</t>
  </si>
  <si>
    <t>4     12    119      0      0</t>
  </si>
  <si>
    <t>0   -208      0   -16</t>
  </si>
  <si>
    <t>4   -529   -228      0   -653</t>
  </si>
  <si>
    <t>207   1514</t>
  </si>
  <si>
    <t>-148    726     -4   -43</t>
  </si>
  <si>
    <t>1   1559      0    398      0</t>
  </si>
  <si>
    <t>0   -734</t>
  </si>
  <si>
    <t>100      0     19</t>
  </si>
  <si>
    <t>0      0     32      0   -361</t>
  </si>
  <si>
    <t>0      0    260      0   1186</t>
  </si>
  <si>
    <t>888    606</t>
  </si>
  <si>
    <t>0   -469 -58499    54</t>
  </si>
  <si>
    <t>2      0      0      0   2375</t>
  </si>
  <si>
    <t>695   2302</t>
  </si>
  <si>
    <t>-944  -1347      0   -39</t>
  </si>
  <si>
    <t>0      0      0  -1559      0</t>
  </si>
  <si>
    <t>1052      0      0</t>
  </si>
  <si>
    <t>0  -2316    962   150</t>
  </si>
  <si>
    <t>6      0   1647 -43503      0</t>
  </si>
  <si>
    <t>0      0  -3309  -140</t>
  </si>
  <si>
    <t>8   -635   -770   -125   -254</t>
  </si>
  <si>
    <t>0      0  -2558</t>
  </si>
  <si>
    <t>0  -1610      0      0    271</t>
  </si>
  <si>
    <t>-9      0</t>
  </si>
  <si>
    <t>0      0      0  -136</t>
  </si>
  <si>
    <t>6      0   -220  -3118  -1010</t>
  </si>
  <si>
    <t>645     87</t>
  </si>
  <si>
    <t>418    180    328   -29</t>
  </si>
  <si>
    <t>9   -142      0      0      0</t>
  </si>
  <si>
    <t>0      0    239    -2</t>
  </si>
  <si>
    <t>6    715    -25    572     66</t>
  </si>
  <si>
    <t>111      0    237   -11</t>
  </si>
  <si>
    <t>-965   -989      0</t>
  </si>
  <si>
    <t>0      0      0      0  -1290</t>
  </si>
  <si>
    <t>6    136     20    288   1102</t>
  </si>
  <si>
    <t>434   2505</t>
  </si>
  <si>
    <t>-534    -33    105    97</t>
  </si>
  <si>
    <t>2    179   2747   2653   5533</t>
  </si>
  <si>
    <t>876  -5686</t>
  </si>
  <si>
    <t>0    657   1632   -53</t>
  </si>
  <si>
    <t>5  -2914    644    612    548</t>
  </si>
  <si>
    <t>098    728</t>
  </si>
  <si>
    <t>724   3147  -3581    45</t>
  </si>
  <si>
    <t>1    849   1975  -1559    517</t>
  </si>
  <si>
    <t>692  -1107</t>
  </si>
  <si>
    <t>561    -74    -66     1</t>
  </si>
  <si>
    <t>1    308    374  -1099   -279</t>
  </si>
  <si>
    <t>118    -87</t>
  </si>
  <si>
    <t>2197   1068    193    10</t>
  </si>
  <si>
    <t>3    192    656    186    311</t>
  </si>
  <si>
    <t>64    184</t>
  </si>
  <si>
    <t>208  33788  41334  3958</t>
  </si>
  <si>
    <t>8  38069  34964  18318  22800</t>
  </si>
  <si>
    <t>096  26859</t>
  </si>
  <si>
    <t>7272  55695  54189  5418</t>
  </si>
  <si>
    <t>7  52538  61004  53293  57318</t>
  </si>
  <si>
    <t>434 -32082</t>
  </si>
  <si>
    <t>-253     17   -112</t>
  </si>
  <si>
    <t>0      0    219      0      0</t>
  </si>
  <si>
    <t>0      0      0      0   -183</t>
  </si>
  <si>
    <t>7      0    -14</t>
  </si>
  <si>
    <t>0    -44   -301    -69      0</t>
  </si>
  <si>
    <t>77 -27600</t>
  </si>
  <si>
    <t>3      0    -20      0      0</t>
  </si>
  <si>
    <t>0      0    -11      0     17</t>
  </si>
  <si>
    <t>0      0      0     3</t>
  </si>
  <si>
    <t>6      0    122      5      0</t>
  </si>
  <si>
    <t>0   -484</t>
  </si>
  <si>
    <t>0882      0   -327</t>
  </si>
  <si>
    <t>0      0      0      0   -193</t>
  </si>
  <si>
    <t>108    159</t>
  </si>
  <si>
    <t>0      0      6     3</t>
  </si>
  <si>
    <t>8      0    103     -3     50</t>
  </si>
  <si>
    <t>66     34</t>
  </si>
  <si>
    <t>113     80      0</t>
  </si>
  <si>
    <t>0      0      0      0    244</t>
  </si>
  <si>
    <t>157     28      0   -12</t>
  </si>
  <si>
    <t>5 -43537   -225    -79    694</t>
  </si>
  <si>
    <t>0   -294</t>
  </si>
  <si>
    <t>304     40    -35</t>
  </si>
  <si>
    <t>0      1   -191      0      0</t>
  </si>
  <si>
    <t>0    -10</t>
  </si>
  <si>
    <t>-133      0   -129    -3</t>
  </si>
  <si>
    <t>8    -14   -183      0      0</t>
  </si>
  <si>
    <t>0    -70      0    18</t>
  </si>
  <si>
    <t>9   -139    -44      0   -188</t>
  </si>
  <si>
    <t>311   -583</t>
  </si>
  <si>
    <t>-230    288     21  -165</t>
  </si>
  <si>
    <t>3   -957      0   1039      0</t>
  </si>
  <si>
    <t>0   -841</t>
  </si>
  <si>
    <t>404      0   -297</t>
  </si>
  <si>
    <t>0      0    244      0     57</t>
  </si>
  <si>
    <t>209   1382</t>
  </si>
  <si>
    <t>0      0   -109      0   3799</t>
  </si>
  <si>
    <t>463    513</t>
  </si>
  <si>
    <t>0     38 -50956    44</t>
  </si>
  <si>
    <t>3      0      0      0   1508</t>
  </si>
  <si>
    <t>955   2156</t>
  </si>
  <si>
    <t>1317  -1195      0     7</t>
  </si>
  <si>
    <t>2      0      0     96      0</t>
  </si>
  <si>
    <t>826      0</t>
  </si>
  <si>
    <t>1318      0      0</t>
  </si>
  <si>
    <t>0  -2530  -3040  -104</t>
  </si>
  <si>
    <t>3      0    303 -46932      0</t>
  </si>
  <si>
    <t>0      0   -345   -92</t>
  </si>
  <si>
    <t>4   -932  -1242    -56  -1098</t>
  </si>
  <si>
    <t>0      0  -2889</t>
  </si>
  <si>
    <t>0  -1452      0      0  -1140</t>
  </si>
  <si>
    <t>0      0      0   -36</t>
  </si>
  <si>
    <t>1      0   -491    -73   1044</t>
  </si>
  <si>
    <t>600   1260</t>
  </si>
  <si>
    <t>963    642    577    49</t>
  </si>
  <si>
    <t>7    165      0      0      0</t>
  </si>
  <si>
    <t>0      0    -42    -5</t>
  </si>
  <si>
    <t>7    795    -74    590     -5</t>
  </si>
  <si>
    <t>231      0    163   -49</t>
  </si>
  <si>
    <t>282      0</t>
  </si>
  <si>
    <t>733   -541      0</t>
  </si>
  <si>
    <t>0      0      0      0   -483</t>
  </si>
  <si>
    <t>8    120    234    343    434</t>
  </si>
  <si>
    <t>260  -3153</t>
  </si>
  <si>
    <t>4   -211   -398    132   -444</t>
  </si>
  <si>
    <t>229    670</t>
  </si>
  <si>
    <t>0    566    464   257</t>
  </si>
  <si>
    <t>2  -2389    499    220   1834</t>
  </si>
  <si>
    <t>782    820</t>
  </si>
  <si>
    <t>534   1468  -1463    32</t>
  </si>
  <si>
    <t>2    135   1269  -1600    482</t>
  </si>
  <si>
    <t>529    695</t>
  </si>
  <si>
    <t>-400    -22    -18    33</t>
  </si>
  <si>
    <t>3    275    212  -1231     77</t>
  </si>
  <si>
    <t>114    775</t>
  </si>
  <si>
    <t>1272    114    161    23</t>
  </si>
  <si>
    <t>2    170    647    317    116</t>
  </si>
  <si>
    <t>433    235</t>
  </si>
  <si>
    <t>605  34000  40965  4211</t>
  </si>
  <si>
    <t>9  38235  36804  18877  23244</t>
  </si>
  <si>
    <t>852  25508</t>
  </si>
  <si>
    <t>0802  54541  51241  5143</t>
  </si>
  <si>
    <t>7  53912  60361  57061  49267</t>
  </si>
  <si>
    <t>318   -187</t>
  </si>
  <si>
    <t>1978   -424   -182   -12</t>
  </si>
  <si>
    <t>5      0      0    253      0</t>
  </si>
  <si>
    <t>177     54      0</t>
  </si>
  <si>
    <t>269      0</t>
  </si>
  <si>
    <t>0    110      0   -13</t>
  </si>
  <si>
    <t>1      0    343   -343   -242</t>
  </si>
  <si>
    <t>0    118</t>
  </si>
  <si>
    <t>3785    -63   -328   -45</t>
  </si>
  <si>
    <t>5  -1064      0    128      0</t>
  </si>
  <si>
    <t>0      0    314</t>
  </si>
  <si>
    <t>0      0      0   -221      0</t>
  </si>
  <si>
    <t>0     37      0    -22    195</t>
  </si>
  <si>
    <t>1551 -54670      0    76</t>
  </si>
  <si>
    <t>333   -309</t>
  </si>
  <si>
    <t>-15      0      0    57</t>
  </si>
  <si>
    <t>7    252      0    128    122</t>
  </si>
  <si>
    <t>330    152</t>
  </si>
  <si>
    <t>1071    844    398</t>
  </si>
  <si>
    <t>2026   1002   -333</t>
  </si>
  <si>
    <t>0  -1565 -65767   -115   -213</t>
  </si>
  <si>
    <t>363      0</t>
  </si>
  <si>
    <t>-484  -1478  -1551    20</t>
  </si>
  <si>
    <t>5      0    -28   -189      0</t>
  </si>
  <si>
    <t>-158   -609      0   -36</t>
  </si>
  <si>
    <t>2    275    166   -125      0</t>
  </si>
  <si>
    <t>0      0    814</t>
  </si>
  <si>
    <t>0  12554    668    225      0</t>
  </si>
  <si>
    <t>036 -64195</t>
  </si>
  <si>
    <t>7   -791   1256      0    336</t>
  </si>
  <si>
    <t>-294    450      0    25</t>
  </si>
  <si>
    <t>2      0      0   -139      0</t>
  </si>
  <si>
    <t>197    159</t>
  </si>
  <si>
    <t>-53      0      0</t>
  </si>
  <si>
    <t>0      0      0   1166      0</t>
  </si>
  <si>
    <t>325    914</t>
  </si>
  <si>
    <t>315      0  -1324 -7135</t>
  </si>
  <si>
    <t>1    486      0      0      0</t>
  </si>
  <si>
    <t>522   2051</t>
  </si>
  <si>
    <t>1216  -1490  -1392</t>
  </si>
  <si>
    <t>0    554      0      0     33</t>
  </si>
  <si>
    <t>0  -1519</t>
  </si>
  <si>
    <t>0  -1837      0</t>
  </si>
  <si>
    <t>494      0   4318  -259</t>
  </si>
  <si>
    <t>7   -780      0   -282 -64112</t>
  </si>
  <si>
    <t>0      0      0  -261</t>
  </si>
  <si>
    <t>9  -1264   -524   -613     71</t>
  </si>
  <si>
    <t>149      0</t>
  </si>
  <si>
    <t>0      0      0  -306</t>
  </si>
  <si>
    <t>4      0  -1961      0      0</t>
  </si>
  <si>
    <t>25   -466</t>
  </si>
  <si>
    <t>0   -587      0   8710  -2163</t>
  </si>
  <si>
    <t>412   4207</t>
  </si>
  <si>
    <t>792    270    372    39</t>
  </si>
  <si>
    <t>5      7    285      0      0</t>
  </si>
  <si>
    <t>3    -80   1102    -73    893</t>
  </si>
  <si>
    <t>288      0</t>
  </si>
  <si>
    <t>0    100      0    67</t>
  </si>
  <si>
    <t>9   1951      0      0      0</t>
  </si>
  <si>
    <t>0   1482</t>
  </si>
  <si>
    <t>0    236   -287</t>
  </si>
  <si>
    <t>0   1912    973   1023   2260</t>
  </si>
  <si>
    <t>907   2830</t>
  </si>
  <si>
    <t>2727  -4742  -1776   119</t>
  </si>
  <si>
    <t>2   1816   1032   1728   3557</t>
  </si>
  <si>
    <t>744   2094</t>
  </si>
  <si>
    <t>9150      0   -193    61</t>
  </si>
  <si>
    <t>7    681  -3304   -566   -537</t>
  </si>
  <si>
    <t>367  -3784</t>
  </si>
  <si>
    <t>0   -342   -351   -299  -2621</t>
  </si>
  <si>
    <t>671   -648</t>
  </si>
  <si>
    <t>-528  -2152    613    -3</t>
  </si>
  <si>
    <t>2    534    495    468   -695</t>
  </si>
  <si>
    <t>149    724</t>
  </si>
  <si>
    <t>100   -915   1158    16</t>
  </si>
  <si>
    <t>1    127    135    538    634</t>
  </si>
  <si>
    <t>368    477</t>
  </si>
  <si>
    <t>367    512  53907  6487</t>
  </si>
  <si>
    <t>4  65156  61019  53905  28761</t>
  </si>
  <si>
    <t>135  28151</t>
  </si>
  <si>
    <t>8139  41162  56110  5617</t>
  </si>
  <si>
    <t>9  54755  54463  60770  59043</t>
  </si>
  <si>
    <t>384  58982</t>
  </si>
  <si>
    <t>9010    -29 -52079   -32</t>
  </si>
  <si>
    <t>0   -153    152      0      0</t>
  </si>
  <si>
    <t>0      0    116     7</t>
  </si>
  <si>
    <t>-188      0      0    11</t>
  </si>
  <si>
    <t>6      0   -138      0    139</t>
  </si>
  <si>
    <t>182   -193</t>
  </si>
  <si>
    <t>0     88 -44037    -5</t>
  </si>
  <si>
    <t>1   -182   -312   -840      0</t>
  </si>
  <si>
    <t>0    226      0      0      0</t>
  </si>
  <si>
    <t>157      0</t>
  </si>
  <si>
    <t>0      0      0     23      0</t>
  </si>
  <si>
    <t>174    240</t>
  </si>
  <si>
    <t>0      0  -1219 -5775</t>
  </si>
  <si>
    <t>1      0    194      0      0</t>
  </si>
  <si>
    <t>1470   -219     34</t>
  </si>
  <si>
    <t>0      0    418    128      0</t>
  </si>
  <si>
    <t>124    -31</t>
  </si>
  <si>
    <t>236      1    591    55</t>
  </si>
  <si>
    <t>5    224      0      0      0</t>
  </si>
  <si>
    <t>534      0   1663   102</t>
  </si>
  <si>
    <t>4   -154      0  -1301 -67237</t>
  </si>
  <si>
    <t>177      0    -22   -55</t>
  </si>
  <si>
    <t>5  -1233    184      0     -2</t>
  </si>
  <si>
    <t>-43      0</t>
  </si>
  <si>
    <t>0      0   -109   -58</t>
  </si>
  <si>
    <t>4      0   -355    157     77</t>
  </si>
  <si>
    <t>0    721      0   9508    631</t>
  </si>
  <si>
    <t>1737 -65605   -215   -17</t>
  </si>
  <si>
    <t>4     45   -144   -216   1576</t>
  </si>
  <si>
    <t>0      0   -130    33</t>
  </si>
  <si>
    <t>6      0    238      0      0</t>
  </si>
  <si>
    <t>116     90    -11</t>
  </si>
  <si>
    <t>051      0</t>
  </si>
  <si>
    <t>8463    870    238</t>
  </si>
  <si>
    <t>0   -979 -75312    516      0</t>
  </si>
  <si>
    <t>2127   3108   1550  -158</t>
  </si>
  <si>
    <t>3  -1483      0    558      0</t>
  </si>
  <si>
    <t>0     53</t>
  </si>
  <si>
    <t>0  -1470      0  -190</t>
  </si>
  <si>
    <t>0      0    477</t>
  </si>
  <si>
    <t>0   2311  -2749   -914      0</t>
  </si>
  <si>
    <t>181 -66067</t>
  </si>
  <si>
    <t>0      0  -2657  -1511   -676</t>
  </si>
  <si>
    <t>773    -28</t>
  </si>
  <si>
    <t>3      0      0</t>
  </si>
  <si>
    <t>0      0  -3206      0  -2079</t>
  </si>
  <si>
    <t>193   -266      0</t>
  </si>
  <si>
    <t>0      0      0   -664      0</t>
  </si>
  <si>
    <t>220  -2380</t>
  </si>
  <si>
    <t>-637   3638    645    40</t>
  </si>
  <si>
    <t>2    231    333   -262     10</t>
  </si>
  <si>
    <t>0      0   -244    -77   1159</t>
  </si>
  <si>
    <t>-35    956</t>
  </si>
  <si>
    <t>-123      0      0    13</t>
  </si>
  <si>
    <t>1      0    575   1124      0</t>
  </si>
  <si>
    <t>0   -536      0  -105</t>
  </si>
  <si>
    <t>4  -2432      0      0      0</t>
  </si>
  <si>
    <t>-850      0      0</t>
  </si>
  <si>
    <t>0      0      0   1495    658</t>
  </si>
  <si>
    <t>612    968</t>
  </si>
  <si>
    <t>1828   1681  -3558  -215</t>
  </si>
  <si>
    <t>4  -1358    880   1461    809</t>
  </si>
  <si>
    <t>531   2897</t>
  </si>
  <si>
    <t>3717   1713  -6473</t>
  </si>
  <si>
    <t>0    -23   1105   1140  -3063</t>
  </si>
  <si>
    <t>327    237</t>
  </si>
  <si>
    <t>329  -3372   -150    49</t>
  </si>
  <si>
    <t>8    506  -2973   -161    218</t>
  </si>
  <si>
    <t>220  -2334</t>
  </si>
  <si>
    <t>-335    -66      4  -165</t>
  </si>
  <si>
    <t>1    358   -222    430    341</t>
  </si>
  <si>
    <t>343   -769</t>
  </si>
  <si>
    <t>189    451      3  -132</t>
  </si>
  <si>
    <t>0   1247    159    116    152</t>
  </si>
  <si>
    <t>602    535</t>
  </si>
  <si>
    <t>321    377    328    43</t>
  </si>
  <si>
    <t>0  50874  61111  61287  57793</t>
  </si>
  <si>
    <t>385  27718</t>
  </si>
  <si>
    <t>3598  27157  36762  3960</t>
  </si>
  <si>
    <t>1  58266  58356  57508  56746</t>
  </si>
  <si>
    <t>258  61661</t>
  </si>
  <si>
    <t>1756  61656  61288  9800</t>
  </si>
  <si>
    <t>3      5 -50706   -275   -130</t>
  </si>
  <si>
    <t>0    173      0</t>
  </si>
  <si>
    <t>0      0     94     76      0</t>
  </si>
  <si>
    <t>7      0      0    106      0</t>
  </si>
  <si>
    <t>79   -123   -164</t>
  </si>
  <si>
    <t>0     70 -42984    -47   -133</t>
  </si>
  <si>
    <t>264   -713</t>
  </si>
  <si>
    <t>0      0      0      0    187</t>
  </si>
  <si>
    <t>0   -131      0     3</t>
  </si>
  <si>
    <t>0   -164    235</t>
  </si>
  <si>
    <t>0      0  -1025 -57646      0</t>
  </si>
  <si>
    <t>0      0      0  -129</t>
  </si>
  <si>
    <t>1   -175     48      0      0</t>
  </si>
  <si>
    <t>337    101</t>
  </si>
  <si>
    <t>0    113    -45    19</t>
  </si>
  <si>
    <t>3    -12    447    443    155</t>
  </si>
  <si>
    <t>0      0      0    44</t>
  </si>
  <si>
    <t>3      0   1394   1018    -96</t>
  </si>
  <si>
    <t>0  -1116</t>
  </si>
  <si>
    <t>6102    -79   -162    26</t>
  </si>
  <si>
    <t>2      0     90   -399  -1032</t>
  </si>
  <si>
    <t>8      2      0</t>
  </si>
  <si>
    <t>0      0   -101   -598      0</t>
  </si>
  <si>
    <t>344    124</t>
  </si>
  <si>
    <t>55   -131      0</t>
  </si>
  <si>
    <t>0      0      0      0    620</t>
  </si>
  <si>
    <t>0   7888</t>
  </si>
  <si>
    <t>592    133      0  -150</t>
  </si>
  <si>
    <t>8 -64526   -192   -153    127</t>
  </si>
  <si>
    <t>111    -54</t>
  </si>
  <si>
    <t>1410      0    273</t>
  </si>
  <si>
    <t>0      0    -74    279      0</t>
  </si>
  <si>
    <t>0   -108      0     9</t>
  </si>
  <si>
    <t>5     66      3      0      0</t>
  </si>
  <si>
    <t>0    914      0   699</t>
  </si>
  <si>
    <t>6    806    206      0   -803</t>
  </si>
  <si>
    <t>546    495</t>
  </si>
  <si>
    <t>0      0      0   210</t>
  </si>
  <si>
    <t>5   3054   1576  -1510  -1412</t>
  </si>
  <si>
    <t>0    507</t>
  </si>
  <si>
    <t>0      0     44</t>
  </si>
  <si>
    <t>0  -1417      0  -1850      0</t>
  </si>
  <si>
    <t>0      0    423      0   1524</t>
  </si>
  <si>
    <t>561   -894</t>
  </si>
  <si>
    <t>0    325 -65502</t>
  </si>
  <si>
    <t>614  -1451</t>
  </si>
  <si>
    <t>041      0</t>
  </si>
  <si>
    <t>1992      0      0    21</t>
  </si>
  <si>
    <t>8   -209      0      0      0</t>
  </si>
  <si>
    <t>0   -673</t>
  </si>
  <si>
    <t>0   5033  -2254   -67</t>
  </si>
  <si>
    <t>1   3317    589    390    202</t>
  </si>
  <si>
    <t>303   -303</t>
  </si>
  <si>
    <t>17      0      0</t>
  </si>
  <si>
    <t>224    -69</t>
  </si>
  <si>
    <t>1133    -26    928    -8</t>
  </si>
  <si>
    <t>2      0      0    121      0</t>
  </si>
  <si>
    <t>505    838</t>
  </si>
  <si>
    <t>0   -811      0  -1220  -2431</t>
  </si>
  <si>
    <t>0   1268</t>
  </si>
  <si>
    <t>524    483    717   144</t>
  </si>
  <si>
    <t>5   1290  -3248  -1455  -1140</t>
  </si>
  <si>
    <t>710   1228</t>
  </si>
  <si>
    <t>677   1371   2418   307</t>
  </si>
  <si>
    <t>4   1532  -5230      0     97</t>
  </si>
  <si>
    <t>122   1136</t>
  </si>
  <si>
    <t>2529   -187    370    44</t>
  </si>
  <si>
    <t>7  -2888    -31    663    649</t>
  </si>
  <si>
    <t>609    -73</t>
  </si>
  <si>
    <t>328    324  -2028   -19</t>
  </si>
  <si>
    <t>6     30     86  -1249    275</t>
  </si>
  <si>
    <t>246    397</t>
  </si>
  <si>
    <t>290    308   -735    16</t>
  </si>
  <si>
    <t>5    358    -19  -1315   1189</t>
  </si>
  <si>
    <t>170    111</t>
  </si>
  <si>
    <t>160    592    455    28</t>
  </si>
  <si>
    <t>3    344    273    375  46242</t>
  </si>
  <si>
    <t>233  55385</t>
  </si>
  <si>
    <t>2617  46929  25386  3069</t>
  </si>
  <si>
    <t>8  24918  33625  36171  54477</t>
  </si>
  <si>
    <t>556  54408</t>
  </si>
  <si>
    <t>3506  58236  57615  5782</t>
  </si>
  <si>
    <t>3  57643  57387  94896  98439</t>
  </si>
  <si>
    <t>877 -50094</t>
  </si>
  <si>
    <t>0      0    235      0      0</t>
  </si>
  <si>
    <t>0      0      0      0   -215</t>
  </si>
  <si>
    <t>131      0    -99</t>
  </si>
  <si>
    <t>0    311   -384   -228      0</t>
  </si>
  <si>
    <t>914 -42161</t>
  </si>
  <si>
    <t>2      0    125      0      0</t>
  </si>
  <si>
    <t>0    292      0</t>
  </si>
  <si>
    <t>0      0   -207      0     19</t>
  </si>
  <si>
    <t>2      0   -101    -31      0</t>
  </si>
  <si>
    <t>0  -1362</t>
  </si>
  <si>
    <t>1499      0    570</t>
  </si>
  <si>
    <t>0      0      0      0  -1638</t>
  </si>
  <si>
    <t>378    -29</t>
  </si>
  <si>
    <t>0      0    605    27</t>
  </si>
  <si>
    <t>6      0    230     91    363</t>
  </si>
  <si>
    <t>148    905</t>
  </si>
  <si>
    <t>834    255      0</t>
  </si>
  <si>
    <t>0      0      0      0    697</t>
  </si>
  <si>
    <t>0   2227</t>
  </si>
  <si>
    <t>1417   -235      0  -222</t>
  </si>
  <si>
    <t>9 -62364   -157   -196   -513</t>
  </si>
  <si>
    <t>0   -404</t>
  </si>
  <si>
    <t>1093  -1836    243</t>
  </si>
  <si>
    <t>0   -177    133      0      0</t>
  </si>
  <si>
    <t>0   -297</t>
  </si>
  <si>
    <t>-653      0   -349    30</t>
  </si>
  <si>
    <t>4    210    -34      0      0</t>
  </si>
  <si>
    <t>0   1990      0  1252</t>
  </si>
  <si>
    <t>1    890    294      0  -2645</t>
  </si>
  <si>
    <t>912   -389</t>
  </si>
  <si>
    <t>3   1802      0    382      0</t>
  </si>
  <si>
    <t>483      0    327</t>
  </si>
  <si>
    <t>0      0   -132      0    218</t>
  </si>
  <si>
    <t>170      9</t>
  </si>
  <si>
    <t>0      0   2270      0  11383</t>
  </si>
  <si>
    <t>167    354</t>
  </si>
  <si>
    <t>0  -1147 -66984    51</t>
  </si>
  <si>
    <t>7      0      0      0   1576</t>
  </si>
  <si>
    <t>314    986</t>
  </si>
  <si>
    <t>1506  -1393      0    72</t>
  </si>
  <si>
    <t>1793      0      0</t>
  </si>
  <si>
    <t>0   1307</t>
  </si>
  <si>
    <t>0   4436  -2405   -76</t>
  </si>
  <si>
    <t>6      0  -1527 -63429      0</t>
  </si>
  <si>
    <t>0      0   -622   -81</t>
  </si>
  <si>
    <t>1    591    340    605   2044</t>
  </si>
  <si>
    <t>0      0  -3062</t>
  </si>
  <si>
    <t>0  -2049      0      0    524</t>
  </si>
  <si>
    <t>5      0   8204  -1346    704</t>
  </si>
  <si>
    <t>400   1042</t>
  </si>
  <si>
    <t>609    715    446    36</t>
  </si>
  <si>
    <t>2   -342      0      0      0</t>
  </si>
  <si>
    <t>0      0   -429   -20</t>
  </si>
  <si>
    <t>4   1089   -139    906   -364</t>
  </si>
  <si>
    <t>267      0   1609  -455</t>
  </si>
  <si>
    <t>601      0</t>
  </si>
  <si>
    <t>126  -1448      0</t>
  </si>
  <si>
    <t>0      0      0      0    797</t>
  </si>
  <si>
    <t>0      0      0   164</t>
  </si>
  <si>
    <t>3   -369   -266  -4558  -4834</t>
  </si>
  <si>
    <t>051  -9768</t>
  </si>
  <si>
    <t>5032  -1667   1231    -2</t>
  </si>
  <si>
    <t>5    -87  -3433  -2076   -817</t>
  </si>
  <si>
    <t>789 -10360</t>
  </si>
  <si>
    <t>0  -7454  -7680  -772</t>
  </si>
  <si>
    <t>9 -10185  -6849  -7487  -9949</t>
  </si>
  <si>
    <t>527  -6682</t>
  </si>
  <si>
    <t>9607  -7444 -10140  -540</t>
  </si>
  <si>
    <t>8  -8062  -8054  -7696  -7287</t>
  </si>
  <si>
    <t>840  -9954</t>
  </si>
  <si>
    <t>0253   2123   2234   258</t>
  </si>
  <si>
    <t>7   2486   2207    955   1607</t>
  </si>
  <si>
    <t>257   1635</t>
  </si>
  <si>
    <t>273   2857   2186   210</t>
  </si>
  <si>
    <t>1   1672   2419   2460   1904</t>
  </si>
  <si>
    <t>287   1739</t>
  </si>
  <si>
    <t>2170  52731  63504  6371</t>
  </si>
  <si>
    <t>3  59826  53146  28245  34456</t>
  </si>
  <si>
    <t>558  37424</t>
  </si>
  <si>
    <t>0621  54790  54896  5340</t>
  </si>
  <si>
    <t>5  52781  59570  57564  58078</t>
  </si>
  <si>
    <t>614  57605</t>
  </si>
  <si>
    <t>7361  95855  92786    70</t>
  </si>
  <si>
    <t>6 -50115   -421   -190     64</t>
  </si>
  <si>
    <t>191      0      0</t>
  </si>
  <si>
    <t>0    196     65      0      0</t>
  </si>
  <si>
    <t>0      0   -207</t>
  </si>
  <si>
    <t>0      0    129      0   -118</t>
  </si>
  <si>
    <t>-209   -172      0    65</t>
  </si>
  <si>
    <t>5 -42266   -207   -314   -466</t>
  </si>
  <si>
    <t>030      0</t>
  </si>
  <si>
    <t>114      0      0</t>
  </si>
  <si>
    <t>0      0      0    218      0</t>
  </si>
  <si>
    <t>-138      0     33</t>
  </si>
  <si>
    <t>49      0</t>
  </si>
  <si>
    <t>-261    101      0</t>
  </si>
  <si>
    <t>0  -1077 -54029      0    -14</t>
  </si>
  <si>
    <t>0      0  -1672   -29</t>
  </si>
  <si>
    <t>1     11      0      0    441</t>
  </si>
  <si>
    <t>170   -138    235    -6</t>
  </si>
  <si>
    <t>5    445    516     85      0</t>
  </si>
  <si>
    <t>0      0    542</t>
  </si>
  <si>
    <t>0   1750   1263    -71      0</t>
  </si>
  <si>
    <t>838 -63233</t>
  </si>
  <si>
    <t>-157   -175     78</t>
  </si>
  <si>
    <t>0    174   -267  -1431    202</t>
  </si>
  <si>
    <t>0   -164</t>
  </si>
  <si>
    <t>405      0      0</t>
  </si>
  <si>
    <t>0   -188   -646      0   -360</t>
  </si>
  <si>
    <t>147     90</t>
  </si>
  <si>
    <t>0      0      0   1474      0</t>
  </si>
  <si>
    <t>440    763</t>
  </si>
  <si>
    <t>185      0  -2201 -6173</t>
  </si>
  <si>
    <t>3   -298   -198   -105   -165</t>
  </si>
  <si>
    <t>-32   1987</t>
  </si>
  <si>
    <t>0    313      0</t>
  </si>
  <si>
    <t>0    249    361      0    309</t>
  </si>
  <si>
    <t>-120      0    125     9</t>
  </si>
  <si>
    <t>5     64      0      0      0</t>
  </si>
  <si>
    <t>1734      0   8476    96</t>
  </si>
  <si>
    <t>2    225      0   -990 -69994</t>
  </si>
  <si>
    <t>0      0   2346   335</t>
  </si>
  <si>
    <t>2   1397  -1611  -1497      0</t>
  </si>
  <si>
    <t>756      0</t>
  </si>
  <si>
    <t>0     25      0  -145</t>
  </si>
  <si>
    <t>4      0  -1860      0      0</t>
  </si>
  <si>
    <t>0   1009      0   2407  -2624</t>
  </si>
  <si>
    <t>936      0</t>
  </si>
  <si>
    <t>-981 -65537      0</t>
  </si>
  <si>
    <t>0      0      0      0   -911</t>
  </si>
  <si>
    <t>986    658</t>
  </si>
  <si>
    <t>349    634   2379</t>
  </si>
  <si>
    <t>0      0      0      0  -3295</t>
  </si>
  <si>
    <t>0  -2271</t>
  </si>
  <si>
    <t>0      0    824   -45</t>
  </si>
  <si>
    <t>5586  -1485    645   520</t>
  </si>
  <si>
    <t>4    988    768    515    329</t>
  </si>
  <si>
    <t>316   -478</t>
  </si>
  <si>
    <t>0      0      0      0   -379</t>
  </si>
  <si>
    <t>108   1349</t>
  </si>
  <si>
    <t>-40   1168   -262</t>
  </si>
  <si>
    <t>0      0    262      0   1263</t>
  </si>
  <si>
    <t>769      0</t>
  </si>
  <si>
    <t>0      0      0   -40</t>
  </si>
  <si>
    <t>9      0  -1509  -3284      0</t>
  </si>
  <si>
    <t>0      0   -956</t>
  </si>
  <si>
    <t>365   -891</t>
  </si>
  <si>
    <t>1001  -7356  -8004  -819</t>
  </si>
  <si>
    <t>7 -12814  -2439  -1275    919</t>
  </si>
  <si>
    <t>798   -660</t>
  </si>
  <si>
    <t>5035  -4535  -3470  -491</t>
  </si>
  <si>
    <t>0  -7165      0  -8895  -9678</t>
  </si>
  <si>
    <t>673 -12281</t>
  </si>
  <si>
    <t>8113  -8412 -11594 -1336</t>
  </si>
  <si>
    <t>3  -7883 -11280  -8355 -11950</t>
  </si>
  <si>
    <t>306  -9427</t>
  </si>
  <si>
    <t>9406  -8914  -8275 -1152</t>
  </si>
  <si>
    <t>1 -11590 -12008   1301    978</t>
  </si>
  <si>
    <t>445   1307</t>
  </si>
  <si>
    <t>1164   -336    856   115</t>
  </si>
  <si>
    <t>5    699   -855   1983   1641</t>
  </si>
  <si>
    <t>539   1274</t>
  </si>
  <si>
    <t>1921   1858   1427   164</t>
  </si>
  <si>
    <t>7   1287   1561  49743  59907</t>
  </si>
  <si>
    <t>886  56752</t>
  </si>
  <si>
    <t>0817  27243  33003  2658</t>
  </si>
  <si>
    <t>4  36096  39293  56953  57024</t>
  </si>
  <si>
    <t>115  55076</t>
  </si>
  <si>
    <t>1006  60199  60606  6021</t>
  </si>
  <si>
    <t>6  59887  95985  97460  96317</t>
  </si>
  <si>
    <t>415    665</t>
  </si>
  <si>
    <t>8780   -397   -166    12</t>
  </si>
  <si>
    <t>4      0      0    170      0</t>
  </si>
  <si>
    <t>186     71      0</t>
  </si>
  <si>
    <t>0    117      0   -11</t>
  </si>
  <si>
    <t>4      0    -84   -138   -141</t>
  </si>
  <si>
    <t>0    579</t>
  </si>
  <si>
    <t>1147   -215   -259   -41</t>
  </si>
  <si>
    <t>9   -925      0    106      0</t>
  </si>
  <si>
    <t>0      0    195</t>
  </si>
  <si>
    <t>0      0      0   -116      0</t>
  </si>
  <si>
    <t>0     40      0   -263    134</t>
  </si>
  <si>
    <t>-783 -53186      0    -6</t>
  </si>
  <si>
    <t>512   -286</t>
  </si>
  <si>
    <t>3      0      0    39</t>
  </si>
  <si>
    <t>9    110      0    103   -229</t>
  </si>
  <si>
    <t>169   -143</t>
  </si>
  <si>
    <t>338    401     87</t>
  </si>
  <si>
    <t>1439   1020    -88</t>
  </si>
  <si>
    <t>0  -1647 -61669   -203   -238</t>
  </si>
  <si>
    <t>315   -138  -1223    16</t>
  </si>
  <si>
    <t>7      0   -155    581      0</t>
  </si>
  <si>
    <t>-80   -628      0   -36</t>
  </si>
  <si>
    <t>7     85     50    -49      0</t>
  </si>
  <si>
    <t>0      0   1304</t>
  </si>
  <si>
    <t>0   8029    688    145      0</t>
  </si>
  <si>
    <t>978 -60219</t>
  </si>
  <si>
    <t>7    149   1820      0    266</t>
  </si>
  <si>
    <t>421    297      0    26</t>
  </si>
  <si>
    <t>7      0      0   -107      0</t>
  </si>
  <si>
    <t>83     75</t>
  </si>
  <si>
    <t>0      0      0   1535      0</t>
  </si>
  <si>
    <t>182    858</t>
  </si>
  <si>
    <t>167      0   -887 -6892</t>
  </si>
  <si>
    <t>7    551      0      0      0</t>
  </si>
  <si>
    <t>379   3324</t>
  </si>
  <si>
    <t>1472  -1572  -1455</t>
  </si>
  <si>
    <t>0    779      0      0     49</t>
  </si>
  <si>
    <t>0  -1380</t>
  </si>
  <si>
    <t>0  -1815      0</t>
  </si>
  <si>
    <t>907      0   1691  -259</t>
  </si>
  <si>
    <t>1   -987      0   -879 -64974</t>
  </si>
  <si>
    <t>7   -882    886    533    735</t>
  </si>
  <si>
    <t>845      0</t>
  </si>
  <si>
    <t>0      0      0  -328</t>
  </si>
  <si>
    <t>3      0  -2334      0      0</t>
  </si>
  <si>
    <t>989   -477</t>
  </si>
  <si>
    <t>0    -38      0   4392  -1315</t>
  </si>
  <si>
    <t>780   5254</t>
  </si>
  <si>
    <t>1016    891    538    24</t>
  </si>
  <si>
    <t>6   -479   -445      0      0</t>
  </si>
  <si>
    <t>0      0      0   -33</t>
  </si>
  <si>
    <t>5    -43   1519     26   1337</t>
  </si>
  <si>
    <t>0    334      0   116</t>
  </si>
  <si>
    <t>6  -2180      0      0      0</t>
  </si>
  <si>
    <t>0   -622</t>
  </si>
  <si>
    <t>0  -1822  -3321</t>
  </si>
  <si>
    <t>319      0</t>
  </si>
  <si>
    <t>0   1229  -1169  -1383  -9223</t>
  </si>
  <si>
    <t>939 -10112</t>
  </si>
  <si>
    <t>4970  -1697  -1090    77</t>
  </si>
  <si>
    <t>2  -1272  -1035  -6551  -6233</t>
  </si>
  <si>
    <t>228  -6774</t>
  </si>
  <si>
    <t>5809      0 -10501 -1158</t>
  </si>
  <si>
    <t>4 -11576 -14472  -9627  -9483</t>
  </si>
  <si>
    <t>170 -15377</t>
  </si>
  <si>
    <t>9317 -12782  -9414 -1387</t>
  </si>
  <si>
    <t>2  -7391 -10680 -10661 -10230</t>
  </si>
  <si>
    <t>558 -13096</t>
  </si>
  <si>
    <t>3164 -13938   1034    47</t>
  </si>
  <si>
    <t>1   1022    878    805   -816</t>
  </si>
  <si>
    <t>548    729</t>
  </si>
  <si>
    <t>360  -1110   1572   130</t>
  </si>
  <si>
    <t>6   1200   1028   1584   1575</t>
  </si>
  <si>
    <t>185   1329</t>
  </si>
  <si>
    <t>1057   1266  45872  5513</t>
  </si>
  <si>
    <t>6  55065  52605  47362  25331</t>
  </si>
  <si>
    <t>669  24770</t>
  </si>
  <si>
    <t>3564  36615  53785  5382</t>
  </si>
  <si>
    <t>2  53691  52405  57692  56910</t>
  </si>
  <si>
    <t>617  56989</t>
  </si>
  <si>
    <t>6868  93089  96131  9669</t>
  </si>
  <si>
    <t>8  94828  98439   1089 -45348</t>
  </si>
  <si>
    <t>530   -101</t>
  </si>
  <si>
    <t>-172      0      0    18</t>
  </si>
  <si>
    <t>5      0      0      0    228</t>
  </si>
  <si>
    <t>0      0   -397      0      0</t>
  </si>
  <si>
    <t>75      0</t>
  </si>
  <si>
    <t>-107      0    193   -29</t>
  </si>
  <si>
    <t>7   -142      0    984 -38114</t>
  </si>
  <si>
    <t>213   -460</t>
  </si>
  <si>
    <t>-662   -996      0     9</t>
  </si>
  <si>
    <t>0    308</t>
  </si>
  <si>
    <t>9      0     44      0      0</t>
  </si>
  <si>
    <t>0   -146      0   -12</t>
  </si>
  <si>
    <t>9   -118      0      0  -2520</t>
  </si>
  <si>
    <t>006      0</t>
  </si>
  <si>
    <t>162      0      0</t>
  </si>
  <si>
    <t>0      0  -1033   -106     97</t>
  </si>
  <si>
    <t>388    207      0   -12</t>
  </si>
  <si>
    <t>6   -144    180    -35    787</t>
  </si>
  <si>
    <t>548   -196</t>
  </si>
  <si>
    <t>0      0    -17      0   1895</t>
  </si>
  <si>
    <t>261     68</t>
  </si>
  <si>
    <t>0   -516 -54990   -25</t>
  </si>
  <si>
    <t>0   -382   -897      0    -53</t>
  </si>
  <si>
    <t>226  -1181</t>
  </si>
  <si>
    <t>206      0   -287    21</t>
  </si>
  <si>
    <t>3      0      0      0   -384</t>
  </si>
  <si>
    <t>-386    454    236     1</t>
  </si>
  <si>
    <t>0  -1803</t>
  </si>
  <si>
    <t>0  11552    756    24</t>
  </si>
  <si>
    <t>3      0   -988 -53572   -282</t>
  </si>
  <si>
    <t>66   -278   1766</t>
  </si>
  <si>
    <t>0    267      0      0    106</t>
  </si>
  <si>
    <t>447      0</t>
  </si>
  <si>
    <t>140      0      0   -14</t>
  </si>
  <si>
    <t>2      0    363    176    124</t>
  </si>
  <si>
    <t>0      0      0  -137</t>
  </si>
  <si>
    <t>5      0  10518    953    270</t>
  </si>
  <si>
    <t>0  -2624</t>
  </si>
  <si>
    <t>8427    374      0</t>
  </si>
  <si>
    <t>0      0   1545   2389   1088</t>
  </si>
  <si>
    <t>171  -1154</t>
  </si>
  <si>
    <t>0    394      0</t>
  </si>
  <si>
    <t>0    -69      0  -1520      0</t>
  </si>
  <si>
    <t>0      0      0      0  -1347</t>
  </si>
  <si>
    <t>0   4075</t>
  </si>
  <si>
    <t>1794   -719      0   -73</t>
  </si>
  <si>
    <t>7 -58555      0      0      0</t>
  </si>
  <si>
    <t>295   -352   1721   117</t>
  </si>
  <si>
    <t>2   1069   3248      0      0</t>
  </si>
  <si>
    <t>3016      0  -2167</t>
  </si>
  <si>
    <t>0      0    892   -907      0</t>
  </si>
  <si>
    <t>0  -3278      0   714</t>
  </si>
  <si>
    <t>6   -528   1468   6212   1549</t>
  </si>
  <si>
    <t>436   1843</t>
  </si>
  <si>
    <t>1    174    970</t>
  </si>
  <si>
    <t>66    132   1649    -9</t>
  </si>
  <si>
    <t>5   1518   -666      0      0</t>
  </si>
  <si>
    <t>844      0</t>
  </si>
  <si>
    <t>-650  12386      0</t>
  </si>
  <si>
    <t>0      0      0   1822      0</t>
  </si>
  <si>
    <t>123  -1753</t>
  </si>
  <si>
    <t>0      0   1002      0      0</t>
  </si>
  <si>
    <t>0   1459  -1343  -128</t>
  </si>
  <si>
    <t>8 -10269 -11891 -12587 -15693</t>
  </si>
  <si>
    <t>786  -1429</t>
  </si>
  <si>
    <t>1165  -1433   -988  -817</t>
  </si>
  <si>
    <t>8  -7943  -6536  -7416 -10083</t>
  </si>
  <si>
    <t>0 -13487</t>
  </si>
  <si>
    <t>5241 -15815 -16206 -1221</t>
  </si>
  <si>
    <t>9 -13454 -18670 -17886 -11879</t>
  </si>
  <si>
    <t>521 -13914</t>
  </si>
  <si>
    <t>5915  -9245 -14615 -1532</t>
  </si>
  <si>
    <t>7 -12302 -12784 -17856 -18778</t>
  </si>
  <si>
    <t>700  -7075</t>
  </si>
  <si>
    <t>2885 -13834 -13723 -1131</t>
  </si>
  <si>
    <t>0 -15340  -9177  -9726 -10142</t>
  </si>
  <si>
    <t>637 -10639</t>
  </si>
  <si>
    <t>8263  -8067  -5864  -733</t>
  </si>
  <si>
    <t>2  -8171  -6848  -8074  -6044</t>
  </si>
  <si>
    <t>575  48214</t>
  </si>
  <si>
    <t>8255  58308  54956  4904</t>
  </si>
  <si>
    <t>1  25913  31608  25205  34351</t>
  </si>
  <si>
    <t>530  49936</t>
  </si>
  <si>
    <t>0061  48620  47746  5455</t>
  </si>
  <si>
    <t>1  52498  53065  52627  52512</t>
  </si>
  <si>
    <t>276  87733</t>
  </si>
  <si>
    <t>4865  92189  91467  8954</t>
  </si>
  <si>
    <t>3    910 -45795   -472   -104</t>
  </si>
  <si>
    <t>158      0</t>
  </si>
  <si>
    <t>0    157      0</t>
  </si>
  <si>
    <t>0      0    204    107      0</t>
  </si>
  <si>
    <t>7      0      0     80      0</t>
  </si>
  <si>
    <t>0    755 -38557   -249   -274</t>
  </si>
  <si>
    <t>500   -889</t>
  </si>
  <si>
    <t>0     94      0</t>
  </si>
  <si>
    <t>0      0      0      0    229</t>
  </si>
  <si>
    <t>0    -69      0     5</t>
  </si>
  <si>
    <t>0   -109</t>
  </si>
  <si>
    <t>0   -318     31</t>
  </si>
  <si>
    <t>0      0  -1548 -47502      0</t>
  </si>
  <si>
    <t>1   -177     65      0      0</t>
  </si>
  <si>
    <t>343     77</t>
  </si>
  <si>
    <t>0   -160   -366     8</t>
  </si>
  <si>
    <t>4   -235    369    282   -243</t>
  </si>
  <si>
    <t>5      0   1546    932    114</t>
  </si>
  <si>
    <t>0   -732</t>
  </si>
  <si>
    <t>5963   -195   -313   -22</t>
  </si>
  <si>
    <t>9      0    506    459  -1028</t>
  </si>
  <si>
    <t>-284    645      0</t>
  </si>
  <si>
    <t>0      0   -268   -511      0</t>
  </si>
  <si>
    <t>278    322</t>
  </si>
  <si>
    <t>99     20      0</t>
  </si>
  <si>
    <t>0      0      0      0   -781</t>
  </si>
  <si>
    <t>0   8852</t>
  </si>
  <si>
    <t>632    120      0  -109</t>
  </si>
  <si>
    <t>4 -54581   -176    -32   -139</t>
  </si>
  <si>
    <t>46    359</t>
  </si>
  <si>
    <t>2151      0    212</t>
  </si>
  <si>
    <t>0      0    494    344      0</t>
  </si>
  <si>
    <t>0   -120      0    24</t>
  </si>
  <si>
    <t>6     84    110      0      0</t>
  </si>
  <si>
    <t>0   -484      0   796</t>
  </si>
  <si>
    <t>7    758    125      0  -1766</t>
  </si>
  <si>
    <t>159    490</t>
  </si>
  <si>
    <t>0      0      0   236</t>
  </si>
  <si>
    <t>6   3445   1379  -1372  -1321</t>
  </si>
  <si>
    <t>0      0    -32</t>
  </si>
  <si>
    <t>0  -1392      0  -1699      0</t>
  </si>
  <si>
    <t>0      0   -578      0   2288</t>
  </si>
  <si>
    <t>210   -922</t>
  </si>
  <si>
    <t>0   -751 -61461</t>
  </si>
  <si>
    <t>430   -433</t>
  </si>
  <si>
    <t>1966   1373   1237   418</t>
  </si>
  <si>
    <t>2379      0      0   131</t>
  </si>
  <si>
    <t>4   -780      0      0      0</t>
  </si>
  <si>
    <t>0  -2285</t>
  </si>
  <si>
    <t>0   4705   -614   167</t>
  </si>
  <si>
    <t>7   6352   1449   1444   1460</t>
  </si>
  <si>
    <t>167      0      0</t>
  </si>
  <si>
    <t>-14    226</t>
  </si>
  <si>
    <t>1861    -11   1645   -68</t>
  </si>
  <si>
    <t>5      0      0    693      0</t>
  </si>
  <si>
    <t>109   8122</t>
  </si>
  <si>
    <t>0   -218      0  -1782  -3765</t>
  </si>
  <si>
    <t>0   1266</t>
  </si>
  <si>
    <t>2056  -2216 -14565 -1699</t>
  </si>
  <si>
    <t>2 -17332 -20765  -2572  -1118</t>
  </si>
  <si>
    <t>933  -2516</t>
  </si>
  <si>
    <t>1747 -10937 -11751 -1033</t>
  </si>
  <si>
    <t>4 -10884  -7316      0 -16619</t>
  </si>
  <si>
    <t>712 -19945</t>
  </si>
  <si>
    <t>0503 -15229 -16213 -2252</t>
  </si>
  <si>
    <t>6 -22010 -14733 -21751 -16422</t>
  </si>
  <si>
    <t>803 -11561</t>
  </si>
  <si>
    <t>8140 -18436 -14981 -1544</t>
  </si>
  <si>
    <t>2 -22000 -22443 -20821  -4572</t>
  </si>
  <si>
    <t>850  -9282</t>
  </si>
  <si>
    <t>9203  -7598 -11119  -615</t>
  </si>
  <si>
    <t>8  -6608  -6859  -6555  -6799</t>
  </si>
  <si>
    <t>638  -5548</t>
  </si>
  <si>
    <t>4134  -4909  -5360  -447</t>
  </si>
  <si>
    <t>5  -5239  -3866  -4872  46007</t>
  </si>
  <si>
    <t>578  55368</t>
  </si>
  <si>
    <t>2730  47575  25308  3064</t>
  </si>
  <si>
    <t>0  24583  33528  36870  52633</t>
  </si>
  <si>
    <t>692  51750</t>
  </si>
  <si>
    <t>0495  56456  55605  5619</t>
  </si>
  <si>
    <t>7  55633  55304  89067  90291</t>
  </si>
  <si>
    <t>187  92711</t>
  </si>
  <si>
    <t>5097  94875  93623   198</t>
  </si>
  <si>
    <t>2   -148  -1113  -1215  -1638</t>
  </si>
  <si>
    <t>1251      0      0</t>
  </si>
  <si>
    <t>0    394   -265      0      0</t>
  </si>
  <si>
    <t>0      0   -620</t>
  </si>
  <si>
    <t>0      0    276      0   -231</t>
  </si>
  <si>
    <t>1294   -921      0    89</t>
  </si>
  <si>
    <t>4    271   -982  -2004   1169</t>
  </si>
  <si>
    <t>917      0</t>
  </si>
  <si>
    <t>-563      0      0</t>
  </si>
  <si>
    <t>-238      0     58</t>
  </si>
  <si>
    <t>-273  -1218      0</t>
  </si>
  <si>
    <t>0 -21201  -2107      0   2295</t>
  </si>
  <si>
    <t>0      0 -10176   406</t>
  </si>
  <si>
    <t>6   2674      0      0  -2027</t>
  </si>
  <si>
    <t>794   2081     93   114</t>
  </si>
  <si>
    <t>9   1516    401   1879      0</t>
  </si>
  <si>
    <t>0      0  23958</t>
  </si>
  <si>
    <t>0   2217   2069    -90      0</t>
  </si>
  <si>
    <t>712    941</t>
  </si>
  <si>
    <t>-493   -152    229</t>
  </si>
  <si>
    <t>0  -2479   2860  -1405    -26</t>
  </si>
  <si>
    <t>0    661</t>
  </si>
  <si>
    <t>0827      0      0</t>
  </si>
  <si>
    <t>0   -159   -139      0   -234</t>
  </si>
  <si>
    <t>231   -232</t>
  </si>
  <si>
    <t>-418      0      0</t>
  </si>
  <si>
    <t>0      0      0   1293      0</t>
  </si>
  <si>
    <t>198    539</t>
  </si>
  <si>
    <t>106      0   6278    23</t>
  </si>
  <si>
    <t>2   -545   -260    186  -1211</t>
  </si>
  <si>
    <t>477   4172</t>
  </si>
  <si>
    <t>0    124      0</t>
  </si>
  <si>
    <t>0 -37974   -302      0    163</t>
  </si>
  <si>
    <t>-198      0   -247     2</t>
  </si>
  <si>
    <t>9   -314      0      0      0</t>
  </si>
  <si>
    <t>102      0   5444    53</t>
  </si>
  <si>
    <t>5   -154      0   5847   2635</t>
  </si>
  <si>
    <t>-68      0</t>
  </si>
  <si>
    <t>0      0   -921   243</t>
  </si>
  <si>
    <t>0   -777   -373   -566      0</t>
  </si>
  <si>
    <t>0    -52      0   -15</t>
  </si>
  <si>
    <t>6      0   -263      0      0</t>
  </si>
  <si>
    <t>0    744      0   1709    393</t>
  </si>
  <si>
    <t>255   -143      0</t>
  </si>
  <si>
    <t>0      0      0      0   8673</t>
  </si>
  <si>
    <t>537   4748</t>
  </si>
  <si>
    <t>3829   2759 -38212</t>
  </si>
  <si>
    <t>0      0      0      0   2346</t>
  </si>
  <si>
    <t>0    774</t>
  </si>
  <si>
    <t>0      0   2787    23</t>
  </si>
  <si>
    <t>4454   1370   3549   519</t>
  </si>
  <si>
    <t>6   3496   3003   2544   3699</t>
  </si>
  <si>
    <t>619  -2813</t>
  </si>
  <si>
    <t>0      0      0      0     29</t>
  </si>
  <si>
    <t>50    256</t>
  </si>
  <si>
    <t>525   1130   2481</t>
  </si>
  <si>
    <t>0      0   1525      0   4254</t>
  </si>
  <si>
    <t>095      0</t>
  </si>
  <si>
    <t>0      0   -757  -3938      0</t>
  </si>
  <si>
    <t>0      0     82</t>
  </si>
  <si>
    <t>395    208</t>
  </si>
  <si>
    <t>210   1053   3556   339</t>
  </si>
  <si>
    <t>2   3119    932    166   1162</t>
  </si>
  <si>
    <t>585    -50</t>
  </si>
  <si>
    <t>3162   2632   3150   225</t>
  </si>
  <si>
    <t>6    334      0   2753   2457</t>
  </si>
  <si>
    <t>314   2189</t>
  </si>
  <si>
    <t>2089 -15639   3034   264</t>
  </si>
  <si>
    <t>1   2027   2923 -15060   2390</t>
  </si>
  <si>
    <t>515   2209</t>
  </si>
  <si>
    <t>2222  -6739   1297   319</t>
  </si>
  <si>
    <t>1   3029   1572  -1471     34</t>
  </si>
  <si>
    <t>111  -1160</t>
  </si>
  <si>
    <t>1275  -2399  -5360    33</t>
  </si>
  <si>
    <t>2   -153   -198  -1099  -1396</t>
  </si>
  <si>
    <t>185   -906</t>
  </si>
  <si>
    <t>1750  -1166  -1053   -70</t>
  </si>
  <si>
    <t>3   -748   -617     48    239</t>
  </si>
  <si>
    <t>212     88</t>
  </si>
  <si>
    <t>749    259    381    26</t>
  </si>
  <si>
    <t>3    193    955   -455   -417</t>
  </si>
  <si>
    <t>238    872</t>
  </si>
  <si>
    <t>23    220    491    37</t>
  </si>
  <si>
    <t>7    465   -178   -130   -122</t>
  </si>
  <si>
    <t>278  -1354</t>
  </si>
  <si>
    <t>1539  -1464  -1866  -541</t>
  </si>
  <si>
    <t>8   -778   -950   1214    927</t>
  </si>
  <si>
    <t>0   -205    -59      0      0</t>
  </si>
  <si>
    <t>0      0  30011</t>
  </si>
  <si>
    <t>0      0    129      0     95</t>
  </si>
  <si>
    <t>0    843</t>
  </si>
  <si>
    <t>1230    547      0   -21</t>
  </si>
  <si>
    <t>3    180    -78   -638   -156</t>
  </si>
  <si>
    <t>0      0      0    -55      0</t>
  </si>
  <si>
    <t>1030      0    369</t>
  </si>
  <si>
    <t>-2    417      0</t>
  </si>
  <si>
    <t>0  -1403   -132      0   2261</t>
  </si>
  <si>
    <t>0      0    597    67</t>
  </si>
  <si>
    <t>5   -443      0      0    479</t>
  </si>
  <si>
    <t>331      0</t>
  </si>
  <si>
    <t>1064   -176   -256  -107</t>
  </si>
  <si>
    <t>3   -133    144    542      0</t>
  </si>
  <si>
    <t>0      0    289</t>
  </si>
  <si>
    <t>0     28   -770    718      0</t>
  </si>
  <si>
    <t>916  -1493</t>
  </si>
  <si>
    <t>2463   9175   7890</t>
  </si>
  <si>
    <t>0   1949   2942   3066    284</t>
  </si>
  <si>
    <t>429      0      0</t>
  </si>
  <si>
    <t>0   -160    203      0   -278</t>
  </si>
  <si>
    <t>258    708</t>
  </si>
  <si>
    <t>256   -350</t>
  </si>
  <si>
    <t>500      0   -670   -67</t>
  </si>
  <si>
    <t>2  -2058   7157   6967   1676</t>
  </si>
  <si>
    <t>513   1844</t>
  </si>
  <si>
    <t>0    256      0</t>
  </si>
  <si>
    <t>0    657    394      0    165</t>
  </si>
  <si>
    <t>-186      0     68     7</t>
  </si>
  <si>
    <t>0   -775      0      0      0</t>
  </si>
  <si>
    <t>-898      0   -508   -27</t>
  </si>
  <si>
    <t>3   1137      0   -581   -184</t>
  </si>
  <si>
    <t>969      0</t>
  </si>
  <si>
    <t>0      0    246    34</t>
  </si>
  <si>
    <t>8     31    527    197      0</t>
  </si>
  <si>
    <t>-97      0</t>
  </si>
  <si>
    <t>0    384      0    12</t>
  </si>
  <si>
    <t>8      0   -484      0      0</t>
  </si>
  <si>
    <t>0     49      0   -123   -164</t>
  </si>
  <si>
    <t>60      0</t>
  </si>
  <si>
    <t>630    227      0</t>
  </si>
  <si>
    <t>882    440</t>
  </si>
  <si>
    <t>293    108    748</t>
  </si>
  <si>
    <t>0      0      0      0   -182</t>
  </si>
  <si>
    <t>0      0     11 -1236</t>
  </si>
  <si>
    <t>-66    425     12  -104</t>
  </si>
  <si>
    <t>7   3125 -12268 -11310  -2633</t>
  </si>
  <si>
    <t>887  -4306</t>
  </si>
  <si>
    <t>0      0      0      0    593</t>
  </si>
  <si>
    <t>147    387</t>
  </si>
  <si>
    <t>412   1256    489</t>
  </si>
  <si>
    <t>0      0 -47588      0  -1586</t>
  </si>
  <si>
    <t>057      0</t>
  </si>
  <si>
    <t>0      0      0  -123</t>
  </si>
  <si>
    <t>5      0   -534   -239      0</t>
  </si>
  <si>
    <t>0      0   4125</t>
  </si>
  <si>
    <t>122    855</t>
  </si>
  <si>
    <t>125    818   5199   419</t>
  </si>
  <si>
    <t>0   1139   4022  -6004    109</t>
  </si>
  <si>
    <t>332      7</t>
  </si>
  <si>
    <t>523   1569   1259    45</t>
  </si>
  <si>
    <t>7  -1565      0    858   1388</t>
  </si>
  <si>
    <t>358    959</t>
  </si>
  <si>
    <t>256   4013    256    68</t>
  </si>
  <si>
    <t>5    266    345   3323    646</t>
  </si>
  <si>
    <t>99    456</t>
  </si>
  <si>
    <t>366    386    -76   -10</t>
  </si>
  <si>
    <t>0    -59    356  -3340  -3421</t>
  </si>
  <si>
    <t>936  -2636</t>
  </si>
  <si>
    <t>4205  -5703     53   -10</t>
  </si>
  <si>
    <t>4   -487   -901  -2103   1976</t>
  </si>
  <si>
    <t>828   1062</t>
  </si>
  <si>
    <t>404   1695   1455    42</t>
  </si>
  <si>
    <t>0   1177    435   -121    117</t>
  </si>
  <si>
    <t>7   -161   -213   -254   -235</t>
  </si>
  <si>
    <t>205    177</t>
  </si>
  <si>
    <t>-103   -127     33   -12</t>
  </si>
  <si>
    <t>4     88    355    171    124</t>
  </si>
  <si>
    <t>484    177</t>
  </si>
  <si>
    <t>32    408    106  -135</t>
  </si>
  <si>
    <t>8    -94   -257   -584    445</t>
  </si>
  <si>
    <t>0  -1104      0</t>
  </si>
  <si>
    <t>0      0    139   -156      0</t>
  </si>
  <si>
    <t>2      0      0    -47      0</t>
  </si>
  <si>
    <t>115    608   -509</t>
  </si>
  <si>
    <t>0   -265   -236    274   -304</t>
  </si>
  <si>
    <t>599   1136</t>
  </si>
  <si>
    <t>0     97      0</t>
  </si>
  <si>
    <t>0      0      0      0     48</t>
  </si>
  <si>
    <t>0    328      0    16</t>
  </si>
  <si>
    <t>0    514</t>
  </si>
  <si>
    <t>0   -184    805</t>
  </si>
  <si>
    <t>0      0   -557   -495      0</t>
  </si>
  <si>
    <t>0      0      0  -376</t>
  </si>
  <si>
    <t>3  -1127    152      0      0</t>
  </si>
  <si>
    <t>356   -150</t>
  </si>
  <si>
    <t>0   -331   -192    -5</t>
  </si>
  <si>
    <t>7   -281   -589   -685   -566</t>
  </si>
  <si>
    <t>0      0      0   177</t>
  </si>
  <si>
    <t>4      0   1044  -1320     63</t>
  </si>
  <si>
    <t>0   3834</t>
  </si>
  <si>
    <t>858    117    -11    46</t>
  </si>
  <si>
    <t>8      0    700   3490  -1652</t>
  </si>
  <si>
    <t>372      0</t>
  </si>
  <si>
    <t>1091   -409      0</t>
  </si>
  <si>
    <t>0      0    214    199      0</t>
  </si>
  <si>
    <t>73   -294</t>
  </si>
  <si>
    <t>-463     60      0</t>
  </si>
  <si>
    <t>0      0      0      0  -3177</t>
  </si>
  <si>
    <t>0  -1185</t>
  </si>
  <si>
    <t>2178    809      0   238</t>
  </si>
  <si>
    <t>7     31    548   1015   1111</t>
  </si>
  <si>
    <t>879   1236</t>
  </si>
  <si>
    <t>3620      0  -1300</t>
  </si>
  <si>
    <t>0      0   -360  -2844      0</t>
  </si>
  <si>
    <t>0    -50      0   -29</t>
  </si>
  <si>
    <t>6   -242    390      0      0</t>
  </si>
  <si>
    <t>0  -1797      0    -6</t>
  </si>
  <si>
    <t>8  -2058   -500      0   4651</t>
  </si>
  <si>
    <t>852   -136</t>
  </si>
  <si>
    <t>6   2191  -1192   -421    332</t>
  </si>
  <si>
    <t>0    -19</t>
  </si>
  <si>
    <t>0      0    -43</t>
  </si>
  <si>
    <t>0      0      0   -142      0</t>
  </si>
  <si>
    <t>0      0  -4792      0  -1930</t>
  </si>
  <si>
    <t>704    213</t>
  </si>
  <si>
    <t>0   3019    338</t>
  </si>
  <si>
    <t>880  -3110</t>
  </si>
  <si>
    <t>1211    578   1393  -155</t>
  </si>
  <si>
    <t>292      0      0    48</t>
  </si>
  <si>
    <t>2    158      0      0      0</t>
  </si>
  <si>
    <t>0  -1995</t>
  </si>
  <si>
    <t>0   -349  -1597    64</t>
  </si>
  <si>
    <t>5   -599   1128    942    359</t>
  </si>
  <si>
    <t>904   1673</t>
  </si>
  <si>
    <t>8375      0      0</t>
  </si>
  <si>
    <t>690    109</t>
  </si>
  <si>
    <t>2462  -1040   2593   -98</t>
  </si>
  <si>
    <t>2      0      0     75      0</t>
  </si>
  <si>
    <t>250   2109</t>
  </si>
  <si>
    <t>0   -612      0   -813  -3168</t>
  </si>
  <si>
    <t>8    198   -207    812   -642</t>
  </si>
  <si>
    <t>748    295</t>
  </si>
  <si>
    <t>319    771   -528   -41</t>
  </si>
  <si>
    <t>5    -92   -736      0   -726</t>
  </si>
  <si>
    <t>146    149</t>
  </si>
  <si>
    <t>252     47     80     9</t>
  </si>
  <si>
    <t>4    160    128    238    116</t>
  </si>
  <si>
    <t>231    230</t>
  </si>
  <si>
    <t>119    157     81     5</t>
  </si>
  <si>
    <t>0     13    -14    196    132</t>
  </si>
  <si>
    <t>893   -775</t>
  </si>
  <si>
    <t>2   -322   -740   -216   -468</t>
  </si>
  <si>
    <t>365  -2051</t>
  </si>
  <si>
    <t>1335  -2514  -1925  -135</t>
  </si>
  <si>
    <t>5  -2397  -1006  -2249    272</t>
  </si>
  <si>
    <t>469    482</t>
  </si>
  <si>
    <t>371    287    273    33</t>
  </si>
  <si>
    <t>8    121    269    385    -83</t>
  </si>
  <si>
    <t>-61     24</t>
  </si>
  <si>
    <t>82   -191   -100    -3</t>
  </si>
  <si>
    <t>6    -28     42    455    403</t>
  </si>
  <si>
    <t>342    162</t>
  </si>
  <si>
    <t>172    141    143    17</t>
  </si>
  <si>
    <t>3  11443    539  -1911   -784</t>
  </si>
  <si>
    <t>629   -205</t>
  </si>
  <si>
    <t>-583      0      0    19</t>
  </si>
  <si>
    <t>7      0      0      0   -166</t>
  </si>
  <si>
    <t>414      0</t>
  </si>
  <si>
    <t>0      0   1416      0      0</t>
  </si>
  <si>
    <t>-599      0     73    50</t>
  </si>
  <si>
    <t>3    273      0   -904   -754</t>
  </si>
  <si>
    <t>998   -767</t>
  </si>
  <si>
    <t>1584   -928      0   -69</t>
  </si>
  <si>
    <t>0   -128</t>
  </si>
  <si>
    <t>3      0   -428      0      0</t>
  </si>
  <si>
    <t>0   1148      0   148</t>
  </si>
  <si>
    <t>5  -3153      0      0   6907</t>
  </si>
  <si>
    <t>3349      0      0</t>
  </si>
  <si>
    <t>0      0   7257    272   -480</t>
  </si>
  <si>
    <t>391    420      0   148</t>
  </si>
  <si>
    <t>3   2009    610   1536   1530</t>
  </si>
  <si>
    <t>688   2370</t>
  </si>
  <si>
    <t>0      0  -7133      0  -2021</t>
  </si>
  <si>
    <t>473  -1676</t>
  </si>
  <si>
    <t>0   -119  -1198    70</t>
  </si>
  <si>
    <t>5   2986   2356      0  -3485</t>
  </si>
  <si>
    <t>812   -170</t>
  </si>
  <si>
    <t>-104      0   -233   224</t>
  </si>
  <si>
    <t>3      0      0      0    -68</t>
  </si>
  <si>
    <t>-195  -1322      2    -4</t>
  </si>
  <si>
    <t>0   1282</t>
  </si>
  <si>
    <t>0    592    622   -45</t>
  </si>
  <si>
    <t>6      0     54     57     46</t>
  </si>
  <si>
    <t>746   1343</t>
  </si>
  <si>
    <t>2428  -3263 -13664</t>
  </si>
  <si>
    <t>0    158      0      0   2186</t>
  </si>
  <si>
    <t>168      0      0     7</t>
  </si>
  <si>
    <t>4      0    -90    240     60</t>
  </si>
  <si>
    <t>0      0      0   129</t>
  </si>
  <si>
    <t>9      0  -1035    622   -197</t>
  </si>
  <si>
    <t>0   1342</t>
  </si>
  <si>
    <t>-876     49      0</t>
  </si>
  <si>
    <t>0      0  -2222  -9559   -117</t>
  </si>
  <si>
    <t>184   -224</t>
  </si>
  <si>
    <t>0   1115      0</t>
  </si>
  <si>
    <t>0    -24      0   -216      0</t>
  </si>
  <si>
    <t>-95      0</t>
  </si>
  <si>
    <t>0      0      0      0   1665</t>
  </si>
  <si>
    <t>0    838</t>
  </si>
  <si>
    <t>44   -181      0    74</t>
  </si>
  <si>
    <t>3   1711      0      0      0</t>
  </si>
  <si>
    <t>9042    458    191   -10</t>
  </si>
  <si>
    <t>1   -588   4643      0      0</t>
  </si>
  <si>
    <t>1027      0   -389</t>
  </si>
  <si>
    <t>0      0    -45   -804      0</t>
  </si>
  <si>
    <t>0     83      0  -281</t>
  </si>
  <si>
    <t>6    134  -1338   -157  -2020</t>
  </si>
  <si>
    <t>723  -5634</t>
  </si>
  <si>
    <t>3434   4827 -45202</t>
  </si>
  <si>
    <t>-49   -273  -1600    36</t>
  </si>
  <si>
    <t>3  -1341   1110      0      0</t>
  </si>
  <si>
    <t>793      0</t>
  </si>
  <si>
    <t>-33  -1729      0</t>
  </si>
  <si>
    <t>0      0      0    543      0</t>
  </si>
  <si>
    <t>399  13356</t>
  </si>
  <si>
    <t>0      0    611      0      0</t>
  </si>
  <si>
    <t>0    -65    895    51</t>
  </si>
  <si>
    <t>5   1907   1230    880     78</t>
  </si>
  <si>
    <t>022    -33</t>
  </si>
  <si>
    <t>5732  -1828  -1479  -319</t>
  </si>
  <si>
    <t>5   2704   1406    -56  12074</t>
  </si>
  <si>
    <t>0   1924</t>
  </si>
  <si>
    <t>618    626    183    82</t>
  </si>
  <si>
    <t>4    718    236    108    627</t>
  </si>
  <si>
    <t>-61    679</t>
  </si>
  <si>
    <t>-9    379    173    19</t>
  </si>
  <si>
    <t>5    -33    926    816    933</t>
  </si>
  <si>
    <t>390  -1401</t>
  </si>
  <si>
    <t>5561   5130   4618   319</t>
  </si>
  <si>
    <t>9   5770  -3985   -376   -410</t>
  </si>
  <si>
    <t>275  -1404</t>
  </si>
  <si>
    <t>2736   1793   1182   426</t>
  </si>
  <si>
    <t>0   1570   1109   4256    460</t>
  </si>
  <si>
    <t>338    495</t>
  </si>
  <si>
    <t>-117     23     44   -32</t>
  </si>
  <si>
    <t>8    721    918    907    844</t>
  </si>
  <si>
    <t>874    745</t>
  </si>
  <si>
    <t>768    721    267    49</t>
  </si>
  <si>
    <t>3    410     91    310    -34</t>
  </si>
  <si>
    <t>439    309</t>
  </si>
  <si>
    <t>303    276    258    28</t>
  </si>
  <si>
    <t>0   -779   -733  -7937   3979</t>
  </si>
  <si>
    <t>867  -1079</t>
  </si>
  <si>
    <t>-181   -881   -302    64</t>
  </si>
  <si>
    <t>8      0      0    -71      0</t>
  </si>
  <si>
    <t>256    870      0</t>
  </si>
  <si>
    <t>0   -154      0    12</t>
  </si>
  <si>
    <t>4      0   -165    745    530</t>
  </si>
  <si>
    <t>0   -902</t>
  </si>
  <si>
    <t>-510    272    939  -100</t>
  </si>
  <si>
    <t>6  -1231      0    238      0</t>
  </si>
  <si>
    <t>0      0    213</t>
  </si>
  <si>
    <t>0      0      0   -199      0</t>
  </si>
  <si>
    <t>0    -69      0    161   1001</t>
  </si>
  <si>
    <t>3946   1568      0  -537</t>
  </si>
  <si>
    <t>764   -175</t>
  </si>
  <si>
    <t>-716      0      0    35</t>
  </si>
  <si>
    <t>4    285      0  -1258  -1564</t>
  </si>
  <si>
    <t>520   -683</t>
  </si>
  <si>
    <t>2056   -382   1222</t>
  </si>
  <si>
    <t>0 -12896   1159   -623  -3968</t>
  </si>
  <si>
    <t>810      0</t>
  </si>
  <si>
    <t>1394    992   3846    69</t>
  </si>
  <si>
    <t>0      0   -724  15024      0</t>
  </si>
  <si>
    <t>140    328      0    31</t>
  </si>
  <si>
    <t>1    886    241    284      0</t>
  </si>
  <si>
    <t>0      0 -15737</t>
  </si>
  <si>
    <t>0  -4037    554   -612      0</t>
  </si>
  <si>
    <t>015   1350</t>
  </si>
  <si>
    <t>-113  -3102  -2868    56</t>
  </si>
  <si>
    <t>0   1649  -3169      0    211</t>
  </si>
  <si>
    <t>4301   1033      0    -8</t>
  </si>
  <si>
    <t>1      0      0    273      0</t>
  </si>
  <si>
    <t>547    149</t>
  </si>
  <si>
    <t>328      0      0</t>
  </si>
  <si>
    <t>0      0      0 -15347      0</t>
  </si>
  <si>
    <t>004    168</t>
  </si>
  <si>
    <t>-38      0 -29333  -127</t>
  </si>
  <si>
    <t>2    801      0      0      0</t>
  </si>
  <si>
    <t>695   2051</t>
  </si>
  <si>
    <t>3784   -152   -454</t>
  </si>
  <si>
    <t>0   7694      0      0   -226</t>
  </si>
  <si>
    <t>0    268</t>
  </si>
  <si>
    <t>0    392      0</t>
  </si>
  <si>
    <t>7627      0   -948  -156</t>
  </si>
  <si>
    <t>6   -495      0 -14941    197</t>
  </si>
  <si>
    <t>0      0      0  -406</t>
  </si>
  <si>
    <t>0   1573   -815  -2037  -1464</t>
  </si>
  <si>
    <t>0      0      0  -152</t>
  </si>
  <si>
    <t>0      0   -335      0      0</t>
  </si>
  <si>
    <t>274    808</t>
  </si>
  <si>
    <t>0 -17549      0  -2391  -1521</t>
  </si>
  <si>
    <t>949   -412</t>
  </si>
  <si>
    <t>1988  14258  11005   -78</t>
  </si>
  <si>
    <t>8  -5419   3702      0      0</t>
  </si>
  <si>
    <t>0      0      0   -72</t>
  </si>
  <si>
    <t>7   -222  -1625   -384  -1386</t>
  </si>
  <si>
    <t>726      0</t>
  </si>
  <si>
    <t>0   5889      0   -99</t>
  </si>
  <si>
    <t>2  18665      0      0      0</t>
  </si>
  <si>
    <t>0    999</t>
  </si>
  <si>
    <t>0     91   1569</t>
  </si>
  <si>
    <t>0    215   -421    -87  -1687</t>
  </si>
  <si>
    <t>117  -3155</t>
  </si>
  <si>
    <t>1264    963    245   -47</t>
  </si>
  <si>
    <t>0   -242    126  -2734  -3764</t>
  </si>
  <si>
    <t>355  -2557</t>
  </si>
  <si>
    <t>472      0  -2014   -82</t>
  </si>
  <si>
    <t>9  -1195   -502   1221   5105</t>
  </si>
  <si>
    <t>831   -346</t>
  </si>
  <si>
    <t>764   -241   4986   -22</t>
  </si>
  <si>
    <t>1  -1381   -994   -468   3540</t>
  </si>
  <si>
    <t>699   -352</t>
  </si>
  <si>
    <t>5 -15067 -15032 -15784 -15279</t>
  </si>
  <si>
    <t>621  -9449</t>
  </si>
  <si>
    <t>0199  -8247 -12110  3857</t>
  </si>
  <si>
    <t>5  35366  25387  38280  41426</t>
  </si>
  <si>
    <t>882  40232</t>
  </si>
  <si>
    <t>7400  41478    694    79</t>
  </si>
  <si>
    <t>4    646    970    124    123</t>
  </si>
  <si>
    <t>87     87</t>
  </si>
  <si>
    <t>165    -75    716    76</t>
  </si>
  <si>
    <t>7    253     28    521    483</t>
  </si>
  <si>
    <t>328    367</t>
  </si>
  <si>
    <t>341    537    565    53</t>
  </si>
  <si>
    <t>5    162    591    626   5597</t>
  </si>
  <si>
    <t>592 -40292</t>
  </si>
  <si>
    <t>4781 -46359   4843</t>
  </si>
  <si>
    <t>245     59</t>
  </si>
  <si>
    <t>254   1110     49</t>
  </si>
  <si>
    <t>0      0  -1113      0      0</t>
  </si>
  <si>
    <t>0    -75</t>
  </si>
  <si>
    <t>494      0      0</t>
  </si>
  <si>
    <t>175      0   -148</t>
  </si>
  <si>
    <t>0   -242    277    709      0</t>
  </si>
  <si>
    <t>266    451</t>
  </si>
  <si>
    <t>86    245    343  -128</t>
  </si>
  <si>
    <t>6      0    587      0      0</t>
  </si>
  <si>
    <t>0    302      0</t>
  </si>
  <si>
    <t>0      0    161      0   -262</t>
  </si>
  <si>
    <t>0      0      0    67</t>
  </si>
  <si>
    <t>2      0   -316    374      0</t>
  </si>
  <si>
    <t>0  -9015</t>
  </si>
  <si>
    <t>7400      0   2037</t>
  </si>
  <si>
    <t>0      0      0      0 -10606</t>
  </si>
  <si>
    <t>889   4487</t>
  </si>
  <si>
    <t>0      0  -2695    40</t>
  </si>
  <si>
    <t>8      0    403   1812     52</t>
  </si>
  <si>
    <t>929   3986</t>
  </si>
  <si>
    <t>733   1018      0</t>
  </si>
  <si>
    <t>0      0      0      0   9678</t>
  </si>
  <si>
    <t>0  23853</t>
  </si>
  <si>
    <t>2456    458      0   -41</t>
  </si>
  <si>
    <t>6   3654   -145   -524   -449</t>
  </si>
  <si>
    <t>0  -1910</t>
  </si>
  <si>
    <t>2863  -1949   -158</t>
  </si>
  <si>
    <t>0    157 -44403      0      0</t>
  </si>
  <si>
    <t>0    -15</t>
  </si>
  <si>
    <t>-188      0    -85   -12</t>
  </si>
  <si>
    <t>6     92   -364      0      0</t>
  </si>
  <si>
    <t>0   7489      0   270</t>
  </si>
  <si>
    <t>6    -80   -186      0      9</t>
  </si>
  <si>
    <t>287   -219</t>
  </si>
  <si>
    <t>7   5018      0   -133      0</t>
  </si>
  <si>
    <t>0 -44720</t>
  </si>
  <si>
    <t>682      0     99</t>
  </si>
  <si>
    <t>0      0    130      0    245</t>
  </si>
  <si>
    <t>236   -430</t>
  </si>
  <si>
    <t>0      0   6816      0   1571</t>
  </si>
  <si>
    <t>113   -111</t>
  </si>
  <si>
    <t>0   4520   3976    36</t>
  </si>
  <si>
    <t>9      0      0      0  -1623</t>
  </si>
  <si>
    <t>721  -1308</t>
  </si>
  <si>
    <t>-635   -488      0 -3402</t>
  </si>
  <si>
    <t>6      0      0   -153      0</t>
  </si>
  <si>
    <t>0   4534</t>
  </si>
  <si>
    <t>0   4283   -194   -13</t>
  </si>
  <si>
    <t>6      0  -2214   -126      0</t>
  </si>
  <si>
    <t>0      0   6566    54</t>
  </si>
  <si>
    <t>4   3450   3067   1934 -29735</t>
  </si>
  <si>
    <t>0      0   1926</t>
  </si>
  <si>
    <t>0    807      0      0   1706</t>
  </si>
  <si>
    <t>5      0   3726    701   2871</t>
  </si>
  <si>
    <t>535    244</t>
  </si>
  <si>
    <t>-682   -344   -172     6</t>
  </si>
  <si>
    <t>8  -2886      0      0      0</t>
  </si>
  <si>
    <t>0      0   -110   -51</t>
  </si>
  <si>
    <t>8   -929   -217   -793  -1848</t>
  </si>
  <si>
    <t>-38      0  -3237    65</t>
  </si>
  <si>
    <t>3567  -5715      0</t>
  </si>
  <si>
    <t>0      0      0      0    295</t>
  </si>
  <si>
    <t>4    813   -131   3431   2221</t>
  </si>
  <si>
    <t>606   2460</t>
  </si>
  <si>
    <t>2319  -1073  -2189   -21</t>
  </si>
  <si>
    <t>6     43  -3701   1638    967</t>
  </si>
  <si>
    <t>756   2721</t>
  </si>
  <si>
    <t>0   3026   1605   164</t>
  </si>
  <si>
    <t>0   1450   1650 -17958   2130</t>
  </si>
  <si>
    <t>967   1615</t>
  </si>
  <si>
    <t>1634 -18679   1624   108</t>
  </si>
  <si>
    <t>0   1535   1813 -11219    -15</t>
  </si>
  <si>
    <t>699   1661</t>
  </si>
  <si>
    <t>892    284    239    61</t>
  </si>
  <si>
    <t>9    460    709   -225  -1124</t>
  </si>
  <si>
    <t>513   1000</t>
  </si>
  <si>
    <t>447    585   -602   -50</t>
  </si>
  <si>
    <t>4   -384   -445    -95   -143</t>
  </si>
  <si>
    <t>164    -25</t>
  </si>
  <si>
    <t>215   -440  -1171  -108</t>
  </si>
  <si>
    <t>1  -1170   -484   -136    -73</t>
  </si>
  <si>
    <t>469   -189   -270   -22</t>
  </si>
  <si>
    <t>6    578   -102      3    276</t>
  </si>
  <si>
    <t>304    200</t>
  </si>
  <si>
    <t>8  -1018  -1191  -1031  -1425</t>
  </si>
  <si>
    <t>331     19</t>
  </si>
  <si>
    <t>1254  -1746  -8034</t>
  </si>
  <si>
    <t>0   -719    299   -195   -336</t>
  </si>
  <si>
    <t>0   -657      0</t>
  </si>
  <si>
    <t>0      0    -35    102      0</t>
  </si>
  <si>
    <t>0      0      0  -775</t>
  </si>
  <si>
    <t>8      0      0   1197      0</t>
  </si>
  <si>
    <t>980      0</t>
  </si>
  <si>
    <t>5055   2228    968</t>
  </si>
  <si>
    <t>0  -1098     41    530    907</t>
  </si>
  <si>
    <t>877   1132</t>
  </si>
  <si>
    <t>0   -249      0</t>
  </si>
  <si>
    <t>0      0      0      0   -249</t>
  </si>
  <si>
    <t>0    502      0   -14</t>
  </si>
  <si>
    <t>0   -540</t>
  </si>
  <si>
    <t>0   -270    337</t>
  </si>
  <si>
    <t>0      0    287   -569      0</t>
  </si>
  <si>
    <t>042      0</t>
  </si>
  <si>
    <t>0      0      0    80</t>
  </si>
  <si>
    <t>8     12   -344      0      0</t>
  </si>
  <si>
    <t>268   -207</t>
  </si>
  <si>
    <t>0    179   -231     8</t>
  </si>
  <si>
    <t>1   -622    429    271    -79</t>
  </si>
  <si>
    <t>5      0    559   -167    757</t>
  </si>
  <si>
    <t>0   -407</t>
  </si>
  <si>
    <t>1053  -1678   4334   418</t>
  </si>
  <si>
    <t>5      0   1671   1842   2469</t>
  </si>
  <si>
    <t>45      0</t>
  </si>
  <si>
    <t>-204    524      0</t>
  </si>
  <si>
    <t>0      0   -192    200      0</t>
  </si>
  <si>
    <t>430   1223</t>
  </si>
  <si>
    <t>793   -145      0</t>
  </si>
  <si>
    <t>0      0      0      0   -103</t>
  </si>
  <si>
    <t>0    697</t>
  </si>
  <si>
    <t>-274    497      0    14</t>
  </si>
  <si>
    <t>6    205  -2197   4308   4328</t>
  </si>
  <si>
    <t>841   1384</t>
  </si>
  <si>
    <t>1119      0     92</t>
  </si>
  <si>
    <t>0      0    845    311      0</t>
  </si>
  <si>
    <t>0   -234      0    51</t>
  </si>
  <si>
    <t>5    450   -734      0      0</t>
  </si>
  <si>
    <t>0   -607      0  -105</t>
  </si>
  <si>
    <t>7   -197   1209      0    463</t>
  </si>
  <si>
    <t>141  -1312</t>
  </si>
  <si>
    <t>1    374    334    231    192</t>
  </si>
  <si>
    <t>0    324</t>
  </si>
  <si>
    <t>0      0    340</t>
  </si>
  <si>
    <t>0     15      0   -286      0</t>
  </si>
  <si>
    <t>0      0    -77      0    391</t>
  </si>
  <si>
    <t>5    354</t>
  </si>
  <si>
    <t>0    414    308</t>
  </si>
  <si>
    <t>518     91</t>
  </si>
  <si>
    <t>-37     50   -196    17</t>
  </si>
  <si>
    <t>259      0</t>
  </si>
  <si>
    <t>-121      0      0    -7</t>
  </si>
  <si>
    <t>2  -3449      0      0      0</t>
  </si>
  <si>
    <t>0    -91</t>
  </si>
  <si>
    <t>0   -367    159    -9</t>
  </si>
  <si>
    <t>7   -696    663    520    878</t>
  </si>
  <si>
    <t>094   -230</t>
  </si>
  <si>
    <t>218      0      0</t>
  </si>
  <si>
    <t>245   -150</t>
  </si>
  <si>
    <t>-86   -154     90   -90</t>
  </si>
  <si>
    <t>6      0      0    713      0</t>
  </si>
  <si>
    <t>221   -437</t>
  </si>
  <si>
    <t>0  -1217      0   -692  -1693</t>
  </si>
  <si>
    <t>0      0      0 -4864</t>
  </si>
  <si>
    <t>0   4312</t>
  </si>
  <si>
    <t>3   -178  -1908  -9418  15534</t>
  </si>
  <si>
    <t>103   -630</t>
  </si>
  <si>
    <t>8  -1282   4391      0   -226</t>
  </si>
  <si>
    <t>908   -767</t>
  </si>
  <si>
    <t>-270   -199   1562   -27</t>
  </si>
  <si>
    <t>0   -175   -202   -368   1515</t>
  </si>
  <si>
    <t>214   -196</t>
  </si>
  <si>
    <t>-408   -479    -56    26</t>
  </si>
  <si>
    <t>4    386    538     89    296</t>
  </si>
  <si>
    <t>602   2187</t>
  </si>
  <si>
    <t>2002    417    130    -7</t>
  </si>
  <si>
    <t>7   -180   -126   -600   -351</t>
  </si>
  <si>
    <t>352   -323</t>
  </si>
  <si>
    <t>8   -188   -248   -139    937</t>
  </si>
  <si>
    <t>881    879</t>
  </si>
  <si>
    <t>752     33    324    19</t>
  </si>
  <si>
    <t>7    127    403     40   1256</t>
  </si>
  <si>
    <t>246    821</t>
  </si>
  <si>
    <t>40    924    637    28</t>
  </si>
  <si>
    <t>2    554    252  -1212   -305</t>
  </si>
  <si>
    <t>5    199 -31125    -83   -501</t>
  </si>
  <si>
    <t>759      0</t>
  </si>
  <si>
    <t>1036      0      0</t>
  </si>
  <si>
    <t>0   -825</t>
  </si>
  <si>
    <t>3108   -157    402  -105</t>
  </si>
  <si>
    <t>5      0      0   -262      0</t>
  </si>
  <si>
    <t>322   -463      0</t>
  </si>
  <si>
    <t>0   -977      0    81</t>
  </si>
  <si>
    <t>9      0   -510    825    440</t>
  </si>
  <si>
    <t>0   5834</t>
  </si>
  <si>
    <t>2490    651   -598  -877</t>
  </si>
  <si>
    <t>6   1075      0   -240      0</t>
  </si>
  <si>
    <t>0      0   1385</t>
  </si>
  <si>
    <t>0      0      0  -1321      0</t>
  </si>
  <si>
    <t>0   -691      0  -1125  -1925</t>
  </si>
  <si>
    <t>5854  10662      0   567</t>
  </si>
  <si>
    <t>391    528</t>
  </si>
  <si>
    <t>-686      0      0    70</t>
  </si>
  <si>
    <t>5    653      0    316   4626</t>
  </si>
  <si>
    <t>825   3859</t>
  </si>
  <si>
    <t>0005   4619   5364</t>
  </si>
  <si>
    <t>6906   -446  -4751</t>
  </si>
  <si>
    <t>0   1181   2294   -507   -818</t>
  </si>
  <si>
    <t>555      0</t>
  </si>
  <si>
    <t>752 -27642   -500   -14</t>
  </si>
  <si>
    <t>5      0   -344   6317      0</t>
  </si>
  <si>
    <t>-387   -662      0   -60</t>
  </si>
  <si>
    <t>2   1379    -73   -567      0</t>
  </si>
  <si>
    <t>0      0  -1821</t>
  </si>
  <si>
    <t>0  -2285   -445   -196      0</t>
  </si>
  <si>
    <t>300   -441</t>
  </si>
  <si>
    <t>65    532    281   256</t>
  </si>
  <si>
    <t>2    513 -26887      0   -151</t>
  </si>
  <si>
    <t>6468   -221      0    13</t>
  </si>
  <si>
    <t>7      0      0    -52      0</t>
  </si>
  <si>
    <t>570   -175</t>
  </si>
  <si>
    <t>-7      0      0</t>
  </si>
  <si>
    <t>0      0      0  -3262      0</t>
  </si>
  <si>
    <t>273   -215</t>
  </si>
  <si>
    <t>-221      0    219   139</t>
  </si>
  <si>
    <t>7   -302      0      0      0</t>
  </si>
  <si>
    <t>725 -20956</t>
  </si>
  <si>
    <t>-587    100     19</t>
  </si>
  <si>
    <t>0   4072      0      0    -46</t>
  </si>
  <si>
    <t>0   -598</t>
  </si>
  <si>
    <t>0   -456      0</t>
  </si>
  <si>
    <t>1261      0  -1670   -14</t>
  </si>
  <si>
    <t>8     86      0   2519   -553</t>
  </si>
  <si>
    <t>0      0      0 -2617</t>
  </si>
  <si>
    <t>7   1124    234    105    376</t>
  </si>
  <si>
    <t>346      0</t>
  </si>
  <si>
    <t>0      0      0   -65</t>
  </si>
  <si>
    <t>8      0   -406      0      0</t>
  </si>
  <si>
    <t>227   -111</t>
  </si>
  <si>
    <t>0  -3107      0    986   -897</t>
  </si>
  <si>
    <t>634  -2043</t>
  </si>
  <si>
    <t>368    299   1127  -165</t>
  </si>
  <si>
    <t>7   -764  17712      0      0</t>
  </si>
  <si>
    <t>0     15    -65    -58    123</t>
  </si>
  <si>
    <t>0    601      0   147</t>
  </si>
  <si>
    <t>6   -448      0      0      0</t>
  </si>
  <si>
    <t>0    225</t>
  </si>
  <si>
    <t>0   6867   4321</t>
  </si>
  <si>
    <t>0    144  -2042    394   2027</t>
  </si>
  <si>
    <t>597  -2545</t>
  </si>
  <si>
    <t>1100   4255    838  1250</t>
  </si>
  <si>
    <t>2   4576   2126   2867   5964</t>
  </si>
  <si>
    <t>090   7251</t>
  </si>
  <si>
    <t>4670      0   4939     8</t>
  </si>
  <si>
    <t>8    132    572   1055    465</t>
  </si>
  <si>
    <t>410    551</t>
  </si>
  <si>
    <t>1274    893   1608    49</t>
  </si>
  <si>
    <t>3    954    335     -1    591</t>
  </si>
  <si>
    <t>211   -512</t>
  </si>
  <si>
    <t>-555     47   3594     3</t>
  </si>
  <si>
    <t>2  -1166   -530   -785   -294</t>
  </si>
  <si>
    <t>083   4151</t>
  </si>
  <si>
    <t>2840   3539   2430    30</t>
  </si>
  <si>
    <t>1    200    267   -247     95</t>
  </si>
  <si>
    <t>29    133</t>
  </si>
  <si>
    <t>40     40  -1842  -278</t>
  </si>
  <si>
    <t>6  -2856  -2511  -2015  -4332</t>
  </si>
  <si>
    <t>415  -3755</t>
  </si>
  <si>
    <t>4545  -5765    431   -10</t>
  </si>
  <si>
    <t>9   -104   1627  -1318  -1152</t>
  </si>
  <si>
    <t>375  -1388</t>
  </si>
  <si>
    <t>2  -4049  -3128  -2695  -3555</t>
  </si>
  <si>
    <t>894  -5043</t>
  </si>
  <si>
    <t>1040  -2561  -6478   405</t>
  </si>
  <si>
    <t>3      0 -13929   3533      0</t>
  </si>
  <si>
    <t>214  22926</t>
  </si>
  <si>
    <t>170   -165     34</t>
  </si>
  <si>
    <t>0      0    302      0      0</t>
  </si>
  <si>
    <t>0   -121</t>
  </si>
  <si>
    <t>-199      0      0</t>
  </si>
  <si>
    <t>0      0      0      0    271</t>
  </si>
  <si>
    <t>-296      0    376</t>
  </si>
  <si>
    <t>0     24    167    -38      0</t>
  </si>
  <si>
    <t>494  18037</t>
  </si>
  <si>
    <t>-127    163    540   150</t>
  </si>
  <si>
    <t>8      0   -247      0      0</t>
  </si>
  <si>
    <t>0   -529      0</t>
  </si>
  <si>
    <t>0      0    246      0     86</t>
  </si>
  <si>
    <t>4      0    494     96      0</t>
  </si>
  <si>
    <t>0   4913</t>
  </si>
  <si>
    <t>1715      0  -1385</t>
  </si>
  <si>
    <t>0      0      0      0   5918</t>
  </si>
  <si>
    <t>457  -1333</t>
  </si>
  <si>
    <t>0      0   -112   -34</t>
  </si>
  <si>
    <t>9      0   -541  -1103   -575</t>
  </si>
  <si>
    <t>546  -3139</t>
  </si>
  <si>
    <t>1691  -1599      0</t>
  </si>
  <si>
    <t>0      0      0      0  -4676</t>
  </si>
  <si>
    <t>0 -11108</t>
  </si>
  <si>
    <t>1685    810      0   289</t>
  </si>
  <si>
    <t>3  17272   -181    246   -755</t>
  </si>
  <si>
    <t>0   1333</t>
  </si>
  <si>
    <t>2118   3503    -72</t>
  </si>
  <si>
    <t>0   -108  15819      0      0</t>
  </si>
  <si>
    <t>0    252</t>
  </si>
  <si>
    <t>540      0    356   -39</t>
  </si>
  <si>
    <t>8   -163    352      0      0</t>
  </si>
  <si>
    <t>0  -5124      0 -2240</t>
  </si>
  <si>
    <t>7    -27    -68      0   3006</t>
  </si>
  <si>
    <t>470    226</t>
  </si>
  <si>
    <t>500   -402    341   197</t>
  </si>
  <si>
    <t>1  -3396      0   -254      0</t>
  </si>
  <si>
    <t>0  16104</t>
  </si>
  <si>
    <t>-853      0   -371</t>
  </si>
  <si>
    <t>0      0    148      0   -232</t>
  </si>
  <si>
    <t>227    461</t>
  </si>
  <si>
    <t>0      0  -5000      0 -20419</t>
  </si>
  <si>
    <t>473   -210</t>
  </si>
  <si>
    <t>0    -23   8736     6</t>
  </si>
  <si>
    <t>7      0      0      0   1550</t>
  </si>
  <si>
    <t>497   2895</t>
  </si>
  <si>
    <t>369    298      0  1118</t>
  </si>
  <si>
    <t>8      0      0     57      0</t>
  </si>
  <si>
    <t>419      0      0</t>
  </si>
  <si>
    <t>0  -2814</t>
  </si>
  <si>
    <t>0 -13778   -291   -29</t>
  </si>
  <si>
    <t>6      0   3430  16955      0</t>
  </si>
  <si>
    <t>0      0  -3533   -41</t>
  </si>
  <si>
    <t>1  -1319  -1420   -691  10472</t>
  </si>
  <si>
    <t>0      0   -467</t>
  </si>
  <si>
    <t>0    -85      0      0   -775</t>
  </si>
  <si>
    <t>0      0      0  -426</t>
  </si>
  <si>
    <t>5      0 -16284   -819  -1363</t>
  </si>
  <si>
    <t>387    261</t>
  </si>
  <si>
    <t>600    757    284   -31</t>
  </si>
  <si>
    <t>3    994      0      0      0</t>
  </si>
  <si>
    <t>0      0    286    39</t>
  </si>
  <si>
    <t>8    267    268    137   1097</t>
  </si>
  <si>
    <t>40      0    354   -56</t>
  </si>
  <si>
    <t>2483   2907      0</t>
  </si>
  <si>
    <t>0      0      0      0   2251</t>
  </si>
  <si>
    <t>0      0      0  -279</t>
  </si>
  <si>
    <t>0    295    392   3425   5605</t>
  </si>
  <si>
    <t>215   5691</t>
  </si>
  <si>
    <t>5972   2024  -1340    11</t>
  </si>
  <si>
    <t>7   -333   5970   2798    898</t>
  </si>
  <si>
    <t>186   -587</t>
  </si>
  <si>
    <t>0    879   1340   125</t>
  </si>
  <si>
    <t>2   1304   1652   8581   2102</t>
  </si>
  <si>
    <t>210   1566</t>
  </si>
  <si>
    <t>2136   8675   1743   115</t>
  </si>
  <si>
    <t>0   1654   1637   5562   2456</t>
  </si>
  <si>
    <t>043   2010</t>
  </si>
  <si>
    <t>2333     83    558    34</t>
  </si>
  <si>
    <t>4    360    478    112    847</t>
  </si>
  <si>
    <t>125   -131</t>
  </si>
  <si>
    <t>-846    398    -46    -1</t>
  </si>
  <si>
    <t>8    -25   -101   -554   -354</t>
  </si>
  <si>
    <t>625   -369</t>
  </si>
  <si>
    <t>8 -40699 -31765 -17465 -21775</t>
  </si>
  <si>
    <t>833 -22049</t>
  </si>
  <si>
    <t>2770   -257   -878   -55</t>
  </si>
  <si>
    <t>9   -333   6747    624  -2492</t>
  </si>
  <si>
    <t>928  -2059</t>
  </si>
  <si>
    <t>7751 -36294 -30092 -4742</t>
  </si>
  <si>
    <t>4 -35993 -30672 -44158 -33857</t>
  </si>
  <si>
    <t>399    675</t>
  </si>
  <si>
    <t>1117   1203   2083</t>
  </si>
  <si>
    <t>0 -33338  -2237      0   7462</t>
  </si>
  <si>
    <t>Go to "Data" --&gt;Text to Columns - Select "Fixed Width" ---&gt; Finish</t>
  </si>
  <si>
    <t>Old</t>
  </si>
  <si>
    <t>New</t>
  </si>
  <si>
    <t>Adjustments</t>
  </si>
  <si>
    <t>Counts</t>
  </si>
  <si>
    <t>Copy cells S3:S384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</si>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</sst>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</numFmts>
  <fonts count="49" x14ac:knownFonts="1">
    <font>
      <sz val="10"/>
      <name val="Verdana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2">
    <xf borderId="0" fillId="0" fontId="0" numFmtId="0"/>
    <xf applyAlignment="0" applyBorder="0" applyNumberFormat="0" applyProtection="0" borderId="0" fillId="2" fontId="7" numFmtId="0"/>
    <xf applyAlignment="0" applyBorder="0" applyNumberFormat="0" applyProtection="0" borderId="0" fillId="3" fontId="7" numFmtId="0"/>
    <xf applyAlignment="0" applyBorder="0" applyNumberFormat="0" applyProtection="0" borderId="0" fillId="4" fontId="7" numFmtId="0"/>
    <xf applyAlignment="0" applyBorder="0" applyNumberFormat="0" applyProtection="0" borderId="0" fillId="2" fontId="7" numFmtId="0"/>
    <xf applyAlignment="0" applyBorder="0" applyNumberFormat="0" applyProtection="0" borderId="0" fillId="5" fontId="7" numFmtId="0"/>
    <xf applyAlignment="0" applyBorder="0" applyNumberFormat="0" applyProtection="0" borderId="0" fillId="3" fontId="7" numFmtId="0"/>
    <xf applyAlignment="0" applyBorder="0" applyNumberFormat="0" applyProtection="0" borderId="0" fillId="6" fontId="7" numFmtId="0"/>
    <xf applyAlignment="0" applyBorder="0" applyNumberFormat="0" applyProtection="0" borderId="0" fillId="3" fontId="7" numFmtId="0"/>
    <xf applyAlignment="0" applyBorder="0" applyNumberFormat="0" applyProtection="0" borderId="0" fillId="4" fontId="7" numFmtId="0"/>
    <xf applyAlignment="0" applyBorder="0" applyNumberFormat="0" applyProtection="0" borderId="0" fillId="6" fontId="7" numFmtId="0"/>
    <xf applyAlignment="0" applyBorder="0" applyNumberFormat="0" applyProtection="0" borderId="0" fillId="7" fontId="7" numFmtId="0"/>
    <xf applyAlignment="0" applyBorder="0" applyNumberFormat="0" applyProtection="0" borderId="0" fillId="3" fontId="7" numFmtId="0"/>
    <xf applyAlignment="0" applyBorder="0" applyNumberFormat="0" applyProtection="0" borderId="0" fillId="8" fontId="8" numFmtId="0"/>
    <xf applyAlignment="0" applyBorder="0" applyNumberFormat="0" applyProtection="0" borderId="0" fillId="9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8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8" numFmtId="0"/>
    <xf applyAlignment="0" applyBorder="0" applyNumberFormat="0" applyProtection="0" borderId="0" fillId="10" fontId="8" numFmtId="0"/>
    <xf applyAlignment="0" applyBorder="0" applyNumberFormat="0" applyProtection="0" borderId="0" fillId="4" fontId="8" numFmtId="0"/>
    <xf applyAlignment="0" applyBorder="0" applyNumberFormat="0" applyProtection="0" borderId="0" fillId="11" fontId="8" numFmtId="0"/>
    <xf applyAlignment="0" applyBorder="0" applyNumberFormat="0" applyProtection="0" borderId="0" fillId="8" fontId="8" numFmtId="0"/>
    <xf applyAlignment="0" applyBorder="0" applyNumberFormat="0" applyProtection="0" borderId="0" fillId="9" fontId="8" numFmtId="0"/>
    <xf applyAlignment="0" applyBorder="0" applyNumberFormat="0" applyProtection="0" borderId="0" fillId="12" fontId="9" numFmtId="0"/>
    <xf applyAlignment="0" applyNumberFormat="0" applyProtection="0" borderId="1" fillId="2" fontId="10" numFmtId="0"/>
    <xf applyAlignment="0" applyNumberFormat="0" applyProtection="0" borderId="2" fillId="13" fontId="11" numFmtId="0"/>
    <xf applyAlignment="0" applyBorder="0" applyFill="0" applyNumberFormat="0" applyProtection="0" borderId="0" fillId="0" fontId="12" numFmtId="0"/>
    <xf applyAlignment="0" applyBorder="0" applyNumberFormat="0" applyProtection="0" borderId="0" fillId="14" fontId="13" numFmtId="0"/>
    <xf applyAlignment="0" applyFill="0" applyNumberFormat="0" applyProtection="0" borderId="3" fillId="0" fontId="14" numFmtId="0"/>
    <xf applyAlignment="0" applyFill="0" applyNumberFormat="0" applyProtection="0" borderId="4" fillId="0" fontId="15" numFmtId="0"/>
    <xf applyAlignment="0" applyFill="0" applyNumberFormat="0" applyProtection="0" borderId="5" fillId="0" fontId="16" numFmtId="0"/>
    <xf applyAlignment="0" applyBorder="0" applyFill="0" applyNumberFormat="0" applyProtection="0" borderId="0" fillId="0" fontId="16" numFmtId="0"/>
    <xf applyAlignment="0" applyNumberFormat="0" applyProtection="0" borderId="1" fillId="3" fontId="17" numFmtId="0"/>
    <xf applyAlignment="0" applyFill="0" applyNumberFormat="0" applyProtection="0" borderId="6" fillId="0" fontId="18" numFmtId="0"/>
    <xf applyAlignment="0" applyBorder="0" applyNumberFormat="0" applyProtection="0" borderId="0" fillId="15" fontId="19" numFmtId="0"/>
    <xf applyAlignment="0" applyFont="0" applyNumberFormat="0" applyProtection="0" borderId="7" fillId="16" fontId="3" numFmtId="0"/>
    <xf applyAlignment="0" applyNumberFormat="0" applyProtection="0" borderId="8" fillId="2" fontId="20" numFmtId="0"/>
    <xf applyAlignment="0" applyBorder="0" applyFill="0" applyNumberFormat="0" applyProtection="0" borderId="0" fillId="0" fontId="21" numFmtId="0"/>
    <xf applyAlignment="0" applyFill="0" applyNumberFormat="0" applyProtection="0" borderId="9" fillId="0" fontId="22" numFmtId="0"/>
    <xf applyAlignment="0" applyBorder="0" applyFill="0" applyNumberFormat="0" applyProtection="0" borderId="0" fillId="0" fontId="23" numFmtId="0"/>
    <xf borderId="0" fillId="6" fontId="27" numFmtId="0">
      <alignment wrapText="1"/>
    </xf>
    <xf borderId="0" fillId="0" fontId="27" numFmtId="0">
      <alignment wrapText="1"/>
    </xf>
    <xf borderId="0" fillId="0" fontId="27" numFmtId="168">
      <alignment wrapText="1"/>
    </xf>
    <xf borderId="0" fillId="0" fontId="28" numFmtId="0">
      <alignment wrapText="1"/>
    </xf>
    <xf borderId="0" fillId="0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1" numFmtId="0"/>
    <xf applyAlignment="0" applyBorder="0" applyFill="0" applyNumberFormat="0" applyProtection="0" borderId="0" fillId="0" fontId="29" numFmtId="0"/>
    <xf applyAlignment="0" applyFill="0" applyNumberFormat="0" applyProtection="0" borderId="14" fillId="0" fontId="30" numFmtId="0"/>
    <xf applyAlignment="0" applyFill="0" applyNumberFormat="0" applyProtection="0" borderId="15" fillId="0" fontId="31" numFmtId="0"/>
    <xf applyAlignment="0" applyFill="0" applyNumberFormat="0" applyProtection="0" borderId="16" fillId="0" fontId="32" numFmtId="0"/>
    <xf applyAlignment="0" applyBorder="0" applyFill="0" applyNumberFormat="0" applyProtection="0" borderId="0" fillId="0" fontId="32" numFmtId="0"/>
    <xf applyAlignment="0" applyBorder="0" applyNumberFormat="0" applyProtection="0" borderId="0" fillId="18" fontId="33" numFmtId="0"/>
    <xf applyAlignment="0" applyBorder="0" applyNumberFormat="0" applyProtection="0" borderId="0" fillId="19" fontId="34" numFmtId="0"/>
    <xf applyAlignment="0" applyBorder="0" applyNumberFormat="0" applyProtection="0" borderId="0" fillId="20" fontId="35" numFmtId="0"/>
    <xf applyAlignment="0" applyNumberFormat="0" applyProtection="0" borderId="17" fillId="21" fontId="36" numFmtId="0"/>
    <xf applyAlignment="0" applyNumberFormat="0" applyProtection="0" borderId="18" fillId="22" fontId="37" numFmtId="0"/>
    <xf applyAlignment="0" applyNumberFormat="0" applyProtection="0" borderId="17" fillId="22" fontId="38" numFmtId="0"/>
    <xf applyAlignment="0" applyFill="0" applyNumberFormat="0" applyProtection="0" borderId="19" fillId="0" fontId="39" numFmtId="0"/>
    <xf applyAlignment="0" applyNumberFormat="0" applyProtection="0" borderId="20" fillId="23" fontId="40" numFmtId="0"/>
    <xf applyAlignment="0" applyBorder="0" applyFill="0" applyNumberFormat="0" applyProtection="0" borderId="0" fillId="0" fontId="41" numFmtId="0"/>
    <xf applyAlignment="0" applyFont="0" applyNumberFormat="0" applyProtection="0" borderId="21" fillId="24" fontId="1" numFmtId="0"/>
    <xf applyAlignment="0" applyBorder="0" applyFill="0" applyNumberFormat="0" applyProtection="0" borderId="0" fillId="0" fontId="42" numFmtId="0"/>
    <xf applyAlignment="0" applyFill="0" applyNumberFormat="0" applyProtection="0" borderId="22" fillId="0" fontId="43" numFmtId="0"/>
    <xf applyAlignment="0" applyBorder="0" applyNumberFormat="0" applyProtection="0" borderId="0" fillId="25" fontId="44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28" fontId="44" numFmtId="0"/>
    <xf applyAlignment="0" applyBorder="0" applyNumberFormat="0" applyProtection="0" borderId="0" fillId="29" fontId="44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2" fontId="44" numFmtId="0"/>
    <xf applyAlignment="0" applyBorder="0" applyNumberFormat="0" applyProtection="0" borderId="0" fillId="33" fontId="44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6" fontId="44" numFmtId="0"/>
    <xf applyAlignment="0" applyBorder="0" applyNumberFormat="0" applyProtection="0" borderId="0" fillId="37" fontId="44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0" fontId="44" numFmtId="0"/>
    <xf applyAlignment="0" applyBorder="0" applyNumberFormat="0" applyProtection="0" borderId="0" fillId="41" fontId="44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4" fontId="44" numFmtId="0"/>
    <xf applyAlignment="0" applyBorder="0" applyNumberFormat="0" applyProtection="0" borderId="0" fillId="45" fontId="44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NumberFormat="0" applyProtection="0" borderId="0" fillId="48" fontId="44" numFmtId="0"/>
    <xf applyAlignment="0" applyBorder="0" applyFill="0" applyFont="0" applyProtection="0" borderId="0" fillId="0" fontId="1" numFmtId="43"/>
  </cellStyleXfs>
  <cellXfs count="1398">
    <xf borderId="0" fillId="0" fontId="0" numFmtId="0" xfId="0"/>
    <xf applyBorder="1" borderId="10" fillId="0" fontId="0" numFmtId="0" xfId="0"/>
    <xf applyFont="1" borderId="0" fillId="0" fontId="5" numFmtId="0" xfId="0"/>
    <xf applyFont="1" borderId="0" fillId="0" fontId="6" numFmtId="0" xfId="0"/>
    <xf applyBorder="1" applyFont="1" borderId="10" fillId="0" fontId="5" numFmtId="0" xfId="0"/>
    <xf applyAlignment="1" applyBorder="1" applyFont="1" borderId="11" fillId="0" fontId="5" numFmtId="0" xfId="0">
      <alignment horizontal="left"/>
    </xf>
    <xf applyAlignment="1" applyBorder="1" applyFont="1" borderId="11" fillId="0" fontId="5" numFmtId="0" xfId="0">
      <alignment horizontal="center"/>
    </xf>
    <xf applyFont="1" applyNumberFormat="1" borderId="0" fillId="0" fontId="6" numFmtId="3" xfId="0"/>
    <xf applyBorder="1" applyFont="1" borderId="12" fillId="0" fontId="6" numFmtId="0" xfId="0"/>
    <xf applyBorder="1" applyFont="1" applyNumberFormat="1" borderId="12" fillId="0" fontId="6" numFmtId="3" xfId="0"/>
    <xf applyBorder="1" applyFont="1" borderId="13" fillId="0" fontId="6" numFmtId="0" xfId="0"/>
    <xf applyBorder="1" applyFont="1" applyNumberFormat="1" borderId="13" fillId="0" fontId="6" numFmtId="3" xfId="0"/>
    <xf applyFont="1" applyNumberFormat="1" borderId="0" fillId="0" fontId="6" numFmtId="164" xfId="0"/>
    <xf applyBorder="1" applyFont="1" applyNumberFormat="1" borderId="12" fillId="0" fontId="6" numFmtId="164" xfId="0"/>
    <xf applyBorder="1" applyFont="1" applyNumberFormat="1" borderId="13" fillId="0" fontId="6" numFmtId="164" xfId="0"/>
    <xf applyBorder="1" applyFont="1" borderId="10" fillId="0" fontId="6" numFmtId="0" xfId="0"/>
    <xf applyBorder="1" applyFont="1" borderId="11" fillId="0" fontId="5" numFmtId="0" xfId="0"/>
    <xf applyBorder="1" applyFont="1" applyNumberFormat="1" borderId="10" fillId="0" fontId="6" numFmtId="164" xfId="0"/>
    <xf applyAlignment="1" applyFont="1" borderId="0" fillId="0" fontId="6" numFmtId="0" xfId="0">
      <alignment horizontal="left"/>
    </xf>
    <xf applyAlignment="1" applyBorder="1" applyFont="1" borderId="0" fillId="0" fontId="6" numFmtId="0" xfId="0">
      <alignment horizontal="left"/>
    </xf>
    <xf applyAlignment="1" applyBorder="1" applyFill="1" applyFont="1" borderId="0" fillId="0" fontId="6" numFmtId="0" xfId="0">
      <alignment horizontal="left"/>
    </xf>
    <xf applyAlignment="1" applyBorder="1" applyFont="1" borderId="13" fillId="0" fontId="6" numFmtId="0" xfId="0">
      <alignment horizontal="left"/>
    </xf>
    <xf applyBorder="1" applyFont="1" applyNumberFormat="1" borderId="10" fillId="0" fontId="6" numFmtId="3" xfId="0"/>
    <xf applyAlignment="1" applyBorder="1" applyFont="1" borderId="12" fillId="0" fontId="6" numFmtId="0" xfId="0">
      <alignment horizontal="left"/>
    </xf>
    <xf applyAlignment="1" applyBorder="1" applyFont="1" applyNumberFormat="1" borderId="11" fillId="0" fontId="5" numFmtId="164" xfId="0">
      <alignment horizontal="center"/>
    </xf>
    <xf applyBorder="1" applyFont="1" borderId="0" fillId="0" fontId="6" numFmtId="0" xfId="0"/>
    <xf applyBorder="1" applyFont="1" applyNumberFormat="1" borderId="0" fillId="0" fontId="6" numFmtId="10" xfId="0"/>
    <xf applyAlignment="1" applyFont="1" applyNumberFormat="1" borderId="0" fillId="0" fontId="6" numFmtId="49" xfId="0">
      <alignment horizontal="left"/>
    </xf>
    <xf applyAlignment="1" applyFont="1" applyNumberFormat="1" borderId="0" fillId="0" fontId="6" numFmtId="164" xfId="0">
      <alignment horizontal="right"/>
    </xf>
    <xf applyAlignment="1" applyBorder="1" applyFont="1" applyNumberFormat="1" borderId="12" fillId="0" fontId="6" numFmtId="49" xfId="0">
      <alignment horizontal="left"/>
    </xf>
    <xf applyAlignment="1" applyBorder="1" applyFont="1" applyNumberFormat="1" borderId="12" fillId="0" fontId="6" numFmtId="164" xfId="0">
      <alignment horizontal="right"/>
    </xf>
    <xf applyAlignment="1" applyBorder="1" applyFont="1" applyNumberFormat="1" borderId="10" fillId="0" fontId="6" numFmtId="164" xfId="0">
      <alignment horizontal="right"/>
    </xf>
    <xf applyAlignment="1" applyBorder="1" applyFont="1" borderId="12" fillId="0" fontId="5" numFmtId="0" xfId="0">
      <alignment horizontal="center"/>
    </xf>
    <xf applyBorder="1" applyFont="1" applyNumberFormat="1" borderId="0" fillId="0" fontId="6" numFmtId="3" xfId="0"/>
    <xf applyBorder="1" applyFont="1" applyNumberFormat="1" borderId="0" fillId="0" fontId="6" numFmtId="164" xfId="0"/>
    <xf applyFont="1" borderId="0" fillId="0" fontId="24" numFmtId="0" xfId="0"/>
    <xf applyFont="1" applyNumberFormat="1" borderId="0" fillId="0" fontId="6" numFmtId="10" xfId="0"/>
    <xf applyBorder="1" applyFont="1" applyNumberFormat="1" borderId="0" fillId="0" fontId="6" numFmtId="166" xfId="0"/>
    <xf applyFont="1" applyNumberFormat="1" borderId="0" fillId="0" fontId="6" numFmtId="165" xfId="0"/>
    <xf applyFill="1" applyFont="1" borderId="0" fillId="0" fontId="6" numFmtId="0" xfId="0"/>
    <xf applyBorder="1" applyFill="1" applyFont="1" borderId="10" fillId="0" fontId="5" numFmtId="0" xfId="0"/>
    <xf applyAlignment="1" applyBorder="1" applyFill="1" applyFont="1" borderId="11" fillId="0" fontId="5" numFmtId="0" xfId="0">
      <alignment horizontal="center"/>
    </xf>
    <xf applyFill="1" applyFont="1" applyNumberFormat="1" borderId="0" fillId="0" fontId="6" numFmtId="164" xfId="0"/>
    <xf applyBorder="1" applyFill="1" applyFont="1" applyNumberFormat="1" borderId="12" fillId="0" fontId="6" numFmtId="164" xfId="0"/>
    <xf applyBorder="1" applyFill="1" applyFont="1" applyNumberFormat="1" borderId="10" fillId="0" fontId="6" numFmtId="164" xfId="0"/>
    <xf applyBorder="1" applyFill="1" applyFont="1" applyNumberFormat="1" borderId="0" fillId="0" fontId="6" numFmtId="10" xfId="0"/>
    <xf applyFill="1" applyFont="1" borderId="0" fillId="0" fontId="5" numFmtId="0" xfId="0"/>
    <xf applyAlignment="1" applyBorder="1" applyFill="1" applyFont="1" borderId="11" fillId="0" fontId="5" numFmtId="0" xfId="0">
      <alignment horizontal="left"/>
    </xf>
    <xf applyAlignment="1" applyFill="1" applyFont="1" borderId="0" fillId="0" fontId="6" numFmtId="0" xfId="0">
      <alignment horizontal="left"/>
    </xf>
    <xf applyAlignment="1" applyBorder="1" applyFill="1" applyFont="1" borderId="12" fillId="0" fontId="6" numFmtId="0" xfId="0">
      <alignment horizontal="left"/>
    </xf>
    <xf applyAlignment="1" applyBorder="1" applyFill="1" applyFont="1" borderId="13" fillId="0" fontId="6" numFmtId="0" xfId="0">
      <alignment horizontal="left"/>
    </xf>
    <xf applyBorder="1" applyFill="1" applyFont="1" applyNumberFormat="1" borderId="13" fillId="0" fontId="6" numFmtId="164" xfId="0"/>
    <xf applyAlignment="1" applyBorder="1" applyFill="1" applyFont="1" applyNumberFormat="1" borderId="11" fillId="0" fontId="5" numFmtId="164" xfId="0">
      <alignment horizontal="center"/>
    </xf>
    <xf applyFill="1" applyFont="1" applyNumberFormat="1" borderId="0" fillId="0" fontId="6" numFmtId="3" xfId="0"/>
    <xf applyBorder="1" applyFill="1" applyFont="1" applyNumberFormat="1" borderId="0" fillId="0" fontId="6" numFmtId="3" xfId="0"/>
    <xf applyBorder="1" applyFill="1" applyFont="1" applyNumberFormat="1" borderId="13" fillId="0" fontId="6" numFmtId="3" xfId="0"/>
    <xf applyBorder="1" applyFill="1" applyFont="1" applyNumberFormat="1" borderId="0" fillId="0" fontId="6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6" numFmtId="3" xfId="0"/>
    <xf applyBorder="1" applyFill="1" applyFont="1" applyNumberFormat="1" borderId="10" fillId="0" fontId="6" numFmtId="3" xfId="0"/>
    <xf applyBorder="1" applyFill="1" applyFont="1" borderId="10" fillId="0" fontId="6" numFmtId="0" xfId="0"/>
    <xf applyFont="1" borderId="0" fillId="0" fontId="2" numFmtId="0" xfId="0"/>
    <xf applyAlignment="1" applyBorder="1" applyFont="1" borderId="12" fillId="0" fontId="25" numFmtId="0" xfId="0">
      <alignment horizontal="center"/>
    </xf>
    <xf applyBorder="1" applyFill="1" applyFont="1" borderId="0" fillId="0" fontId="2" numFmtId="0" xfId="0"/>
    <xf applyFont="1" borderId="0" fillId="0" fontId="3" numFmtId="0" xfId="0"/>
    <xf applyBorder="1" applyFont="1" borderId="10" fillId="0" fontId="3" numFmtId="0" xfId="0"/>
    <xf applyAlignment="1" applyBorder="1" applyFont="1" borderId="11" fillId="0" fontId="2" numFmtId="0" xfId="0">
      <alignment horizontal="left"/>
    </xf>
    <xf applyFont="1" borderId="0" fillId="0" fontId="26" numFmtId="0" xfId="0"/>
    <xf applyFont="1" applyNumberFormat="1" borderId="0" fillId="0" fontId="26" numFmtId="3" xfId="0"/>
    <xf applyBorder="1" applyFont="1" borderId="13" fillId="0" fontId="26" numFmtId="0" xfId="0"/>
    <xf applyBorder="1" applyFont="1" applyNumberFormat="1" borderId="13" fillId="0" fontId="26" numFmtId="3" xfId="0"/>
    <xf applyFont="1" applyNumberFormat="1" borderId="0" fillId="0" fontId="26" numFmtId="9" xfId="0"/>
    <xf applyBorder="1" applyFont="1" borderId="0" fillId="0" fontId="26" numFmtId="0" xfId="0"/>
    <xf applyBorder="1" applyFont="1" applyNumberFormat="1" borderId="12" fillId="0" fontId="26" numFmtId="3" xfId="0"/>
    <xf applyBorder="1" applyFont="1" applyNumberFormat="1" borderId="12" fillId="0" fontId="26" numFmtId="9" xfId="0"/>
    <xf applyBorder="1" applyFont="1" applyNumberFormat="1" borderId="10" fillId="0" fontId="26" numFmtId="3" xfId="0"/>
    <xf applyBorder="1" applyFont="1" applyNumberFormat="1" borderId="10" fillId="0" fontId="26" numFmtId="9" xfId="0"/>
    <xf applyFont="1" applyNumberFormat="1" borderId="0" fillId="0" fontId="26" numFmtId="2" xfId="0"/>
    <xf applyBorder="1" applyFont="1" applyNumberFormat="1" borderId="12" fillId="0" fontId="26" numFmtId="2" xfId="0"/>
    <xf applyBorder="1" applyFont="1" applyNumberFormat="1" borderId="10" fillId="0" fontId="26" numFmtId="2" xfId="0"/>
    <xf applyBorder="1" applyFont="1" borderId="12" fillId="0" fontId="26" numFmtId="0" xfId="0"/>
    <xf applyBorder="1" applyFont="1" applyNumberFormat="1" borderId="13" fillId="0" fontId="26" numFmtId="9" xfId="0"/>
    <xf applyBorder="1" applyFont="1" borderId="10" fillId="0" fontId="26" numFmtId="0" xfId="0"/>
    <xf applyFont="1" applyNumberFormat="1" borderId="0" fillId="0" fontId="3" numFmtId="3" xfId="0"/>
    <xf applyBorder="1" applyFont="1" borderId="13" fillId="0" fontId="3" numFmtId="0" xfId="0"/>
    <xf applyBorder="1" applyFont="1" applyNumberFormat="1" borderId="13" fillId="0" fontId="3" numFmtId="3" xfId="0"/>
    <xf applyFont="1" applyNumberFormat="1" borderId="0" fillId="0" fontId="6" numFmtId="167" xfId="0"/>
    <xf applyBorder="1" applyFont="1" borderId="0" fillId="0" fontId="5" numFmtId="0" xfId="0"/>
    <xf applyAlignment="1" applyBorder="1" applyFont="1" borderId="0" fillId="0" fontId="5" numFmtId="0" xfId="0">
      <alignment horizontal="center"/>
    </xf>
    <xf applyBorder="1" applyFill="1" applyFont="1" applyNumberFormat="1" borderId="12" fillId="17" fontId="6" numFmtId="164" xfId="0"/>
    <xf applyBorder="1" applyFill="1" applyFont="1" applyNumberFormat="1" borderId="10" fillId="17" fontId="6" numFmtId="164" xfId="0"/>
    <xf applyFill="1" applyFont="1" applyNumberFormat="1" borderId="0" fillId="17" fontId="6" numFmtId="164" xfId="0"/>
    <xf applyNumberFormat="1" borderId="0" fillId="0" fontId="0" numFmtId="16" xfId="0"/>
    <xf applyAlignment="1" applyBorder="1" applyFill="1" applyFont="1" borderId="11" fillId="17" fontId="5" numFmtId="0" xfId="0">
      <alignment horizontal="center"/>
    </xf>
    <xf applyNumberFormat="1" borderId="0" fillId="0" fontId="0" numFmtId="17" xfId="0"/>
    <xf applyBorder="1" applyFont="1" applyNumberFormat="1" borderId="0" fillId="0" fontId="6" numFmtId="167" xfId="0"/>
    <xf applyBorder="1" applyFont="1" borderId="0" fillId="0" fontId="24" numFmtId="0" xfId="0"/>
    <xf applyAlignment="1" applyBorder="1" applyFont="1" borderId="0" fillId="0" fontId="5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5" numFmtId="0" xfId="0">
      <alignment horizontal="center"/>
    </xf>
    <xf applyBorder="1" applyFill="1" applyFont="1" borderId="0" fillId="0" fontId="6" numFmtId="0" xfId="0"/>
    <xf applyBorder="1" applyFont="1" applyNumberFormat="1" borderId="0" fillId="0" fontId="6" numFmtId="165" xfId="0"/>
    <xf applyNumberFormat="1" borderId="0" fillId="0" fontId="0" numFmtId="165" xfId="0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Font="1" borderId="0" fillId="0" fontId="5" numFmtId="0" xfId="0"/>
    <xf borderId="0" fillId="0" fontId="1" numFmtId="0" xfId="49"/>
    <xf applyAlignment="1" borderId="0" fillId="0" fontId="1" numFmtId="0" xfId="49">
      <alignment horizontal="center"/>
    </xf>
    <xf applyAlignment="1" applyNumberFormat="1" borderId="0" fillId="0" fontId="1" numFmtId="11" xfId="49">
      <alignment horizontal="center"/>
    </xf>
    <xf applyAlignment="1" applyFont="1" borderId="0" fillId="0" fontId="43" numFmtId="0" xfId="49">
      <alignment horizontal="center"/>
    </xf>
    <xf applyAlignment="1" applyFont="1" applyNumberFormat="1" borderId="0" fillId="0" fontId="43" numFmtId="11" xfId="49">
      <alignment horizontal="center"/>
    </xf>
    <xf applyAlignment="1" applyFont="1" borderId="0" fillId="0" fontId="43" numFmtId="0" xfId="49">
      <alignment horizontal="left"/>
    </xf>
    <xf applyAlignment="1" applyFill="1" applyNumberFormat="1" borderId="0" fillId="49" fontId="1" numFmtId="11" xfId="49">
      <alignment horizontal="center"/>
    </xf>
    <xf applyFont="1" borderId="0" fillId="0" fontId="45" numFmtId="0" xfId="0"/>
    <xf applyFont="1" borderId="0" fillId="0" fontId="46" numFmtId="0" xfId="0"/>
    <xf applyFont="1" applyNumberFormat="1" borderId="0" fillId="0" fontId="46" numFmtId="21" xfId="0"/>
    <xf applyFont="1" applyNumberFormat="1" borderId="0" fillId="0" fontId="46" numFmtId="11" xfId="0"/>
    <xf applyFont="1" applyNumberFormat="1" borderId="0" fillId="0" fontId="46" numFmtId="2" xfId="0"/>
    <xf applyFont="1" borderId="0" fillId="0" fontId="47" numFmtId="0" xfId="0"/>
    <xf applyBorder="1" applyFont="1" borderId="12" fillId="0" fontId="47" numFmtId="0" xfId="0"/>
    <xf applyBorder="1" applyFont="1" borderId="12" fillId="0" fontId="46" numFmtId="0" xfId="0"/>
    <xf applyBorder="1" applyFont="1" applyNumberFormat="1" borderId="12" fillId="0" fontId="46" numFmtId="2" xfId="0"/>
    <xf applyBorder="1" applyFont="1" borderId="0" fillId="0" fontId="46" numFmtId="0" xfId="0"/>
    <xf applyBorder="1" applyFont="1" borderId="10" fillId="0" fontId="46" numFmtId="0" xfId="0"/>
    <xf applyFont="1" applyNumberFormat="1" borderId="0" fillId="0" fontId="46" numFmtId="3" xfId="0"/>
    <xf applyFont="1" applyNumberFormat="1" borderId="0" fillId="0" fontId="46" numFmtId="17" xfId="0"/>
    <xf applyFont="1" applyNumberFormat="1" borderId="0" fillId="0" fontId="46" numFmtId="16" xfId="0"/>
    <xf applyFont="1" borderId="0" fillId="0" fontId="48" numFmtId="0" xfId="0"/>
    <xf applyFont="1" applyNumberFormat="1" borderId="0" fillId="0" fontId="46" numFmtId="167" xfId="0"/>
    <xf applyBorder="1" applyFont="1" borderId="0" fillId="0" fontId="47" numFmtId="0" xfId="0"/>
    <xf applyAlignment="1" applyBorder="1" applyFont="1" applyNumberFormat="1" borderId="0" fillId="0" fontId="46" numFmtId="1" quotePrefix="1" xfId="0">
      <alignment horizontal="right"/>
    </xf>
    <xf applyBorder="1" applyFont="1" applyNumberFormat="1" borderId="10" fillId="0" fontId="46" numFmtId="167" xfId="0"/>
    <xf applyFont="1" applyNumberFormat="1" borderId="0" fillId="0" fontId="46" numFmtId="0" xfId="0"/>
    <xf applyBorder="1" applyFont="1" applyNumberFormat="1" borderId="10" fillId="0" fontId="46" numFmtId="0" xfId="0"/>
    <xf applyFont="1" applyNumberFormat="1" borderId="0" fillId="0" fontId="46" numFmtId="169" xfId="0"/>
    <xf applyBorder="1" applyFont="1" applyNumberFormat="1" borderId="10" fillId="0" fontId="46" numFmtId="169" xfId="0"/>
    <xf applyFill="1" applyFont="1" applyNumberFormat="1" borderId="0" fillId="50" fontId="46" numFmtId="167" xfId="0"/>
    <xf applyFill="1" applyFont="1" borderId="0" fillId="51" fontId="46" numFmtId="0" xfId="0"/>
    <xf applyFill="1" applyFont="1" applyNumberFormat="1" borderId="0" fillId="51" fontId="46" numFmtId="167" xfId="0"/>
    <xf applyBorder="1" applyFont="1" applyNumberFormat="1" borderId="10" fillId="0" fontId="46" numFmtId="3" xfId="0"/>
    <xf applyBorder="1" applyFont="1" applyNumberFormat="1" borderId="10" fillId="0" fontId="46" numFmtId="2" xfId="0"/>
    <xf applyBorder="1" applyFont="1" applyNumberFormat="1" borderId="12" fillId="0" fontId="46" numFmtId="3" xfId="0"/>
    <xf applyAlignment="1" applyBorder="1" applyFont="1" applyNumberFormat="1" borderId="12" fillId="0" fontId="46" numFmtId="1" quotePrefix="1" xfId="0">
      <alignment horizontal="right"/>
    </xf>
    <xf applyBorder="1" applyFont="1" borderId="10" fillId="0" fontId="47" numFmtId="0" xfId="0"/>
    <xf applyFont="1" applyNumberFormat="1" borderId="0" fillId="0" fontId="6" numFmtId="170" xfId="0"/>
    <xf applyBorder="1" applyFont="1" applyNumberFormat="1" borderId="10" fillId="0" fontId="6" numFmtId="170" xfId="0"/>
    <xf applyFill="1" applyFont="1" borderId="0" fillId="52" fontId="46" numFmtId="0" xfId="0"/>
    <xf applyFill="1" applyFont="1" applyNumberFormat="1" borderId="0" fillId="52" fontId="46" numFmtId="167" xfId="0"/>
    <xf applyFont="1" borderId="0" fillId="0" fontId="5" numFmtId="0" xfId="0"/>
    <xf applyBorder="1" applyFill="1" applyFont="1" applyNumberFormat="1" borderId="0" fillId="0" fontId="5" numFmtId="0" xfId="0"/>
    <xf applyBorder="1" applyFill="1" applyFont="1" applyNumberFormat="1" borderId="0" fillId="0" fontId="6" numFmtId="0" xfId="0"/>
    <xf applyAlignment="1" applyBorder="1" applyFill="1" applyFont="1" applyNumberFormat="1" borderId="0" fillId="0" fontId="5" numFmtId="0" xfId="0">
      <alignment horizontal="left"/>
    </xf>
    <xf applyAlignment="1" applyBorder="1" applyFill="1" applyFont="1" applyNumberFormat="1" borderId="0" fillId="0" fontId="5" numFmtId="0" xfId="0">
      <alignment horizontal="center"/>
    </xf>
    <xf applyBorder="1" applyFill="1" applyFont="1" applyNumberFormat="1" borderId="0" fillId="0" fontId="46" numFmtId="0" xfId="0"/>
    <xf applyBorder="1" applyFont="1" borderId="12" fillId="0" fontId="5" numFmtId="0" xfId="0"/>
    <xf applyFont="1" applyNumberFormat="1" borderId="0" fillId="0" fontId="6" numFmtId="2" xfId="0"/>
    <xf applyFont="1" applyNumberFormat="1" borderId="0" fillId="0" fontId="6" numFmtId="171" xfId="0"/>
    <xf applyBorder="1" applyFont="1" applyNumberFormat="1" borderId="10" fillId="0" fontId="6" numFmtId="171" xfId="0"/>
    <xf applyBorder="1" applyFont="1" applyNumberFormat="1" borderId="10" fillId="0" fontId="6" numFmtId="2" xfId="0"/>
    <xf applyFill="1" applyFont="1" borderId="0" fillId="0" fontId="46" numFmtId="0" xfId="0"/>
    <xf applyFill="1" applyFont="1" applyNumberFormat="1" borderId="0" fillId="0" fontId="46" numFmtId="172" xfId="0"/>
    <xf applyFill="1" applyFont="1" applyNumberFormat="1" borderId="0" fillId="50" fontId="46" numFmtId="172" xfId="0"/>
    <xf applyFill="1" applyFont="1" applyNumberFormat="1" borderId="0" fillId="52" fontId="46" numFmtId="172" xfId="0"/>
    <xf applyFont="1" applyNumberFormat="1" borderId="0" fillId="0" fontId="46" numFmtId="172" xfId="0"/>
    <xf applyFont="1" borderId="0" fillId="0" fontId="5" numFmtId="0" xfId="0"/>
  </cellXfs>
  <cellStyles count="92">
    <cellStyle builtinId="30" customBuiltin="1" name="20% - Accent1" xfId="1"/>
    <cellStyle name="20% - Accent1 2" xfId="68"/>
    <cellStyle builtinId="34" customBuiltin="1" name="20% - Accent2" xfId="2"/>
    <cellStyle name="20% - Accent2 2" xfId="72"/>
    <cellStyle builtinId="38" customBuiltin="1" name="20% - Accent3" xfId="3"/>
    <cellStyle name="20% - Accent3 2" xfId="76"/>
    <cellStyle builtinId="42" customBuiltin="1" name="20% - Accent4" xfId="4"/>
    <cellStyle name="20% - Accent4 2" xfId="80"/>
    <cellStyle builtinId="46" customBuiltin="1" name="20% - Accent5" xfId="5"/>
    <cellStyle name="20% - Accent5 2" xfId="84"/>
    <cellStyle builtinId="50" customBuiltin="1" name="20% - Accent6" xfId="6"/>
    <cellStyle name="20% - Accent6 2" xfId="88"/>
    <cellStyle builtinId="31" customBuiltin="1" name="40% - Accent1" xfId="7"/>
    <cellStyle name="40% - Accent1 2" xfId="69"/>
    <cellStyle builtinId="35" customBuiltin="1" name="40% - Accent2" xfId="8"/>
    <cellStyle name="40% - Accent2 2" xfId="73"/>
    <cellStyle builtinId="39" customBuiltin="1" name="40% - Accent3" xfId="9"/>
    <cellStyle name="40% - Accent3 2" xfId="77"/>
    <cellStyle builtinId="43" customBuiltin="1" name="40% - Accent4" xfId="10"/>
    <cellStyle name="40% - Accent4 2" xfId="81"/>
    <cellStyle builtinId="47" customBuiltin="1" name="40% - Accent5" xfId="11"/>
    <cellStyle name="40% - Accent5 2" xfId="85"/>
    <cellStyle builtinId="51" customBuiltin="1" name="40% - Accent6" xfId="12"/>
    <cellStyle name="40% - Accent6 2" xfId="89"/>
    <cellStyle builtinId="32" customBuiltin="1" name="60% - Accent1" xfId="13"/>
    <cellStyle name="60% - Accent1 2" xfId="70"/>
    <cellStyle builtinId="36" customBuiltin="1" name="60% - Accent2" xfId="14"/>
    <cellStyle name="60% - Accent2 2" xfId="74"/>
    <cellStyle builtinId="40" customBuiltin="1" name="60% - Accent3" xfId="15"/>
    <cellStyle name="60% - Accent3 2" xfId="78"/>
    <cellStyle builtinId="44" customBuiltin="1" name="60% - Accent4" xfId="16"/>
    <cellStyle name="60% - Accent4 2" xfId="82"/>
    <cellStyle builtinId="48" customBuiltin="1" name="60% - Accent5" xfId="17"/>
    <cellStyle name="60% - Accent5 2" xfId="86"/>
    <cellStyle builtinId="52" customBuiltin="1" name="60% - Accent6" xfId="18"/>
    <cellStyle name="60% - Accent6 2" xfId="90"/>
    <cellStyle builtinId="29" customBuiltin="1" name="Accent1" xfId="19"/>
    <cellStyle name="Accent1 2" xfId="67"/>
    <cellStyle builtinId="33" customBuiltin="1" name="Accent2" xfId="20"/>
    <cellStyle name="Accent2 2" xfId="71"/>
    <cellStyle builtinId="37" customBuiltin="1" name="Accent3" xfId="21"/>
    <cellStyle name="Accent3 2" xfId="75"/>
    <cellStyle builtinId="41" customBuiltin="1" name="Accent4" xfId="22"/>
    <cellStyle name="Accent4 2" xfId="79"/>
    <cellStyle builtinId="45" customBuiltin="1" name="Accent5" xfId="23"/>
    <cellStyle name="Accent5 2" xfId="83"/>
    <cellStyle builtinId="49" customBuiltin="1" name="Accent6" xfId="24"/>
    <cellStyle name="Accent6 2" xfId="87"/>
    <cellStyle builtinId="27" customBuiltin="1" name="Bad" xfId="25"/>
    <cellStyle name="Bad 2" xfId="56"/>
    <cellStyle builtinId="22" customBuiltin="1" name="Calculation" xfId="26"/>
    <cellStyle name="Calculation 2" xfId="60"/>
    <cellStyle builtinId="23" customBuiltin="1" name="Check Cell" xfId="27"/>
    <cellStyle name="Check Cell 2" xfId="62"/>
    <cellStyle name="Comma 2" xfId="91"/>
    <cellStyle builtinId="53" customBuiltin="1" name="Explanatory Text" xfId="28"/>
    <cellStyle name="Explanatory Text 2" xfId="65"/>
    <cellStyle builtinId="26" customBuiltin="1" name="Good" xfId="29"/>
    <cellStyle name="Good 2" xfId="55"/>
    <cellStyle builtinId="16" customBuiltin="1" name="Heading 1" xfId="30"/>
    <cellStyle name="Heading 1 2" xfId="51"/>
    <cellStyle builtinId="17" customBuiltin="1" name="Heading 2" xfId="31"/>
    <cellStyle name="Heading 2 2" xfId="52"/>
    <cellStyle builtinId="18" customBuiltin="1" name="Heading 3" xfId="32"/>
    <cellStyle name="Heading 3 2" xfId="53"/>
    <cellStyle builtinId="19" customBuiltin="1" name="Heading 4" xfId="33"/>
    <cellStyle name="Heading 4 2" xfId="54"/>
    <cellStyle builtinId="20" customBuiltin="1" name="Input" xfId="34"/>
    <cellStyle name="Input 2" xfId="58"/>
    <cellStyle builtinId="24" customBuiltin="1" name="Linked Cell" xfId="35"/>
    <cellStyle name="Linked Cell 2" xfId="61"/>
    <cellStyle builtinId="28" customBuiltin="1" name="Neutral" xfId="36"/>
    <cellStyle name="Neutral 2" xfId="57"/>
    <cellStyle builtinId="0" name="Normal" xfId="0"/>
    <cellStyle name="Normal 2" xfId="49"/>
    <cellStyle builtinId="10" customBuiltin="1" name="Note" xfId="37"/>
    <cellStyle name="Note 2" xfId="64"/>
    <cellStyle builtinId="21" customBuiltin="1" name="Output" xfId="38"/>
    <cellStyle name="Output 2" xfId="59"/>
    <cellStyle builtinId="15" customBuiltin="1" name="Title" xfId="39"/>
    <cellStyle name="Title 2" xfId="50"/>
    <cellStyle builtinId="25" customBuiltin="1" name="Total" xfId="40"/>
    <cellStyle name="Total 2" xfId="66"/>
    <cellStyle builtinId="11" customBuiltin="1" name="Warning Text" xfId="41"/>
    <cellStyle name="Warning Text 2" xfId="63"/>
    <cellStyle name="XLConnect.Boolean" xfId="47"/>
    <cellStyle name="XLConnect.Date" xfId="44"/>
    <cellStyle name="XLConnect.DateTime" xfId="48"/>
    <cellStyle name="XLConnect.General" xfId="43"/>
    <cellStyle name="XLConnect.Header" xfId="42"/>
    <cellStyle name="XLConnect.Numeric" xfId="46"/>
    <cellStyle name="XLConnect.String" xfId="45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K116"/>
  <sheetViews>
    <sheetView tabSelected="1" topLeftCell="A3" workbookViewId="0">
      <selection activeCell="B3" sqref="B3"/>
    </sheetView>
  </sheetViews>
  <sheetFormatPr defaultColWidth="10.76171875" defaultRowHeight="12.4" x14ac:dyDescent="0.3"/>
  <cols>
    <col min="1" max="1" style="65" width="10.76171875" collapsed="true"/>
    <col min="2" max="5" customWidth="true" style="65" width="12.64453125" collapsed="true"/>
    <col min="6" max="6" customWidth="true" style="65" width="4.87890625" collapsed="true"/>
    <col min="7" max="16384" style="65" width="10.76171875" collapsed="true"/>
  </cols>
  <sheetData>
    <row customHeight="1" ht="18" r="1" spans="1:10" x14ac:dyDescent="0.3">
      <c r="A1" s="62" t="s">
        <v>185</v>
      </c>
    </row>
    <row customHeight="1" ht="18" r="2" spans="1:10" thickBot="1" x14ac:dyDescent="0.35">
      <c r="B2" s="66"/>
      <c r="C2" s="66"/>
      <c r="D2"/>
      <c r="E2" s="68"/>
      <c r="F2" s="68"/>
      <c r="G2" s="68"/>
    </row>
    <row customFormat="1" customHeight="1" ht="18" r="3" s="68" spans="1:10" x14ac:dyDescent="0.3">
      <c r="A3" s="67" t="s">
        <v>218</v>
      </c>
      <c r="B3" s="63" t="s">
        <v>12708</v>
      </c>
      <c r="C3" s="63" t="s">
        <v>12620</v>
      </c>
      <c r="D3"/>
    </row>
    <row customFormat="1" customHeight="1" ht="18" r="4" s="68" spans="1:10" x14ac:dyDescent="0.3">
      <c r="A4" s="65" t="s">
        <v>331</v>
      </c>
      <c r="B4" s="84">
        <f>SUM(ToursByTourPurpose!B118)</f>
        <v>3281000</v>
      </c>
      <c r="C4" s="84">
        <f>SUM(ToursByTourPurpose!N118)</f>
        <v>3281000</v>
      </c>
      <c r="D4"/>
    </row>
    <row customFormat="1" customHeight="1" ht="18" r="5" s="68" spans="1:10" x14ac:dyDescent="0.3">
      <c r="A5" t="s">
        <v>332</v>
      </c>
      <c r="B5" s="84">
        <f>SUM(ToursByTourPurpose!C118)</f>
        <v>0</v>
      </c>
      <c r="C5" s="84">
        <f>ToursByTourPurpose!O118</f>
        <v>0</v>
      </c>
      <c r="D5"/>
    </row>
    <row customFormat="1" customHeight="1" ht="18" r="6" s="68" spans="1:10" x14ac:dyDescent="0.3">
      <c r="A6" t="s">
        <v>333</v>
      </c>
      <c r="B6" s="84">
        <f>SUM(ToursByTourPurpose!D118)</f>
        <v>0</v>
      </c>
      <c r="C6" s="84">
        <f>ToursByTourPurpose!P118</f>
        <v>0</v>
      </c>
      <c r="D6"/>
    </row>
    <row customFormat="1" customHeight="1" ht="18" r="7" s="68" spans="1:10" x14ac:dyDescent="0.3">
      <c r="A7" t="s">
        <v>334</v>
      </c>
      <c r="B7" s="84">
        <f>SUM(ToursByTourPurpose!E118)</f>
        <v>0</v>
      </c>
      <c r="C7" s="84">
        <f>ToursByTourPurpose!Q118</f>
        <v>0</v>
      </c>
      <c r="D7"/>
    </row>
    <row customFormat="1" customHeight="1" ht="18" r="8" s="68" spans="1:10" x14ac:dyDescent="0.3">
      <c r="A8" t="s">
        <v>335</v>
      </c>
      <c r="B8" s="84">
        <f>SUM(ToursByTourPurpose!F118)</f>
        <v>0</v>
      </c>
      <c r="C8" s="84">
        <f>ToursByTourPurpose!R118</f>
        <v>0</v>
      </c>
      <c r="D8"/>
    </row>
    <row customFormat="1" customHeight="1" ht="18" r="9" s="68" spans="1:10" x14ac:dyDescent="0.3">
      <c r="A9" t="s">
        <v>336</v>
      </c>
      <c r="B9" s="84">
        <f>SUM(ToursByTourPurpose!G118)</f>
        <v>0</v>
      </c>
      <c r="C9" s="84">
        <f>ToursByTourPurpose!S118</f>
        <v>0</v>
      </c>
      <c r="D9"/>
    </row>
    <row customFormat="1" customHeight="1" ht="18" r="10" s="68" spans="1:10" x14ac:dyDescent="0.3">
      <c r="A10" t="s">
        <v>337</v>
      </c>
      <c r="B10" s="84">
        <f>SUM(ToursByTourPurpose!H118)</f>
        <v>0</v>
      </c>
      <c r="C10" s="84">
        <f>ToursByTourPurpose!T118</f>
        <v>0</v>
      </c>
      <c r="D10"/>
    </row>
    <row customFormat="1" customHeight="1" ht="18" r="11" s="68" spans="1:10" thickBot="1" x14ac:dyDescent="0.35">
      <c r="A11" s="85" t="s">
        <v>223</v>
      </c>
      <c r="B11" s="86">
        <f>SUM(B4:B10)</f>
        <v>3281000</v>
      </c>
      <c r="C11" s="86">
        <f>SUM(C4:C10)</f>
        <v>3281000</v>
      </c>
      <c r="D11"/>
    </row>
    <row customFormat="1" customHeight="1" ht="18" r="12" s="68" spans="1:10" x14ac:dyDescent="0.3"/>
    <row customFormat="1" customHeight="1" ht="18" r="13" s="68" spans="1:10" x14ac:dyDescent="0.3"/>
    <row customFormat="1" customHeight="1" ht="18" r="14" s="68" spans="1:10" x14ac:dyDescent="0.3"/>
    <row customHeight="1" ht="18" r="15" spans="1:10" x14ac:dyDescent="0.3">
      <c r="A15" s="62" t="s">
        <v>293</v>
      </c>
    </row>
    <row customHeight="1" ht="18" r="16" spans="1:10" thickBot="1" x14ac:dyDescent="0.35">
      <c r="B16" s="66"/>
      <c r="C16" s="66"/>
      <c r="D16" s="66"/>
      <c r="E16" s="66"/>
      <c r="G16" s="68"/>
      <c r="H16" s="68"/>
      <c r="I16" s="68"/>
      <c r="J16" s="68"/>
    </row>
    <row customFormat="1" customHeight="1" ht="18" r="17" s="68" spans="1:11" x14ac:dyDescent="0.3">
      <c r="A17" s="67" t="s">
        <v>155</v>
      </c>
      <c r="B17" s="63" t="s">
        <v>12708</v>
      </c>
      <c r="C17" s="63" t="s">
        <v>12620</v>
      </c>
      <c r="D17" s="63" t="s">
        <v>154</v>
      </c>
      <c r="E17" s="63" t="s">
        <v>262</v>
      </c>
    </row>
    <row customFormat="1" customHeight="1" ht="18" r="18" s="68" spans="1:11" x14ac:dyDescent="0.3">
      <c r="A18" s="68" t="s">
        <v>146</v>
      </c>
      <c r="B18" s="69">
        <f>ToursByTourPurpose!B15</f>
        <v>1234000</v>
      </c>
      <c r="C18" s="69">
        <f>ToursByTourPurpose!N15</f>
        <v>1234000</v>
      </c>
      <c r="D18" s="69">
        <f ref="D18:D26" si="0" t="shared">C18-B18</f>
        <v>0</v>
      </c>
      <c r="E18" s="72">
        <f>D18/B18</f>
        <v>0</v>
      </c>
      <c r="K18" s="69"/>
    </row>
    <row customFormat="1" customHeight="1" ht="18" r="19" s="68" spans="1:11" x14ac:dyDescent="0.3">
      <c r="A19" s="68" t="s">
        <v>147</v>
      </c>
      <c r="B19" s="69">
        <f>ToursByTourPurpose!C15</f>
        <v>345000</v>
      </c>
      <c r="C19" s="69">
        <f>ToursByTourPurpose!O15</f>
        <v>345000</v>
      </c>
      <c r="D19" s="69">
        <f si="0" t="shared"/>
        <v>0</v>
      </c>
      <c r="E19" s="72">
        <f ref="E19:E26" si="1" t="shared">D19/B19</f>
        <v>0</v>
      </c>
      <c r="K19" s="69"/>
    </row>
    <row customFormat="1" customHeight="1" ht="18" r="20" s="68" spans="1:11" x14ac:dyDescent="0.3">
      <c r="A20" s="68" t="s">
        <v>148</v>
      </c>
      <c r="B20" s="69">
        <f>ToursByTourPurpose!D15</f>
        <v>314000</v>
      </c>
      <c r="C20" s="69">
        <f>ToursByTourPurpose!P15</f>
        <v>314000</v>
      </c>
      <c r="D20" s="69">
        <f si="0" t="shared"/>
        <v>0</v>
      </c>
      <c r="E20" s="72">
        <f si="1" t="shared"/>
        <v>0</v>
      </c>
      <c r="K20" s="69"/>
    </row>
    <row customFormat="1" customHeight="1" ht="18" r="21" s="68" spans="1:11" x14ac:dyDescent="0.3">
      <c r="A21" s="68" t="s">
        <v>245</v>
      </c>
      <c r="B21" s="69">
        <f>ToursByTourPurpose!E15</f>
        <v>461000</v>
      </c>
      <c r="C21" s="69">
        <f>ToursByTourPurpose!Q15</f>
        <v>461000</v>
      </c>
      <c r="D21" s="69">
        <f si="0" t="shared"/>
        <v>0</v>
      </c>
      <c r="E21" s="72">
        <f si="1" t="shared"/>
        <v>0</v>
      </c>
      <c r="K21" s="69"/>
    </row>
    <row customFormat="1" customHeight="1" ht="18" r="22" s="68" spans="1:11" x14ac:dyDescent="0.3">
      <c r="A22" s="68" t="s">
        <v>246</v>
      </c>
      <c r="B22" s="69">
        <f>ToursByTourPurpose!F15</f>
        <v>145000</v>
      </c>
      <c r="C22" s="69">
        <f>ToursByTourPurpose!R15</f>
        <v>145000</v>
      </c>
      <c r="D22" s="69">
        <f si="0" t="shared"/>
        <v>0</v>
      </c>
      <c r="E22" s="72">
        <f si="1" t="shared"/>
        <v>0</v>
      </c>
      <c r="K22" s="69"/>
    </row>
    <row customFormat="1" customHeight="1" ht="18" r="23" s="68" spans="1:11" x14ac:dyDescent="0.3">
      <c r="A23" s="68" t="s">
        <v>247</v>
      </c>
      <c r="B23" s="69">
        <f>ToursByTourPurpose!G15</f>
        <v>193000</v>
      </c>
      <c r="C23" s="69">
        <f>ToursByTourPurpose!S15</f>
        <v>193000</v>
      </c>
      <c r="D23" s="69">
        <f si="0" t="shared"/>
        <v>0</v>
      </c>
      <c r="E23" s="72">
        <f si="1" t="shared"/>
        <v>0</v>
      </c>
      <c r="K23" s="69"/>
    </row>
    <row customFormat="1" customHeight="1" ht="18" r="24" s="68" spans="1:11" x14ac:dyDescent="0.3">
      <c r="A24" s="73" t="s">
        <v>248</v>
      </c>
      <c r="B24" s="69">
        <f>ToursByTourPurpose!I15</f>
        <v>589000</v>
      </c>
      <c r="C24" s="69">
        <f>ToursByTourPurpose!U15</f>
        <v>589000</v>
      </c>
      <c r="D24" s="69">
        <f si="0" t="shared"/>
        <v>0</v>
      </c>
      <c r="E24" s="72">
        <f si="1" t="shared"/>
        <v>0</v>
      </c>
      <c r="K24" s="69"/>
    </row>
    <row customFormat="1" customHeight="1" ht="18" r="25" s="68" spans="1:11" x14ac:dyDescent="0.3">
      <c r="A25" s="73" t="s">
        <v>170</v>
      </c>
      <c r="B25" s="74">
        <f>ToursByTourPurpose!J15</f>
        <v>0</v>
      </c>
      <c r="C25" s="74">
        <f>ToursByTourPurpose!V15</f>
        <v>0</v>
      </c>
      <c r="D25" s="74">
        <f si="0" t="shared"/>
        <v>0</v>
      </c>
      <c r="E25" s="75">
        <v>0</v>
      </c>
    </row>
    <row customFormat="1" customHeight="1" ht="18" r="26" s="68" spans="1:11" thickBot="1" x14ac:dyDescent="0.35">
      <c r="A26" s="70" t="s">
        <v>223</v>
      </c>
      <c r="B26" s="76">
        <f>ToursByTourPurpose!K15</f>
        <v>3281000</v>
      </c>
      <c r="C26" s="76">
        <f>ToursByTourPurpose!W15</f>
        <v>3281000</v>
      </c>
      <c r="D26" s="76">
        <f si="0" t="shared"/>
        <v>0</v>
      </c>
      <c r="E26" s="77">
        <f si="1" t="shared"/>
        <v>0</v>
      </c>
    </row>
    <row customFormat="1" customHeight="1" ht="18" r="27" s="68" spans="1:11" x14ac:dyDescent="0.3"/>
    <row customFormat="1" customHeight="1" ht="18" r="28" s="68" spans="1:11" x14ac:dyDescent="0.3"/>
    <row customFormat="1" customHeight="1" ht="18" r="29" s="68" spans="1:11" x14ac:dyDescent="0.3"/>
    <row customHeight="1" ht="18" r="30" spans="1:11" x14ac:dyDescent="0.3">
      <c r="A30" s="62" t="s">
        <v>263</v>
      </c>
      <c r="G30" s="62" t="s">
        <v>288</v>
      </c>
    </row>
    <row customHeight="1" ht="18" r="31" spans="1:11" thickBot="1" x14ac:dyDescent="0.35">
      <c r="B31" s="66"/>
      <c r="C31" s="66"/>
      <c r="D31" s="66"/>
      <c r="E31" s="66"/>
      <c r="G31" s="66"/>
      <c r="H31" s="66"/>
      <c r="I31" s="66"/>
      <c r="J31" s="66"/>
    </row>
    <row customFormat="1" customHeight="1" ht="18" r="32" s="68" spans="1:11" x14ac:dyDescent="0.3">
      <c r="A32" s="67" t="s">
        <v>159</v>
      </c>
      <c r="B32" s="63" t="s">
        <v>12708</v>
      </c>
      <c r="C32" s="63" t="s">
        <v>12620</v>
      </c>
      <c r="D32" s="63" t="s">
        <v>154</v>
      </c>
      <c r="E32" s="63" t="s">
        <v>262</v>
      </c>
      <c r="G32" s="63" t="s">
        <v>12708</v>
      </c>
      <c r="H32" s="63" t="s">
        <v>12620</v>
      </c>
      <c r="I32" s="63" t="s">
        <v>154</v>
      </c>
      <c r="J32" s="63" t="s">
        <v>262</v>
      </c>
    </row>
    <row customFormat="1" customHeight="1" ht="18" r="33" s="68" spans="1:10" x14ac:dyDescent="0.3">
      <c r="A33" s="68" t="s">
        <v>211</v>
      </c>
      <c r="B33" s="69">
        <f>ToursByTourPurpose!F74</f>
        <v>1362000</v>
      </c>
      <c r="C33" s="69">
        <f>ToursByTourPurpose!W5</f>
        <v>1362000</v>
      </c>
      <c r="D33" s="69">
        <f ref="D33:D41" si="2" t="shared">C33-B33</f>
        <v>0</v>
      </c>
      <c r="E33" s="72">
        <f>D33/B33</f>
        <v>0</v>
      </c>
      <c r="G33" s="78">
        <f>B33/B$26</f>
        <v>0.41511734227369707</v>
      </c>
      <c r="H33" s="78">
        <f>C33/SUM($C$18:$C$24)</f>
        <v>0.41511734227369707</v>
      </c>
      <c r="I33" s="78">
        <f>H33-G33</f>
        <v>0</v>
      </c>
      <c r="J33" s="72">
        <f>I33/G33</f>
        <v>0</v>
      </c>
    </row>
    <row customFormat="1" customHeight="1" ht="18" r="34" s="68" spans="1:10" x14ac:dyDescent="0.3">
      <c r="A34" s="68" t="s">
        <v>212</v>
      </c>
      <c r="B34" s="69">
        <f>ToursByTourPurpose!F75</f>
        <v>778000</v>
      </c>
      <c r="C34" s="69">
        <f>ToursByTourPurpose!W6</f>
        <v>778000</v>
      </c>
      <c r="D34" s="69">
        <f si="2" t="shared"/>
        <v>0</v>
      </c>
      <c r="E34" s="72">
        <f ref="E34:E41" si="3" t="shared">D34/B34</f>
        <v>0</v>
      </c>
      <c r="G34" s="78">
        <f ref="G34:G40" si="4" t="shared">B34/B$26</f>
        <v>0.23712282840597379</v>
      </c>
      <c r="H34" s="78">
        <f ref="H34:H41" si="5" t="shared">C34/SUM($C$18:$C$24)</f>
        <v>0.23712282840597379</v>
      </c>
      <c r="I34" s="78">
        <f ref="I34:I41" si="6" t="shared">H34-G34</f>
        <v>0</v>
      </c>
      <c r="J34" s="72">
        <f ref="J34:J41" si="7" t="shared">I34/G34</f>
        <v>0</v>
      </c>
    </row>
    <row customFormat="1" customHeight="1" ht="18" r="35" s="68" spans="1:10" x14ac:dyDescent="0.3">
      <c r="A35" s="68" t="s">
        <v>213</v>
      </c>
      <c r="B35" s="69">
        <f>ToursByTourPurpose!F76</f>
        <v>577000</v>
      </c>
      <c r="C35" s="69">
        <f>ToursByTourPurpose!W7</f>
        <v>577000</v>
      </c>
      <c r="D35" s="69">
        <f si="2" t="shared"/>
        <v>0</v>
      </c>
      <c r="E35" s="72">
        <f si="3" t="shared"/>
        <v>0</v>
      </c>
      <c r="G35" s="78">
        <f si="4" t="shared"/>
        <v>0.17586101798232245</v>
      </c>
      <c r="H35" s="78">
        <f si="5" t="shared"/>
        <v>0.17586101798232245</v>
      </c>
      <c r="I35" s="78">
        <f si="6" t="shared"/>
        <v>0</v>
      </c>
      <c r="J35" s="72">
        <f si="7" t="shared"/>
        <v>0</v>
      </c>
    </row>
    <row customFormat="1" customHeight="1" ht="18" r="36" s="68" spans="1:10" x14ac:dyDescent="0.3">
      <c r="A36" s="68" t="s">
        <v>214</v>
      </c>
      <c r="B36" s="69">
        <f>ToursByTourPurpose!F77</f>
        <v>419000</v>
      </c>
      <c r="C36" s="69">
        <f>ToursByTourPurpose!W8</f>
        <v>419000</v>
      </c>
      <c r="D36" s="69">
        <f si="2" t="shared"/>
        <v>0</v>
      </c>
      <c r="E36" s="72">
        <f si="3" t="shared"/>
        <v>0</v>
      </c>
      <c r="G36" s="78">
        <f si="4" t="shared"/>
        <v>0.12770496799756173</v>
      </c>
      <c r="H36" s="78">
        <f si="5" t="shared"/>
        <v>0.12770496799756173</v>
      </c>
      <c r="I36" s="78">
        <f si="6" t="shared"/>
        <v>0</v>
      </c>
      <c r="J36" s="72">
        <f si="7" t="shared"/>
        <v>0</v>
      </c>
    </row>
    <row customFormat="1" customHeight="1" ht="18" r="37" s="68" spans="1:10" x14ac:dyDescent="0.3">
      <c r="A37" s="68" t="s">
        <v>215</v>
      </c>
      <c r="B37" s="69">
        <f>ToursByTourPurpose!F78</f>
        <v>137000</v>
      </c>
      <c r="C37" s="69">
        <f>ToursByTourPurpose!W9</f>
        <v>137000</v>
      </c>
      <c r="D37" s="69">
        <f si="2" t="shared"/>
        <v>0</v>
      </c>
      <c r="E37" s="72">
        <f si="3" t="shared"/>
        <v>0</v>
      </c>
      <c r="G37" s="78">
        <f si="4" t="shared"/>
        <v>4.1755562328558364E-2</v>
      </c>
      <c r="H37" s="78">
        <f si="5" t="shared"/>
        <v>4.1755562328558364E-2</v>
      </c>
      <c r="I37" s="78">
        <f si="6" t="shared"/>
        <v>0</v>
      </c>
      <c r="J37" s="72">
        <f si="7" t="shared"/>
        <v>0</v>
      </c>
    </row>
    <row customFormat="1" customHeight="1" ht="18" r="38" s="68" spans="1:10" x14ac:dyDescent="0.3">
      <c r="A38" s="68" t="s">
        <v>129</v>
      </c>
      <c r="B38" s="69">
        <f>ToursByTourPurpose!F79</f>
        <v>290000</v>
      </c>
      <c r="C38" s="69">
        <f>ToursByTourPurpose!W10</f>
        <v>290000</v>
      </c>
      <c r="D38" s="69">
        <f si="2" t="shared"/>
        <v>0</v>
      </c>
      <c r="E38" s="72">
        <f si="3" t="shared"/>
        <v>0</v>
      </c>
      <c r="G38" s="78">
        <f si="4" t="shared"/>
        <v>8.8387686680889976E-2</v>
      </c>
      <c r="H38" s="78">
        <f si="5" t="shared"/>
        <v>8.8387686680889976E-2</v>
      </c>
      <c r="I38" s="78">
        <f si="6" t="shared"/>
        <v>0</v>
      </c>
      <c r="J38" s="72">
        <f si="7" t="shared"/>
        <v>0</v>
      </c>
    </row>
    <row customFormat="1" customHeight="1" ht="18" r="39" s="68" spans="1:10" x14ac:dyDescent="0.3">
      <c r="A39" s="73" t="s">
        <v>130</v>
      </c>
      <c r="B39" s="69">
        <f>ToursByTourPurpose!F80</f>
        <v>803000</v>
      </c>
      <c r="C39" s="69">
        <f>ToursByTourPurpose!W11</f>
        <v>803000</v>
      </c>
      <c r="D39" s="69">
        <f si="2" t="shared"/>
        <v>0</v>
      </c>
      <c r="E39" s="72">
        <f si="3" t="shared"/>
        <v>0</v>
      </c>
      <c r="G39" s="78">
        <f si="4" t="shared"/>
        <v>0.24474245656811947</v>
      </c>
      <c r="H39" s="78">
        <f si="5" t="shared"/>
        <v>0.24474245656811947</v>
      </c>
      <c r="I39" s="78">
        <f si="6" t="shared"/>
        <v>0</v>
      </c>
      <c r="J39" s="72">
        <f si="7" t="shared"/>
        <v>0</v>
      </c>
    </row>
    <row customFormat="1" customHeight="1" ht="18" r="40" s="68" spans="1:10" x14ac:dyDescent="0.3">
      <c r="A40" s="73" t="s">
        <v>249</v>
      </c>
      <c r="B40" s="74">
        <f>ToursByTourPurpose!F81</f>
        <v>394000</v>
      </c>
      <c r="C40" s="74">
        <f>ToursByTourPurpose!W12</f>
        <v>394000</v>
      </c>
      <c r="D40" s="74">
        <f si="2" t="shared"/>
        <v>0</v>
      </c>
      <c r="E40" s="75">
        <f si="3" t="shared"/>
        <v>0</v>
      </c>
      <c r="G40" s="79">
        <f si="4" t="shared"/>
        <v>0.12008533983541603</v>
      </c>
      <c r="H40" s="79">
        <f si="5" t="shared"/>
        <v>0.12008533983541603</v>
      </c>
      <c r="I40" s="79">
        <f si="6" t="shared"/>
        <v>0</v>
      </c>
      <c r="J40" s="75">
        <f si="7" t="shared"/>
        <v>0</v>
      </c>
    </row>
    <row customFormat="1" customHeight="1" ht="18" r="41" s="68" spans="1:10" thickBot="1" x14ac:dyDescent="0.35">
      <c r="A41" s="70" t="s">
        <v>223</v>
      </c>
      <c r="B41" s="76">
        <f>ToursByTourPurpose!F82</f>
        <v>4760000</v>
      </c>
      <c r="C41" s="76">
        <f>ToursByTourPurpose!W13</f>
        <v>4760000</v>
      </c>
      <c r="D41" s="76">
        <f si="2" t="shared"/>
        <v>0</v>
      </c>
      <c r="E41" s="77">
        <f si="3" t="shared"/>
        <v>0</v>
      </c>
      <c r="G41" s="80">
        <f>B41/B$26</f>
        <v>1.4507772020725389</v>
      </c>
      <c r="H41" s="80">
        <f si="5" t="shared"/>
        <v>1.4507772020725389</v>
      </c>
      <c r="I41" s="80">
        <f si="6" t="shared"/>
        <v>0</v>
      </c>
      <c r="J41" s="77">
        <f si="7" t="shared"/>
        <v>0</v>
      </c>
    </row>
    <row customFormat="1" customHeight="1" ht="18" r="42" s="68" spans="1:10" x14ac:dyDescent="0.3">
      <c r="A42" s="73"/>
      <c r="B42" s="69"/>
      <c r="C42" s="69"/>
      <c r="D42" s="69"/>
    </row>
    <row customFormat="1" customHeight="1" ht="18" r="43" s="68" spans="1:10" x14ac:dyDescent="0.3">
      <c r="A43" s="73"/>
      <c r="B43" s="69"/>
      <c r="C43" s="69"/>
      <c r="D43" s="69"/>
    </row>
    <row customFormat="1" customHeight="1" ht="18" r="44" s="68" spans="1:10" x14ac:dyDescent="0.3">
      <c r="A44" s="73"/>
      <c r="B44" s="69"/>
      <c r="C44" s="69"/>
      <c r="D44" s="69"/>
    </row>
    <row customHeight="1" ht="18" r="45" spans="1:10" x14ac:dyDescent="0.3">
      <c r="A45" s="62" t="s">
        <v>289</v>
      </c>
      <c r="G45" s="62" t="s">
        <v>290</v>
      </c>
    </row>
    <row customHeight="1" ht="18" r="46" spans="1:10" thickBot="1" x14ac:dyDescent="0.35">
      <c r="B46" s="66"/>
      <c r="C46" s="66"/>
      <c r="D46" s="66"/>
      <c r="E46" s="66"/>
      <c r="G46" s="66"/>
      <c r="H46" s="66"/>
      <c r="I46" s="66"/>
      <c r="J46" s="66"/>
    </row>
    <row customFormat="1" customHeight="1" ht="18" r="47" s="68" spans="1:10" x14ac:dyDescent="0.3">
      <c r="A47" s="67" t="s">
        <v>155</v>
      </c>
      <c r="B47" s="63" t="s">
        <v>12708</v>
      </c>
      <c r="C47" s="63" t="s">
        <v>12620</v>
      </c>
      <c r="D47" s="63" t="s">
        <v>154</v>
      </c>
      <c r="E47" s="63" t="s">
        <v>262</v>
      </c>
      <c r="G47" s="63" t="s">
        <v>12708</v>
      </c>
      <c r="H47" s="63" t="s">
        <v>12620</v>
      </c>
      <c r="I47" s="63" t="s">
        <v>154</v>
      </c>
      <c r="J47" s="63" t="s">
        <v>262</v>
      </c>
    </row>
    <row customFormat="1" customHeight="1" ht="18" r="48" s="68" spans="1:10" x14ac:dyDescent="0.3">
      <c r="A48" s="68" t="s">
        <v>146</v>
      </c>
      <c r="B48" s="69">
        <f>ToursByTourPurpose!B13</f>
        <v>2081000</v>
      </c>
      <c r="C48" s="69">
        <f>ToursByTourPurpose!N13</f>
        <v>2081000</v>
      </c>
      <c r="D48" s="69">
        <f ref="D48:D56" si="8" t="shared">C48-B48</f>
        <v>0</v>
      </c>
      <c r="E48" s="72">
        <f>D48/B48</f>
        <v>0</v>
      </c>
      <c r="G48" s="78">
        <f>B48/B18</f>
        <v>1.6863857374392219</v>
      </c>
      <c r="H48" s="78">
        <f ref="H48:H55" si="9" t="shared">C48/C18</f>
        <v>1.6863857374392219</v>
      </c>
      <c r="I48" s="78">
        <f ref="I48:I56" si="10" t="shared">H48-G48</f>
        <v>0</v>
      </c>
      <c r="J48" s="72">
        <f>I48/G48</f>
        <v>0</v>
      </c>
    </row>
    <row customFormat="1" customHeight="1" ht="18" r="49" s="68" spans="1:10" x14ac:dyDescent="0.3">
      <c r="A49" s="68" t="s">
        <v>147</v>
      </c>
      <c r="B49" s="69">
        <f>ToursByTourPurpose!C13</f>
        <v>583000</v>
      </c>
      <c r="C49" s="69">
        <f>ToursByTourPurpose!O13</f>
        <v>583000</v>
      </c>
      <c r="D49" s="69">
        <f si="8" t="shared"/>
        <v>0</v>
      </c>
      <c r="E49" s="72">
        <f ref="E49:E56" si="11" t="shared">D49/B49</f>
        <v>0</v>
      </c>
      <c r="G49" s="78">
        <f ref="G49:G55" si="12" t="shared">B49/B19</f>
        <v>1.6898550724637682</v>
      </c>
      <c r="H49" s="78">
        <f si="9" t="shared"/>
        <v>1.6898550724637682</v>
      </c>
      <c r="I49" s="78">
        <f si="10" t="shared"/>
        <v>0</v>
      </c>
      <c r="J49" s="72">
        <f ref="J49:J56" si="13" t="shared">I49/G49</f>
        <v>0</v>
      </c>
    </row>
    <row customFormat="1" customHeight="1" ht="18" r="50" s="68" spans="1:10" x14ac:dyDescent="0.3">
      <c r="A50" s="68" t="s">
        <v>148</v>
      </c>
      <c r="B50" s="69">
        <f>ToursByTourPurpose!D13</f>
        <v>271000</v>
      </c>
      <c r="C50" s="69">
        <f>ToursByTourPurpose!P13</f>
        <v>271000</v>
      </c>
      <c r="D50" s="69">
        <f si="8" t="shared"/>
        <v>0</v>
      </c>
      <c r="E50" s="72">
        <f si="11" t="shared"/>
        <v>0</v>
      </c>
      <c r="G50" s="78">
        <f si="12" t="shared"/>
        <v>0.86305732484076436</v>
      </c>
      <c r="H50" s="78">
        <f si="9" t="shared"/>
        <v>0.86305732484076436</v>
      </c>
      <c r="I50" s="78">
        <f si="10" t="shared"/>
        <v>0</v>
      </c>
      <c r="J50" s="72">
        <f si="13" t="shared"/>
        <v>0</v>
      </c>
    </row>
    <row customFormat="1" customHeight="1" ht="18" r="51" s="68" spans="1:10" x14ac:dyDescent="0.3">
      <c r="A51" s="68" t="s">
        <v>245</v>
      </c>
      <c r="B51" s="69">
        <f>ToursByTourPurpose!E13</f>
        <v>574000</v>
      </c>
      <c r="C51" s="69">
        <f>ToursByTourPurpose!Q13</f>
        <v>574000</v>
      </c>
      <c r="D51" s="69">
        <f si="8" t="shared"/>
        <v>0</v>
      </c>
      <c r="E51" s="72">
        <f si="11" t="shared"/>
        <v>0</v>
      </c>
      <c r="G51" s="78">
        <f si="12" t="shared"/>
        <v>1.2451193058568331</v>
      </c>
      <c r="H51" s="78">
        <f si="9" t="shared"/>
        <v>1.2451193058568331</v>
      </c>
      <c r="I51" s="78">
        <f si="10" t="shared"/>
        <v>0</v>
      </c>
      <c r="J51" s="72">
        <f si="13" t="shared"/>
        <v>0</v>
      </c>
    </row>
    <row customFormat="1" customHeight="1" ht="18" r="52" s="68" spans="1:10" x14ac:dyDescent="0.3">
      <c r="A52" s="68" t="s">
        <v>246</v>
      </c>
      <c r="B52" s="69">
        <f>ToursByTourPurpose!F13</f>
        <v>222000</v>
      </c>
      <c r="C52" s="69">
        <f>ToursByTourPurpose!R13</f>
        <v>222000</v>
      </c>
      <c r="D52" s="69">
        <f si="8" t="shared"/>
        <v>0</v>
      </c>
      <c r="E52" s="72">
        <f si="11" t="shared"/>
        <v>0</v>
      </c>
      <c r="G52" s="78">
        <f si="12" t="shared"/>
        <v>1.5310344827586206</v>
      </c>
      <c r="H52" s="78">
        <f si="9" t="shared"/>
        <v>1.5310344827586206</v>
      </c>
      <c r="I52" s="78">
        <f si="10" t="shared"/>
        <v>0</v>
      </c>
      <c r="J52" s="72">
        <f si="13" t="shared"/>
        <v>0</v>
      </c>
    </row>
    <row customFormat="1" customHeight="1" ht="18" r="53" s="68" spans="1:10" x14ac:dyDescent="0.3">
      <c r="A53" s="68" t="s">
        <v>247</v>
      </c>
      <c r="B53" s="69">
        <f>ToursByTourPurpose!G13</f>
        <v>294000</v>
      </c>
      <c r="C53" s="69">
        <f>ToursByTourPurpose!S13</f>
        <v>294000</v>
      </c>
      <c r="D53" s="69">
        <f si="8" t="shared"/>
        <v>0</v>
      </c>
      <c r="E53" s="72">
        <f si="11" t="shared"/>
        <v>0</v>
      </c>
      <c r="G53" s="78">
        <f si="12" t="shared"/>
        <v>1.5233160621761659</v>
      </c>
      <c r="H53" s="78">
        <f si="9" t="shared"/>
        <v>1.5233160621761659</v>
      </c>
      <c r="I53" s="78">
        <f si="10" t="shared"/>
        <v>0</v>
      </c>
      <c r="J53" s="72">
        <f si="13" t="shared"/>
        <v>0</v>
      </c>
    </row>
    <row customFormat="1" customHeight="1" ht="18" r="54" s="68" spans="1:10" x14ac:dyDescent="0.3">
      <c r="A54" s="73" t="s">
        <v>248</v>
      </c>
      <c r="B54" s="69">
        <f>ToursByTourPurpose!I13</f>
        <v>735000</v>
      </c>
      <c r="C54" s="69">
        <f>ToursByTourPurpose!U13</f>
        <v>735000</v>
      </c>
      <c r="D54" s="69">
        <f si="8" t="shared"/>
        <v>0</v>
      </c>
      <c r="E54" s="72">
        <f si="11" t="shared"/>
        <v>0</v>
      </c>
      <c r="G54" s="78">
        <f si="12" t="shared"/>
        <v>1.2478777589134125</v>
      </c>
      <c r="H54" s="78">
        <f si="9" t="shared"/>
        <v>1.2478777589134125</v>
      </c>
      <c r="I54" s="78">
        <f si="10" t="shared"/>
        <v>0</v>
      </c>
      <c r="J54" s="72">
        <f si="13" t="shared"/>
        <v>0</v>
      </c>
    </row>
    <row customFormat="1" customHeight="1" ht="18" r="55" s="68" spans="1:10" x14ac:dyDescent="0.3">
      <c r="A55" s="73" t="s">
        <v>170</v>
      </c>
      <c r="B55" s="74">
        <f>ToursByTourPurpose!J13</f>
        <v>0</v>
      </c>
      <c r="C55" s="74">
        <f>ToursByTourPurpose!V13</f>
        <v>0</v>
      </c>
      <c r="D55" s="74">
        <f si="8" t="shared"/>
        <v>0</v>
      </c>
      <c r="E55" s="75">
        <v>0</v>
      </c>
      <c r="G55" s="79" t="e">
        <f si="12" t="shared"/>
        <v>#DIV/0!</v>
      </c>
      <c r="H55" s="79" t="e">
        <f si="9" t="shared"/>
        <v>#DIV/0!</v>
      </c>
      <c r="I55" s="79" t="e">
        <f si="10" t="shared"/>
        <v>#DIV/0!</v>
      </c>
      <c r="J55" s="75" t="e">
        <f si="13" t="shared"/>
        <v>#DIV/0!</v>
      </c>
    </row>
    <row customFormat="1" customHeight="1" ht="18" r="56" s="68" spans="1:10" thickBot="1" x14ac:dyDescent="0.35">
      <c r="A56" s="70" t="s">
        <v>223</v>
      </c>
      <c r="B56" s="76">
        <f>SUM(B48:B55)</f>
        <v>4760000</v>
      </c>
      <c r="C56" s="76">
        <f>ToursByTourPurpose!W13</f>
        <v>4760000</v>
      </c>
      <c r="D56" s="76">
        <f si="8" t="shared"/>
        <v>0</v>
      </c>
      <c r="E56" s="77">
        <f si="11" t="shared"/>
        <v>0</v>
      </c>
      <c r="G56" s="80">
        <f>B56/B26</f>
        <v>1.4507772020725389</v>
      </c>
      <c r="H56" s="80">
        <f>C56/SUM(C18:C24)</f>
        <v>1.4507772020725389</v>
      </c>
      <c r="I56" s="80">
        <f si="10" t="shared"/>
        <v>0</v>
      </c>
      <c r="J56" s="77">
        <f si="13" t="shared"/>
        <v>0</v>
      </c>
    </row>
    <row customFormat="1" customHeight="1" ht="18" r="57" s="68" spans="1:10" x14ac:dyDescent="0.3"/>
    <row customFormat="1" customHeight="1" ht="18" r="58" s="68" spans="1:10" x14ac:dyDescent="0.3"/>
    <row customFormat="1" customHeight="1" ht="18" r="59" s="68" spans="1:10" x14ac:dyDescent="0.3"/>
    <row customHeight="1" ht="18" r="60" spans="1:10" x14ac:dyDescent="0.3">
      <c r="A60" s="64" t="s">
        <v>220</v>
      </c>
      <c r="G60" s="62" t="s">
        <v>221</v>
      </c>
    </row>
    <row customHeight="1" ht="18" r="61" spans="1:10" thickBot="1" x14ac:dyDescent="0.35">
      <c r="B61" s="66"/>
      <c r="C61" s="66"/>
      <c r="D61" s="66"/>
      <c r="E61" s="66"/>
      <c r="G61" s="66"/>
      <c r="H61" s="66"/>
      <c r="I61" s="66"/>
      <c r="J61" s="66"/>
    </row>
    <row customFormat="1" customHeight="1" ht="18" r="62" s="68" spans="1:10" x14ac:dyDescent="0.3">
      <c r="A62" s="67" t="s">
        <v>144</v>
      </c>
      <c r="B62" s="63" t="s">
        <v>12708</v>
      </c>
      <c r="C62" s="63" t="s">
        <v>12620</v>
      </c>
      <c r="D62" s="63" t="s">
        <v>154</v>
      </c>
      <c r="E62" s="63" t="s">
        <v>262</v>
      </c>
      <c r="G62" s="63" t="s">
        <v>12708</v>
      </c>
      <c r="H62" s="63" t="s">
        <v>12620</v>
      </c>
      <c r="I62" s="63" t="s">
        <v>154</v>
      </c>
      <c r="J62" s="63" t="s">
        <v>262</v>
      </c>
    </row>
    <row customFormat="1" customHeight="1" ht="18" r="63" s="68" spans="1:10" x14ac:dyDescent="0.3">
      <c r="A63" s="68" t="s">
        <v>211</v>
      </c>
      <c r="B63" s="69">
        <f>TripsByDestinationPurpose!F73</f>
        <v>2312000</v>
      </c>
      <c r="C63" s="69">
        <f>TripsByDestinationPurpose!W5</f>
        <v>2312000</v>
      </c>
      <c r="D63" s="69">
        <f ref="D63:D71" si="14" t="shared">C63-B63</f>
        <v>0</v>
      </c>
      <c r="E63" s="72">
        <f ref="E63:E71" si="15" t="shared">D63/B63</f>
        <v>0</v>
      </c>
      <c r="G63" s="78">
        <f>B63/B$11</f>
        <v>0.70466321243523311</v>
      </c>
      <c r="H63" s="78">
        <f>C63/SUM($C$18:$C$24)</f>
        <v>0.70466321243523311</v>
      </c>
      <c r="I63" s="78">
        <f ref="I63:I71" si="16" t="shared">H63-G63</f>
        <v>0</v>
      </c>
      <c r="J63" s="72">
        <f ref="J63:J71" si="17" t="shared">I63/G63</f>
        <v>0</v>
      </c>
    </row>
    <row customFormat="1" customHeight="1" ht="18" r="64" s="68" spans="1:10" x14ac:dyDescent="0.3">
      <c r="A64" s="68" t="s">
        <v>212</v>
      </c>
      <c r="B64" s="69">
        <f>TripsByDestinationPurpose!F74</f>
        <v>922000</v>
      </c>
      <c r="C64" s="69">
        <f>TripsByDestinationPurpose!W6</f>
        <v>922000</v>
      </c>
      <c r="D64" s="69">
        <f si="14" t="shared"/>
        <v>0</v>
      </c>
      <c r="E64" s="72">
        <f si="15" t="shared"/>
        <v>0</v>
      </c>
      <c r="G64" s="78">
        <f ref="G64:G71" si="18" t="shared">B64/B$11</f>
        <v>0.28101188661993293</v>
      </c>
      <c r="H64" s="78">
        <f ref="H64:H71" si="19" t="shared">C64/SUM($C$18:$C$24)</f>
        <v>0.28101188661993293</v>
      </c>
      <c r="I64" s="78">
        <f si="16" t="shared"/>
        <v>0</v>
      </c>
      <c r="J64" s="72">
        <f si="17" t="shared"/>
        <v>0</v>
      </c>
    </row>
    <row customFormat="1" customHeight="1" ht="18" r="65" s="68" spans="1:10" x14ac:dyDescent="0.3">
      <c r="A65" s="68" t="s">
        <v>213</v>
      </c>
      <c r="B65" s="69">
        <f>TripsByDestinationPurpose!F75</f>
        <v>1392000</v>
      </c>
      <c r="C65" s="69">
        <f>TripsByDestinationPurpose!W7</f>
        <v>1392000</v>
      </c>
      <c r="D65" s="69">
        <f si="14" t="shared"/>
        <v>0</v>
      </c>
      <c r="E65" s="72">
        <f si="15" t="shared"/>
        <v>0</v>
      </c>
      <c r="G65" s="78">
        <f si="18" t="shared"/>
        <v>0.42426089606827189</v>
      </c>
      <c r="H65" s="78">
        <f si="19" t="shared"/>
        <v>0.42426089606827189</v>
      </c>
      <c r="I65" s="78">
        <f si="16" t="shared"/>
        <v>0</v>
      </c>
      <c r="J65" s="72">
        <f si="17" t="shared"/>
        <v>0</v>
      </c>
    </row>
    <row customFormat="1" customHeight="1" ht="18" r="66" s="68" spans="1:10" x14ac:dyDescent="0.3">
      <c r="A66" s="68" t="s">
        <v>214</v>
      </c>
      <c r="B66" s="69">
        <f>TripsByDestinationPurpose!F76</f>
        <v>1534000</v>
      </c>
      <c r="C66" s="69">
        <f>TripsByDestinationPurpose!W8</f>
        <v>1534000</v>
      </c>
      <c r="D66" s="69">
        <f si="14" t="shared"/>
        <v>0</v>
      </c>
      <c r="E66" s="72">
        <f si="15" t="shared"/>
        <v>0</v>
      </c>
      <c r="G66" s="78">
        <f si="18" t="shared"/>
        <v>0.46754038402925935</v>
      </c>
      <c r="H66" s="78">
        <f si="19" t="shared"/>
        <v>0.46754038402925935</v>
      </c>
      <c r="I66" s="78">
        <f si="16" t="shared"/>
        <v>0</v>
      </c>
      <c r="J66" s="72">
        <f si="17" t="shared"/>
        <v>0</v>
      </c>
    </row>
    <row customFormat="1" customHeight="1" ht="18" r="67" s="68" spans="1:10" x14ac:dyDescent="0.3">
      <c r="A67" s="68" t="s">
        <v>215</v>
      </c>
      <c r="B67" s="69">
        <f>TripsByDestinationPurpose!F77</f>
        <v>665000</v>
      </c>
      <c r="C67" s="69">
        <f>TripsByDestinationPurpose!W9</f>
        <v>665000</v>
      </c>
      <c r="D67" s="69">
        <f si="14" t="shared"/>
        <v>0</v>
      </c>
      <c r="E67" s="72">
        <f si="15" t="shared"/>
        <v>0</v>
      </c>
      <c r="G67" s="78">
        <f si="18" t="shared"/>
        <v>0.20268210911307527</v>
      </c>
      <c r="H67" s="78">
        <f si="19" t="shared"/>
        <v>0.20268210911307527</v>
      </c>
      <c r="I67" s="78">
        <f si="16" t="shared"/>
        <v>0</v>
      </c>
      <c r="J67" s="72">
        <f si="17" t="shared"/>
        <v>0</v>
      </c>
    </row>
    <row customFormat="1" customHeight="1" ht="18" r="68" s="68" spans="1:10" x14ac:dyDescent="0.3">
      <c r="A68" s="68" t="s">
        <v>129</v>
      </c>
      <c r="B68" s="69">
        <f>TripsByDestinationPurpose!F78</f>
        <v>773000</v>
      </c>
      <c r="C68" s="69">
        <f>TripsByDestinationPurpose!W10</f>
        <v>773000</v>
      </c>
      <c r="D68" s="69">
        <f si="14" t="shared"/>
        <v>0</v>
      </c>
      <c r="E68" s="72">
        <f si="15" t="shared"/>
        <v>0</v>
      </c>
      <c r="G68" s="78">
        <f si="18" t="shared"/>
        <v>0.23559890277354464</v>
      </c>
      <c r="H68" s="78">
        <f si="19" t="shared"/>
        <v>0.23559890277354464</v>
      </c>
      <c r="I68" s="78">
        <f si="16" t="shared"/>
        <v>0</v>
      </c>
      <c r="J68" s="72">
        <f si="17" t="shared"/>
        <v>0</v>
      </c>
    </row>
    <row customFormat="1" customHeight="1" ht="18" r="69" s="68" spans="1:10" x14ac:dyDescent="0.3">
      <c r="A69" s="68" t="s">
        <v>130</v>
      </c>
      <c r="B69" s="69">
        <f>TripsByDestinationPurpose!F79</f>
        <v>1120000</v>
      </c>
      <c r="C69" s="69">
        <f>TripsByDestinationPurpose!W11</f>
        <v>1120000</v>
      </c>
      <c r="D69" s="69">
        <f si="14" t="shared"/>
        <v>0</v>
      </c>
      <c r="E69" s="72">
        <f si="15" t="shared"/>
        <v>0</v>
      </c>
      <c r="G69" s="78">
        <f si="18" t="shared"/>
        <v>0.34135934166412679</v>
      </c>
      <c r="H69" s="78">
        <f si="19" t="shared"/>
        <v>0.34135934166412679</v>
      </c>
      <c r="I69" s="78">
        <f si="16" t="shared"/>
        <v>0</v>
      </c>
      <c r="J69" s="72">
        <f si="17" t="shared"/>
        <v>0</v>
      </c>
    </row>
    <row customFormat="1" customHeight="1" ht="18" r="70" s="68" spans="1:10" x14ac:dyDescent="0.3">
      <c r="A70" s="81" t="s">
        <v>145</v>
      </c>
      <c r="B70" s="74">
        <f>TripsByDestinationPurpose!F80</f>
        <v>4366000</v>
      </c>
      <c r="C70" s="74">
        <f>TripsByDestinationPurpose!W12</f>
        <v>4366000</v>
      </c>
      <c r="D70" s="74">
        <f si="14" t="shared"/>
        <v>0</v>
      </c>
      <c r="E70" s="75">
        <f si="15" t="shared"/>
        <v>0</v>
      </c>
      <c r="G70" s="79">
        <f si="18" t="shared"/>
        <v>1.3306918622371229</v>
      </c>
      <c r="H70" s="79">
        <f si="19" t="shared"/>
        <v>1.3306918622371229</v>
      </c>
      <c r="I70" s="79">
        <f si="16" t="shared"/>
        <v>0</v>
      </c>
      <c r="J70" s="75">
        <f si="17" t="shared"/>
        <v>0</v>
      </c>
    </row>
    <row customFormat="1" customHeight="1" ht="18" r="71" s="68" spans="1:10" thickBot="1" x14ac:dyDescent="0.35">
      <c r="A71" s="70" t="s">
        <v>223</v>
      </c>
      <c r="B71" s="71">
        <f>SUM(B63:B70)</f>
        <v>13084000</v>
      </c>
      <c r="C71" s="71">
        <f>TripsByDestinationPurpose!W13</f>
        <v>13084000</v>
      </c>
      <c r="D71" s="71">
        <f si="14" t="shared"/>
        <v>0</v>
      </c>
      <c r="E71" s="82">
        <f si="15" t="shared"/>
        <v>0</v>
      </c>
      <c r="G71" s="80">
        <f si="18" t="shared"/>
        <v>3.9878085949405668</v>
      </c>
      <c r="H71" s="80">
        <f si="19" t="shared"/>
        <v>3.9878085949405668</v>
      </c>
      <c r="I71" s="80">
        <f si="16" t="shared"/>
        <v>0</v>
      </c>
      <c r="J71" s="77">
        <f si="17" t="shared"/>
        <v>0</v>
      </c>
    </row>
    <row customFormat="1" customHeight="1" ht="18" r="72" s="68" spans="1:10" x14ac:dyDescent="0.3"/>
    <row customFormat="1" customHeight="1" ht="18" r="73" s="68" spans="1:10" x14ac:dyDescent="0.3"/>
    <row customFormat="1" customHeight="1" ht="18" r="74" s="68" spans="1:10" x14ac:dyDescent="0.3"/>
    <row customFormat="1" customHeight="1" ht="18" r="75" s="68" spans="1:10" x14ac:dyDescent="0.3">
      <c r="A75" s="62" t="s">
        <v>222</v>
      </c>
      <c r="G75" s="62" t="s">
        <v>197</v>
      </c>
    </row>
    <row customFormat="1" customHeight="1" ht="18" r="76" s="68" spans="1:10" thickBot="1" x14ac:dyDescent="0.35">
      <c r="A76" s="65"/>
      <c r="B76" s="83"/>
      <c r="C76" s="83"/>
      <c r="D76" s="83"/>
      <c r="E76" s="83"/>
      <c r="G76" s="83"/>
      <c r="H76" s="83"/>
      <c r="I76" s="83"/>
      <c r="J76" s="83"/>
    </row>
    <row customFormat="1" customHeight="1" ht="18" r="77" s="68" spans="1:10" x14ac:dyDescent="0.3">
      <c r="A77" s="67" t="s">
        <v>155</v>
      </c>
      <c r="B77" s="63" t="s">
        <v>12708</v>
      </c>
      <c r="C77" s="63" t="s">
        <v>12620</v>
      </c>
      <c r="D77" s="63" t="s">
        <v>154</v>
      </c>
      <c r="E77" s="63" t="s">
        <v>262</v>
      </c>
      <c r="G77" s="63" t="s">
        <v>12708</v>
      </c>
      <c r="H77" s="63" t="s">
        <v>12620</v>
      </c>
      <c r="I77" s="63" t="s">
        <v>154</v>
      </c>
      <c r="J77" s="63" t="s">
        <v>262</v>
      </c>
    </row>
    <row customFormat="1" customHeight="1" ht="18" r="78" s="68" spans="1:10" x14ac:dyDescent="0.3">
      <c r="A78" s="68" t="s">
        <v>146</v>
      </c>
      <c r="B78" s="69">
        <f>TripsByDestinationPurpose!B13</f>
        <v>5538000</v>
      </c>
      <c r="C78" s="69">
        <f>TripsByDestinationPurpose!N13</f>
        <v>5538000</v>
      </c>
      <c r="D78" s="69">
        <f ref="D78:D85" si="20" t="shared">C78-B78</f>
        <v>0</v>
      </c>
      <c r="E78" s="72">
        <f>D78/B78</f>
        <v>0</v>
      </c>
      <c r="G78" s="78">
        <f ref="G78:G86" si="21" t="shared">B78/B18</f>
        <v>4.4878444084278772</v>
      </c>
      <c r="H78" s="78">
        <f ref="H78:H84" si="22" t="shared">C78/C18</f>
        <v>4.4878444084278772</v>
      </c>
      <c r="I78" s="78">
        <f ref="I78:I86" si="23" t="shared">H78-G78</f>
        <v>0</v>
      </c>
      <c r="J78" s="72">
        <f>I78/G78</f>
        <v>0</v>
      </c>
    </row>
    <row customFormat="1" customHeight="1" ht="18" r="79" s="68" spans="1:10" x14ac:dyDescent="0.3">
      <c r="A79" s="68" t="s">
        <v>147</v>
      </c>
      <c r="B79" s="69">
        <f>TripsByDestinationPurpose!C13</f>
        <v>1583000</v>
      </c>
      <c r="C79" s="69">
        <f>TripsByDestinationPurpose!O13</f>
        <v>1583000</v>
      </c>
      <c r="D79" s="69">
        <f si="20" t="shared"/>
        <v>0</v>
      </c>
      <c r="E79" s="72">
        <f ref="E79:E86" si="24" t="shared">D79/B79</f>
        <v>0</v>
      </c>
      <c r="G79" s="78">
        <f si="21" t="shared"/>
        <v>4.5884057971014496</v>
      </c>
      <c r="H79" s="78">
        <f si="22" t="shared"/>
        <v>4.5884057971014496</v>
      </c>
      <c r="I79" s="78">
        <f si="23" t="shared"/>
        <v>0</v>
      </c>
      <c r="J79" s="72">
        <f ref="J79:J86" si="25" t="shared">I79/G79</f>
        <v>0</v>
      </c>
    </row>
    <row customFormat="1" customHeight="1" ht="18" r="80" s="68" spans="1:10" x14ac:dyDescent="0.3">
      <c r="A80" s="68" t="s">
        <v>148</v>
      </c>
      <c r="B80" s="69">
        <f>TripsByDestinationPurpose!D13</f>
        <v>813000</v>
      </c>
      <c r="C80" s="69">
        <f>TripsByDestinationPurpose!P13</f>
        <v>813000</v>
      </c>
      <c r="D80" s="69">
        <f si="20" t="shared"/>
        <v>0</v>
      </c>
      <c r="E80" s="72">
        <f si="24" t="shared"/>
        <v>0</v>
      </c>
      <c r="G80" s="78">
        <f si="21" t="shared"/>
        <v>2.589171974522293</v>
      </c>
      <c r="H80" s="78">
        <f si="22" t="shared"/>
        <v>2.589171974522293</v>
      </c>
      <c r="I80" s="78">
        <f si="23" t="shared"/>
        <v>0</v>
      </c>
      <c r="J80" s="72">
        <f si="25" t="shared"/>
        <v>0</v>
      </c>
    </row>
    <row customFormat="1" customHeight="1" ht="18" r="81" s="68" spans="1:10" x14ac:dyDescent="0.3">
      <c r="A81" s="68" t="s">
        <v>245</v>
      </c>
      <c r="B81" s="69">
        <f>TripsByDestinationPurpose!E13</f>
        <v>1754000</v>
      </c>
      <c r="C81" s="69">
        <f>TripsByDestinationPurpose!Q13</f>
        <v>1754000</v>
      </c>
      <c r="D81" s="69">
        <f si="20" t="shared"/>
        <v>0</v>
      </c>
      <c r="E81" s="72">
        <f si="24" t="shared"/>
        <v>0</v>
      </c>
      <c r="G81" s="78">
        <f si="21" t="shared"/>
        <v>3.8047722342733188</v>
      </c>
      <c r="H81" s="78">
        <f si="22" t="shared"/>
        <v>3.8047722342733188</v>
      </c>
      <c r="I81" s="78">
        <f si="23" t="shared"/>
        <v>0</v>
      </c>
      <c r="J81" s="72">
        <f si="25" t="shared"/>
        <v>0</v>
      </c>
    </row>
    <row customFormat="1" customHeight="1" ht="18" r="82" s="68" spans="1:10" x14ac:dyDescent="0.3">
      <c r="A82" s="68" t="s">
        <v>246</v>
      </c>
      <c r="B82" s="69">
        <f>TripsByDestinationPurpose!F13</f>
        <v>632000</v>
      </c>
      <c r="C82" s="69">
        <f>TripsByDestinationPurpose!R13</f>
        <v>632000</v>
      </c>
      <c r="D82" s="69">
        <f si="20" t="shared"/>
        <v>0</v>
      </c>
      <c r="E82" s="72">
        <f si="24" t="shared"/>
        <v>0</v>
      </c>
      <c r="G82" s="78">
        <f si="21" t="shared"/>
        <v>4.3586206896551722</v>
      </c>
      <c r="H82" s="78">
        <f si="22" t="shared"/>
        <v>4.3586206896551722</v>
      </c>
      <c r="I82" s="78">
        <f si="23" t="shared"/>
        <v>0</v>
      </c>
      <c r="J82" s="72">
        <f si="25" t="shared"/>
        <v>0</v>
      </c>
    </row>
    <row customFormat="1" customHeight="1" ht="18" r="83" s="68" spans="1:10" x14ac:dyDescent="0.3">
      <c r="A83" s="68" t="s">
        <v>247</v>
      </c>
      <c r="B83" s="69">
        <f>TripsByDestinationPurpose!G13</f>
        <v>784000</v>
      </c>
      <c r="C83" s="69">
        <f>TripsByDestinationPurpose!S13</f>
        <v>784000</v>
      </c>
      <c r="D83" s="69">
        <f si="20" t="shared"/>
        <v>0</v>
      </c>
      <c r="E83" s="72">
        <f si="24" t="shared"/>
        <v>0</v>
      </c>
      <c r="G83" s="78">
        <f si="21" t="shared"/>
        <v>4.062176165803109</v>
      </c>
      <c r="H83" s="78">
        <f si="22" t="shared"/>
        <v>4.062176165803109</v>
      </c>
      <c r="I83" s="78">
        <f si="23" t="shared"/>
        <v>0</v>
      </c>
      <c r="J83" s="72">
        <f si="25" t="shared"/>
        <v>0</v>
      </c>
    </row>
    <row customFormat="1" customHeight="1" ht="18" r="84" s="68" spans="1:10" x14ac:dyDescent="0.3">
      <c r="A84" s="73" t="s">
        <v>248</v>
      </c>
      <c r="B84" s="69">
        <f>TripsByDestinationPurpose!I13</f>
        <v>1980000</v>
      </c>
      <c r="C84" s="69">
        <f>TripsByDestinationPurpose!U13</f>
        <v>1980000</v>
      </c>
      <c r="D84" s="69">
        <f si="20" t="shared"/>
        <v>0</v>
      </c>
      <c r="E84" s="72">
        <f si="24" t="shared"/>
        <v>0</v>
      </c>
      <c r="G84" s="78">
        <f si="21" t="shared"/>
        <v>3.3616298811544993</v>
      </c>
      <c r="H84" s="78">
        <f si="22" t="shared"/>
        <v>3.3616298811544993</v>
      </c>
      <c r="I84" s="78">
        <f si="23" t="shared"/>
        <v>0</v>
      </c>
      <c r="J84" s="72">
        <f si="25" t="shared"/>
        <v>0</v>
      </c>
    </row>
    <row customFormat="1" customHeight="1" ht="18" r="85" s="68" spans="1:10" x14ac:dyDescent="0.3">
      <c r="A85" s="73" t="s">
        <v>170</v>
      </c>
      <c r="B85" s="74">
        <f>TripsByDestinationPurpose!J13</f>
        <v>0</v>
      </c>
      <c r="C85" s="74">
        <f>TripsByDestinationPurpose!V13</f>
        <v>0</v>
      </c>
      <c r="D85" s="74">
        <f si="20" t="shared"/>
        <v>0</v>
      </c>
      <c r="E85" s="75">
        <v>0</v>
      </c>
      <c r="G85" s="79" t="e">
        <f si="21" t="shared"/>
        <v>#DIV/0!</v>
      </c>
      <c r="H85" s="79"/>
      <c r="I85" s="79" t="e">
        <f si="23" t="shared"/>
        <v>#DIV/0!</v>
      </c>
      <c r="J85" s="75" t="e">
        <f si="25" t="shared"/>
        <v>#DIV/0!</v>
      </c>
    </row>
    <row customFormat="1" customHeight="1" ht="18" r="86" s="68" spans="1:10" thickBot="1" x14ac:dyDescent="0.35">
      <c r="A86" s="70" t="s">
        <v>223</v>
      </c>
      <c r="B86" s="76">
        <f>SUM(B78:B85)</f>
        <v>13084000</v>
      </c>
      <c r="C86" s="76">
        <f>SUM(C78:C85)</f>
        <v>13084000</v>
      </c>
      <c r="D86" s="76">
        <f>SUM(D78:D85)</f>
        <v>0</v>
      </c>
      <c r="E86" s="77">
        <f si="24" t="shared"/>
        <v>0</v>
      </c>
      <c r="G86" s="80">
        <f si="21" t="shared"/>
        <v>3.9878085949405668</v>
      </c>
      <c r="H86" s="80">
        <f>C86/SUM($C$18:$C$24)</f>
        <v>3.9878085949405668</v>
      </c>
      <c r="I86" s="80">
        <f si="23" t="shared"/>
        <v>0</v>
      </c>
      <c r="J86" s="77">
        <f si="25" t="shared"/>
        <v>0</v>
      </c>
    </row>
    <row customFormat="1" customHeight="1" ht="18" r="87" s="68" spans="1:10" x14ac:dyDescent="0.3"/>
    <row customFormat="1" customHeight="1" ht="18" r="88" s="68" spans="1:10" x14ac:dyDescent="0.3">
      <c r="A88"/>
      <c r="B88"/>
      <c r="C88"/>
      <c r="D88"/>
      <c r="E88"/>
    </row>
    <row customFormat="1" customHeight="1" ht="18" r="89" s="68" spans="1:10" x14ac:dyDescent="0.3">
      <c r="A89"/>
      <c r="B89"/>
      <c r="C89"/>
      <c r="D89"/>
      <c r="E89"/>
    </row>
    <row customFormat="1" customHeight="1" ht="18" r="90" s="68" spans="1:10" x14ac:dyDescent="0.3">
      <c r="A90"/>
      <c r="B90"/>
      <c r="C90"/>
      <c r="D90"/>
      <c r="E90"/>
    </row>
    <row customFormat="1" customHeight="1" ht="18" r="91" s="68" spans="1:10" x14ac:dyDescent="0.3">
      <c r="A91"/>
      <c r="B91"/>
      <c r="C91"/>
      <c r="D91"/>
      <c r="E91"/>
    </row>
    <row customFormat="1" customHeight="1" ht="18" r="92" s="68" spans="1:10" x14ac:dyDescent="0.3">
      <c r="A92"/>
      <c r="B92"/>
      <c r="C92"/>
      <c r="D92"/>
      <c r="E92"/>
    </row>
    <row customFormat="1" customHeight="1" ht="18" r="93" s="68" spans="1:10" x14ac:dyDescent="0.3">
      <c r="A93"/>
      <c r="B93"/>
      <c r="C93"/>
      <c r="D93"/>
      <c r="E93"/>
    </row>
    <row customFormat="1" customHeight="1" ht="18" r="94" s="68" spans="1:10" x14ac:dyDescent="0.3">
      <c r="A94"/>
      <c r="B94"/>
      <c r="C94"/>
      <c r="D94"/>
      <c r="E94"/>
    </row>
    <row customFormat="1" customHeight="1" ht="18" r="95" s="68" spans="1:10" x14ac:dyDescent="0.3">
      <c r="A95"/>
      <c r="B95"/>
      <c r="C95"/>
      <c r="D95"/>
      <c r="E95"/>
    </row>
    <row customHeight="1" ht="18" r="96" spans="1:10" x14ac:dyDescent="0.3">
      <c r="A96"/>
      <c r="B96"/>
      <c r="C96"/>
      <c r="D96"/>
      <c r="E96"/>
    </row>
    <row customHeight="1" ht="18" r="97" spans="1:5" x14ac:dyDescent="0.3">
      <c r="A97"/>
      <c r="B97"/>
      <c r="C97"/>
      <c r="D97"/>
      <c r="E97"/>
    </row>
    <row customHeight="1" ht="18" r="98" spans="1:5" x14ac:dyDescent="0.3">
      <c r="A98"/>
      <c r="B98"/>
      <c r="C98"/>
      <c r="D98"/>
      <c r="E98"/>
    </row>
    <row customHeight="1" ht="18" r="99" spans="1:5" x14ac:dyDescent="0.3">
      <c r="A99"/>
      <c r="B99"/>
      <c r="C99"/>
      <c r="D99"/>
      <c r="E99"/>
    </row>
    <row customHeight="1" ht="18" r="100" spans="1:5" x14ac:dyDescent="0.3">
      <c r="A100"/>
      <c r="B100"/>
      <c r="C100"/>
      <c r="D100"/>
      <c r="E100"/>
    </row>
    <row customHeight="1" ht="18" r="101" spans="1:5" x14ac:dyDescent="0.3">
      <c r="A101"/>
      <c r="B101"/>
      <c r="C101"/>
      <c r="D101"/>
      <c r="E101"/>
    </row>
    <row r="102" spans="1:5" x14ac:dyDescent="0.3">
      <c r="A102"/>
      <c r="B102"/>
      <c r="C102"/>
      <c r="D102"/>
      <c r="E102"/>
    </row>
    <row r="103" spans="1:5" x14ac:dyDescent="0.3">
      <c r="A103"/>
      <c r="B103"/>
      <c r="C103"/>
      <c r="D103"/>
      <c r="E103"/>
    </row>
    <row r="104" spans="1:5" x14ac:dyDescent="0.3">
      <c r="A104"/>
      <c r="B104"/>
      <c r="C104"/>
      <c r="D104"/>
      <c r="E104"/>
    </row>
    <row r="105" spans="1:5" x14ac:dyDescent="0.3">
      <c r="A105"/>
      <c r="B105"/>
      <c r="C105"/>
      <c r="D105"/>
      <c r="E105"/>
    </row>
    <row r="106" spans="1:5" x14ac:dyDescent="0.3">
      <c r="A106"/>
      <c r="B106"/>
      <c r="C106"/>
      <c r="D106"/>
      <c r="E106"/>
    </row>
    <row r="107" spans="1:5" x14ac:dyDescent="0.3">
      <c r="A107"/>
      <c r="B107"/>
      <c r="C107"/>
      <c r="D107"/>
      <c r="E107"/>
    </row>
    <row r="108" spans="1:5" x14ac:dyDescent="0.3">
      <c r="A108"/>
      <c r="B108"/>
      <c r="C108"/>
      <c r="D108"/>
      <c r="E108"/>
    </row>
    <row r="109" spans="1:5" x14ac:dyDescent="0.3">
      <c r="A109"/>
      <c r="B109"/>
      <c r="C109"/>
      <c r="D109"/>
      <c r="E109"/>
    </row>
    <row r="110" spans="1:5" x14ac:dyDescent="0.3">
      <c r="A110"/>
      <c r="B110"/>
      <c r="C110"/>
      <c r="D110"/>
      <c r="E110"/>
    </row>
    <row r="111" spans="1:5" x14ac:dyDescent="0.3">
      <c r="A111"/>
      <c r="B111"/>
      <c r="C111"/>
      <c r="D111"/>
      <c r="E111"/>
    </row>
    <row r="112" spans="1:5" x14ac:dyDescent="0.3">
      <c r="A112"/>
      <c r="B112"/>
      <c r="C112"/>
      <c r="D112"/>
      <c r="E112"/>
    </row>
    <row r="113" spans="1:5" x14ac:dyDescent="0.3">
      <c r="A113"/>
      <c r="B113"/>
      <c r="C113"/>
      <c r="D113"/>
      <c r="E113"/>
    </row>
    <row r="114" spans="1:5" x14ac:dyDescent="0.3">
      <c r="A114"/>
      <c r="B114"/>
      <c r="C114"/>
      <c r="D114"/>
      <c r="E114"/>
    </row>
    <row r="115" spans="1:5" x14ac:dyDescent="0.3">
      <c r="A115"/>
      <c r="B115"/>
      <c r="C115"/>
      <c r="D115"/>
      <c r="E115"/>
    </row>
    <row r="116" spans="1:5" x14ac:dyDescent="0.3">
      <c r="A116"/>
      <c r="B116"/>
      <c r="C116"/>
      <c r="D116"/>
      <c r="E116"/>
    </row>
  </sheetData>
  <phoneticPr fontId="4"/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F54"/>
  <sheetViews>
    <sheetView workbookViewId="0"/>
  </sheetViews>
  <sheetFormatPr defaultColWidth="10.76171875" defaultRowHeight="12.75" x14ac:dyDescent="0.35"/>
  <cols>
    <col min="1" max="1" customWidth="true" style="3" width="15.76171875" collapsed="true"/>
    <col min="2" max="16384" style="3" width="10.76171875" collapsed="true"/>
  </cols>
  <sheetData>
    <row ht="13.15" r="1" spans="1:32" x14ac:dyDescent="0.4">
      <c r="A1" s="2" t="s">
        <v>175</v>
      </c>
      <c r="L1" s="2" t="s">
        <v>175</v>
      </c>
      <c r="W1" s="2" t="s">
        <v>175</v>
      </c>
    </row>
    <row ht="13.15" r="2" spans="1:32" x14ac:dyDescent="0.4">
      <c r="A2" s="2" t="s">
        <v>272</v>
      </c>
      <c r="L2" s="2" t="s">
        <v>95</v>
      </c>
      <c r="W2" s="2" t="s">
        <v>96</v>
      </c>
    </row>
    <row ht="13.15" r="3" spans="1:32" thickBot="1" x14ac:dyDescent="0.4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ht="13.15" r="4" spans="1:32" x14ac:dyDescent="0.4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35">
      <c r="A5" s="3" t="s">
        <v>224</v>
      </c>
      <c r="B5" s="12">
        <f>output_NHTS!B4/SUM(output_NHTS!B$4:B$7)</f>
        <v>5.3484602917341979E-2</v>
      </c>
      <c r="C5" s="12">
        <f>output_NHTS!C4/SUM(output_NHTS!C$4:C$7)</f>
        <v>9.8550724637681164E-2</v>
      </c>
      <c r="D5" s="12">
        <f>output_NHTS!D4/SUM(output_NHTS!D$4:D$7)</f>
        <v>0.35987261146496813</v>
      </c>
      <c r="E5" s="12">
        <f>output_NHTS!E4/SUM(output_NHTS!E$4:E$7)</f>
        <v>0.24511930585683298</v>
      </c>
      <c r="F5" s="12">
        <f>output_NHTS!F4/SUM(output_NHTS!F$4:F$7)</f>
        <v>8.9655172413793102E-2</v>
      </c>
      <c r="G5" s="12">
        <f>output_NHTS!G4/SUM(output_NHTS!G$4:G$7)</f>
        <v>2.072538860103627E-2</v>
      </c>
      <c r="H5" s="12">
        <f>output_NHTS!H4/SUM(output_NHTS!H$4:H$7)</f>
        <v>5.6027164685908321E-2</v>
      </c>
      <c r="I5" s="12" t="e">
        <f>output_NHTS!I4/SUM(output_NHTS!I$4:I$7)</f>
        <v>#DIV/0!</v>
      </c>
      <c r="J5" s="12">
        <f>output_NHTS!J4/SUM(output_NHTS!J$4:J$7)</f>
        <v>0.11459920755867113</v>
      </c>
      <c r="L5" s="3" t="s">
        <v>224</v>
      </c>
      <c r="M5" s="12">
        <f>output!B4/SUM(output!B$4:B$7)</f>
        <v>5.3484602917341979E-2</v>
      </c>
      <c r="N5" s="12">
        <f>output!C4/SUM(output!C$4:C$7)</f>
        <v>9.8550724637681164E-2</v>
      </c>
      <c r="O5" s="12">
        <f>output!D4/SUM(output!D$4:D$7)</f>
        <v>0.35987261146496813</v>
      </c>
      <c r="P5" s="12">
        <f>output!E4/SUM(output!E$4:E$7)</f>
        <v>0.24511930585683298</v>
      </c>
      <c r="Q5" s="12">
        <f>output!F4/SUM(output!F$4:F$7)</f>
        <v>8.9655172413793102E-2</v>
      </c>
      <c r="R5" s="12">
        <f>output!G4/SUM(output!G$4:G$7)</f>
        <v>2.072538860103627E-2</v>
      </c>
      <c r="S5" s="12">
        <f>output!H4/SUM(output!H$4:H$7)</f>
        <v>5.6027164685908321E-2</v>
      </c>
      <c r="T5" s="12" t="e">
        <f>output!I4/SUM(output!I$4:I$7)</f>
        <v>#DIV/0!</v>
      </c>
      <c r="U5" s="12">
        <f>output!J4/SUM(output!J$4:J$7)</f>
        <v>0.11459920755867113</v>
      </c>
      <c r="W5" s="3" t="s">
        <v>224</v>
      </c>
      <c r="X5" s="12">
        <f ref="X5:AF9" si="0" t="shared">M5-B5</f>
        <v>0</v>
      </c>
      <c r="Y5" s="12">
        <f si="0" t="shared"/>
        <v>0</v>
      </c>
      <c r="Z5" s="12">
        <f si="0" t="shared"/>
        <v>0</v>
      </c>
      <c r="AA5" s="12">
        <f si="0" t="shared"/>
        <v>0</v>
      </c>
      <c r="AB5" s="12">
        <f si="0" t="shared"/>
        <v>0</v>
      </c>
      <c r="AC5" s="12">
        <f si="0" t="shared"/>
        <v>0</v>
      </c>
      <c r="AD5" s="12">
        <f si="0" t="shared"/>
        <v>0</v>
      </c>
      <c r="AE5" s="12" t="e">
        <f si="0" t="shared"/>
        <v>#DIV/0!</v>
      </c>
      <c r="AF5" s="12">
        <f si="0" t="shared"/>
        <v>0</v>
      </c>
    </row>
    <row r="6" spans="1:32" x14ac:dyDescent="0.35">
      <c r="A6" s="3" t="s">
        <v>225</v>
      </c>
      <c r="B6" s="12">
        <f>output_NHTS!B5/SUM(output_NHTS!B$4:B$7)</f>
        <v>0.56239870340356568</v>
      </c>
      <c r="C6" s="12">
        <f>output_NHTS!C5/SUM(output_NHTS!C$4:C$7)</f>
        <v>0.45797101449275363</v>
      </c>
      <c r="D6" s="12">
        <f>output_NHTS!D5/SUM(output_NHTS!D$4:D$7)</f>
        <v>0.45222929936305734</v>
      </c>
      <c r="E6" s="12">
        <f>output_NHTS!E5/SUM(output_NHTS!E$4:E$7)</f>
        <v>0.42299349240780909</v>
      </c>
      <c r="F6" s="12">
        <f>output_NHTS!F5/SUM(output_NHTS!F$4:F$7)</f>
        <v>0.45517241379310347</v>
      </c>
      <c r="G6" s="12">
        <f>output_NHTS!G5/SUM(output_NHTS!G$4:G$7)</f>
        <v>0.52849740932642486</v>
      </c>
      <c r="H6" s="12">
        <f>output_NHTS!H5/SUM(output_NHTS!H$4:H$7)</f>
        <v>0.6791171477079796</v>
      </c>
      <c r="I6" s="12" t="e">
        <f>output_NHTS!I5/SUM(output_NHTS!I$4:I$7)</f>
        <v>#DIV/0!</v>
      </c>
      <c r="J6" s="12">
        <f>output_NHTS!J5/SUM(output_NHTS!J$4:J$7)</f>
        <v>0.53550746723559894</v>
      </c>
      <c r="L6" s="3" t="s">
        <v>225</v>
      </c>
      <c r="M6" s="12">
        <f>output!B5/SUM(output!B$4:B$7)</f>
        <v>0.56239870340356568</v>
      </c>
      <c r="N6" s="12">
        <f>output!C5/SUM(output!C$4:C$7)</f>
        <v>0.45797101449275363</v>
      </c>
      <c r="O6" s="12">
        <f>output!D5/SUM(output!D$4:D$7)</f>
        <v>0.45222929936305734</v>
      </c>
      <c r="P6" s="12">
        <f>output!E5/SUM(output!E$4:E$7)</f>
        <v>0.42299349240780909</v>
      </c>
      <c r="Q6" s="12">
        <f>output!F5/SUM(output!F$4:F$7)</f>
        <v>0.45517241379310347</v>
      </c>
      <c r="R6" s="12">
        <f>output!G5/SUM(output!G$4:G$7)</f>
        <v>0.52849740932642486</v>
      </c>
      <c r="S6" s="12">
        <f>output!H5/SUM(output!H$4:H$7)</f>
        <v>0.6791171477079796</v>
      </c>
      <c r="T6" s="12" t="e">
        <f>output!I5/SUM(output!I$4:I$7)</f>
        <v>#DIV/0!</v>
      </c>
      <c r="U6" s="12">
        <f>output!J5/SUM(output!J$4:J$7)</f>
        <v>0.53550746723559894</v>
      </c>
      <c r="W6" s="3" t="s">
        <v>225</v>
      </c>
      <c r="X6" s="12">
        <f si="0" t="shared"/>
        <v>0</v>
      </c>
      <c r="Y6" s="12">
        <f si="0" t="shared"/>
        <v>0</v>
      </c>
      <c r="Z6" s="12">
        <f si="0" t="shared"/>
        <v>0</v>
      </c>
      <c r="AA6" s="12">
        <f si="0" t="shared"/>
        <v>0</v>
      </c>
      <c r="AB6" s="12">
        <f si="0" t="shared"/>
        <v>0</v>
      </c>
      <c r="AC6" s="12">
        <f si="0" t="shared"/>
        <v>0</v>
      </c>
      <c r="AD6" s="12">
        <f si="0" t="shared"/>
        <v>0</v>
      </c>
      <c r="AE6" s="12" t="e">
        <f si="0" t="shared"/>
        <v>#DIV/0!</v>
      </c>
      <c r="AF6" s="12">
        <f si="0" t="shared"/>
        <v>0</v>
      </c>
    </row>
    <row r="7" spans="1:32" x14ac:dyDescent="0.35">
      <c r="A7" s="3" t="s">
        <v>226</v>
      </c>
      <c r="B7" s="12">
        <f>output_NHTS!B6/SUM(output_NHTS!B$4:B$7)</f>
        <v>0.29983792544570503</v>
      </c>
      <c r="C7" s="12">
        <f>output_NHTS!C6/SUM(output_NHTS!C$4:C$7)</f>
        <v>0.31594202898550727</v>
      </c>
      <c r="D7" s="12">
        <f>output_NHTS!D6/SUM(output_NHTS!D$4:D$7)</f>
        <v>0.15605095541401273</v>
      </c>
      <c r="E7" s="12">
        <f>output_NHTS!E6/SUM(output_NHTS!E$4:E$7)</f>
        <v>0.210412147505423</v>
      </c>
      <c r="F7" s="12">
        <f>output_NHTS!F6/SUM(output_NHTS!F$4:F$7)</f>
        <v>0.38620689655172413</v>
      </c>
      <c r="G7" s="12">
        <f>output_NHTS!G6/SUM(output_NHTS!G$4:G$7)</f>
        <v>0.39378238341968913</v>
      </c>
      <c r="H7" s="12">
        <f>output_NHTS!H6/SUM(output_NHTS!H$4:H$7)</f>
        <v>0.23429541595925296</v>
      </c>
      <c r="I7" s="12" t="e">
        <f>output_NHTS!I6/SUM(output_NHTS!I$4:I$7)</f>
        <v>#DIV/0!</v>
      </c>
      <c r="J7" s="12">
        <f>output_NHTS!J6/SUM(output_NHTS!J$4:J$7)</f>
        <v>0.2727826882048156</v>
      </c>
      <c r="L7" s="3" t="s">
        <v>226</v>
      </c>
      <c r="M7" s="12">
        <f>output!B6/SUM(output!B$4:B$7)</f>
        <v>0.29983792544570503</v>
      </c>
      <c r="N7" s="12">
        <f>output!C6/SUM(output!C$4:C$7)</f>
        <v>0.31594202898550727</v>
      </c>
      <c r="O7" s="12">
        <f>output!D6/SUM(output!D$4:D$7)</f>
        <v>0.15605095541401273</v>
      </c>
      <c r="P7" s="12">
        <f>output!E6/SUM(output!E$4:E$7)</f>
        <v>0.210412147505423</v>
      </c>
      <c r="Q7" s="12">
        <f>output!F6/SUM(output!F$4:F$7)</f>
        <v>0.38620689655172413</v>
      </c>
      <c r="R7" s="12">
        <f>output!G6/SUM(output!G$4:G$7)</f>
        <v>0.39378238341968913</v>
      </c>
      <c r="S7" s="12">
        <f>output!H6/SUM(output!H$4:H$7)</f>
        <v>0.23429541595925296</v>
      </c>
      <c r="T7" s="12" t="e">
        <f>output!I6/SUM(output!I$4:I$7)</f>
        <v>#DIV/0!</v>
      </c>
      <c r="U7" s="12">
        <f>output!J6/SUM(output!J$4:J$7)</f>
        <v>0.2727826882048156</v>
      </c>
      <c r="W7" s="3" t="s">
        <v>226</v>
      </c>
      <c r="X7" s="12">
        <f si="0" t="shared"/>
        <v>0</v>
      </c>
      <c r="Y7" s="12">
        <f si="0" t="shared"/>
        <v>0</v>
      </c>
      <c r="Z7" s="12">
        <f si="0" t="shared"/>
        <v>0</v>
      </c>
      <c r="AA7" s="12">
        <f si="0" t="shared"/>
        <v>0</v>
      </c>
      <c r="AB7" s="12">
        <f si="0" t="shared"/>
        <v>0</v>
      </c>
      <c r="AC7" s="12">
        <f si="0" t="shared"/>
        <v>0</v>
      </c>
      <c r="AD7" s="12">
        <f si="0" t="shared"/>
        <v>0</v>
      </c>
      <c r="AE7" s="12" t="e">
        <f si="0" t="shared"/>
        <v>#DIV/0!</v>
      </c>
      <c r="AF7" s="12">
        <f si="0" t="shared"/>
        <v>0</v>
      </c>
    </row>
    <row r="8" spans="1:32" x14ac:dyDescent="0.35">
      <c r="A8" s="8" t="s">
        <v>227</v>
      </c>
      <c r="B8" s="13">
        <f>output_NHTS!B7/SUM(output_NHTS!B$4:B$7)</f>
        <v>8.4278768233387355E-2</v>
      </c>
      <c r="C8" s="13">
        <f>output_NHTS!C7/SUM(output_NHTS!C$4:C$7)</f>
        <v>0.12753623188405797</v>
      </c>
      <c r="D8" s="13">
        <f>output_NHTS!D7/SUM(output_NHTS!D$4:D$7)</f>
        <v>3.1847133757961783E-2</v>
      </c>
      <c r="E8" s="13">
        <f>output_NHTS!E7/SUM(output_NHTS!E$4:E$7)</f>
        <v>0.12147505422993492</v>
      </c>
      <c r="F8" s="13">
        <f>output_NHTS!F7/SUM(output_NHTS!F$4:F$7)</f>
        <v>6.8965517241379309E-2</v>
      </c>
      <c r="G8" s="13">
        <f>output_NHTS!G7/SUM(output_NHTS!G$4:G$7)</f>
        <v>5.6994818652849742E-2</v>
      </c>
      <c r="H8" s="13">
        <f>output_NHTS!H7/SUM(output_NHTS!H$4:H$7)</f>
        <v>3.0560271646859084E-2</v>
      </c>
      <c r="I8" s="13" t="e">
        <f>output_NHTS!I7/SUM(output_NHTS!I$4:I$7)</f>
        <v>#DIV/0!</v>
      </c>
      <c r="J8" s="13">
        <f>output_NHTS!J7/SUM(output_NHTS!J$4:J$7)</f>
        <v>7.7110637000914362E-2</v>
      </c>
      <c r="L8" s="8" t="s">
        <v>227</v>
      </c>
      <c r="M8" s="13">
        <f>output!B7/SUM(output!B$4:B$7)</f>
        <v>8.4278768233387355E-2</v>
      </c>
      <c r="N8" s="13">
        <f>output!C7/SUM(output!C$4:C$7)</f>
        <v>0.12753623188405797</v>
      </c>
      <c r="O8" s="13">
        <f>output!D7/SUM(output!D$4:D$7)</f>
        <v>3.1847133757961783E-2</v>
      </c>
      <c r="P8" s="13">
        <f>output!E7/SUM(output!E$4:E$7)</f>
        <v>0.12147505422993492</v>
      </c>
      <c r="Q8" s="13">
        <f>output!F7/SUM(output!F$4:F$7)</f>
        <v>6.8965517241379309E-2</v>
      </c>
      <c r="R8" s="13">
        <f>output!G7/SUM(output!G$4:G$7)</f>
        <v>5.6994818652849742E-2</v>
      </c>
      <c r="S8" s="13">
        <f>output!H7/SUM(output!H$4:H$7)</f>
        <v>3.0560271646859084E-2</v>
      </c>
      <c r="T8" s="13" t="e">
        <f>output!I7/SUM(output!I$4:I$7)</f>
        <v>#DIV/0!</v>
      </c>
      <c r="U8" s="13">
        <f>output!J7/SUM(output!J$4:J$7)</f>
        <v>7.7110637000914362E-2</v>
      </c>
      <c r="W8" s="8" t="s">
        <v>227</v>
      </c>
      <c r="X8" s="13">
        <f si="0" t="shared"/>
        <v>0</v>
      </c>
      <c r="Y8" s="13">
        <f si="0" t="shared"/>
        <v>0</v>
      </c>
      <c r="Z8" s="13">
        <f si="0" t="shared"/>
        <v>0</v>
      </c>
      <c r="AA8" s="13">
        <f si="0" t="shared"/>
        <v>0</v>
      </c>
      <c r="AB8" s="13">
        <f si="0" t="shared"/>
        <v>0</v>
      </c>
      <c r="AC8" s="13">
        <f si="0" t="shared"/>
        <v>0</v>
      </c>
      <c r="AD8" s="13">
        <f si="0" t="shared"/>
        <v>0</v>
      </c>
      <c r="AE8" s="13" t="e">
        <f si="0" t="shared"/>
        <v>#DIV/0!</v>
      </c>
      <c r="AF8" s="13">
        <f si="0" t="shared"/>
        <v>0</v>
      </c>
    </row>
    <row ht="13.15" r="9" spans="1:32" thickBot="1" x14ac:dyDescent="0.4">
      <c r="A9" s="15" t="s">
        <v>223</v>
      </c>
      <c r="B9" s="17">
        <f>SUM(B5:B8)</f>
        <v>1.0000000000000002</v>
      </c>
      <c r="C9" s="17">
        <f ref="C9:J9" si="1" t="shared">SUM(C5:C8)</f>
        <v>1</v>
      </c>
      <c r="D9" s="17">
        <f si="1" t="shared"/>
        <v>0.99999999999999989</v>
      </c>
      <c r="E9" s="17">
        <f si="1" t="shared"/>
        <v>1</v>
      </c>
      <c r="F9" s="17">
        <f si="1" t="shared"/>
        <v>1</v>
      </c>
      <c r="G9" s="17">
        <f si="1" t="shared"/>
        <v>1</v>
      </c>
      <c r="H9" s="17">
        <f si="1" t="shared"/>
        <v>0.99999999999999989</v>
      </c>
      <c r="I9" s="17" t="e">
        <f si="1" t="shared"/>
        <v>#DIV/0!</v>
      </c>
      <c r="J9" s="17">
        <f si="1" t="shared"/>
        <v>1</v>
      </c>
      <c r="L9" s="15" t="s">
        <v>223</v>
      </c>
      <c r="M9" s="17">
        <f>SUM(M5:M8)</f>
        <v>1.0000000000000002</v>
      </c>
      <c r="N9" s="17">
        <f ref="N9:U9" si="2" t="shared">SUM(N5:N8)</f>
        <v>1</v>
      </c>
      <c r="O9" s="17">
        <f si="2" t="shared"/>
        <v>0.99999999999999989</v>
      </c>
      <c r="P9" s="17">
        <f si="2" t="shared"/>
        <v>1</v>
      </c>
      <c r="Q9" s="17">
        <f si="2" t="shared"/>
        <v>1</v>
      </c>
      <c r="R9" s="17">
        <f si="2" t="shared"/>
        <v>1</v>
      </c>
      <c r="S9" s="17">
        <f si="2" t="shared"/>
        <v>0.99999999999999989</v>
      </c>
      <c r="T9" s="17" t="e">
        <f si="2" t="shared"/>
        <v>#DIV/0!</v>
      </c>
      <c r="U9" s="17">
        <f si="2" t="shared"/>
        <v>1</v>
      </c>
      <c r="W9" s="15" t="s">
        <v>223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7" spans="11:23" x14ac:dyDescent="0.35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35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35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35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35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35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35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35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35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35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35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35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35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35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35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35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35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35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35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35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35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35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35">
      <c r="A44"/>
      <c r="B44"/>
      <c r="C44"/>
      <c r="D44"/>
      <c r="E44"/>
      <c r="F44"/>
      <c r="G44"/>
      <c r="H44"/>
      <c r="I44"/>
      <c r="J44"/>
      <c r="K44"/>
    </row>
    <row r="45" spans="1:22" x14ac:dyDescent="0.35">
      <c r="A45"/>
      <c r="B45"/>
      <c r="C45"/>
      <c r="D45"/>
      <c r="E45"/>
      <c r="F45"/>
      <c r="G45"/>
      <c r="H45"/>
      <c r="I45"/>
      <c r="J45"/>
      <c r="K45"/>
    </row>
    <row r="46" spans="1:22" x14ac:dyDescent="0.35">
      <c r="A46"/>
      <c r="B46"/>
      <c r="C46"/>
      <c r="D46"/>
      <c r="E46"/>
      <c r="F46"/>
      <c r="G46"/>
      <c r="H46"/>
      <c r="I46"/>
      <c r="J46"/>
      <c r="K46"/>
    </row>
    <row r="47" spans="1:22" x14ac:dyDescent="0.35">
      <c r="A47"/>
      <c r="B47"/>
      <c r="C47"/>
      <c r="D47"/>
      <c r="E47"/>
      <c r="F47"/>
      <c r="G47"/>
      <c r="H47"/>
      <c r="I47"/>
      <c r="J47"/>
      <c r="K47"/>
    </row>
    <row r="48" spans="1:22" x14ac:dyDescent="0.35">
      <c r="A48"/>
      <c r="B48"/>
      <c r="C48"/>
      <c r="D48"/>
      <c r="E48"/>
      <c r="F48"/>
      <c r="G48"/>
      <c r="H48"/>
      <c r="I48"/>
      <c r="J48"/>
      <c r="K48"/>
    </row>
    <row r="49" spans="1:11" x14ac:dyDescent="0.35">
      <c r="A49"/>
      <c r="B49"/>
      <c r="C49"/>
      <c r="D49"/>
      <c r="E49"/>
      <c r="F49"/>
      <c r="G49"/>
      <c r="H49"/>
      <c r="I49"/>
      <c r="J49"/>
      <c r="K49"/>
    </row>
    <row r="50" spans="1:11" x14ac:dyDescent="0.35">
      <c r="A50"/>
      <c r="B50"/>
      <c r="C50"/>
      <c r="D50"/>
      <c r="E50"/>
      <c r="F50"/>
      <c r="G50"/>
      <c r="H50"/>
      <c r="I50"/>
      <c r="J50"/>
      <c r="K50"/>
    </row>
    <row r="51" spans="1:11" x14ac:dyDescent="0.35">
      <c r="A51"/>
      <c r="B51"/>
      <c r="C51"/>
      <c r="D51"/>
      <c r="E51"/>
      <c r="F51"/>
      <c r="G51"/>
      <c r="H51"/>
      <c r="I51"/>
      <c r="J51"/>
      <c r="K51"/>
    </row>
    <row r="52" spans="1:11" x14ac:dyDescent="0.35">
      <c r="A52"/>
      <c r="B52"/>
      <c r="C52"/>
      <c r="D52"/>
      <c r="E52"/>
      <c r="F52"/>
      <c r="G52"/>
      <c r="H52"/>
      <c r="I52"/>
      <c r="J52"/>
      <c r="K52"/>
    </row>
    <row r="53" spans="1:11" x14ac:dyDescent="0.35">
      <c r="A53"/>
      <c r="B53"/>
      <c r="C53"/>
      <c r="D53"/>
      <c r="E53"/>
      <c r="F53"/>
      <c r="G53"/>
      <c r="H53"/>
      <c r="I53"/>
      <c r="J53"/>
      <c r="K53"/>
    </row>
    <row r="54" spans="1:11" x14ac:dyDescent="0.35">
      <c r="A54"/>
      <c r="B54"/>
      <c r="C54"/>
      <c r="D54"/>
      <c r="E54"/>
      <c r="F54"/>
      <c r="G54"/>
      <c r="H54"/>
      <c r="I54"/>
      <c r="J54"/>
      <c r="K54"/>
    </row>
  </sheetData>
  <phoneticPr fontId="4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F53"/>
  <sheetViews>
    <sheetView workbookViewId="0"/>
  </sheetViews>
  <sheetFormatPr defaultColWidth="10.76171875" defaultRowHeight="12.75" x14ac:dyDescent="0.35"/>
  <cols>
    <col min="1" max="1" customWidth="true" style="3" width="15.76171875" collapsed="true"/>
    <col min="2" max="16384" style="3" width="10.76171875" collapsed="true"/>
  </cols>
  <sheetData>
    <row ht="13.15" r="1" spans="1:32" x14ac:dyDescent="0.4">
      <c r="A1" s="2" t="s">
        <v>175</v>
      </c>
      <c r="L1" s="2" t="s">
        <v>175</v>
      </c>
      <c r="W1" s="2" t="s">
        <v>175</v>
      </c>
    </row>
    <row ht="13.15" r="2" spans="1:32" x14ac:dyDescent="0.4">
      <c r="A2" s="2" t="s">
        <v>104</v>
      </c>
      <c r="L2" s="2" t="s">
        <v>179</v>
      </c>
      <c r="W2" s="2" t="s">
        <v>194</v>
      </c>
    </row>
    <row ht="13.15" r="3" spans="1:32" thickBot="1" x14ac:dyDescent="0.4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ht="13.15" r="4" spans="1:32" x14ac:dyDescent="0.4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35">
      <c r="A5" s="27" t="s">
        <v>228</v>
      </c>
      <c r="B5" s="28">
        <f>output_NHTS!B11/SUM(output_NHTS!B$11:B$23)</f>
        <v>5.3484602917341979E-2</v>
      </c>
      <c r="C5" s="28">
        <f>output_NHTS!C11/SUM(output_NHTS!C$11:C$23)</f>
        <v>9.8550724637681164E-2</v>
      </c>
      <c r="D5" s="28">
        <f>output_NHTS!D11/SUM(output_NHTS!D$11:D$23)</f>
        <v>0.35987261146496813</v>
      </c>
      <c r="E5" s="28">
        <f>output_NHTS!E11/SUM(output_NHTS!E$11:E$23)</f>
        <v>0.24511930585683298</v>
      </c>
      <c r="F5" s="28">
        <f>output_NHTS!F11/SUM(output_NHTS!F$11:F$23)</f>
        <v>8.9655172413793102E-2</v>
      </c>
      <c r="G5" s="28">
        <f>output_NHTS!G11/SUM(output_NHTS!G$11:G$23)</f>
        <v>2.072538860103627E-2</v>
      </c>
      <c r="H5" s="28">
        <f>output_NHTS!H11/SUM(output_NHTS!H$11:H$23)</f>
        <v>5.6027164685908321E-2</v>
      </c>
      <c r="I5" s="28" t="e">
        <f>output_NHTS!I11/SUM(output_NHTS!I$11:I$23)</f>
        <v>#DIV/0!</v>
      </c>
      <c r="J5" s="28">
        <f>output_NHTS!J11/SUM(output_NHTS!J$11:J$23)</f>
        <v>0.11459920755867113</v>
      </c>
      <c r="L5" s="27" t="s">
        <v>228</v>
      </c>
      <c r="M5" s="28">
        <f>output!B11/SUM(output!B$11:B$23)</f>
        <v>5.3484602917341979E-2</v>
      </c>
      <c r="N5" s="28">
        <f>output!C11/SUM(output!C$11:C$23)</f>
        <v>9.8550724637681164E-2</v>
      </c>
      <c r="O5" s="28">
        <f>output!D11/SUM(output!D$11:D$23)</f>
        <v>0.35987261146496813</v>
      </c>
      <c r="P5" s="28">
        <f>output!E11/SUM(output!E$11:E$23)</f>
        <v>0.24511930585683298</v>
      </c>
      <c r="Q5" s="28">
        <f>output!F11/SUM(output!F$11:F$23)</f>
        <v>8.9655172413793102E-2</v>
      </c>
      <c r="R5" s="28">
        <f>output!G11/SUM(output!G$11:G$23)</f>
        <v>2.072538860103627E-2</v>
      </c>
      <c r="S5" s="28">
        <f>output!H11/SUM(output!H$11:H$23)</f>
        <v>5.6027164685908321E-2</v>
      </c>
      <c r="T5" s="28" t="e">
        <f>output!I11/SUM(output!I$11:I$23)</f>
        <v>#DIV/0!</v>
      </c>
      <c r="U5" s="28">
        <f>output!J11/SUM(output!J$11:J$23)</f>
        <v>0.11459920755867113</v>
      </c>
      <c r="W5" s="27" t="s">
        <v>228</v>
      </c>
      <c r="X5" s="12">
        <f ref="X5:X18" si="0" t="shared">M5-B5</f>
        <v>0</v>
      </c>
      <c r="Y5" s="12">
        <f ref="Y5:Y18" si="1" t="shared">N5-C5</f>
        <v>0</v>
      </c>
      <c r="Z5" s="12">
        <f ref="Z5:Z18" si="2" t="shared">O5-D5</f>
        <v>0</v>
      </c>
      <c r="AA5" s="12">
        <f ref="AA5:AA18" si="3" t="shared">P5-E5</f>
        <v>0</v>
      </c>
      <c r="AB5" s="12">
        <f ref="AB5:AB18" si="4" t="shared">Q5-F5</f>
        <v>0</v>
      </c>
      <c r="AC5" s="12">
        <f ref="AC5:AC18" si="5" t="shared">R5-G5</f>
        <v>0</v>
      </c>
      <c r="AD5" s="12">
        <f ref="AD5:AD18" si="6" t="shared">S5-H5</f>
        <v>0</v>
      </c>
      <c r="AE5" s="12" t="e">
        <f ref="AE5:AE18" si="7" t="shared">T5-I5</f>
        <v>#DIV/0!</v>
      </c>
      <c r="AF5" s="12">
        <f ref="AF5:AF18" si="8" t="shared">U5-J5</f>
        <v>0</v>
      </c>
    </row>
    <row r="6" spans="1:32" x14ac:dyDescent="0.35">
      <c r="A6" s="27" t="s">
        <v>233</v>
      </c>
      <c r="B6" s="28">
        <f>output_NHTS!B12/SUM(output_NHTS!B$11:B$23)</f>
        <v>0.31847649918962723</v>
      </c>
      <c r="C6" s="28">
        <f>output_NHTS!C12/SUM(output_NHTS!C$11:C$23)</f>
        <v>0.23768115942028986</v>
      </c>
      <c r="D6" s="28">
        <f>output_NHTS!D12/SUM(output_NHTS!D$11:D$23)</f>
        <v>0.18152866242038215</v>
      </c>
      <c r="E6" s="28">
        <f>output_NHTS!E12/SUM(output_NHTS!E$11:E$23)</f>
        <v>0.19305856832971802</v>
      </c>
      <c r="F6" s="28">
        <f>output_NHTS!F12/SUM(output_NHTS!F$11:F$23)</f>
        <v>0.22758620689655173</v>
      </c>
      <c r="G6" s="28">
        <f>output_NHTS!G12/SUM(output_NHTS!G$11:G$23)</f>
        <v>0.32642487046632124</v>
      </c>
      <c r="H6" s="28">
        <f>output_NHTS!H12/SUM(output_NHTS!H$11:H$23)</f>
        <v>0.40237691001697795</v>
      </c>
      <c r="I6" s="28" t="e">
        <f>output_NHTS!I12/SUM(output_NHTS!I$11:I$23)</f>
        <v>#DIV/0!</v>
      </c>
      <c r="J6" s="28">
        <f>output_NHTS!J12/SUM(output_NHTS!J$11:J$23)</f>
        <v>0.29076501066747945</v>
      </c>
      <c r="L6" s="27" t="s">
        <v>233</v>
      </c>
      <c r="M6" s="28">
        <f>output!B12/SUM(output!B$11:B$23)</f>
        <v>0.31847649918962723</v>
      </c>
      <c r="N6" s="28">
        <f>output!C12/SUM(output!C$11:C$23)</f>
        <v>0.23768115942028986</v>
      </c>
      <c r="O6" s="28">
        <f>output!D12/SUM(output!D$11:D$23)</f>
        <v>0.18152866242038215</v>
      </c>
      <c r="P6" s="28">
        <f>output!E12/SUM(output!E$11:E$23)</f>
        <v>0.19305856832971802</v>
      </c>
      <c r="Q6" s="28">
        <f>output!F12/SUM(output!F$11:F$23)</f>
        <v>0.22758620689655173</v>
      </c>
      <c r="R6" s="28">
        <f>output!G12/SUM(output!G$11:G$23)</f>
        <v>0.32642487046632124</v>
      </c>
      <c r="S6" s="28">
        <f>output!H12/SUM(output!H$11:H$23)</f>
        <v>0.40237691001697795</v>
      </c>
      <c r="T6" s="28" t="e">
        <f>output!I12/SUM(output!I$11:I$23)</f>
        <v>#DIV/0!</v>
      </c>
      <c r="U6" s="28">
        <f>output!J12/SUM(output!J$11:J$23)</f>
        <v>0.29076501066747945</v>
      </c>
      <c r="W6" s="27" t="s">
        <v>233</v>
      </c>
      <c r="X6" s="12">
        <f si="0" t="shared"/>
        <v>0</v>
      </c>
      <c r="Y6" s="12">
        <f si="1" t="shared"/>
        <v>0</v>
      </c>
      <c r="Z6" s="12">
        <f si="2" t="shared"/>
        <v>0</v>
      </c>
      <c r="AA6" s="12">
        <f si="3" t="shared"/>
        <v>0</v>
      </c>
      <c r="AB6" s="12">
        <f si="4" t="shared"/>
        <v>0</v>
      </c>
      <c r="AC6" s="12">
        <f si="5" t="shared"/>
        <v>0</v>
      </c>
      <c r="AD6" s="12">
        <f si="6" t="shared"/>
        <v>0</v>
      </c>
      <c r="AE6" s="12" t="e">
        <f si="7" t="shared"/>
        <v>#DIV/0!</v>
      </c>
      <c r="AF6" s="12">
        <f si="8" t="shared"/>
        <v>0</v>
      </c>
    </row>
    <row r="7" spans="1:32" x14ac:dyDescent="0.35">
      <c r="A7" s="27" t="s">
        <v>234</v>
      </c>
      <c r="B7" s="28">
        <f>output_NHTS!B13/SUM(output_NHTS!B$11:B$23)</f>
        <v>0.16288492706645058</v>
      </c>
      <c r="C7" s="28">
        <f>output_NHTS!C13/SUM(output_NHTS!C$11:C$23)</f>
        <v>9.5652173913043481E-2</v>
      </c>
      <c r="D7" s="28">
        <f>output_NHTS!D13/SUM(output_NHTS!D$11:D$23)</f>
        <v>0.17834394904458598</v>
      </c>
      <c r="E7" s="28">
        <f>output_NHTS!E13/SUM(output_NHTS!E$11:E$23)</f>
        <v>0.13449023861171366</v>
      </c>
      <c r="F7" s="28">
        <f>output_NHTS!F13/SUM(output_NHTS!F$11:F$23)</f>
        <v>0.13793103448275862</v>
      </c>
      <c r="G7" s="28">
        <f>output_NHTS!G13/SUM(output_NHTS!G$11:G$23)</f>
        <v>0.10880829015544041</v>
      </c>
      <c r="H7" s="28">
        <f>output_NHTS!H13/SUM(output_NHTS!H$11:H$23)</f>
        <v>0.1765704584040747</v>
      </c>
      <c r="I7" s="28" t="e">
        <f>output_NHTS!I13/SUM(output_NHTS!I$11:I$23)</f>
        <v>#DIV/0!</v>
      </c>
      <c r="J7" s="28">
        <f>output_NHTS!J13/SUM(output_NHTS!J$11:J$23)</f>
        <v>0.15147820786345625</v>
      </c>
      <c r="L7" s="27" t="s">
        <v>234</v>
      </c>
      <c r="M7" s="28">
        <f>output!B13/SUM(output!B$11:B$23)</f>
        <v>0.16288492706645058</v>
      </c>
      <c r="N7" s="28">
        <f>output!C13/SUM(output!C$11:C$23)</f>
        <v>9.5652173913043481E-2</v>
      </c>
      <c r="O7" s="28">
        <f>output!D13/SUM(output!D$11:D$23)</f>
        <v>0.17834394904458598</v>
      </c>
      <c r="P7" s="28">
        <f>output!E13/SUM(output!E$11:E$23)</f>
        <v>0.13449023861171366</v>
      </c>
      <c r="Q7" s="28">
        <f>output!F13/SUM(output!F$11:F$23)</f>
        <v>0.13793103448275862</v>
      </c>
      <c r="R7" s="28">
        <f>output!G13/SUM(output!G$11:G$23)</f>
        <v>0.10880829015544041</v>
      </c>
      <c r="S7" s="28">
        <f>output!H13/SUM(output!H$11:H$23)</f>
        <v>0.1765704584040747</v>
      </c>
      <c r="T7" s="28" t="e">
        <f>output!I13/SUM(output!I$11:I$23)</f>
        <v>#DIV/0!</v>
      </c>
      <c r="U7" s="28">
        <f>output!J13/SUM(output!J$11:J$23)</f>
        <v>0.15147820786345625</v>
      </c>
      <c r="W7" s="27" t="s">
        <v>234</v>
      </c>
      <c r="X7" s="12">
        <f si="0" t="shared"/>
        <v>0</v>
      </c>
      <c r="Y7" s="12">
        <f si="1" t="shared"/>
        <v>0</v>
      </c>
      <c r="Z7" s="12">
        <f si="2" t="shared"/>
        <v>0</v>
      </c>
      <c r="AA7" s="12">
        <f si="3" t="shared"/>
        <v>0</v>
      </c>
      <c r="AB7" s="12">
        <f si="4" t="shared"/>
        <v>0</v>
      </c>
      <c r="AC7" s="12">
        <f si="5" t="shared"/>
        <v>0</v>
      </c>
      <c r="AD7" s="12">
        <f si="6" t="shared"/>
        <v>0</v>
      </c>
      <c r="AE7" s="12" t="e">
        <f si="7" t="shared"/>
        <v>#DIV/0!</v>
      </c>
      <c r="AF7" s="12">
        <f si="8" t="shared"/>
        <v>0</v>
      </c>
    </row>
    <row r="8" spans="1:32" x14ac:dyDescent="0.35">
      <c r="A8" s="27" t="s">
        <v>208</v>
      </c>
      <c r="B8" s="28">
        <f>output_NHTS!B14/SUM(output_NHTS!B$11:B$23)</f>
        <v>5.5915721231766614E-2</v>
      </c>
      <c r="C8" s="28">
        <f>output_NHTS!C14/SUM(output_NHTS!C$11:C$23)</f>
        <v>0.10434782608695652</v>
      </c>
      <c r="D8" s="28">
        <f>output_NHTS!D14/SUM(output_NHTS!D$11:D$23)</f>
        <v>7.0063694267515922E-2</v>
      </c>
      <c r="E8" s="28">
        <f>output_NHTS!E14/SUM(output_NHTS!E$11:E$23)</f>
        <v>7.3752711496746198E-2</v>
      </c>
      <c r="F8" s="28">
        <f>output_NHTS!F14/SUM(output_NHTS!F$11:F$23)</f>
        <v>8.2758620689655171E-2</v>
      </c>
      <c r="G8" s="28">
        <f>output_NHTS!G14/SUM(output_NHTS!G$11:G$23)</f>
        <v>6.2176165803108807E-2</v>
      </c>
      <c r="H8" s="28">
        <f>output_NHTS!H14/SUM(output_NHTS!H$11:H$23)</f>
        <v>8.8285229202037352E-2</v>
      </c>
      <c r="I8" s="28" t="e">
        <f>output_NHTS!I14/SUM(output_NHTS!I$11:I$23)</f>
        <v>#DIV/0!</v>
      </c>
      <c r="J8" s="28">
        <f>output_NHTS!J14/SUM(output_NHTS!J$11:J$23)</f>
        <v>7.2234074977141113E-2</v>
      </c>
      <c r="L8" s="27" t="s">
        <v>208</v>
      </c>
      <c r="M8" s="28">
        <f>output!B14/SUM(output!B$11:B$23)</f>
        <v>5.5915721231766614E-2</v>
      </c>
      <c r="N8" s="28">
        <f>output!C14/SUM(output!C$11:C$23)</f>
        <v>0.10434782608695652</v>
      </c>
      <c r="O8" s="28">
        <f>output!D14/SUM(output!D$11:D$23)</f>
        <v>7.0063694267515922E-2</v>
      </c>
      <c r="P8" s="28">
        <f>output!E14/SUM(output!E$11:E$23)</f>
        <v>7.3752711496746198E-2</v>
      </c>
      <c r="Q8" s="28">
        <f>output!F14/SUM(output!F$11:F$23)</f>
        <v>8.2758620689655171E-2</v>
      </c>
      <c r="R8" s="28">
        <f>output!G14/SUM(output!G$11:G$23)</f>
        <v>6.2176165803108807E-2</v>
      </c>
      <c r="S8" s="28">
        <f>output!H14/SUM(output!H$11:H$23)</f>
        <v>8.8285229202037352E-2</v>
      </c>
      <c r="T8" s="28" t="e">
        <f>output!I14/SUM(output!I$11:I$23)</f>
        <v>#DIV/0!</v>
      </c>
      <c r="U8" s="28">
        <f>output!J14/SUM(output!J$11:J$23)</f>
        <v>7.2234074977141113E-2</v>
      </c>
      <c r="W8" s="27" t="s">
        <v>208</v>
      </c>
      <c r="X8" s="12">
        <f si="0" t="shared"/>
        <v>0</v>
      </c>
      <c r="Y8" s="12">
        <f si="1" t="shared"/>
        <v>0</v>
      </c>
      <c r="Z8" s="12">
        <f si="2" t="shared"/>
        <v>0</v>
      </c>
      <c r="AA8" s="12">
        <f si="3" t="shared"/>
        <v>0</v>
      </c>
      <c r="AB8" s="12">
        <f si="4" t="shared"/>
        <v>0</v>
      </c>
      <c r="AC8" s="12">
        <f si="5" t="shared"/>
        <v>0</v>
      </c>
      <c r="AD8" s="12">
        <f si="6" t="shared"/>
        <v>0</v>
      </c>
      <c r="AE8" s="12" t="e">
        <f si="7" t="shared"/>
        <v>#DIV/0!</v>
      </c>
      <c r="AF8" s="12">
        <f si="8" t="shared"/>
        <v>0</v>
      </c>
    </row>
    <row r="9" spans="1:32" x14ac:dyDescent="0.35">
      <c r="A9" s="27" t="s">
        <v>9</v>
      </c>
      <c r="B9" s="28">
        <f>output_NHTS!B15/SUM(output_NHTS!B$11:B$23)</f>
        <v>2.5121555915721232E-2</v>
      </c>
      <c r="C9" s="28">
        <f>output_NHTS!C15/SUM(output_NHTS!C$11:C$23)</f>
        <v>2.0289855072463767E-2</v>
      </c>
      <c r="D9" s="28">
        <f>output_NHTS!D15/SUM(output_NHTS!D$11:D$23)</f>
        <v>2.2292993630573247E-2</v>
      </c>
      <c r="E9" s="28">
        <f>output_NHTS!E15/SUM(output_NHTS!E$11:E$23)</f>
        <v>2.1691973969631236E-2</v>
      </c>
      <c r="F9" s="28">
        <f>output_NHTS!F15/SUM(output_NHTS!F$11:F$23)</f>
        <v>6.8965517241379309E-3</v>
      </c>
      <c r="G9" s="28">
        <f>output_NHTS!G15/SUM(output_NHTS!G$11:G$23)</f>
        <v>3.1088082901554404E-2</v>
      </c>
      <c r="H9" s="28">
        <f>output_NHTS!H15/SUM(output_NHTS!H$11:H$23)</f>
        <v>1.1884550084889643E-2</v>
      </c>
      <c r="I9" s="28" t="e">
        <f>output_NHTS!I15/SUM(output_NHTS!I$11:I$23)</f>
        <v>#DIV/0!</v>
      </c>
      <c r="J9" s="28">
        <f>output_NHTS!J15/SUM(output_NHTS!J$11:J$23)</f>
        <v>2.1030173727522097E-2</v>
      </c>
      <c r="L9" s="27" t="s">
        <v>9</v>
      </c>
      <c r="M9" s="28">
        <f>output!B15/SUM(output!B$11:B$23)</f>
        <v>2.5121555915721232E-2</v>
      </c>
      <c r="N9" s="28">
        <f>output!C15/SUM(output!C$11:C$23)</f>
        <v>2.0289855072463767E-2</v>
      </c>
      <c r="O9" s="28">
        <f>output!D15/SUM(output!D$11:D$23)</f>
        <v>2.2292993630573247E-2</v>
      </c>
      <c r="P9" s="28">
        <f>output!E15/SUM(output!E$11:E$23)</f>
        <v>2.1691973969631236E-2</v>
      </c>
      <c r="Q9" s="28">
        <f>output!F15/SUM(output!F$11:F$23)</f>
        <v>6.8965517241379309E-3</v>
      </c>
      <c r="R9" s="28">
        <f>output!G15/SUM(output!G$11:G$23)</f>
        <v>3.1088082901554404E-2</v>
      </c>
      <c r="S9" s="28">
        <f>output!H15/SUM(output!H$11:H$23)</f>
        <v>1.1884550084889643E-2</v>
      </c>
      <c r="T9" s="28" t="e">
        <f>output!I15/SUM(output!I$11:I$23)</f>
        <v>#DIV/0!</v>
      </c>
      <c r="U9" s="28">
        <f>output!J15/SUM(output!J$11:J$23)</f>
        <v>2.1030173727522097E-2</v>
      </c>
      <c r="W9" s="27" t="s">
        <v>9</v>
      </c>
      <c r="X9" s="12">
        <f si="0" t="shared"/>
        <v>0</v>
      </c>
      <c r="Y9" s="12">
        <f si="1" t="shared"/>
        <v>0</v>
      </c>
      <c r="Z9" s="12">
        <f si="2" t="shared"/>
        <v>0</v>
      </c>
      <c r="AA9" s="12">
        <f si="3" t="shared"/>
        <v>0</v>
      </c>
      <c r="AB9" s="12">
        <f si="4" t="shared"/>
        <v>0</v>
      </c>
      <c r="AC9" s="12">
        <f si="5" t="shared"/>
        <v>0</v>
      </c>
      <c r="AD9" s="12">
        <f si="6" t="shared"/>
        <v>0</v>
      </c>
      <c r="AE9" s="12" t="e">
        <f si="7" t="shared"/>
        <v>#DIV/0!</v>
      </c>
      <c r="AF9" s="12">
        <f si="8" t="shared"/>
        <v>0</v>
      </c>
    </row>
    <row r="10" spans="1:32" x14ac:dyDescent="0.35">
      <c r="A10" s="27" t="s">
        <v>235</v>
      </c>
      <c r="B10" s="28">
        <f>output_NHTS!B16/SUM(output_NHTS!B$11:B$23)</f>
        <v>0.16045380875202594</v>
      </c>
      <c r="C10" s="28">
        <f>output_NHTS!C16/SUM(output_NHTS!C$11:C$23)</f>
        <v>0.15362318840579711</v>
      </c>
      <c r="D10" s="28">
        <f>output_NHTS!D16/SUM(output_NHTS!D$11:D$23)</f>
        <v>7.9617834394904455E-2</v>
      </c>
      <c r="E10" s="28">
        <f>output_NHTS!E16/SUM(output_NHTS!E$11:E$23)</f>
        <v>0.1019522776572668</v>
      </c>
      <c r="F10" s="28">
        <f>output_NHTS!F16/SUM(output_NHTS!F$11:F$23)</f>
        <v>0.15862068965517243</v>
      </c>
      <c r="G10" s="28">
        <f>output_NHTS!G16/SUM(output_NHTS!G$11:G$23)</f>
        <v>0.20207253886010362</v>
      </c>
      <c r="H10" s="28">
        <f>output_NHTS!H16/SUM(output_NHTS!H$11:H$23)</f>
        <v>0.12733446519524619</v>
      </c>
      <c r="I10" s="28" t="e">
        <f>output_NHTS!I16/SUM(output_NHTS!I$11:I$23)</f>
        <v>#DIV/0!</v>
      </c>
      <c r="J10" s="28">
        <f>output_NHTS!J16/SUM(output_NHTS!J$11:J$23)</f>
        <v>0.14020115818348064</v>
      </c>
      <c r="L10" s="27" t="s">
        <v>235</v>
      </c>
      <c r="M10" s="28">
        <f>output!B16/SUM(output!B$11:B$23)</f>
        <v>0.16045380875202594</v>
      </c>
      <c r="N10" s="28">
        <f>output!C16/SUM(output!C$11:C$23)</f>
        <v>0.15362318840579711</v>
      </c>
      <c r="O10" s="28">
        <f>output!D16/SUM(output!D$11:D$23)</f>
        <v>7.9617834394904455E-2</v>
      </c>
      <c r="P10" s="28">
        <f>output!E16/SUM(output!E$11:E$23)</f>
        <v>0.1019522776572668</v>
      </c>
      <c r="Q10" s="28">
        <f>output!F16/SUM(output!F$11:F$23)</f>
        <v>0.15862068965517243</v>
      </c>
      <c r="R10" s="28">
        <f>output!G16/SUM(output!G$11:G$23)</f>
        <v>0.20207253886010362</v>
      </c>
      <c r="S10" s="28">
        <f>output!H16/SUM(output!H$11:H$23)</f>
        <v>0.12733446519524619</v>
      </c>
      <c r="T10" s="28" t="e">
        <f>output!I16/SUM(output!I$11:I$23)</f>
        <v>#DIV/0!</v>
      </c>
      <c r="U10" s="28">
        <f>output!J16/SUM(output!J$11:J$23)</f>
        <v>0.14020115818348064</v>
      </c>
      <c r="W10" s="27" t="s">
        <v>235</v>
      </c>
      <c r="X10" s="12">
        <f si="0" t="shared"/>
        <v>0</v>
      </c>
      <c r="Y10" s="12">
        <f si="1" t="shared"/>
        <v>0</v>
      </c>
      <c r="Z10" s="12">
        <f si="2" t="shared"/>
        <v>0</v>
      </c>
      <c r="AA10" s="12">
        <f si="3" t="shared"/>
        <v>0</v>
      </c>
      <c r="AB10" s="12">
        <f si="4" t="shared"/>
        <v>0</v>
      </c>
      <c r="AC10" s="12">
        <f si="5" t="shared"/>
        <v>0</v>
      </c>
      <c r="AD10" s="12">
        <f si="6" t="shared"/>
        <v>0</v>
      </c>
      <c r="AE10" s="12" t="e">
        <f si="7" t="shared"/>
        <v>#DIV/0!</v>
      </c>
      <c r="AF10" s="12">
        <f si="8" t="shared"/>
        <v>0</v>
      </c>
    </row>
    <row r="11" spans="1:32" x14ac:dyDescent="0.35">
      <c r="A11" s="27" t="s">
        <v>236</v>
      </c>
      <c r="B11" s="28">
        <f>output_NHTS!B17/SUM(output_NHTS!B$11:B$23)</f>
        <v>7.2933549432739053E-2</v>
      </c>
      <c r="C11" s="28">
        <f>output_NHTS!C17/SUM(output_NHTS!C$11:C$23)</f>
        <v>7.8260869565217397E-2</v>
      </c>
      <c r="D11" s="28">
        <f>output_NHTS!D17/SUM(output_NHTS!D$11:D$23)</f>
        <v>2.8662420382165606E-2</v>
      </c>
      <c r="E11" s="28">
        <f>output_NHTS!E17/SUM(output_NHTS!E$11:E$23)</f>
        <v>6.7245119305856832E-2</v>
      </c>
      <c r="F11" s="28">
        <f>output_NHTS!F17/SUM(output_NHTS!F$11:F$23)</f>
        <v>7.586206896551724E-2</v>
      </c>
      <c r="G11" s="28">
        <f>output_NHTS!G17/SUM(output_NHTS!G$11:G$23)</f>
        <v>8.2901554404145081E-2</v>
      </c>
      <c r="H11" s="28">
        <f>output_NHTS!H17/SUM(output_NHTS!H$11:H$23)</f>
        <v>6.6213921901528014E-2</v>
      </c>
      <c r="I11" s="28" t="e">
        <f>output_NHTS!I17/SUM(output_NHTS!I$11:I$23)</f>
        <v>#DIV/0!</v>
      </c>
      <c r="J11" s="28">
        <f>output_NHTS!J17/SUM(output_NHTS!J$11:J$23)</f>
        <v>6.7967083206339526E-2</v>
      </c>
      <c r="L11" s="27" t="s">
        <v>236</v>
      </c>
      <c r="M11" s="28">
        <f>output!B17/SUM(output!B$11:B$23)</f>
        <v>7.2933549432739053E-2</v>
      </c>
      <c r="N11" s="28">
        <f>output!C17/SUM(output!C$11:C$23)</f>
        <v>7.8260869565217397E-2</v>
      </c>
      <c r="O11" s="28">
        <f>output!D17/SUM(output!D$11:D$23)</f>
        <v>2.8662420382165606E-2</v>
      </c>
      <c r="P11" s="28">
        <f>output!E17/SUM(output!E$11:E$23)</f>
        <v>6.7245119305856832E-2</v>
      </c>
      <c r="Q11" s="28">
        <f>output!F17/SUM(output!F$11:F$23)</f>
        <v>7.586206896551724E-2</v>
      </c>
      <c r="R11" s="28">
        <f>output!G17/SUM(output!G$11:G$23)</f>
        <v>8.2901554404145081E-2</v>
      </c>
      <c r="S11" s="28">
        <f>output!H17/SUM(output!H$11:H$23)</f>
        <v>6.6213921901528014E-2</v>
      </c>
      <c r="T11" s="28" t="e">
        <f>output!I17/SUM(output!I$11:I$23)</f>
        <v>#DIV/0!</v>
      </c>
      <c r="U11" s="28">
        <f>output!J17/SUM(output!J$11:J$23)</f>
        <v>6.7967083206339526E-2</v>
      </c>
      <c r="W11" s="27" t="s">
        <v>236</v>
      </c>
      <c r="X11" s="12">
        <f si="0" t="shared"/>
        <v>0</v>
      </c>
      <c r="Y11" s="12">
        <f si="1" t="shared"/>
        <v>0</v>
      </c>
      <c r="Z11" s="12">
        <f si="2" t="shared"/>
        <v>0</v>
      </c>
      <c r="AA11" s="12">
        <f si="3" t="shared"/>
        <v>0</v>
      </c>
      <c r="AB11" s="12">
        <f si="4" t="shared"/>
        <v>0</v>
      </c>
      <c r="AC11" s="12">
        <f si="5" t="shared"/>
        <v>0</v>
      </c>
      <c r="AD11" s="12">
        <f si="6" t="shared"/>
        <v>0</v>
      </c>
      <c r="AE11" s="12" t="e">
        <f si="7" t="shared"/>
        <v>#DIV/0!</v>
      </c>
      <c r="AF11" s="12">
        <f si="8" t="shared"/>
        <v>0</v>
      </c>
    </row>
    <row r="12" spans="1:32" x14ac:dyDescent="0.35">
      <c r="A12" s="27" t="s">
        <v>209</v>
      </c>
      <c r="B12" s="28">
        <f>output_NHTS!B18/SUM(output_NHTS!B$11:B$23)</f>
        <v>4.9432739059967583E-2</v>
      </c>
      <c r="C12" s="28">
        <f>output_NHTS!C18/SUM(output_NHTS!C$11:C$23)</f>
        <v>7.5362318840579715E-2</v>
      </c>
      <c r="D12" s="28">
        <f>output_NHTS!D18/SUM(output_NHTS!D$11:D$23)</f>
        <v>4.1401273885350316E-2</v>
      </c>
      <c r="E12" s="28">
        <f>output_NHTS!E18/SUM(output_NHTS!E$11:E$23)</f>
        <v>3.6876355748373099E-2</v>
      </c>
      <c r="F12" s="28">
        <f>output_NHTS!F18/SUM(output_NHTS!F$11:F$23)</f>
        <v>0.12413793103448276</v>
      </c>
      <c r="G12" s="28">
        <f>output_NHTS!G18/SUM(output_NHTS!G$11:G$23)</f>
        <v>6.7357512953367879E-2</v>
      </c>
      <c r="H12" s="28">
        <f>output_NHTS!H18/SUM(output_NHTS!H$11:H$23)</f>
        <v>3.2258064516129031E-2</v>
      </c>
      <c r="I12" s="28" t="e">
        <f>output_NHTS!I18/SUM(output_NHTS!I$11:I$23)</f>
        <v>#DIV/0!</v>
      </c>
      <c r="J12" s="28">
        <f>output_NHTS!J18/SUM(output_NHTS!J$11:J$23)</f>
        <v>5.0899116123133192E-2</v>
      </c>
      <c r="L12" s="27" t="s">
        <v>209</v>
      </c>
      <c r="M12" s="28">
        <f>output!B18/SUM(output!B$11:B$23)</f>
        <v>4.9432739059967583E-2</v>
      </c>
      <c r="N12" s="28">
        <f>output!C18/SUM(output!C$11:C$23)</f>
        <v>7.5362318840579715E-2</v>
      </c>
      <c r="O12" s="28">
        <f>output!D18/SUM(output!D$11:D$23)</f>
        <v>4.1401273885350316E-2</v>
      </c>
      <c r="P12" s="28">
        <f>output!E18/SUM(output!E$11:E$23)</f>
        <v>3.6876355748373099E-2</v>
      </c>
      <c r="Q12" s="28">
        <f>output!F18/SUM(output!F$11:F$23)</f>
        <v>0.12413793103448276</v>
      </c>
      <c r="R12" s="28">
        <f>output!G18/SUM(output!G$11:G$23)</f>
        <v>6.7357512953367879E-2</v>
      </c>
      <c r="S12" s="28">
        <f>output!H18/SUM(output!H$11:H$23)</f>
        <v>3.2258064516129031E-2</v>
      </c>
      <c r="T12" s="28" t="e">
        <f>output!I18/SUM(output!I$11:I$23)</f>
        <v>#DIV/0!</v>
      </c>
      <c r="U12" s="28">
        <f>output!J18/SUM(output!J$11:J$23)</f>
        <v>5.0899116123133192E-2</v>
      </c>
      <c r="W12" s="27" t="s">
        <v>209</v>
      </c>
      <c r="X12" s="12">
        <f si="0" t="shared"/>
        <v>0</v>
      </c>
      <c r="Y12" s="12">
        <f si="1" t="shared"/>
        <v>0</v>
      </c>
      <c r="Z12" s="12">
        <f si="2" t="shared"/>
        <v>0</v>
      </c>
      <c r="AA12" s="12">
        <f si="3" t="shared"/>
        <v>0</v>
      </c>
      <c r="AB12" s="12">
        <f si="4" t="shared"/>
        <v>0</v>
      </c>
      <c r="AC12" s="12">
        <f si="5" t="shared"/>
        <v>0</v>
      </c>
      <c r="AD12" s="12">
        <f si="6" t="shared"/>
        <v>0</v>
      </c>
      <c r="AE12" s="12" t="e">
        <f si="7" t="shared"/>
        <v>#DIV/0!</v>
      </c>
      <c r="AF12" s="12">
        <f si="8" t="shared"/>
        <v>0</v>
      </c>
    </row>
    <row r="13" spans="1:32" x14ac:dyDescent="0.35">
      <c r="A13" s="27" t="s">
        <v>10</v>
      </c>
      <c r="B13" s="28">
        <f>output_NHTS!B19/SUM(output_NHTS!B$11:B$23)</f>
        <v>1.7017828200972446E-2</v>
      </c>
      <c r="C13" s="28">
        <f>output_NHTS!C19/SUM(output_NHTS!C$11:C$23)</f>
        <v>8.6956521739130436E-3</v>
      </c>
      <c r="D13" s="28">
        <f>output_NHTS!D19/SUM(output_NHTS!D$11:D$23)</f>
        <v>6.369426751592357E-3</v>
      </c>
      <c r="E13" s="28">
        <f>output_NHTS!E19/SUM(output_NHTS!E$11:E$23)</f>
        <v>4.3383947939262474E-3</v>
      </c>
      <c r="F13" s="28">
        <f>output_NHTS!F19/SUM(output_NHTS!F$11:F$23)</f>
        <v>2.7586206896551724E-2</v>
      </c>
      <c r="G13" s="28">
        <f>output_NHTS!G19/SUM(output_NHTS!G$11:G$23)</f>
        <v>4.145077720207254E-2</v>
      </c>
      <c r="H13" s="28">
        <f>output_NHTS!H19/SUM(output_NHTS!H$11:H$23)</f>
        <v>8.4889643463497456E-3</v>
      </c>
      <c r="I13" s="28" t="e">
        <f>output_NHTS!I19/SUM(output_NHTS!I$11:I$23)</f>
        <v>#DIV/0!</v>
      </c>
      <c r="J13" s="28">
        <f>output_NHTS!J19/SUM(output_NHTS!J$11:J$23)</f>
        <v>1.3715330691862237E-2</v>
      </c>
      <c r="L13" s="27" t="s">
        <v>10</v>
      </c>
      <c r="M13" s="28">
        <f>output!B19/SUM(output!B$11:B$23)</f>
        <v>1.7017828200972446E-2</v>
      </c>
      <c r="N13" s="28">
        <f>output!C19/SUM(output!C$11:C$23)</f>
        <v>8.6956521739130436E-3</v>
      </c>
      <c r="O13" s="28">
        <f>output!D19/SUM(output!D$11:D$23)</f>
        <v>6.369426751592357E-3</v>
      </c>
      <c r="P13" s="28">
        <f>output!E19/SUM(output!E$11:E$23)</f>
        <v>4.3383947939262474E-3</v>
      </c>
      <c r="Q13" s="28">
        <f>output!F19/SUM(output!F$11:F$23)</f>
        <v>2.7586206896551724E-2</v>
      </c>
      <c r="R13" s="28">
        <f>output!G19/SUM(output!G$11:G$23)</f>
        <v>4.145077720207254E-2</v>
      </c>
      <c r="S13" s="28">
        <f>output!H19/SUM(output!H$11:H$23)</f>
        <v>8.4889643463497456E-3</v>
      </c>
      <c r="T13" s="28" t="e">
        <f>output!I19/SUM(output!I$11:I$23)</f>
        <v>#DIV/0!</v>
      </c>
      <c r="U13" s="28">
        <f>output!J19/SUM(output!J$11:J$23)</f>
        <v>1.3715330691862237E-2</v>
      </c>
      <c r="W13" s="27" t="s">
        <v>10</v>
      </c>
      <c r="X13" s="12">
        <f si="0" t="shared"/>
        <v>0</v>
      </c>
      <c r="Y13" s="12">
        <f si="1" t="shared"/>
        <v>0</v>
      </c>
      <c r="Z13" s="12">
        <f si="2" t="shared"/>
        <v>0</v>
      </c>
      <c r="AA13" s="12">
        <f si="3" t="shared"/>
        <v>0</v>
      </c>
      <c r="AB13" s="12">
        <f si="4" t="shared"/>
        <v>0</v>
      </c>
      <c r="AC13" s="12">
        <f si="5" t="shared"/>
        <v>0</v>
      </c>
      <c r="AD13" s="12">
        <f si="6" t="shared"/>
        <v>0</v>
      </c>
      <c r="AE13" s="12" t="e">
        <f si="7" t="shared"/>
        <v>#DIV/0!</v>
      </c>
      <c r="AF13" s="12">
        <f si="8" t="shared"/>
        <v>0</v>
      </c>
    </row>
    <row r="14" spans="1:32" x14ac:dyDescent="0.35">
      <c r="A14" s="27" t="s">
        <v>229</v>
      </c>
      <c r="B14" s="28">
        <f>output_NHTS!B20/SUM(output_NHTS!B$11:B$23)</f>
        <v>4.6191247974068074E-2</v>
      </c>
      <c r="C14" s="28">
        <f>output_NHTS!C20/SUM(output_NHTS!C$11:C$23)</f>
        <v>5.2173913043478258E-2</v>
      </c>
      <c r="D14" s="28">
        <f>output_NHTS!D20/SUM(output_NHTS!D$11:D$23)</f>
        <v>1.5923566878980892E-2</v>
      </c>
      <c r="E14" s="28">
        <f>output_NHTS!E20/SUM(output_NHTS!E$11:E$23)</f>
        <v>4.3383947939262472E-2</v>
      </c>
      <c r="F14" s="28">
        <f>output_NHTS!F20/SUM(output_NHTS!F$11:F$23)</f>
        <v>4.1379310344827586E-2</v>
      </c>
      <c r="G14" s="28">
        <f>output_NHTS!G20/SUM(output_NHTS!G$11:G$23)</f>
        <v>3.1088082901554404E-2</v>
      </c>
      <c r="H14" s="28">
        <f>output_NHTS!H20/SUM(output_NHTS!H$11:H$23)</f>
        <v>2.037351443123939E-2</v>
      </c>
      <c r="I14" s="28" t="e">
        <f>output_NHTS!I20/SUM(output_NHTS!I$11:I$23)</f>
        <v>#DIV/0!</v>
      </c>
      <c r="J14" s="28">
        <f>output_NHTS!J20/SUM(output_NHTS!J$11:J$23)</f>
        <v>3.7793355684242608E-2</v>
      </c>
      <c r="L14" s="27" t="s">
        <v>229</v>
      </c>
      <c r="M14" s="28">
        <f>output!B20/SUM(output!B$11:B$23)</f>
        <v>4.6191247974068074E-2</v>
      </c>
      <c r="N14" s="28">
        <f>output!C20/SUM(output!C$11:C$23)</f>
        <v>5.2173913043478258E-2</v>
      </c>
      <c r="O14" s="28">
        <f>output!D20/SUM(output!D$11:D$23)</f>
        <v>1.5923566878980892E-2</v>
      </c>
      <c r="P14" s="28">
        <f>output!E20/SUM(output!E$11:E$23)</f>
        <v>4.3383947939262472E-2</v>
      </c>
      <c r="Q14" s="28">
        <f>output!F20/SUM(output!F$11:F$23)</f>
        <v>4.1379310344827586E-2</v>
      </c>
      <c r="R14" s="28">
        <f>output!G20/SUM(output!G$11:G$23)</f>
        <v>3.1088082901554404E-2</v>
      </c>
      <c r="S14" s="28">
        <f>output!H20/SUM(output!H$11:H$23)</f>
        <v>2.037351443123939E-2</v>
      </c>
      <c r="T14" s="28" t="e">
        <f>output!I20/SUM(output!I$11:I$23)</f>
        <v>#DIV/0!</v>
      </c>
      <c r="U14" s="28">
        <f>output!J20/SUM(output!J$11:J$23)</f>
        <v>3.7793355684242608E-2</v>
      </c>
      <c r="W14" s="27" t="s">
        <v>229</v>
      </c>
      <c r="X14" s="12">
        <f si="0" t="shared"/>
        <v>0</v>
      </c>
      <c r="Y14" s="12">
        <f si="1" t="shared"/>
        <v>0</v>
      </c>
      <c r="Z14" s="12">
        <f si="2" t="shared"/>
        <v>0</v>
      </c>
      <c r="AA14" s="12">
        <f si="3" t="shared"/>
        <v>0</v>
      </c>
      <c r="AB14" s="12">
        <f si="4" t="shared"/>
        <v>0</v>
      </c>
      <c r="AC14" s="12">
        <f si="5" t="shared"/>
        <v>0</v>
      </c>
      <c r="AD14" s="12">
        <f si="6" t="shared"/>
        <v>0</v>
      </c>
      <c r="AE14" s="12" t="e">
        <f si="7" t="shared"/>
        <v>#DIV/0!</v>
      </c>
      <c r="AF14" s="12">
        <f si="8" t="shared"/>
        <v>0</v>
      </c>
    </row>
    <row r="15" spans="1:32" x14ac:dyDescent="0.35">
      <c r="A15" s="27" t="s">
        <v>232</v>
      </c>
      <c r="B15" s="28">
        <f>output_NHTS!B21/SUM(output_NHTS!B$11:B$23)</f>
        <v>2.674230145867099E-2</v>
      </c>
      <c r="C15" s="28">
        <f>output_NHTS!C21/SUM(output_NHTS!C$11:C$23)</f>
        <v>4.0579710144927533E-2</v>
      </c>
      <c r="D15" s="28">
        <f>output_NHTS!D21/SUM(output_NHTS!D$11:D$23)</f>
        <v>9.5541401273885346E-3</v>
      </c>
      <c r="E15" s="28">
        <f>output_NHTS!E21/SUM(output_NHTS!E$11:E$23)</f>
        <v>3.0368763557483729E-2</v>
      </c>
      <c r="F15" s="28">
        <f>output_NHTS!F21/SUM(output_NHTS!F$11:F$23)</f>
        <v>1.3793103448275862E-2</v>
      </c>
      <c r="G15" s="28">
        <f>output_NHTS!G21/SUM(output_NHTS!G$11:G$23)</f>
        <v>2.5906735751295335E-2</v>
      </c>
      <c r="H15" s="28">
        <f>output_NHTS!H21/SUM(output_NHTS!H$11:H$23)</f>
        <v>1.0186757215619695E-2</v>
      </c>
      <c r="I15" s="28" t="e">
        <f>output_NHTS!I21/SUM(output_NHTS!I$11:I$23)</f>
        <v>#DIV/0!</v>
      </c>
      <c r="J15" s="28">
        <f>output_NHTS!J21/SUM(output_NHTS!J$11:J$23)</f>
        <v>2.3468454739408718E-2</v>
      </c>
      <c r="L15" s="27" t="s">
        <v>232</v>
      </c>
      <c r="M15" s="28">
        <f>output!B21/SUM(output!B$11:B$23)</f>
        <v>2.674230145867099E-2</v>
      </c>
      <c r="N15" s="28">
        <f>output!C21/SUM(output!C$11:C$23)</f>
        <v>4.0579710144927533E-2</v>
      </c>
      <c r="O15" s="28">
        <f>output!D21/SUM(output!D$11:D$23)</f>
        <v>9.5541401273885346E-3</v>
      </c>
      <c r="P15" s="28">
        <f>output!E21/SUM(output!E$11:E$23)</f>
        <v>3.0368763557483729E-2</v>
      </c>
      <c r="Q15" s="28">
        <f>output!F21/SUM(output!F$11:F$23)</f>
        <v>1.3793103448275862E-2</v>
      </c>
      <c r="R15" s="28">
        <f>output!G21/SUM(output!G$11:G$23)</f>
        <v>2.5906735751295335E-2</v>
      </c>
      <c r="S15" s="28">
        <f>output!H21/SUM(output!H$11:H$23)</f>
        <v>1.0186757215619695E-2</v>
      </c>
      <c r="T15" s="28" t="e">
        <f>output!I21/SUM(output!I$11:I$23)</f>
        <v>#DIV/0!</v>
      </c>
      <c r="U15" s="28">
        <f>output!J21/SUM(output!J$11:J$23)</f>
        <v>2.3468454739408718E-2</v>
      </c>
      <c r="W15" s="27" t="s">
        <v>232</v>
      </c>
      <c r="X15" s="12">
        <f si="0" t="shared"/>
        <v>0</v>
      </c>
      <c r="Y15" s="12">
        <f si="1" t="shared"/>
        <v>0</v>
      </c>
      <c r="Z15" s="12">
        <f si="2" t="shared"/>
        <v>0</v>
      </c>
      <c r="AA15" s="12">
        <f si="3" t="shared"/>
        <v>0</v>
      </c>
      <c r="AB15" s="12">
        <f si="4" t="shared"/>
        <v>0</v>
      </c>
      <c r="AC15" s="12">
        <f si="5" t="shared"/>
        <v>0</v>
      </c>
      <c r="AD15" s="12">
        <f si="6" t="shared"/>
        <v>0</v>
      </c>
      <c r="AE15" s="12" t="e">
        <f si="7" t="shared"/>
        <v>#DIV/0!</v>
      </c>
      <c r="AF15" s="12">
        <f si="8" t="shared"/>
        <v>0</v>
      </c>
    </row>
    <row r="16" spans="1:32" x14ac:dyDescent="0.35">
      <c r="A16" s="27" t="s">
        <v>11</v>
      </c>
      <c r="B16" s="28">
        <f>output_NHTS!B22/SUM(output_NHTS!B$11:B$23)</f>
        <v>1.0534846029173419E-2</v>
      </c>
      <c r="C16" s="28">
        <f>output_NHTS!C22/SUM(output_NHTS!C$11:C$23)</f>
        <v>2.8985507246376812E-2</v>
      </c>
      <c r="D16" s="28">
        <f>output_NHTS!D22/SUM(output_NHTS!D$11:D$23)</f>
        <v>6.369426751592357E-3</v>
      </c>
      <c r="E16" s="28">
        <f>output_NHTS!E22/SUM(output_NHTS!E$11:E$23)</f>
        <v>4.1214750542299353E-2</v>
      </c>
      <c r="F16" s="28">
        <f>output_NHTS!F22/SUM(output_NHTS!F$11:F$23)</f>
        <v>1.3793103448275862E-2</v>
      </c>
      <c r="G16" s="28">
        <f>output_NHTS!G22/SUM(output_NHTS!G$11:G$23)</f>
        <v>0</v>
      </c>
      <c r="H16" s="28">
        <f>output_NHTS!H22/SUM(output_NHTS!H$11:H$23)</f>
        <v>0</v>
      </c>
      <c r="I16" s="28" t="e">
        <f>output_NHTS!I22/SUM(output_NHTS!I$11:I$23)</f>
        <v>#DIV/0!</v>
      </c>
      <c r="J16" s="28">
        <f>output_NHTS!J22/SUM(output_NHTS!J$11:J$23)</f>
        <v>1.4020115818348064E-2</v>
      </c>
      <c r="L16" s="27" t="s">
        <v>11</v>
      </c>
      <c r="M16" s="28">
        <f>output!B22/SUM(output!B$11:B$23)</f>
        <v>1.0534846029173419E-2</v>
      </c>
      <c r="N16" s="28">
        <f>output!C22/SUM(output!C$11:C$23)</f>
        <v>2.8985507246376812E-2</v>
      </c>
      <c r="O16" s="28">
        <f>output!D22/SUM(output!D$11:D$23)</f>
        <v>6.369426751592357E-3</v>
      </c>
      <c r="P16" s="28">
        <f>output!E22/SUM(output!E$11:E$23)</f>
        <v>4.1214750542299353E-2</v>
      </c>
      <c r="Q16" s="28">
        <f>output!F22/SUM(output!F$11:F$23)</f>
        <v>1.3793103448275862E-2</v>
      </c>
      <c r="R16" s="28">
        <f>output!G22/SUM(output!G$11:G$23)</f>
        <v>0</v>
      </c>
      <c r="S16" s="28">
        <f>output!H22/SUM(output!H$11:H$23)</f>
        <v>0</v>
      </c>
      <c r="T16" s="28" t="e">
        <f>output!I22/SUM(output!I$11:I$23)</f>
        <v>#DIV/0!</v>
      </c>
      <c r="U16" s="28">
        <f>output!J22/SUM(output!J$11:J$23)</f>
        <v>1.4020115818348064E-2</v>
      </c>
      <c r="W16" s="27" t="s">
        <v>11</v>
      </c>
      <c r="X16" s="12">
        <f si="0" t="shared"/>
        <v>0</v>
      </c>
      <c r="Y16" s="12">
        <f si="1" t="shared"/>
        <v>0</v>
      </c>
      <c r="Z16" s="12">
        <f si="2" t="shared"/>
        <v>0</v>
      </c>
      <c r="AA16" s="12">
        <f si="3" t="shared"/>
        <v>0</v>
      </c>
      <c r="AB16" s="12">
        <f si="4" t="shared"/>
        <v>0</v>
      </c>
      <c r="AC16" s="12">
        <f si="5" t="shared"/>
        <v>0</v>
      </c>
      <c r="AD16" s="12">
        <f si="6" t="shared"/>
        <v>0</v>
      </c>
      <c r="AE16" s="12" t="e">
        <f si="7" t="shared"/>
        <v>#DIV/0!</v>
      </c>
      <c r="AF16" s="12">
        <f si="8" t="shared"/>
        <v>0</v>
      </c>
    </row>
    <row r="17" spans="1:32" x14ac:dyDescent="0.35">
      <c r="A17" s="29" t="s">
        <v>207</v>
      </c>
      <c r="B17" s="30">
        <f>output_NHTS!B23/SUM(output_NHTS!B$11:B$23)</f>
        <v>8.1037277147487841E-4</v>
      </c>
      <c r="C17" s="30">
        <f>output_NHTS!C23/SUM(output_NHTS!C$11:C$23)</f>
        <v>5.7971014492753624E-3</v>
      </c>
      <c r="D17" s="30">
        <f>output_NHTS!D23/SUM(output_NHTS!D$11:D$23)</f>
        <v>0</v>
      </c>
      <c r="E17" s="30">
        <f>output_NHTS!E23/SUM(output_NHTS!E$11:E$23)</f>
        <v>6.5075921908893707E-3</v>
      </c>
      <c r="F17" s="30">
        <f>output_NHTS!F23/SUM(output_NHTS!F$11:F$23)</f>
        <v>0</v>
      </c>
      <c r="G17" s="30">
        <f>output_NHTS!G23/SUM(output_NHTS!G$11:G$23)</f>
        <v>0</v>
      </c>
      <c r="H17" s="30">
        <f>output_NHTS!H23/SUM(output_NHTS!H$11:H$23)</f>
        <v>0</v>
      </c>
      <c r="I17" s="30" t="e">
        <f>output_NHTS!I23/SUM(output_NHTS!I$11:I$23)</f>
        <v>#DIV/0!</v>
      </c>
      <c r="J17" s="30">
        <f>output_NHTS!J23/SUM(output_NHTS!J$11:J$23)</f>
        <v>1.828710758914965E-3</v>
      </c>
      <c r="L17" s="29" t="s">
        <v>207</v>
      </c>
      <c r="M17" s="30">
        <f>output!B23/SUM(output!B$11:B$23)</f>
        <v>8.1037277147487841E-4</v>
      </c>
      <c r="N17" s="30">
        <f>output!C23/SUM(output!C$11:C$23)</f>
        <v>5.7971014492753624E-3</v>
      </c>
      <c r="O17" s="30">
        <f>output!D23/SUM(output!D$11:D$23)</f>
        <v>0</v>
      </c>
      <c r="P17" s="30">
        <f>output!E23/SUM(output!E$11:E$23)</f>
        <v>6.5075921908893707E-3</v>
      </c>
      <c r="Q17" s="30">
        <f>output!F23/SUM(output!F$11:F$23)</f>
        <v>0</v>
      </c>
      <c r="R17" s="30">
        <f>output!G23/SUM(output!G$11:G$23)</f>
        <v>0</v>
      </c>
      <c r="S17" s="30">
        <f>output!H23/SUM(output!H$11:H$23)</f>
        <v>0</v>
      </c>
      <c r="T17" s="30" t="e">
        <f>output!I23/SUM(output!I$11:I$23)</f>
        <v>#DIV/0!</v>
      </c>
      <c r="U17" s="30">
        <f>output!J23/SUM(output!J$11:J$23)</f>
        <v>1.828710758914965E-3</v>
      </c>
      <c r="W17" s="29" t="s">
        <v>207</v>
      </c>
      <c r="X17" s="12">
        <f si="0" t="shared"/>
        <v>0</v>
      </c>
      <c r="Y17" s="12">
        <f si="1" t="shared"/>
        <v>0</v>
      </c>
      <c r="Z17" s="12">
        <f si="2" t="shared"/>
        <v>0</v>
      </c>
      <c r="AA17" s="12">
        <f si="3" t="shared"/>
        <v>0</v>
      </c>
      <c r="AB17" s="12">
        <f si="4" t="shared"/>
        <v>0</v>
      </c>
      <c r="AC17" s="12">
        <f si="5" t="shared"/>
        <v>0</v>
      </c>
      <c r="AD17" s="12">
        <f si="6" t="shared"/>
        <v>0</v>
      </c>
      <c r="AE17" s="12" t="e">
        <f si="7" t="shared"/>
        <v>#DIV/0!</v>
      </c>
      <c r="AF17" s="12">
        <f si="8" t="shared"/>
        <v>0</v>
      </c>
    </row>
    <row ht="13.15" r="18" spans="1:32" thickBot="1" x14ac:dyDescent="0.4">
      <c r="A18" s="15" t="s">
        <v>223</v>
      </c>
      <c r="B18" s="31">
        <f>SUM(B5:B17)</f>
        <v>1</v>
      </c>
      <c r="C18" s="31">
        <f ref="C18:J18" si="9" t="shared">SUM(C5:C17)</f>
        <v>1</v>
      </c>
      <c r="D18" s="31">
        <f si="9" t="shared"/>
        <v>0.99999999999999989</v>
      </c>
      <c r="E18" s="31">
        <f si="9" t="shared"/>
        <v>1.0000000000000002</v>
      </c>
      <c r="F18" s="31">
        <f si="9" t="shared"/>
        <v>1</v>
      </c>
      <c r="G18" s="31">
        <f si="9" t="shared"/>
        <v>1</v>
      </c>
      <c r="H18" s="31">
        <f si="9" t="shared"/>
        <v>0.99999999999999978</v>
      </c>
      <c r="I18" s="31" t="e">
        <f si="9" t="shared"/>
        <v>#DIV/0!</v>
      </c>
      <c r="J18" s="31">
        <f si="9" t="shared"/>
        <v>1</v>
      </c>
      <c r="L18" s="15" t="s">
        <v>223</v>
      </c>
      <c r="M18" s="31">
        <f>SUM(M5:M17)</f>
        <v>1</v>
      </c>
      <c r="N18" s="31">
        <f ref="N18:U18" si="10" t="shared">SUM(N5:N17)</f>
        <v>1</v>
      </c>
      <c r="O18" s="31">
        <f si="10" t="shared"/>
        <v>0.99999999999999989</v>
      </c>
      <c r="P18" s="31">
        <f si="10" t="shared"/>
        <v>1.0000000000000002</v>
      </c>
      <c r="Q18" s="31">
        <f si="10" t="shared"/>
        <v>1</v>
      </c>
      <c r="R18" s="31">
        <f si="10" t="shared"/>
        <v>1</v>
      </c>
      <c r="S18" s="31">
        <f si="10" t="shared"/>
        <v>0.99999999999999978</v>
      </c>
      <c r="T18" s="31" t="e">
        <f si="10" t="shared"/>
        <v>#DIV/0!</v>
      </c>
      <c r="U18" s="31">
        <f si="10" t="shared"/>
        <v>1</v>
      </c>
      <c r="W18" s="15" t="s">
        <v>223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 t="e">
        <f si="7" t="shared"/>
        <v>#DIV/0!</v>
      </c>
      <c r="AF18" s="14">
        <f si="8" t="shared"/>
        <v>0</v>
      </c>
    </row>
    <row r="22" spans="1:32" x14ac:dyDescent="0.35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35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35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35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35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35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35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35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35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35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35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35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35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35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35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35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35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35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35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35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35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35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35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35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35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35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35">
      <c r="L48"/>
      <c r="M48"/>
      <c r="N48"/>
      <c r="O48"/>
      <c r="P48"/>
      <c r="Q48"/>
      <c r="R48"/>
      <c r="S48"/>
      <c r="T48"/>
      <c r="U48"/>
      <c r="V48"/>
    </row>
    <row r="49" spans="12:22" x14ac:dyDescent="0.35">
      <c r="L49"/>
      <c r="M49"/>
      <c r="N49"/>
      <c r="O49"/>
      <c r="P49"/>
      <c r="Q49"/>
      <c r="R49"/>
      <c r="S49"/>
      <c r="T49"/>
      <c r="U49"/>
      <c r="V49"/>
    </row>
    <row r="50" spans="12:22" x14ac:dyDescent="0.35">
      <c r="L50"/>
      <c r="M50"/>
      <c r="N50"/>
      <c r="O50"/>
      <c r="P50"/>
      <c r="Q50"/>
      <c r="R50"/>
      <c r="S50"/>
      <c r="T50"/>
      <c r="U50"/>
      <c r="V50"/>
    </row>
    <row r="51" spans="12:22" x14ac:dyDescent="0.35">
      <c r="L51"/>
      <c r="M51"/>
      <c r="N51"/>
      <c r="O51"/>
      <c r="P51"/>
      <c r="Q51"/>
      <c r="R51"/>
      <c r="S51"/>
      <c r="T51"/>
      <c r="U51"/>
      <c r="V51"/>
    </row>
    <row r="52" spans="12:22" x14ac:dyDescent="0.35">
      <c r="L52"/>
      <c r="M52"/>
      <c r="N52"/>
      <c r="O52"/>
      <c r="P52"/>
      <c r="Q52"/>
      <c r="R52"/>
      <c r="S52"/>
      <c r="T52"/>
      <c r="U52"/>
      <c r="V52"/>
    </row>
    <row r="53" spans="12:22" x14ac:dyDescent="0.35">
      <c r="L53"/>
      <c r="M53"/>
      <c r="N53"/>
      <c r="O53"/>
      <c r="P53"/>
      <c r="Q53"/>
      <c r="R53"/>
      <c r="S53"/>
      <c r="T53"/>
      <c r="U53"/>
      <c r="V53"/>
    </row>
  </sheetData>
  <phoneticPr fontId="4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81"/>
  <sheetViews>
    <sheetView topLeftCell="A36" workbookViewId="0"/>
  </sheetViews>
  <sheetFormatPr defaultColWidth="10.76171875" defaultRowHeight="12.75" x14ac:dyDescent="0.35"/>
  <cols>
    <col min="1" max="1" customWidth="true" style="3" width="15.76171875" collapsed="true"/>
    <col min="2" max="11" style="3" width="10.76171875" collapsed="true"/>
    <col min="12" max="12" customWidth="true" style="3" width="15.76171875" collapsed="true"/>
    <col min="13" max="13" bestFit="true" customWidth="true" style="39" width="11.234375" collapsed="true"/>
    <col min="14" max="21" style="39" width="10.76171875" collapsed="true"/>
    <col min="22" max="22" style="3" width="10.76171875" collapsed="true"/>
    <col min="23" max="23" customWidth="true" style="3" width="15.76171875" collapsed="true"/>
    <col min="24" max="16384" style="3" width="10.76171875" collapsed="true"/>
  </cols>
  <sheetData>
    <row ht="13.15" r="1" spans="1:32" x14ac:dyDescent="0.4">
      <c r="A1" s="2" t="s">
        <v>175</v>
      </c>
      <c r="L1" s="2" t="s">
        <v>175</v>
      </c>
      <c r="W1" s="2" t="s">
        <v>175</v>
      </c>
    </row>
    <row ht="13.15" r="2" spans="1:32" x14ac:dyDescent="0.4">
      <c r="A2" s="2" t="s">
        <v>192</v>
      </c>
      <c r="L2" s="2" t="s">
        <v>121</v>
      </c>
      <c r="W2" s="2" t="s">
        <v>165</v>
      </c>
    </row>
    <row ht="13.5" r="3" spans="1:32" thickBot="1" x14ac:dyDescent="0.4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ht="13.15" r="4" spans="1:32" x14ac:dyDescent="0.4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35">
      <c r="A5" s="3" t="s">
        <v>228</v>
      </c>
      <c r="B5" s="12">
        <f>output_NHTS!B29/SUM(output_NHTS!B$29:B$32)</f>
        <v>0.16207455429497569</v>
      </c>
      <c r="C5" s="12">
        <f>output_NHTS!C29/SUM(output_NHTS!C$29:C$32)</f>
        <v>0.28115942028985508</v>
      </c>
      <c r="D5" s="12">
        <f>output_NHTS!D29/SUM(output_NHTS!D$29:D$32)</f>
        <v>1</v>
      </c>
      <c r="E5" s="12">
        <f>output_NHTS!E29/SUM(output_NHTS!E$29:E$32)</f>
        <v>1</v>
      </c>
      <c r="F5" s="12">
        <f>output_NHTS!F29/SUM(output_NHTS!F$29:F$32)</f>
        <v>0.80689655172413788</v>
      </c>
      <c r="G5" s="12">
        <f>output_NHTS!G29/SUM(output_NHTS!G$29:G$32)</f>
        <v>0.92746113989637302</v>
      </c>
      <c r="H5" s="12">
        <f>output_NHTS!H29/SUM(output_NHTS!H$29:H$32)</f>
        <v>1</v>
      </c>
      <c r="I5" s="12" t="e">
        <f>output_NHTS!I29/SUM(output_NHTS!I$29:I$32)</f>
        <v>#DIV/0!</v>
      </c>
      <c r="J5" s="12">
        <f>output_NHTS!J29/SUM(output_NHTS!J$29:J$32)</f>
        <v>0.59646449253276446</v>
      </c>
      <c r="L5" s="3" t="s">
        <v>228</v>
      </c>
      <c r="M5" s="42">
        <f>output!B29/SUM(output!B$29:B$32)</f>
        <v>0.16207455429497569</v>
      </c>
      <c r="N5" s="42">
        <f>output!C29/SUM(output!C$29:C$32)</f>
        <v>0.28115942028985508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0.80689655172413788</v>
      </c>
      <c r="R5" s="42">
        <f>output!G29/SUM(output!G$29:G$32)</f>
        <v>0.92746113989637302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0.59646449253276446</v>
      </c>
      <c r="W5" s="3" t="s">
        <v>228</v>
      </c>
      <c r="X5" s="12">
        <f ref="X5:AF5" si="0" t="shared">M5-B5</f>
        <v>0</v>
      </c>
      <c r="Y5" s="12">
        <f si="0" t="shared"/>
        <v>0</v>
      </c>
      <c r="Z5" s="12">
        <f si="0" t="shared"/>
        <v>0</v>
      </c>
      <c r="AA5" s="12">
        <f si="0" t="shared"/>
        <v>0</v>
      </c>
      <c r="AB5" s="12">
        <f si="0" t="shared"/>
        <v>0</v>
      </c>
      <c r="AC5" s="12">
        <f si="0" t="shared"/>
        <v>0</v>
      </c>
      <c r="AD5" s="12">
        <f si="0" t="shared"/>
        <v>0</v>
      </c>
      <c r="AE5" s="12" t="e">
        <f si="0" t="shared"/>
        <v>#DIV/0!</v>
      </c>
      <c r="AF5" s="12">
        <f si="0" t="shared"/>
        <v>0</v>
      </c>
    </row>
    <row r="6" spans="1:32" x14ac:dyDescent="0.35">
      <c r="A6" s="3" t="s">
        <v>237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1.3793103448275862E-2</v>
      </c>
      <c r="G6" s="12">
        <f>output_NHTS!G30/SUM(output_NHTS!G$29:G$32)</f>
        <v>0</v>
      </c>
      <c r="H6" s="12">
        <f>output_NHTS!H30/SUM(output_NHTS!H$29:H$32)</f>
        <v>0</v>
      </c>
      <c r="I6" s="12" t="e">
        <f>output_NHTS!I30/SUM(output_NHTS!I$29:I$32)</f>
        <v>#DIV/0!</v>
      </c>
      <c r="J6" s="12">
        <f>output_NHTS!J30/SUM(output_NHTS!J$29:J$32)</f>
        <v>6.0957025297165494E-4</v>
      </c>
      <c r="L6" s="3" t="s">
        <v>237</v>
      </c>
      <c r="M6" s="42">
        <f>output!B30/SUM(output!B$29:B$32)</f>
        <v>0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1.3793103448275862E-2</v>
      </c>
      <c r="R6" s="42">
        <f>output!G30/SUM(output!G$29:G$32)</f>
        <v>0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6.0957025297165494E-4</v>
      </c>
      <c r="W6" s="3" t="s">
        <v>237</v>
      </c>
      <c r="X6" s="12"/>
      <c r="Y6" s="12"/>
      <c r="Z6" s="12"/>
      <c r="AA6" s="12"/>
      <c r="AB6" s="12">
        <f ref="AB6:AD8" si="1" t="shared">Q6-F6</f>
        <v>0</v>
      </c>
      <c r="AC6" s="12">
        <f si="1" t="shared"/>
        <v>0</v>
      </c>
      <c r="AD6" s="12">
        <f si="1" t="shared"/>
        <v>0</v>
      </c>
      <c r="AE6" s="12" t="e">
        <f ref="AE6:AF9" si="2" t="shared">T6-I6</f>
        <v>#DIV/0!</v>
      </c>
      <c r="AF6" s="12">
        <f si="2" t="shared"/>
        <v>0</v>
      </c>
    </row>
    <row r="7" spans="1:32" x14ac:dyDescent="0.35">
      <c r="A7" s="3" t="s">
        <v>238</v>
      </c>
      <c r="B7" s="12">
        <f>output_NHTS!B31/SUM(output_NHTS!B$29:B$32)</f>
        <v>0.73662884927066452</v>
      </c>
      <c r="C7" s="12">
        <f>output_NHTS!C31/SUM(output_NHTS!C$29:C$32)</f>
        <v>0.6463768115942029</v>
      </c>
      <c r="D7" s="12">
        <f>output_NHTS!D31/SUM(output_NHTS!D$29:D$32)</f>
        <v>0</v>
      </c>
      <c r="E7" s="12">
        <f>output_NHTS!E31/SUM(output_NHTS!E$29:E$32)</f>
        <v>0</v>
      </c>
      <c r="F7" s="12">
        <f>output_NHTS!F31/SUM(output_NHTS!F$29:F$32)</f>
        <v>0.15862068965517243</v>
      </c>
      <c r="G7" s="12">
        <f>output_NHTS!G31/SUM(output_NHTS!G$29:G$32)</f>
        <v>6.7357512953367879E-2</v>
      </c>
      <c r="H7" s="12">
        <f>output_NHTS!H31/SUM(output_NHTS!H$29:H$32)</f>
        <v>0</v>
      </c>
      <c r="I7" s="12" t="e">
        <f>output_NHTS!I31/SUM(output_NHTS!I$29:I$32)</f>
        <v>#DIV/0!</v>
      </c>
      <c r="J7" s="12">
        <f>output_NHTS!J31/SUM(output_NHTS!J$29:J$32)</f>
        <v>0.35598902773544649</v>
      </c>
      <c r="L7" s="3" t="s">
        <v>238</v>
      </c>
      <c r="M7" s="42">
        <f>output!B31/SUM(output!B$29:B$32)</f>
        <v>0.73662884927066452</v>
      </c>
      <c r="N7" s="42">
        <f>output!C31/SUM(output!C$29:C$32)</f>
        <v>0.6463768115942029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0.15862068965517243</v>
      </c>
      <c r="R7" s="42">
        <f>output!G31/SUM(output!G$29:G$32)</f>
        <v>6.7357512953367879E-2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0.35598902773544649</v>
      </c>
      <c r="W7" s="3" t="s">
        <v>238</v>
      </c>
      <c r="X7" s="12">
        <f ref="X7:AA9" si="3" t="shared">M7-B7</f>
        <v>0</v>
      </c>
      <c r="Y7" s="12">
        <f si="3" t="shared"/>
        <v>0</v>
      </c>
      <c r="Z7" s="12">
        <f si="3" t="shared"/>
        <v>0</v>
      </c>
      <c r="AA7" s="12">
        <f si="3" t="shared"/>
        <v>0</v>
      </c>
      <c r="AB7" s="12">
        <f si="1" t="shared"/>
        <v>0</v>
      </c>
      <c r="AC7" s="12">
        <f si="1" t="shared"/>
        <v>0</v>
      </c>
      <c r="AD7" s="12">
        <f si="1" t="shared"/>
        <v>0</v>
      </c>
      <c r="AE7" s="12" t="e">
        <f si="2" t="shared"/>
        <v>#DIV/0!</v>
      </c>
      <c r="AF7" s="12">
        <f si="2" t="shared"/>
        <v>0</v>
      </c>
    </row>
    <row r="8" spans="1:32" x14ac:dyDescent="0.35">
      <c r="A8" s="8" t="s">
        <v>173</v>
      </c>
      <c r="B8" s="13">
        <f>output_NHTS!B32/SUM(output_NHTS!B$29:B$32)</f>
        <v>0.1012965964343598</v>
      </c>
      <c r="C8" s="13">
        <f>output_NHTS!C32/SUM(output_NHTS!C$29:C$32)</f>
        <v>7.2463768115942032E-2</v>
      </c>
      <c r="D8" s="13">
        <f>output_NHTS!D32/SUM(output_NHTS!D$29:D$32)</f>
        <v>0</v>
      </c>
      <c r="E8" s="13">
        <f>output_NHTS!E32/SUM(output_NHTS!E$29:E$32)</f>
        <v>0</v>
      </c>
      <c r="F8" s="13">
        <f>output_NHTS!F32/SUM(output_NHTS!F$29:F$32)</f>
        <v>2.0689655172413793E-2</v>
      </c>
      <c r="G8" s="13">
        <f>output_NHTS!G32/SUM(output_NHTS!G$29:G$32)</f>
        <v>5.1813471502590676E-3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4.6936909478817436E-2</v>
      </c>
      <c r="L8" s="8" t="s">
        <v>173</v>
      </c>
      <c r="M8" s="43">
        <f>output!B32/SUM(output!B$29:B$32)</f>
        <v>0.1012965964343598</v>
      </c>
      <c r="N8" s="43">
        <f>output!C32/SUM(output!C$29:C$32)</f>
        <v>7.2463768115942032E-2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2.0689655172413793E-2</v>
      </c>
      <c r="R8" s="43">
        <f>output!G32/SUM(output!G$29:G$32)</f>
        <v>5.1813471502590676E-3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4.6936909478817436E-2</v>
      </c>
      <c r="W8" s="8" t="s">
        <v>173</v>
      </c>
      <c r="X8" s="12">
        <f si="3" t="shared"/>
        <v>0</v>
      </c>
      <c r="Y8" s="12">
        <f si="3" t="shared"/>
        <v>0</v>
      </c>
      <c r="Z8" s="12">
        <f si="3" t="shared"/>
        <v>0</v>
      </c>
      <c r="AA8" s="12">
        <f si="3" t="shared"/>
        <v>0</v>
      </c>
      <c r="AB8" s="12">
        <f>Q8-F8</f>
        <v>0</v>
      </c>
      <c r="AC8" s="12">
        <f si="1" t="shared"/>
        <v>0</v>
      </c>
      <c r="AD8" s="12">
        <f si="1" t="shared"/>
        <v>0</v>
      </c>
      <c r="AE8" s="12" t="e">
        <f si="2" t="shared"/>
        <v>#DIV/0!</v>
      </c>
      <c r="AF8" s="12">
        <f si="2" t="shared"/>
        <v>0</v>
      </c>
    </row>
    <row ht="13.15" r="9" spans="1:32" thickBot="1" x14ac:dyDescent="0.4">
      <c r="A9" s="15" t="s">
        <v>223</v>
      </c>
      <c r="B9" s="44">
        <f>SUM(B5:B8)</f>
        <v>1</v>
      </c>
      <c r="C9" s="44">
        <f ref="C9:J9" si="4" t="shared">SUM(C5:C8)</f>
        <v>1</v>
      </c>
      <c r="D9" s="44">
        <f si="4" t="shared"/>
        <v>1</v>
      </c>
      <c r="E9" s="44">
        <f si="4" t="shared"/>
        <v>1</v>
      </c>
      <c r="F9" s="44">
        <f si="4" t="shared"/>
        <v>1</v>
      </c>
      <c r="G9" s="44">
        <f si="4" t="shared"/>
        <v>1</v>
      </c>
      <c r="H9" s="44">
        <f si="4" t="shared"/>
        <v>1</v>
      </c>
      <c r="I9" s="44" t="e">
        <f si="4" t="shared"/>
        <v>#DIV/0!</v>
      </c>
      <c r="J9" s="44">
        <f si="4" t="shared"/>
        <v>1</v>
      </c>
      <c r="L9" s="15" t="s">
        <v>223</v>
      </c>
      <c r="M9" s="44">
        <f>SUM(M5:M8)</f>
        <v>1</v>
      </c>
      <c r="N9" s="44">
        <f ref="N9:U9" si="5" t="shared">SUM(N5:N8)</f>
        <v>1</v>
      </c>
      <c r="O9" s="44">
        <f si="5" t="shared"/>
        <v>1</v>
      </c>
      <c r="P9" s="44">
        <f si="5" t="shared"/>
        <v>1</v>
      </c>
      <c r="Q9" s="44">
        <f si="5" t="shared"/>
        <v>1</v>
      </c>
      <c r="R9" s="44">
        <f si="5" t="shared"/>
        <v>1</v>
      </c>
      <c r="S9" s="44">
        <f si="5" t="shared"/>
        <v>1</v>
      </c>
      <c r="T9" s="44" t="e">
        <f si="5" t="shared"/>
        <v>#DIV/0!</v>
      </c>
      <c r="U9" s="44">
        <f si="5" t="shared"/>
        <v>1</v>
      </c>
      <c r="W9" s="15" t="s">
        <v>223</v>
      </c>
      <c r="X9" s="14">
        <f si="3" t="shared"/>
        <v>0</v>
      </c>
      <c r="Y9" s="14">
        <f si="3" t="shared"/>
        <v>0</v>
      </c>
      <c r="Z9" s="14">
        <f si="3" t="shared"/>
        <v>0</v>
      </c>
      <c r="AA9" s="14">
        <f si="3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si="2" t="shared"/>
        <v>#DIV/0!</v>
      </c>
      <c r="AF9" s="14">
        <f si="2" t="shared"/>
        <v>0</v>
      </c>
    </row>
    <row r="10" spans="1:32" x14ac:dyDescent="0.35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ht="13.15" r="13" spans="1:32" x14ac:dyDescent="0.4">
      <c r="A13" s="2" t="s">
        <v>175</v>
      </c>
      <c r="L13" s="2" t="s">
        <v>175</v>
      </c>
      <c r="W13" s="2" t="s">
        <v>175</v>
      </c>
    </row>
    <row ht="13.15" r="14" spans="1:32" x14ac:dyDescent="0.4">
      <c r="A14" s="2" t="s">
        <v>112</v>
      </c>
      <c r="L14" s="2" t="s">
        <v>167</v>
      </c>
      <c r="W14" s="2" t="s">
        <v>85</v>
      </c>
    </row>
    <row ht="13.15" r="15" spans="1:32" thickBot="1" x14ac:dyDescent="0.4"/>
    <row ht="13.15" r="16" spans="1:32" x14ac:dyDescent="0.4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245</v>
      </c>
      <c r="Q16" s="41" t="s">
        <v>246</v>
      </c>
      <c r="R16" s="41" t="s">
        <v>247</v>
      </c>
      <c r="S16" s="41" t="s">
        <v>248</v>
      </c>
      <c r="T16" s="41" t="s">
        <v>170</v>
      </c>
      <c r="U16" s="41" t="s">
        <v>223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35">
      <c r="A17" s="3" t="s">
        <v>228</v>
      </c>
      <c r="B17" s="12">
        <f>output_NHTS!B36/SUM(output_NHTS!B$36:B$39)</f>
        <v>1</v>
      </c>
      <c r="C17" s="12">
        <f>output_NHTS!C36/SUM(output_NHTS!C$36:C$39)</f>
        <v>1</v>
      </c>
      <c r="D17" s="12">
        <f>output_NHTS!D36/SUM(output_NHTS!D$36:D$39)</f>
        <v>1</v>
      </c>
      <c r="E17" s="12">
        <f>output_NHTS!E36/SUM(output_NHTS!E$36:E$39)</f>
        <v>1</v>
      </c>
      <c r="F17" s="12">
        <f>output_NHTS!F36/SUM(output_NHTS!F$36:F$39)</f>
        <v>0.33103448275862069</v>
      </c>
      <c r="G17" s="12">
        <f>output_NHTS!G36/SUM(output_NHTS!G$36:G$39)</f>
        <v>0.10362694300518134</v>
      </c>
      <c r="H17" s="12">
        <f>output_NHTS!H36/SUM(output_NHTS!H$36:H$39)</f>
        <v>0.14770797962648557</v>
      </c>
      <c r="I17" s="12" t="e">
        <f>output_NHTS!I36/SUM(output_NHTS!I$36:I$39)</f>
        <v>#DIV/0!</v>
      </c>
      <c r="J17" s="12">
        <f>output_NHTS!J36/SUM(output_NHTS!J$36:J$39)</f>
        <v>0.76470588235294112</v>
      </c>
      <c r="L17" s="3" t="s">
        <v>228</v>
      </c>
      <c r="M17" s="42">
        <f>output!B36/SUM(output!B$36:B$39)</f>
        <v>1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0.33103448275862069</v>
      </c>
      <c r="R17" s="42">
        <f>output!G36/SUM(output!G$36:G$39)</f>
        <v>0.10362694300518134</v>
      </c>
      <c r="S17" s="42">
        <f>output!H36/SUM(output!H$36:H$39)</f>
        <v>0.14770797962648557</v>
      </c>
      <c r="T17" s="42" t="e">
        <f>output!I36/SUM(output!I$36:I$39)</f>
        <v>#DIV/0!</v>
      </c>
      <c r="U17" s="42">
        <f>output!J36/SUM(output!J$36:J$39)</f>
        <v>0.76470588235294112</v>
      </c>
      <c r="W17" s="3" t="s">
        <v>228</v>
      </c>
      <c r="X17" s="12">
        <f ref="X17:AF18" si="6" t="shared">M17-B17</f>
        <v>0</v>
      </c>
      <c r="Y17" s="12">
        <f si="6" t="shared"/>
        <v>0</v>
      </c>
      <c r="Z17" s="12">
        <f si="6" t="shared"/>
        <v>0</v>
      </c>
      <c r="AA17" s="12">
        <f si="6" t="shared"/>
        <v>0</v>
      </c>
      <c r="AB17" s="12">
        <f si="6" t="shared"/>
        <v>0</v>
      </c>
      <c r="AC17" s="12">
        <f si="6" t="shared"/>
        <v>0</v>
      </c>
      <c r="AD17" s="12">
        <f si="6" t="shared"/>
        <v>0</v>
      </c>
      <c r="AE17" s="12" t="e">
        <f si="6" t="shared"/>
        <v>#DIV/0!</v>
      </c>
      <c r="AF17" s="12">
        <f si="6" t="shared"/>
        <v>0</v>
      </c>
    </row>
    <row r="18" spans="1:32" x14ac:dyDescent="0.35">
      <c r="A18" s="3" t="s">
        <v>237</v>
      </c>
      <c r="B18" s="12">
        <f>output_NHTS!B37/SUM(output_NHTS!B$36:B$39)</f>
        <v>0</v>
      </c>
      <c r="C18" s="12">
        <f>output_NHTS!C37/SUM(output_NHTS!C$36:C$39)</f>
        <v>0</v>
      </c>
      <c r="D18" s="12">
        <f>output_NHTS!D37/SUM(output_NHTS!D$36:D$39)</f>
        <v>0</v>
      </c>
      <c r="E18" s="12">
        <f>output_NHTS!E37/SUM(output_NHTS!E$36:E$39)</f>
        <v>0</v>
      </c>
      <c r="F18" s="12">
        <f>output_NHTS!F37/SUM(output_NHTS!F$36:F$39)</f>
        <v>2.7586206896551724E-2</v>
      </c>
      <c r="G18" s="12">
        <f>output_NHTS!G37/SUM(output_NHTS!G$36:G$39)</f>
        <v>2.5906735751295335E-2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2.7430661383724473E-3</v>
      </c>
      <c r="L18" s="3" t="s">
        <v>237</v>
      </c>
      <c r="M18" s="42">
        <f>output!B37/SUM(output!B$36:B$39)</f>
        <v>0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2.7586206896551724E-2</v>
      </c>
      <c r="R18" s="42">
        <f>output!G37/SUM(output!G$36:G$39)</f>
        <v>2.5906735751295335E-2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2.7430661383724473E-3</v>
      </c>
      <c r="W18" s="3" t="s">
        <v>237</v>
      </c>
      <c r="X18" s="12">
        <f ref="X18:Y21" si="7" t="shared">M18-B18</f>
        <v>0</v>
      </c>
      <c r="Y18" s="12">
        <f si="7" t="shared"/>
        <v>0</v>
      </c>
      <c r="Z18" s="12"/>
      <c r="AA18" s="12">
        <f>P18-E18</f>
        <v>0</v>
      </c>
      <c r="AB18" s="12">
        <f si="6" t="shared"/>
        <v>0</v>
      </c>
      <c r="AC18" s="12">
        <f si="6" t="shared"/>
        <v>0</v>
      </c>
      <c r="AD18" s="12">
        <f si="6" t="shared"/>
        <v>0</v>
      </c>
      <c r="AE18" s="12" t="e">
        <f si="6" t="shared"/>
        <v>#DIV/0!</v>
      </c>
      <c r="AF18" s="12">
        <f>U18-J18</f>
        <v>0</v>
      </c>
    </row>
    <row r="19" spans="1:32" x14ac:dyDescent="0.35">
      <c r="A19" s="3" t="s">
        <v>238</v>
      </c>
      <c r="B19" s="12">
        <f>output_NHTS!B38/SUM(output_NHTS!B$36:B$39)</f>
        <v>0</v>
      </c>
      <c r="C19" s="12">
        <f>output_NHTS!C38/SUM(output_NHTS!C$36:C$39)</f>
        <v>0</v>
      </c>
      <c r="D19" s="12">
        <f>output_NHTS!D38/SUM(output_NHTS!D$36:D$39)</f>
        <v>0</v>
      </c>
      <c r="E19" s="12">
        <f>output_NHTS!E38/SUM(output_NHTS!E$36:E$39)</f>
        <v>0</v>
      </c>
      <c r="F19" s="12">
        <f>output_NHTS!F38/SUM(output_NHTS!F$36:F$39)</f>
        <v>0.60689655172413792</v>
      </c>
      <c r="G19" s="12">
        <f>output_NHTS!G38/SUM(output_NHTS!G$36:G$39)</f>
        <v>0.80829015544041449</v>
      </c>
      <c r="H19" s="12">
        <f>output_NHTS!H38/SUM(output_NHTS!H$36:H$39)</f>
        <v>0.78777589134125636</v>
      </c>
      <c r="I19" s="12" t="e">
        <f>output_NHTS!I38/SUM(output_NHTS!I$36:I$39)</f>
        <v>#DIV/0!</v>
      </c>
      <c r="J19" s="12">
        <f>output_NHTS!J38/SUM(output_NHTS!J$36:J$39)</f>
        <v>0.21578786955196586</v>
      </c>
      <c r="L19" s="3" t="s">
        <v>238</v>
      </c>
      <c r="M19" s="42">
        <f>output!B38/SUM(output!B$36:B$39)</f>
        <v>0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0.60689655172413792</v>
      </c>
      <c r="R19" s="42">
        <f>output!G38/SUM(output!G$36:G$39)</f>
        <v>0.80829015544041449</v>
      </c>
      <c r="S19" s="42">
        <f>output!H38/SUM(output!H$36:H$39)</f>
        <v>0.78777589134125636</v>
      </c>
      <c r="T19" s="42" t="e">
        <f>output!I38/SUM(output!I$36:I$39)</f>
        <v>#DIV/0!</v>
      </c>
      <c r="U19" s="42">
        <f>output!J38/SUM(output!J$36:J$39)</f>
        <v>0.21578786955196586</v>
      </c>
      <c r="W19" s="3" t="s">
        <v>238</v>
      </c>
      <c r="X19" s="12">
        <f si="7" t="shared"/>
        <v>0</v>
      </c>
      <c r="Y19" s="12">
        <f si="7" t="shared"/>
        <v>0</v>
      </c>
      <c r="Z19" s="12">
        <f>O19-D19</f>
        <v>0</v>
      </c>
      <c r="AA19" s="12">
        <f>P19-E19</f>
        <v>0</v>
      </c>
      <c r="AB19" s="12">
        <f ref="AB19:AE21" si="8" t="shared">Q19-F19</f>
        <v>0</v>
      </c>
      <c r="AC19" s="12">
        <f si="8" t="shared"/>
        <v>0</v>
      </c>
      <c r="AD19" s="12">
        <f si="8" t="shared"/>
        <v>0</v>
      </c>
      <c r="AE19" s="12" t="e">
        <f si="8" t="shared"/>
        <v>#DIV/0!</v>
      </c>
      <c r="AF19" s="12">
        <f>U19-J19</f>
        <v>0</v>
      </c>
    </row>
    <row r="20" spans="1:32" x14ac:dyDescent="0.35">
      <c r="A20" s="8" t="s">
        <v>173</v>
      </c>
      <c r="B20" s="13">
        <f>output_NHTS!B39/SUM(output_NHTS!B$36:B$39)</f>
        <v>0</v>
      </c>
      <c r="C20" s="13">
        <f>output_NHTS!C39/SUM(output_NHTS!C$36:C$39)</f>
        <v>0</v>
      </c>
      <c r="D20" s="13">
        <f>output_NHTS!D39/SUM(output_NHTS!D$36:D$39)</f>
        <v>0</v>
      </c>
      <c r="E20" s="13">
        <f>output_NHTS!E39/SUM(output_NHTS!E$36:E$39)</f>
        <v>0</v>
      </c>
      <c r="F20" s="13">
        <f>output_NHTS!F39/SUM(output_NHTS!F$36:F$39)</f>
        <v>3.4482758620689655E-2</v>
      </c>
      <c r="G20" s="13">
        <f>output_NHTS!G39/SUM(output_NHTS!G$36:G$39)</f>
        <v>6.2176165803108807E-2</v>
      </c>
      <c r="H20" s="13">
        <f>output_NHTS!H39/SUM(output_NHTS!H$36:H$39)</f>
        <v>6.4516129032258063E-2</v>
      </c>
      <c r="I20" s="13" t="e">
        <f>output_NHTS!I39/SUM(output_NHTS!I$36:I$39)</f>
        <v>#DIV/0!</v>
      </c>
      <c r="J20" s="13">
        <f>output_NHTS!J39/SUM(output_NHTS!J$36:J$39)</f>
        <v>1.676318195672051E-2</v>
      </c>
      <c r="L20" s="8" t="s">
        <v>173</v>
      </c>
      <c r="M20" s="43">
        <f>output!B39/SUM(output!B$36:B$39)</f>
        <v>0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3.4482758620689655E-2</v>
      </c>
      <c r="R20" s="43">
        <f>output!G39/SUM(output!G$36:G$39)</f>
        <v>6.2176165803108807E-2</v>
      </c>
      <c r="S20" s="43">
        <f>output!H39/SUM(output!H$36:H$39)</f>
        <v>6.4516129032258063E-2</v>
      </c>
      <c r="T20" s="43" t="e">
        <f>output!I39/SUM(output!I$36:I$39)</f>
        <v>#DIV/0!</v>
      </c>
      <c r="U20" s="43">
        <f>output!J39/SUM(output!J$36:J$39)</f>
        <v>1.676318195672051E-2</v>
      </c>
      <c r="W20" s="8" t="s">
        <v>173</v>
      </c>
      <c r="X20" s="12">
        <f si="7" t="shared"/>
        <v>0</v>
      </c>
      <c r="Y20" s="12">
        <f si="7" t="shared"/>
        <v>0</v>
      </c>
      <c r="Z20" s="12"/>
      <c r="AA20" s="12">
        <f>P20-E20</f>
        <v>0</v>
      </c>
      <c r="AB20" s="12">
        <f si="8" t="shared"/>
        <v>0</v>
      </c>
      <c r="AC20" s="12">
        <f si="8" t="shared"/>
        <v>0</v>
      </c>
      <c r="AD20" s="12">
        <f si="8" t="shared"/>
        <v>0</v>
      </c>
      <c r="AE20" s="12" t="e">
        <f si="8" t="shared"/>
        <v>#DIV/0!</v>
      </c>
      <c r="AF20" s="12">
        <f>U20-J20</f>
        <v>0</v>
      </c>
    </row>
    <row ht="13.15" r="21" spans="1:32" thickBot="1" x14ac:dyDescent="0.4">
      <c r="A21" s="15" t="s">
        <v>223</v>
      </c>
      <c r="B21" s="44">
        <f>SUM(B17:B20)</f>
        <v>1</v>
      </c>
      <c r="C21" s="44">
        <f ref="C21:J21" si="9" t="shared">SUM(C17:C20)</f>
        <v>1</v>
      </c>
      <c r="D21" s="44">
        <f si="9" t="shared"/>
        <v>1</v>
      </c>
      <c r="E21" s="44">
        <f si="9" t="shared"/>
        <v>1</v>
      </c>
      <c r="F21" s="44">
        <f si="9" t="shared"/>
        <v>0.99999999999999989</v>
      </c>
      <c r="G21" s="44">
        <f si="9" t="shared"/>
        <v>1</v>
      </c>
      <c r="H21" s="44">
        <f si="9" t="shared"/>
        <v>1</v>
      </c>
      <c r="I21" s="44" t="e">
        <f si="9" t="shared"/>
        <v>#DIV/0!</v>
      </c>
      <c r="J21" s="44">
        <f si="9" t="shared"/>
        <v>1</v>
      </c>
      <c r="L21" s="15" t="s">
        <v>223</v>
      </c>
      <c r="M21" s="44">
        <f>SUM(M17:M20)</f>
        <v>1</v>
      </c>
      <c r="N21" s="44">
        <f ref="N21:U21" si="10" t="shared">SUM(N17:N20)</f>
        <v>1</v>
      </c>
      <c r="O21" s="44">
        <f si="10" t="shared"/>
        <v>1</v>
      </c>
      <c r="P21" s="44">
        <f si="10" t="shared"/>
        <v>1</v>
      </c>
      <c r="Q21" s="44">
        <f si="10" t="shared"/>
        <v>0.99999999999999989</v>
      </c>
      <c r="R21" s="44">
        <f si="10" t="shared"/>
        <v>1</v>
      </c>
      <c r="S21" s="44">
        <f si="10" t="shared"/>
        <v>1</v>
      </c>
      <c r="T21" s="44" t="e">
        <f si="10" t="shared"/>
        <v>#DIV/0!</v>
      </c>
      <c r="U21" s="44">
        <f si="10" t="shared"/>
        <v>1</v>
      </c>
      <c r="W21" s="15" t="s">
        <v>223</v>
      </c>
      <c r="X21" s="14">
        <f si="7" t="shared"/>
        <v>0</v>
      </c>
      <c r="Y21" s="14">
        <f si="7" t="shared"/>
        <v>0</v>
      </c>
      <c r="Z21" s="14">
        <f>O21-D21</f>
        <v>0</v>
      </c>
      <c r="AA21" s="14">
        <f>P21-E21</f>
        <v>0</v>
      </c>
      <c r="AB21" s="14">
        <f si="8" t="shared"/>
        <v>0</v>
      </c>
      <c r="AC21" s="14">
        <f si="8" t="shared"/>
        <v>0</v>
      </c>
      <c r="AD21" s="14">
        <f si="8" t="shared"/>
        <v>0</v>
      </c>
      <c r="AE21" s="14" t="e">
        <f si="8" t="shared"/>
        <v>#DIV/0!</v>
      </c>
      <c r="AF21" s="14">
        <f>U21-J21</f>
        <v>0</v>
      </c>
    </row>
    <row ht="13.15" r="25" spans="1:32" x14ac:dyDescent="0.4">
      <c r="A25" s="2" t="s">
        <v>175</v>
      </c>
      <c r="L25" s="2" t="s">
        <v>175</v>
      </c>
      <c r="W25" s="2" t="s">
        <v>175</v>
      </c>
    </row>
    <row ht="13.15" r="26" spans="1:32" x14ac:dyDescent="0.4">
      <c r="A26" s="2" t="s">
        <v>189</v>
      </c>
      <c r="L26" s="2" t="s">
        <v>82</v>
      </c>
      <c r="W26" s="2" t="s">
        <v>12</v>
      </c>
    </row>
    <row ht="13.15" r="27" spans="1:32" thickBot="1" x14ac:dyDescent="0.4"/>
    <row ht="13.15" r="28" spans="1:32" x14ac:dyDescent="0.4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245</v>
      </c>
      <c r="F28" s="6" t="s">
        <v>246</v>
      </c>
      <c r="G28" s="6" t="s">
        <v>247</v>
      </c>
      <c r="H28" s="6" t="s">
        <v>248</v>
      </c>
      <c r="I28" s="6" t="s">
        <v>170</v>
      </c>
      <c r="J28" s="6" t="s">
        <v>223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245</v>
      </c>
      <c r="Q28" s="41" t="s">
        <v>246</v>
      </c>
      <c r="R28" s="41" t="s">
        <v>247</v>
      </c>
      <c r="S28" s="41" t="s">
        <v>248</v>
      </c>
      <c r="T28" s="41" t="s">
        <v>170</v>
      </c>
      <c r="U28" s="41" t="s">
        <v>223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245</v>
      </c>
      <c r="AB28" s="6" t="s">
        <v>246</v>
      </c>
      <c r="AC28" s="6" t="s">
        <v>247</v>
      </c>
      <c r="AD28" s="6" t="s">
        <v>248</v>
      </c>
      <c r="AE28" s="6" t="s">
        <v>170</v>
      </c>
      <c r="AF28" s="6" t="s">
        <v>223</v>
      </c>
    </row>
    <row r="29" spans="1:32" x14ac:dyDescent="0.35">
      <c r="A29" s="3" t="s">
        <v>228</v>
      </c>
      <c r="B29" s="12">
        <f>output_NHTS!B43/SUM(output_NHTS!B$43:B$46)</f>
        <v>0.87844408427876819</v>
      </c>
      <c r="C29" s="12">
        <f>output_NHTS!C43/SUM(output_NHTS!C$43:C$46)</f>
        <v>0.81159420289855078</v>
      </c>
      <c r="D29" s="12">
        <f>output_NHTS!D43/SUM(output_NHTS!D$43:D$46)</f>
        <v>0.85350318471337583</v>
      </c>
      <c r="E29" s="12">
        <f>output_NHTS!E43/SUM(output_NHTS!E$43:E$46)</f>
        <v>0.61171366594360088</v>
      </c>
      <c r="F29" s="12">
        <f>output_NHTS!F43/SUM(output_NHTS!F$43:F$46)</f>
        <v>0.84827586206896555</v>
      </c>
      <c r="G29" s="12">
        <f>output_NHTS!G43/SUM(output_NHTS!G$43:G$46)</f>
        <v>0.88082901554404147</v>
      </c>
      <c r="H29" s="12">
        <f>output_NHTS!H43/SUM(output_NHTS!H$43:H$46)</f>
        <v>0.88624787775891345</v>
      </c>
      <c r="I29" s="12" t="e">
        <f>output_NHTS!I43/SUM(output_NHTS!I$43:I$46)</f>
        <v>#DIV/0!</v>
      </c>
      <c r="J29" s="12">
        <f>output_NHTS!J43/SUM(output_NHTS!J$43:J$46)</f>
        <v>0.83175861017982322</v>
      </c>
      <c r="L29" s="3" t="s">
        <v>228</v>
      </c>
      <c r="M29" s="42">
        <f>output!B43/SUM(output!B$43:B$46)</f>
        <v>0.87844408427876819</v>
      </c>
      <c r="N29" s="42">
        <f>output!C43/SUM(output!C$43:C$46)</f>
        <v>0.81159420289855078</v>
      </c>
      <c r="O29" s="42">
        <f>output!D43/SUM(output!D$43:D$46)</f>
        <v>0.85350318471337583</v>
      </c>
      <c r="P29" s="42">
        <f>output!E43/SUM(output!E$43:E$46)</f>
        <v>0.61171366594360088</v>
      </c>
      <c r="Q29" s="42">
        <f>output!F43/SUM(output!F$43:F$46)</f>
        <v>0.84827586206896555</v>
      </c>
      <c r="R29" s="42">
        <f>output!G43/SUM(output!G$43:G$46)</f>
        <v>0.88082901554404147</v>
      </c>
      <c r="S29" s="42">
        <f>output!H43/SUM(output!H$43:H$46)</f>
        <v>0.88624787775891345</v>
      </c>
      <c r="T29" s="42" t="e">
        <f>output!I43/SUM(output!I$43:I$46)</f>
        <v>#DIV/0!</v>
      </c>
      <c r="U29" s="42">
        <f>output!J43/SUM(output!J$43:J$46)</f>
        <v>0.83175861017982322</v>
      </c>
      <c r="W29" s="3" t="s">
        <v>228</v>
      </c>
      <c r="X29" s="12">
        <f ref="X29:AD33" si="11" t="shared">M29-B29</f>
        <v>0</v>
      </c>
      <c r="Y29" s="12">
        <f si="11" t="shared"/>
        <v>0</v>
      </c>
      <c r="Z29" s="12">
        <f si="11" t="shared"/>
        <v>0</v>
      </c>
      <c r="AA29" s="12">
        <f si="11" t="shared"/>
        <v>0</v>
      </c>
      <c r="AB29" s="12">
        <f si="11" t="shared"/>
        <v>0</v>
      </c>
      <c r="AC29" s="12">
        <f si="11" t="shared"/>
        <v>0</v>
      </c>
      <c r="AD29" s="12">
        <f si="11" t="shared"/>
        <v>0</v>
      </c>
      <c r="AE29" s="12" t="e">
        <f ref="AE29:AF33" si="12" t="shared">T29-I29</f>
        <v>#DIV/0!</v>
      </c>
      <c r="AF29" s="12">
        <f si="12" t="shared"/>
        <v>0</v>
      </c>
    </row>
    <row r="30" spans="1:32" x14ac:dyDescent="0.35">
      <c r="A30" s="3" t="s">
        <v>237</v>
      </c>
      <c r="B30" s="12">
        <f>output_NHTS!B44/SUM(output_NHTS!B$43:B$46)</f>
        <v>3.1604538087520256E-2</v>
      </c>
      <c r="C30" s="12">
        <f>output_NHTS!C44/SUM(output_NHTS!C$43:C$46)</f>
        <v>3.7681159420289857E-2</v>
      </c>
      <c r="D30" s="12">
        <f>output_NHTS!D44/SUM(output_NHTS!D$43:D$46)</f>
        <v>3.1847133757961785E-3</v>
      </c>
      <c r="E30" s="12">
        <f>output_NHTS!E44/SUM(output_NHTS!E$43:E$46)</f>
        <v>6.5075921908893707E-3</v>
      </c>
      <c r="F30" s="12">
        <f>output_NHTS!F44/SUM(output_NHTS!F$43:F$46)</f>
        <v>4.8275862068965517E-2</v>
      </c>
      <c r="G30" s="12">
        <f>output_NHTS!G44/SUM(output_NHTS!G$43:G$46)</f>
        <v>5.181347150259067E-2</v>
      </c>
      <c r="H30" s="12">
        <f>output_NHTS!H44/SUM(output_NHTS!H$43:H$46)</f>
        <v>3.3955857385398983E-2</v>
      </c>
      <c r="I30" s="12" t="e">
        <f>output_NHTS!I44/SUM(output_NHTS!I$43:I$46)</f>
        <v>#DIV/0!</v>
      </c>
      <c r="J30" s="12">
        <f>output_NHTS!J44/SUM(output_NHTS!J$43:J$46)</f>
        <v>2.8345016763181956E-2</v>
      </c>
      <c r="L30" s="3" t="s">
        <v>237</v>
      </c>
      <c r="M30" s="42">
        <f>output!B44/SUM(output!B$43:B$46)</f>
        <v>3.1604538087520256E-2</v>
      </c>
      <c r="N30" s="42">
        <f>output!C44/SUM(output!C$43:C$46)</f>
        <v>3.7681159420289857E-2</v>
      </c>
      <c r="O30" s="42">
        <f>output!D44/SUM(output!D$43:D$46)</f>
        <v>3.1847133757961785E-3</v>
      </c>
      <c r="P30" s="42">
        <f>output!E44/SUM(output!E$43:E$46)</f>
        <v>6.5075921908893707E-3</v>
      </c>
      <c r="Q30" s="42">
        <f>output!F44/SUM(output!F$43:F$46)</f>
        <v>4.8275862068965517E-2</v>
      </c>
      <c r="R30" s="42">
        <f>output!G44/SUM(output!G$43:G$46)</f>
        <v>5.181347150259067E-2</v>
      </c>
      <c r="S30" s="42">
        <f>output!H44/SUM(output!H$43:H$46)</f>
        <v>3.3955857385398983E-2</v>
      </c>
      <c r="T30" s="42" t="e">
        <f>output!I44/SUM(output!I$43:I$46)</f>
        <v>#DIV/0!</v>
      </c>
      <c r="U30" s="42">
        <f>output!J44/SUM(output!J$43:J$46)</f>
        <v>2.8345016763181956E-2</v>
      </c>
      <c r="W30" s="3" t="s">
        <v>237</v>
      </c>
      <c r="X30" s="12">
        <f si="11" t="shared"/>
        <v>0</v>
      </c>
      <c r="Y30" s="12">
        <f si="11" t="shared"/>
        <v>0</v>
      </c>
      <c r="Z30" s="12">
        <f si="11" t="shared"/>
        <v>0</v>
      </c>
      <c r="AA30" s="12">
        <f si="11" t="shared"/>
        <v>0</v>
      </c>
      <c r="AB30" s="12">
        <f si="11" t="shared"/>
        <v>0</v>
      </c>
      <c r="AC30" s="12">
        <f si="11" t="shared"/>
        <v>0</v>
      </c>
      <c r="AD30" s="12">
        <f si="11" t="shared"/>
        <v>0</v>
      </c>
      <c r="AE30" s="12" t="e">
        <f si="12" t="shared"/>
        <v>#DIV/0!</v>
      </c>
      <c r="AF30" s="12">
        <f si="12" t="shared"/>
        <v>0</v>
      </c>
    </row>
    <row r="31" spans="1:32" x14ac:dyDescent="0.35">
      <c r="A31" s="3" t="s">
        <v>238</v>
      </c>
      <c r="B31" s="12">
        <f>output_NHTS!B45/SUM(output_NHTS!B$43:B$46)</f>
        <v>7.6175040518638576E-2</v>
      </c>
      <c r="C31" s="12">
        <f>output_NHTS!C45/SUM(output_NHTS!C$43:C$46)</f>
        <v>0.13333333333333333</v>
      </c>
      <c r="D31" s="12">
        <f>output_NHTS!D45/SUM(output_NHTS!D$43:D$46)</f>
        <v>0.13057324840764331</v>
      </c>
      <c r="E31" s="12">
        <f>output_NHTS!E45/SUM(output_NHTS!E$43:E$46)</f>
        <v>0.32104121475054231</v>
      </c>
      <c r="F31" s="12">
        <f>output_NHTS!F45/SUM(output_NHTS!F$43:F$46)</f>
        <v>8.2758620689655171E-2</v>
      </c>
      <c r="G31" s="12">
        <f>output_NHTS!G45/SUM(output_NHTS!G$43:G$46)</f>
        <v>6.2176165803108807E-2</v>
      </c>
      <c r="H31" s="12">
        <f>output_NHTS!H45/SUM(output_NHTS!H$43:H$46)</f>
        <v>6.7911714770797965E-2</v>
      </c>
      <c r="I31" s="12" t="e">
        <f>output_NHTS!I45/SUM(output_NHTS!I$43:I$46)</f>
        <v>#DIV/0!</v>
      </c>
      <c r="J31" s="12">
        <f>output_NHTS!J45/SUM(output_NHTS!J$43:J$46)</f>
        <v>0.1197805547089302</v>
      </c>
      <c r="L31" s="3" t="s">
        <v>238</v>
      </c>
      <c r="M31" s="42">
        <f>output!B45/SUM(output!B$43:B$46)</f>
        <v>7.6175040518638576E-2</v>
      </c>
      <c r="N31" s="42">
        <f>output!C45/SUM(output!C$43:C$46)</f>
        <v>0.13333333333333333</v>
      </c>
      <c r="O31" s="42">
        <f>output!D45/SUM(output!D$43:D$46)</f>
        <v>0.13057324840764331</v>
      </c>
      <c r="P31" s="42">
        <f>output!E45/SUM(output!E$43:E$46)</f>
        <v>0.32104121475054231</v>
      </c>
      <c r="Q31" s="42">
        <f>output!F45/SUM(output!F$43:F$46)</f>
        <v>8.2758620689655171E-2</v>
      </c>
      <c r="R31" s="42">
        <f>output!G45/SUM(output!G$43:G$46)</f>
        <v>6.2176165803108807E-2</v>
      </c>
      <c r="S31" s="42">
        <f>output!H45/SUM(output!H$43:H$46)</f>
        <v>6.7911714770797965E-2</v>
      </c>
      <c r="T31" s="42" t="e">
        <f>output!I45/SUM(output!I$43:I$46)</f>
        <v>#DIV/0!</v>
      </c>
      <c r="U31" s="42">
        <f>output!J45/SUM(output!J$43:J$46)</f>
        <v>0.1197805547089302</v>
      </c>
      <c r="W31" s="3" t="s">
        <v>238</v>
      </c>
      <c r="X31" s="12">
        <f si="11" t="shared"/>
        <v>0</v>
      </c>
      <c r="Y31" s="12">
        <f si="11" t="shared"/>
        <v>0</v>
      </c>
      <c r="Z31" s="12">
        <f si="11" t="shared"/>
        <v>0</v>
      </c>
      <c r="AA31" s="12">
        <f si="11" t="shared"/>
        <v>0</v>
      </c>
      <c r="AB31" s="12">
        <f si="11" t="shared"/>
        <v>0</v>
      </c>
      <c r="AC31" s="12">
        <f si="11" t="shared"/>
        <v>0</v>
      </c>
      <c r="AD31" s="12">
        <f si="11" t="shared"/>
        <v>0</v>
      </c>
      <c r="AE31" s="12" t="e">
        <f si="12" t="shared"/>
        <v>#DIV/0!</v>
      </c>
      <c r="AF31" s="12">
        <f si="12" t="shared"/>
        <v>0</v>
      </c>
    </row>
    <row r="32" spans="1:32" x14ac:dyDescent="0.35">
      <c r="A32" s="8" t="s">
        <v>173</v>
      </c>
      <c r="B32" s="13">
        <f>output_NHTS!B46/SUM(output_NHTS!B$43:B$46)</f>
        <v>1.3776337115072933E-2</v>
      </c>
      <c r="C32" s="13">
        <f>output_NHTS!C46/SUM(output_NHTS!C$43:C$46)</f>
        <v>1.7391304347826087E-2</v>
      </c>
      <c r="D32" s="13">
        <f>output_NHTS!D46/SUM(output_NHTS!D$43:D$46)</f>
        <v>1.2738853503184714E-2</v>
      </c>
      <c r="E32" s="13">
        <f>output_NHTS!E46/SUM(output_NHTS!E$43:E$46)</f>
        <v>6.0737527114967459E-2</v>
      </c>
      <c r="F32" s="13">
        <f>output_NHTS!F46/SUM(output_NHTS!F$43:F$46)</f>
        <v>2.0689655172413793E-2</v>
      </c>
      <c r="G32" s="13">
        <f>output_NHTS!G46/SUM(output_NHTS!G$43:G$46)</f>
        <v>5.1813471502590676E-3</v>
      </c>
      <c r="H32" s="13">
        <f>output_NHTS!H46/SUM(output_NHTS!H$43:H$46)</f>
        <v>1.1884550084889643E-2</v>
      </c>
      <c r="I32" s="13" t="e">
        <f>output_NHTS!I46/SUM(output_NHTS!I$43:I$46)</f>
        <v>#DIV/0!</v>
      </c>
      <c r="J32" s="13">
        <f>output_NHTS!J46/SUM(output_NHTS!J$43:J$46)</f>
        <v>2.0115818348064616E-2</v>
      </c>
      <c r="L32" s="8" t="s">
        <v>173</v>
      </c>
      <c r="M32" s="43">
        <f>output!B46/SUM(output!B$43:B$46)</f>
        <v>1.3776337115072933E-2</v>
      </c>
      <c r="N32" s="43">
        <f>output!C46/SUM(output!C$43:C$46)</f>
        <v>1.7391304347826087E-2</v>
      </c>
      <c r="O32" s="43">
        <f>output!D46/SUM(output!D$43:D$46)</f>
        <v>1.2738853503184714E-2</v>
      </c>
      <c r="P32" s="43">
        <f>output!E46/SUM(output!E$43:E$46)</f>
        <v>6.0737527114967459E-2</v>
      </c>
      <c r="Q32" s="43">
        <f>output!F46/SUM(output!F$43:F$46)</f>
        <v>2.0689655172413793E-2</v>
      </c>
      <c r="R32" s="43">
        <f>output!G46/SUM(output!G$43:G$46)</f>
        <v>5.1813471502590676E-3</v>
      </c>
      <c r="S32" s="43">
        <f>output!H46/SUM(output!H$43:H$46)</f>
        <v>1.1884550084889643E-2</v>
      </c>
      <c r="T32" s="43" t="e">
        <f>output!I46/SUM(output!I$43:I$46)</f>
        <v>#DIV/0!</v>
      </c>
      <c r="U32" s="43">
        <f>output!J46/SUM(output!J$43:J$46)</f>
        <v>2.0115818348064616E-2</v>
      </c>
      <c r="W32" s="8" t="s">
        <v>173</v>
      </c>
      <c r="X32" s="12">
        <f si="11" t="shared"/>
        <v>0</v>
      </c>
      <c r="Y32" s="12">
        <f si="11" t="shared"/>
        <v>0</v>
      </c>
      <c r="Z32" s="12">
        <f si="11" t="shared"/>
        <v>0</v>
      </c>
      <c r="AA32" s="12">
        <f si="11" t="shared"/>
        <v>0</v>
      </c>
      <c r="AB32" s="12">
        <f si="11" t="shared"/>
        <v>0</v>
      </c>
      <c r="AC32" s="12">
        <f si="11" t="shared"/>
        <v>0</v>
      </c>
      <c r="AD32" s="12">
        <f si="11" t="shared"/>
        <v>0</v>
      </c>
      <c r="AE32" s="12" t="e">
        <f si="12" t="shared"/>
        <v>#DIV/0!</v>
      </c>
      <c r="AF32" s="12">
        <f si="12" t="shared"/>
        <v>0</v>
      </c>
    </row>
    <row ht="13.15" r="33" spans="1:32" thickBot="1" x14ac:dyDescent="0.4">
      <c r="A33" s="15" t="s">
        <v>223</v>
      </c>
      <c r="B33" s="44">
        <f>SUM(B29:B32)</f>
        <v>1</v>
      </c>
      <c r="C33" s="44">
        <f ref="C33:J33" si="13" t="shared">SUM(C29:C32)</f>
        <v>1</v>
      </c>
      <c r="D33" s="44">
        <f si="13" t="shared"/>
        <v>1</v>
      </c>
      <c r="E33" s="44">
        <f si="13" t="shared"/>
        <v>1</v>
      </c>
      <c r="F33" s="44">
        <f si="13" t="shared"/>
        <v>1</v>
      </c>
      <c r="G33" s="44">
        <f si="13" t="shared"/>
        <v>1</v>
      </c>
      <c r="H33" s="44">
        <f si="13" t="shared"/>
        <v>1</v>
      </c>
      <c r="I33" s="44" t="e">
        <f si="13" t="shared"/>
        <v>#DIV/0!</v>
      </c>
      <c r="J33" s="44">
        <f si="13" t="shared"/>
        <v>1</v>
      </c>
      <c r="L33" s="15" t="s">
        <v>223</v>
      </c>
      <c r="M33" s="44">
        <f>SUM(M29:M32)</f>
        <v>1</v>
      </c>
      <c r="N33" s="44">
        <f ref="N33:U33" si="14" t="shared">SUM(N29:N32)</f>
        <v>1</v>
      </c>
      <c r="O33" s="44">
        <f si="14" t="shared"/>
        <v>1</v>
      </c>
      <c r="P33" s="44">
        <f si="14" t="shared"/>
        <v>1</v>
      </c>
      <c r="Q33" s="44">
        <f si="14" t="shared"/>
        <v>1</v>
      </c>
      <c r="R33" s="44">
        <f si="14" t="shared"/>
        <v>1</v>
      </c>
      <c r="S33" s="44">
        <f si="14" t="shared"/>
        <v>1</v>
      </c>
      <c r="T33" s="44" t="e">
        <f si="14" t="shared"/>
        <v>#DIV/0!</v>
      </c>
      <c r="U33" s="44">
        <f si="14" t="shared"/>
        <v>1</v>
      </c>
      <c r="W33" s="15" t="s">
        <v>223</v>
      </c>
      <c r="X33" s="14">
        <f si="11" t="shared"/>
        <v>0</v>
      </c>
      <c r="Y33" s="14">
        <f si="11" t="shared"/>
        <v>0</v>
      </c>
      <c r="Z33" s="14">
        <f si="11" t="shared"/>
        <v>0</v>
      </c>
      <c r="AA33" s="14">
        <f si="11" t="shared"/>
        <v>0</v>
      </c>
      <c r="AB33" s="14">
        <f si="11" t="shared"/>
        <v>0</v>
      </c>
      <c r="AC33" s="14">
        <f si="11" t="shared"/>
        <v>0</v>
      </c>
      <c r="AD33" s="14">
        <f si="11" t="shared"/>
        <v>0</v>
      </c>
      <c r="AE33" s="14" t="e">
        <f si="12" t="shared"/>
        <v>#DIV/0!</v>
      </c>
      <c r="AF33" s="14">
        <f si="12" t="shared"/>
        <v>0</v>
      </c>
    </row>
    <row r="34" spans="1:32" x14ac:dyDescent="0.35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ht="13.15" r="37" spans="1:32" x14ac:dyDescent="0.4">
      <c r="A37" s="2" t="s">
        <v>175</v>
      </c>
      <c r="L37" s="2" t="s">
        <v>175</v>
      </c>
      <c r="W37" s="2" t="s">
        <v>175</v>
      </c>
    </row>
    <row ht="13.15" r="38" spans="1:32" x14ac:dyDescent="0.4">
      <c r="A38" s="2" t="s">
        <v>190</v>
      </c>
      <c r="L38" s="2" t="s">
        <v>202</v>
      </c>
      <c r="W38" s="2" t="s">
        <v>13</v>
      </c>
    </row>
    <row ht="13.15" r="39" spans="1:32" thickBot="1" x14ac:dyDescent="0.4"/>
    <row ht="13.15" r="40" spans="1:32" x14ac:dyDescent="0.4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245</v>
      </c>
      <c r="Q40" s="41" t="s">
        <v>246</v>
      </c>
      <c r="R40" s="41" t="s">
        <v>247</v>
      </c>
      <c r="S40" s="41" t="s">
        <v>248</v>
      </c>
      <c r="T40" s="41" t="s">
        <v>170</v>
      </c>
      <c r="U40" s="41" t="s">
        <v>223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35">
      <c r="A41" s="3" t="s">
        <v>228</v>
      </c>
      <c r="B41" s="12">
        <f>output_NHTS!B50/SUM(output_NHTS!B$50:B$53)</f>
        <v>0.80388978930307942</v>
      </c>
      <c r="C41" s="12">
        <f>output_NHTS!C50/SUM(output_NHTS!C$50:C$53)</f>
        <v>0.75362318840579712</v>
      </c>
      <c r="D41" s="12">
        <f>output_NHTS!D50/SUM(output_NHTS!D$50:D$53)</f>
        <v>0.76433121019108285</v>
      </c>
      <c r="E41" s="12">
        <f>output_NHTS!E50/SUM(output_NHTS!E$50:E$53)</f>
        <v>0.74186550976138832</v>
      </c>
      <c r="F41" s="12">
        <f>output_NHTS!F50/SUM(output_NHTS!F$50:F$53)</f>
        <v>0.8</v>
      </c>
      <c r="G41" s="12">
        <f>output_NHTS!G50/SUM(output_NHTS!G$50:G$53)</f>
        <v>0.7409326424870466</v>
      </c>
      <c r="H41" s="12">
        <f>output_NHTS!H50/SUM(output_NHTS!H$50:H$53)</f>
        <v>0.8607809847198642</v>
      </c>
      <c r="I41" s="12" t="e">
        <f>output_NHTS!I50/SUM(output_NHTS!I$50:I$53)</f>
        <v>#DIV/0!</v>
      </c>
      <c r="J41" s="12">
        <f>output_NHTS!J50/SUM(output_NHTS!J$50:J$53)</f>
        <v>0.79244132886315144</v>
      </c>
      <c r="L41" s="3" t="s">
        <v>228</v>
      </c>
      <c r="M41" s="42">
        <f>output!B50/SUM(output!B$50:B$53)</f>
        <v>0.80388978930307942</v>
      </c>
      <c r="N41" s="42">
        <f>output!C50/SUM(output!C$50:C$53)</f>
        <v>0.75362318840579712</v>
      </c>
      <c r="O41" s="42">
        <f>output!D50/SUM(output!D$50:D$53)</f>
        <v>0.76433121019108285</v>
      </c>
      <c r="P41" s="42">
        <f>output!E50/SUM(output!E$50:E$53)</f>
        <v>0.74186550976138832</v>
      </c>
      <c r="Q41" s="42">
        <f>output!F50/SUM(output!F$50:F$53)</f>
        <v>0.8</v>
      </c>
      <c r="R41" s="42">
        <f>output!G50/SUM(output!G$50:G$53)</f>
        <v>0.7409326424870466</v>
      </c>
      <c r="S41" s="42">
        <f>output!H50/SUM(output!H$50:H$53)</f>
        <v>0.8607809847198642</v>
      </c>
      <c r="T41" s="42" t="e">
        <f>output!I50/SUM(output!I$50:I$53)</f>
        <v>#DIV/0!</v>
      </c>
      <c r="U41" s="42">
        <f>output!J50/SUM(output!J$50:J$53)</f>
        <v>0.79244132886315144</v>
      </c>
      <c r="W41" s="3" t="s">
        <v>228</v>
      </c>
      <c r="X41" s="12">
        <f ref="X41:AD45" si="15" t="shared">M41-B41</f>
        <v>0</v>
      </c>
      <c r="Y41" s="12">
        <f si="15" t="shared"/>
        <v>0</v>
      </c>
      <c r="Z41" s="12">
        <f si="15" t="shared"/>
        <v>0</v>
      </c>
      <c r="AA41" s="12">
        <f si="15" t="shared"/>
        <v>0</v>
      </c>
      <c r="AB41" s="12">
        <f si="15" t="shared"/>
        <v>0</v>
      </c>
      <c r="AC41" s="12">
        <f si="15" t="shared"/>
        <v>0</v>
      </c>
      <c r="AD41" s="12">
        <f si="15" t="shared"/>
        <v>0</v>
      </c>
      <c r="AE41" s="12" t="e">
        <f ref="AE41:AF45" si="16" t="shared">T41-I41</f>
        <v>#DIV/0!</v>
      </c>
      <c r="AF41" s="12">
        <f si="16" t="shared"/>
        <v>0</v>
      </c>
    </row>
    <row r="42" spans="1:32" x14ac:dyDescent="0.35">
      <c r="A42" s="3" t="s">
        <v>237</v>
      </c>
      <c r="B42" s="12">
        <f>output_NHTS!B51/SUM(output_NHTS!B$50:B$53)</f>
        <v>8.9951377633711513E-2</v>
      </c>
      <c r="C42" s="12">
        <f>output_NHTS!C51/SUM(output_NHTS!C$50:C$53)</f>
        <v>0.1072463768115942</v>
      </c>
      <c r="D42" s="12">
        <f>output_NHTS!D51/SUM(output_NHTS!D$50:D$53)</f>
        <v>9.2356687898089165E-2</v>
      </c>
      <c r="E42" s="12">
        <f>output_NHTS!E51/SUM(output_NHTS!E$50:E$53)</f>
        <v>0.11496746203904555</v>
      </c>
      <c r="F42" s="12">
        <f>output_NHTS!F51/SUM(output_NHTS!F$50:F$53)</f>
        <v>8.2758620689655171E-2</v>
      </c>
      <c r="G42" s="12">
        <f>output_NHTS!G51/SUM(output_NHTS!G$50:G$53)</f>
        <v>0.11398963730569948</v>
      </c>
      <c r="H42" s="12">
        <f>output_NHTS!H51/SUM(output_NHTS!H$50:H$53)</f>
        <v>7.979626485568761E-2</v>
      </c>
      <c r="I42" s="12" t="e">
        <f>output_NHTS!I51/SUM(output_NHTS!I$50:I$53)</f>
        <v>#DIV/0!</v>
      </c>
      <c r="J42" s="12">
        <f>output_NHTS!J51/SUM(output_NHTS!J$50:J$53)</f>
        <v>9.4788174337092343E-2</v>
      </c>
      <c r="L42" s="3" t="s">
        <v>237</v>
      </c>
      <c r="M42" s="42">
        <f>output!B51/SUM(output!B$50:B$53)</f>
        <v>8.9951377633711513E-2</v>
      </c>
      <c r="N42" s="42">
        <f>output!C51/SUM(output!C$50:C$53)</f>
        <v>0.1072463768115942</v>
      </c>
      <c r="O42" s="42">
        <f>output!D51/SUM(output!D$50:D$53)</f>
        <v>9.2356687898089165E-2</v>
      </c>
      <c r="P42" s="42">
        <f>output!E51/SUM(output!E$50:E$53)</f>
        <v>0.11496746203904555</v>
      </c>
      <c r="Q42" s="42">
        <f>output!F51/SUM(output!F$50:F$53)</f>
        <v>8.2758620689655171E-2</v>
      </c>
      <c r="R42" s="42">
        <f>output!G51/SUM(output!G$50:G$53)</f>
        <v>0.11398963730569948</v>
      </c>
      <c r="S42" s="42">
        <f>output!H51/SUM(output!H$50:H$53)</f>
        <v>7.979626485568761E-2</v>
      </c>
      <c r="T42" s="42" t="e">
        <f>output!I51/SUM(output!I$50:I$53)</f>
        <v>#DIV/0!</v>
      </c>
      <c r="U42" s="42">
        <f>output!J51/SUM(output!J$50:J$53)</f>
        <v>9.4788174337092343E-2</v>
      </c>
      <c r="W42" s="3" t="s">
        <v>237</v>
      </c>
      <c r="X42" s="12">
        <f si="15" t="shared"/>
        <v>0</v>
      </c>
      <c r="Y42" s="12">
        <f si="15" t="shared"/>
        <v>0</v>
      </c>
      <c r="Z42" s="12">
        <f si="15" t="shared"/>
        <v>0</v>
      </c>
      <c r="AA42" s="12">
        <f si="15" t="shared"/>
        <v>0</v>
      </c>
      <c r="AB42" s="12">
        <f si="15" t="shared"/>
        <v>0</v>
      </c>
      <c r="AC42" s="12">
        <f si="15" t="shared"/>
        <v>0</v>
      </c>
      <c r="AD42" s="12">
        <f si="15" t="shared"/>
        <v>0</v>
      </c>
      <c r="AE42" s="12" t="e">
        <f si="16" t="shared"/>
        <v>#DIV/0!</v>
      </c>
      <c r="AF42" s="12">
        <f si="16" t="shared"/>
        <v>0</v>
      </c>
    </row>
    <row r="43" spans="1:32" x14ac:dyDescent="0.35">
      <c r="A43" s="3" t="s">
        <v>238</v>
      </c>
      <c r="B43" s="12">
        <f>output_NHTS!B52/SUM(output_NHTS!B$50:B$53)</f>
        <v>7.7795786061588337E-2</v>
      </c>
      <c r="C43" s="12">
        <f>output_NHTS!C52/SUM(output_NHTS!C$50:C$53)</f>
        <v>0.11014492753623188</v>
      </c>
      <c r="D43" s="12">
        <f>output_NHTS!D52/SUM(output_NHTS!D$50:D$53)</f>
        <v>9.2356687898089165E-2</v>
      </c>
      <c r="E43" s="12">
        <f>output_NHTS!E52/SUM(output_NHTS!E$50:E$53)</f>
        <v>8.8937093275488072E-2</v>
      </c>
      <c r="F43" s="12">
        <f>output_NHTS!F52/SUM(output_NHTS!F$50:F$53)</f>
        <v>0.10344827586206896</v>
      </c>
      <c r="G43" s="12">
        <f>output_NHTS!G52/SUM(output_NHTS!G$50:G$53)</f>
        <v>0.11917098445595854</v>
      </c>
      <c r="H43" s="12">
        <f>output_NHTS!H52/SUM(output_NHTS!H$50:H$53)</f>
        <v>4.7538200339558571E-2</v>
      </c>
      <c r="I43" s="12" t="e">
        <f>output_NHTS!I52/SUM(output_NHTS!I$50:I$53)</f>
        <v>#DIV/0!</v>
      </c>
      <c r="J43" s="12">
        <f>output_NHTS!J52/SUM(output_NHTS!J$50:J$53)</f>
        <v>8.229198415117342E-2</v>
      </c>
      <c r="L43" s="3" t="s">
        <v>238</v>
      </c>
      <c r="M43" s="42">
        <f>output!B52/SUM(output!B$50:B$53)</f>
        <v>7.7795786061588337E-2</v>
      </c>
      <c r="N43" s="42">
        <f>output!C52/SUM(output!C$50:C$53)</f>
        <v>0.11014492753623188</v>
      </c>
      <c r="O43" s="42">
        <f>output!D52/SUM(output!D$50:D$53)</f>
        <v>9.2356687898089165E-2</v>
      </c>
      <c r="P43" s="42">
        <f>output!E52/SUM(output!E$50:E$53)</f>
        <v>8.8937093275488072E-2</v>
      </c>
      <c r="Q43" s="42">
        <f>output!F52/SUM(output!F$50:F$53)</f>
        <v>0.10344827586206896</v>
      </c>
      <c r="R43" s="42">
        <f>output!G52/SUM(output!G$50:G$53)</f>
        <v>0.11917098445595854</v>
      </c>
      <c r="S43" s="42">
        <f>output!H52/SUM(output!H$50:H$53)</f>
        <v>4.7538200339558571E-2</v>
      </c>
      <c r="T43" s="42" t="e">
        <f>output!I52/SUM(output!I$50:I$53)</f>
        <v>#DIV/0!</v>
      </c>
      <c r="U43" s="42">
        <f>output!J52/SUM(output!J$50:J$53)</f>
        <v>8.229198415117342E-2</v>
      </c>
      <c r="W43" s="3" t="s">
        <v>238</v>
      </c>
      <c r="X43" s="12">
        <f si="15" t="shared"/>
        <v>0</v>
      </c>
      <c r="Y43" s="12">
        <f si="15" t="shared"/>
        <v>0</v>
      </c>
      <c r="Z43" s="12">
        <f si="15" t="shared"/>
        <v>0</v>
      </c>
      <c r="AA43" s="12">
        <f si="15" t="shared"/>
        <v>0</v>
      </c>
      <c r="AB43" s="12">
        <f si="15" t="shared"/>
        <v>0</v>
      </c>
      <c r="AC43" s="12">
        <f si="15" t="shared"/>
        <v>0</v>
      </c>
      <c r="AD43" s="12">
        <f si="15" t="shared"/>
        <v>0</v>
      </c>
      <c r="AE43" s="12" t="e">
        <f si="16" t="shared"/>
        <v>#DIV/0!</v>
      </c>
      <c r="AF43" s="12">
        <f si="16" t="shared"/>
        <v>0</v>
      </c>
    </row>
    <row r="44" spans="1:32" x14ac:dyDescent="0.35">
      <c r="A44" s="8" t="s">
        <v>173</v>
      </c>
      <c r="B44" s="13">
        <f>output_NHTS!B53/SUM(output_NHTS!B$50:B$53)</f>
        <v>2.8363047001620744E-2</v>
      </c>
      <c r="C44" s="13">
        <f>output_NHTS!C53/SUM(output_NHTS!C$50:C$53)</f>
        <v>2.8985507246376812E-2</v>
      </c>
      <c r="D44" s="13">
        <f>output_NHTS!D53/SUM(output_NHTS!D$50:D$53)</f>
        <v>5.0955414012738856E-2</v>
      </c>
      <c r="E44" s="13">
        <f>output_NHTS!E53/SUM(output_NHTS!E$50:E$53)</f>
        <v>5.4229934924078092E-2</v>
      </c>
      <c r="F44" s="13">
        <f>output_NHTS!F53/SUM(output_NHTS!F$50:F$53)</f>
        <v>1.3793103448275862E-2</v>
      </c>
      <c r="G44" s="13">
        <f>output_NHTS!G53/SUM(output_NHTS!G$50:G$53)</f>
        <v>2.5906735751295335E-2</v>
      </c>
      <c r="H44" s="13">
        <f>output_NHTS!H53/SUM(output_NHTS!H$50:H$53)</f>
        <v>1.1884550084889643E-2</v>
      </c>
      <c r="I44" s="13" t="e">
        <f>output_NHTS!I53/SUM(output_NHTS!I$50:I$53)</f>
        <v>#DIV/0!</v>
      </c>
      <c r="J44" s="13">
        <f>output_NHTS!J53/SUM(output_NHTS!J$50:J$53)</f>
        <v>3.0478512648582749E-2</v>
      </c>
      <c r="L44" s="8" t="s">
        <v>173</v>
      </c>
      <c r="M44" s="43">
        <f>output!B53/SUM(output!B$50:B$53)</f>
        <v>2.8363047001620744E-2</v>
      </c>
      <c r="N44" s="43">
        <f>output!C53/SUM(output!C$50:C$53)</f>
        <v>2.8985507246376812E-2</v>
      </c>
      <c r="O44" s="43">
        <f>output!D53/SUM(output!D$50:D$53)</f>
        <v>5.0955414012738856E-2</v>
      </c>
      <c r="P44" s="43">
        <f>output!E53/SUM(output!E$50:E$53)</f>
        <v>5.4229934924078092E-2</v>
      </c>
      <c r="Q44" s="43">
        <f>output!F53/SUM(output!F$50:F$53)</f>
        <v>1.3793103448275862E-2</v>
      </c>
      <c r="R44" s="43">
        <f>output!G53/SUM(output!G$50:G$53)</f>
        <v>2.5906735751295335E-2</v>
      </c>
      <c r="S44" s="43">
        <f>output!H53/SUM(output!H$50:H$53)</f>
        <v>1.1884550084889643E-2</v>
      </c>
      <c r="T44" s="43" t="e">
        <f>output!I53/SUM(output!I$50:I$53)</f>
        <v>#DIV/0!</v>
      </c>
      <c r="U44" s="43">
        <f>output!J53/SUM(output!J$50:J$53)</f>
        <v>3.0478512648582749E-2</v>
      </c>
      <c r="W44" s="8" t="s">
        <v>173</v>
      </c>
      <c r="X44" s="12">
        <f si="15" t="shared"/>
        <v>0</v>
      </c>
      <c r="Y44" s="12">
        <f si="15" t="shared"/>
        <v>0</v>
      </c>
      <c r="Z44" s="12">
        <f si="15" t="shared"/>
        <v>0</v>
      </c>
      <c r="AA44" s="12">
        <f si="15" t="shared"/>
        <v>0</v>
      </c>
      <c r="AB44" s="12">
        <f si="15" t="shared"/>
        <v>0</v>
      </c>
      <c r="AC44" s="12">
        <f si="15" t="shared"/>
        <v>0</v>
      </c>
      <c r="AD44" s="12">
        <f si="15" t="shared"/>
        <v>0</v>
      </c>
      <c r="AE44" s="12" t="e">
        <f si="16" t="shared"/>
        <v>#DIV/0!</v>
      </c>
      <c r="AF44" s="12">
        <f si="16" t="shared"/>
        <v>0</v>
      </c>
    </row>
    <row ht="13.15" r="45" spans="1:32" thickBot="1" x14ac:dyDescent="0.4">
      <c r="A45" s="15" t="s">
        <v>223</v>
      </c>
      <c r="B45" s="44">
        <f>SUM(B41:B44)</f>
        <v>1</v>
      </c>
      <c r="C45" s="44">
        <f ref="C45:J45" si="17" t="shared">SUM(C41:C44)</f>
        <v>1</v>
      </c>
      <c r="D45" s="44">
        <f si="17" t="shared"/>
        <v>1</v>
      </c>
      <c r="E45" s="44">
        <f si="17" t="shared"/>
        <v>1</v>
      </c>
      <c r="F45" s="44">
        <f si="17" t="shared"/>
        <v>1</v>
      </c>
      <c r="G45" s="44">
        <f si="17" t="shared"/>
        <v>0.99999999999999989</v>
      </c>
      <c r="H45" s="44">
        <f si="17" t="shared"/>
        <v>1</v>
      </c>
      <c r="I45" s="44" t="e">
        <f si="17" t="shared"/>
        <v>#DIV/0!</v>
      </c>
      <c r="J45" s="44">
        <f si="17" t="shared"/>
        <v>0.99999999999999989</v>
      </c>
      <c r="L45" s="15" t="s">
        <v>223</v>
      </c>
      <c r="M45" s="44">
        <f>SUM(M41:M44)</f>
        <v>1</v>
      </c>
      <c r="N45" s="44">
        <f ref="N45:U45" si="18" t="shared">SUM(N41:N44)</f>
        <v>1</v>
      </c>
      <c r="O45" s="44">
        <f si="18" t="shared"/>
        <v>1</v>
      </c>
      <c r="P45" s="44">
        <f si="18" t="shared"/>
        <v>1</v>
      </c>
      <c r="Q45" s="44">
        <f si="18" t="shared"/>
        <v>1</v>
      </c>
      <c r="R45" s="44">
        <f si="18" t="shared"/>
        <v>0.99999999999999989</v>
      </c>
      <c r="S45" s="44">
        <f si="18" t="shared"/>
        <v>1</v>
      </c>
      <c r="T45" s="44" t="e">
        <f si="18" t="shared"/>
        <v>#DIV/0!</v>
      </c>
      <c r="U45" s="44">
        <f si="18" t="shared"/>
        <v>0.99999999999999989</v>
      </c>
      <c r="W45" s="15" t="s">
        <v>223</v>
      </c>
      <c r="X45" s="14">
        <f si="15" t="shared"/>
        <v>0</v>
      </c>
      <c r="Y45" s="14">
        <f si="15" t="shared"/>
        <v>0</v>
      </c>
      <c r="Z45" s="14">
        <f si="15" t="shared"/>
        <v>0</v>
      </c>
      <c r="AA45" s="14">
        <f si="15" t="shared"/>
        <v>0</v>
      </c>
      <c r="AB45" s="14">
        <f si="15" t="shared"/>
        <v>0</v>
      </c>
      <c r="AC45" s="14">
        <f si="15" t="shared"/>
        <v>0</v>
      </c>
      <c r="AD45" s="14">
        <f si="15" t="shared"/>
        <v>0</v>
      </c>
      <c r="AE45" s="14" t="e">
        <f si="16" t="shared"/>
        <v>#DIV/0!</v>
      </c>
      <c r="AF45" s="14">
        <f si="16" t="shared"/>
        <v>0</v>
      </c>
    </row>
    <row ht="13.15" r="49" spans="1:32" x14ac:dyDescent="0.4">
      <c r="A49" s="2" t="s">
        <v>175</v>
      </c>
      <c r="L49" s="2" t="s">
        <v>175</v>
      </c>
      <c r="W49" s="2" t="s">
        <v>175</v>
      </c>
    </row>
    <row ht="13.15" r="50" spans="1:32" x14ac:dyDescent="0.4">
      <c r="A50" s="2" t="s">
        <v>162</v>
      </c>
      <c r="L50" s="2" t="s">
        <v>296</v>
      </c>
      <c r="W50" s="2" t="s">
        <v>14</v>
      </c>
    </row>
    <row ht="13.15" r="51" spans="1:32" thickBot="1" x14ac:dyDescent="0.4"/>
    <row ht="13.15" r="52" spans="1:32" x14ac:dyDescent="0.4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245</v>
      </c>
      <c r="Q52" s="41" t="s">
        <v>246</v>
      </c>
      <c r="R52" s="41" t="s">
        <v>247</v>
      </c>
      <c r="S52" s="41" t="s">
        <v>248</v>
      </c>
      <c r="T52" s="41" t="s">
        <v>170</v>
      </c>
      <c r="U52" s="41" t="s">
        <v>223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35">
      <c r="A53" s="3" t="s">
        <v>228</v>
      </c>
      <c r="B53" s="12">
        <f>output_NHTS!B57/SUM(output_NHTS!B$57:B$60)</f>
        <v>0.80875202593192874</v>
      </c>
      <c r="C53" s="12">
        <f>output_NHTS!C57/SUM(output_NHTS!C$57:C$60)</f>
        <v>0.72753623188405792</v>
      </c>
      <c r="D53" s="12">
        <f>output_NHTS!D57/SUM(output_NHTS!D$57:D$60)</f>
        <v>0.74522292993630568</v>
      </c>
      <c r="E53" s="12">
        <f>output_NHTS!E57/SUM(output_NHTS!E$57:E$60)</f>
        <v>0.71149674620390457</v>
      </c>
      <c r="F53" s="12">
        <f>output_NHTS!F57/SUM(output_NHTS!F$57:F$60)</f>
        <v>0.75862068965517238</v>
      </c>
      <c r="G53" s="12">
        <f>output_NHTS!G57/SUM(output_NHTS!G$57:G$60)</f>
        <v>0.83419689119170981</v>
      </c>
      <c r="H53" s="12">
        <f>output_NHTS!H57/SUM(output_NHTS!H$57:H$60)</f>
        <v>0.81494057724957558</v>
      </c>
      <c r="I53" s="12" t="e">
        <f>output_NHTS!I57/SUM(output_NHTS!I$57:I$60)</f>
        <v>#DIV/0!</v>
      </c>
      <c r="J53" s="12">
        <f>output_NHTS!J57/SUM(output_NHTS!J$57:J$60)</f>
        <v>0.78085949405669008</v>
      </c>
      <c r="L53" s="3" t="s">
        <v>228</v>
      </c>
      <c r="M53" s="42">
        <f>output!B57/SUM(output!B$57:B$60)</f>
        <v>0.80875202593192874</v>
      </c>
      <c r="N53" s="42">
        <f>output!C57/SUM(output!C$57:C$60)</f>
        <v>0.72753623188405792</v>
      </c>
      <c r="O53" s="42">
        <f>output!D57/SUM(output!D$57:D$60)</f>
        <v>0.74522292993630568</v>
      </c>
      <c r="P53" s="42">
        <f>output!E57/SUM(output!E$57:E$60)</f>
        <v>0.71149674620390457</v>
      </c>
      <c r="Q53" s="42">
        <f>output!F57/SUM(output!F$57:F$60)</f>
        <v>0.75862068965517238</v>
      </c>
      <c r="R53" s="42">
        <f>output!G57/SUM(output!G$57:G$60)</f>
        <v>0.83419689119170981</v>
      </c>
      <c r="S53" s="42">
        <f>output!H57/SUM(output!H$57:H$60)</f>
        <v>0.81494057724957558</v>
      </c>
      <c r="T53" s="42" t="e">
        <f>output!I57/SUM(output!I$57:I$60)</f>
        <v>#DIV/0!</v>
      </c>
      <c r="U53" s="42">
        <f>output!J57/SUM(output!J$57:J$60)</f>
        <v>0.78085949405669008</v>
      </c>
      <c r="W53" s="3" t="s">
        <v>228</v>
      </c>
      <c r="X53" s="12">
        <f ref="X53:AD57" si="19" t="shared">M53-B53</f>
        <v>0</v>
      </c>
      <c r="Y53" s="12">
        <f si="19" t="shared"/>
        <v>0</v>
      </c>
      <c r="Z53" s="12">
        <f si="19" t="shared"/>
        <v>0</v>
      </c>
      <c r="AA53" s="12">
        <f si="19" t="shared"/>
        <v>0</v>
      </c>
      <c r="AB53" s="12">
        <f si="19" t="shared"/>
        <v>0</v>
      </c>
      <c r="AC53" s="12">
        <f si="19" t="shared"/>
        <v>0</v>
      </c>
      <c r="AD53" s="12">
        <f si="19" t="shared"/>
        <v>0</v>
      </c>
      <c r="AE53" s="12" t="e">
        <f ref="AE53:AF57" si="20" t="shared">T53-I53</f>
        <v>#DIV/0!</v>
      </c>
      <c r="AF53" s="12">
        <f si="20" t="shared"/>
        <v>0</v>
      </c>
    </row>
    <row r="54" spans="1:32" x14ac:dyDescent="0.35">
      <c r="A54" s="3" t="s">
        <v>237</v>
      </c>
      <c r="B54" s="12">
        <f>output_NHTS!B58/SUM(output_NHTS!B$57:B$60)</f>
        <v>0.16369529983792544</v>
      </c>
      <c r="C54" s="12">
        <f>output_NHTS!C58/SUM(output_NHTS!C$57:C$60)</f>
        <v>0.24057971014492754</v>
      </c>
      <c r="D54" s="12">
        <f>output_NHTS!D58/SUM(output_NHTS!D$57:D$60)</f>
        <v>0.15605095541401273</v>
      </c>
      <c r="E54" s="12">
        <f>output_NHTS!E58/SUM(output_NHTS!E$57:E$60)</f>
        <v>0.19305856832971802</v>
      </c>
      <c r="F54" s="12">
        <f>output_NHTS!F58/SUM(output_NHTS!F$57:F$60)</f>
        <v>0.22068965517241379</v>
      </c>
      <c r="G54" s="12">
        <f>output_NHTS!G58/SUM(output_NHTS!G$57:G$60)</f>
        <v>0.15025906735751296</v>
      </c>
      <c r="H54" s="12">
        <f>output_NHTS!H58/SUM(output_NHTS!H$57:H$60)</f>
        <v>0.17487266553480477</v>
      </c>
      <c r="I54" s="12" t="e">
        <f>output_NHTS!I58/SUM(output_NHTS!I$57:I$60)</f>
        <v>#DIV/0!</v>
      </c>
      <c r="J54" s="12">
        <f>output_NHTS!J58/SUM(output_NHTS!J$57:J$60)</f>
        <v>0.17890886924718075</v>
      </c>
      <c r="L54" s="3" t="s">
        <v>237</v>
      </c>
      <c r="M54" s="42">
        <f>output!B58/SUM(output!B$57:B$60)</f>
        <v>0.16369529983792544</v>
      </c>
      <c r="N54" s="42">
        <f>output!C58/SUM(output!C$57:C$60)</f>
        <v>0.24057971014492754</v>
      </c>
      <c r="O54" s="42">
        <f>output!D58/SUM(output!D$57:D$60)</f>
        <v>0.15605095541401273</v>
      </c>
      <c r="P54" s="42">
        <f>output!E58/SUM(output!E$57:E$60)</f>
        <v>0.19305856832971802</v>
      </c>
      <c r="Q54" s="42">
        <f>output!F58/SUM(output!F$57:F$60)</f>
        <v>0.22068965517241379</v>
      </c>
      <c r="R54" s="42">
        <f>output!G58/SUM(output!G$57:G$60)</f>
        <v>0.15025906735751296</v>
      </c>
      <c r="S54" s="42">
        <f>output!H58/SUM(output!H$57:H$60)</f>
        <v>0.17487266553480477</v>
      </c>
      <c r="T54" s="42" t="e">
        <f>output!I58/SUM(output!I$57:I$60)</f>
        <v>#DIV/0!</v>
      </c>
      <c r="U54" s="42">
        <f>output!J58/SUM(output!J$57:J$60)</f>
        <v>0.17890886924718075</v>
      </c>
      <c r="W54" s="3" t="s">
        <v>237</v>
      </c>
      <c r="X54" s="12">
        <f si="19" t="shared"/>
        <v>0</v>
      </c>
      <c r="Y54" s="12">
        <f si="19" t="shared"/>
        <v>0</v>
      </c>
      <c r="Z54" s="12">
        <f si="19" t="shared"/>
        <v>0</v>
      </c>
      <c r="AA54" s="12">
        <f si="19" t="shared"/>
        <v>0</v>
      </c>
      <c r="AB54" s="12">
        <f si="19" t="shared"/>
        <v>0</v>
      </c>
      <c r="AC54" s="12">
        <f si="19" t="shared"/>
        <v>0</v>
      </c>
      <c r="AD54" s="12">
        <f si="19" t="shared"/>
        <v>0</v>
      </c>
      <c r="AE54" s="12" t="e">
        <f si="20" t="shared"/>
        <v>#DIV/0!</v>
      </c>
      <c r="AF54" s="12">
        <f si="20" t="shared"/>
        <v>0</v>
      </c>
    </row>
    <row r="55" spans="1:32" x14ac:dyDescent="0.35">
      <c r="A55" s="3" t="s">
        <v>238</v>
      </c>
      <c r="B55" s="12">
        <f>output_NHTS!B59/SUM(output_NHTS!B$57:B$60)</f>
        <v>2.0259319286871962E-2</v>
      </c>
      <c r="C55" s="12">
        <f>output_NHTS!C59/SUM(output_NHTS!C$57:C$60)</f>
        <v>2.318840579710145E-2</v>
      </c>
      <c r="D55" s="12">
        <f>output_NHTS!D59/SUM(output_NHTS!D$57:D$60)</f>
        <v>5.7324840764331211E-2</v>
      </c>
      <c r="E55" s="12">
        <f>output_NHTS!E59/SUM(output_NHTS!E$57:E$60)</f>
        <v>7.3752711496746198E-2</v>
      </c>
      <c r="F55" s="12">
        <f>output_NHTS!F59/SUM(output_NHTS!F$57:F$60)</f>
        <v>2.0689655172413793E-2</v>
      </c>
      <c r="G55" s="12">
        <f>output_NHTS!G59/SUM(output_NHTS!G$57:G$60)</f>
        <v>1.0362694300518135E-2</v>
      </c>
      <c r="H55" s="12">
        <f>output_NHTS!H59/SUM(output_NHTS!H$57:H$60)</f>
        <v>1.0186757215619695E-2</v>
      </c>
      <c r="I55" s="12" t="e">
        <f>output_NHTS!I59/SUM(output_NHTS!I$57:I$60)</f>
        <v>#DIV/0!</v>
      </c>
      <c r="J55" s="12">
        <f>output_NHTS!J59/SUM(output_NHTS!J$57:J$60)</f>
        <v>2.9259372142639441E-2</v>
      </c>
      <c r="L55" s="3" t="s">
        <v>238</v>
      </c>
      <c r="M55" s="42">
        <f>output!B59/SUM(output!B$57:B$60)</f>
        <v>2.0259319286871962E-2</v>
      </c>
      <c r="N55" s="42">
        <f>output!C59/SUM(output!C$57:C$60)</f>
        <v>2.318840579710145E-2</v>
      </c>
      <c r="O55" s="42">
        <f>output!D59/SUM(output!D$57:D$60)</f>
        <v>5.7324840764331211E-2</v>
      </c>
      <c r="P55" s="42">
        <f>output!E59/SUM(output!E$57:E$60)</f>
        <v>7.3752711496746198E-2</v>
      </c>
      <c r="Q55" s="42">
        <f>output!F59/SUM(output!F$57:F$60)</f>
        <v>2.0689655172413793E-2</v>
      </c>
      <c r="R55" s="42">
        <f>output!G59/SUM(output!G$57:G$60)</f>
        <v>1.0362694300518135E-2</v>
      </c>
      <c r="S55" s="42">
        <f>output!H59/SUM(output!H$57:H$60)</f>
        <v>1.0186757215619695E-2</v>
      </c>
      <c r="T55" s="42" t="e">
        <f>output!I59/SUM(output!I$57:I$60)</f>
        <v>#DIV/0!</v>
      </c>
      <c r="U55" s="42">
        <f>output!J59/SUM(output!J$57:J$60)</f>
        <v>2.9259372142639441E-2</v>
      </c>
      <c r="W55" s="3" t="s">
        <v>238</v>
      </c>
      <c r="X55" s="12">
        <f si="19" t="shared"/>
        <v>0</v>
      </c>
      <c r="Y55" s="12">
        <f si="19" t="shared"/>
        <v>0</v>
      </c>
      <c r="Z55" s="12">
        <f si="19" t="shared"/>
        <v>0</v>
      </c>
      <c r="AA55" s="12">
        <f si="19" t="shared"/>
        <v>0</v>
      </c>
      <c r="AB55" s="12">
        <f si="19" t="shared"/>
        <v>0</v>
      </c>
      <c r="AC55" s="12">
        <f si="19" t="shared"/>
        <v>0</v>
      </c>
      <c r="AD55" s="12">
        <f si="19" t="shared"/>
        <v>0</v>
      </c>
      <c r="AE55" s="12" t="e">
        <f si="20" t="shared"/>
        <v>#DIV/0!</v>
      </c>
      <c r="AF55" s="12">
        <f si="20" t="shared"/>
        <v>0</v>
      </c>
    </row>
    <row r="56" spans="1:32" x14ac:dyDescent="0.35">
      <c r="A56" s="8" t="s">
        <v>173</v>
      </c>
      <c r="B56" s="13">
        <f>output_NHTS!B60/SUM(output_NHTS!B$57:B$60)</f>
        <v>7.2933549432739062E-3</v>
      </c>
      <c r="C56" s="13">
        <f>output_NHTS!C60/SUM(output_NHTS!C$57:C$60)</f>
        <v>8.6956521739130436E-3</v>
      </c>
      <c r="D56" s="13">
        <f>output_NHTS!D60/SUM(output_NHTS!D$57:D$60)</f>
        <v>4.1401273885350316E-2</v>
      </c>
      <c r="E56" s="13">
        <f>output_NHTS!E60/SUM(output_NHTS!E$57:E$60)</f>
        <v>2.1691973969631236E-2</v>
      </c>
      <c r="F56" s="13">
        <f>output_NHTS!F60/SUM(output_NHTS!F$57:F$60)</f>
        <v>0</v>
      </c>
      <c r="G56" s="13">
        <f>output_NHTS!G60/SUM(output_NHTS!G$57:G$60)</f>
        <v>5.1813471502590676E-3</v>
      </c>
      <c r="H56" s="13">
        <f>output_NHTS!H60/SUM(output_NHTS!H$57:H$60)</f>
        <v>0</v>
      </c>
      <c r="I56" s="13" t="e">
        <f>output_NHTS!I60/SUM(output_NHTS!I$57:I$60)</f>
        <v>#DIV/0!</v>
      </c>
      <c r="J56" s="13">
        <f>output_NHTS!J60/SUM(output_NHTS!J$57:J$60)</f>
        <v>1.0972264553489789E-2</v>
      </c>
      <c r="L56" s="8" t="s">
        <v>173</v>
      </c>
      <c r="M56" s="43">
        <f>output!B60/SUM(output!B$57:B$60)</f>
        <v>7.2933549432739062E-3</v>
      </c>
      <c r="N56" s="43">
        <f>output!C60/SUM(output!C$57:C$60)</f>
        <v>8.6956521739130436E-3</v>
      </c>
      <c r="O56" s="43">
        <f>output!D60/SUM(output!D$57:D$60)</f>
        <v>4.1401273885350316E-2</v>
      </c>
      <c r="P56" s="43">
        <f>output!E60/SUM(output!E$57:E$60)</f>
        <v>2.1691973969631236E-2</v>
      </c>
      <c r="Q56" s="43">
        <f>output!F60/SUM(output!F$57:F$60)</f>
        <v>0</v>
      </c>
      <c r="R56" s="43">
        <f>output!G60/SUM(output!G$57:G$60)</f>
        <v>5.1813471502590676E-3</v>
      </c>
      <c r="S56" s="43">
        <f>output!H60/SUM(output!H$57:H$60)</f>
        <v>0</v>
      </c>
      <c r="T56" s="43" t="e">
        <f>output!I60/SUM(output!I$57:I$60)</f>
        <v>#DIV/0!</v>
      </c>
      <c r="U56" s="43">
        <f>output!J60/SUM(output!J$57:J$60)</f>
        <v>1.0972264553489789E-2</v>
      </c>
      <c r="W56" s="8" t="s">
        <v>173</v>
      </c>
      <c r="X56" s="12">
        <f si="19" t="shared"/>
        <v>0</v>
      </c>
      <c r="Y56" s="12">
        <f si="19" t="shared"/>
        <v>0</v>
      </c>
      <c r="Z56" s="12">
        <f si="19" t="shared"/>
        <v>0</v>
      </c>
      <c r="AA56" s="12">
        <f si="19" t="shared"/>
        <v>0</v>
      </c>
      <c r="AB56" s="12">
        <f si="19" t="shared"/>
        <v>0</v>
      </c>
      <c r="AC56" s="12">
        <f si="19" t="shared"/>
        <v>0</v>
      </c>
      <c r="AD56" s="12">
        <f si="19" t="shared"/>
        <v>0</v>
      </c>
      <c r="AE56" s="12" t="e">
        <f si="20" t="shared"/>
        <v>#DIV/0!</v>
      </c>
      <c r="AF56" s="12">
        <f si="20" t="shared"/>
        <v>0</v>
      </c>
    </row>
    <row ht="13.15" r="57" spans="1:32" thickBot="1" x14ac:dyDescent="0.4">
      <c r="A57" s="15" t="s">
        <v>223</v>
      </c>
      <c r="B57" s="44">
        <f>SUM(B53:B56)</f>
        <v>1</v>
      </c>
      <c r="C57" s="44">
        <f ref="C57:J57" si="21" t="shared">SUM(C53:C56)</f>
        <v>0.99999999999999989</v>
      </c>
      <c r="D57" s="44">
        <f si="21" t="shared"/>
        <v>0.99999999999999989</v>
      </c>
      <c r="E57" s="44">
        <f si="21" t="shared"/>
        <v>1</v>
      </c>
      <c r="F57" s="44">
        <f si="21" t="shared"/>
        <v>1</v>
      </c>
      <c r="G57" s="44">
        <f si="21" t="shared"/>
        <v>1</v>
      </c>
      <c r="H57" s="44">
        <f si="21" t="shared"/>
        <v>1</v>
      </c>
      <c r="I57" s="44" t="e">
        <f si="21" t="shared"/>
        <v>#DIV/0!</v>
      </c>
      <c r="J57" s="44">
        <f si="21" t="shared"/>
        <v>1</v>
      </c>
      <c r="L57" s="15" t="s">
        <v>223</v>
      </c>
      <c r="M57" s="44">
        <f>SUM(M53:M56)</f>
        <v>1</v>
      </c>
      <c r="N57" s="44">
        <f ref="N57:U57" si="22" t="shared">SUM(N53:N56)</f>
        <v>0.99999999999999989</v>
      </c>
      <c r="O57" s="44">
        <f si="22" t="shared"/>
        <v>0.99999999999999989</v>
      </c>
      <c r="P57" s="44">
        <f si="22" t="shared"/>
        <v>1</v>
      </c>
      <c r="Q57" s="44">
        <f si="22" t="shared"/>
        <v>1</v>
      </c>
      <c r="R57" s="44">
        <f si="22" t="shared"/>
        <v>1</v>
      </c>
      <c r="S57" s="44">
        <f si="22" t="shared"/>
        <v>1</v>
      </c>
      <c r="T57" s="44" t="e">
        <f si="22" t="shared"/>
        <v>#DIV/0!</v>
      </c>
      <c r="U57" s="44">
        <f si="22" t="shared"/>
        <v>1</v>
      </c>
      <c r="W57" s="15" t="s">
        <v>223</v>
      </c>
      <c r="X57" s="14">
        <f si="19" t="shared"/>
        <v>0</v>
      </c>
      <c r="Y57" s="14">
        <f si="19" t="shared"/>
        <v>0</v>
      </c>
      <c r="Z57" s="14">
        <f si="19" t="shared"/>
        <v>0</v>
      </c>
      <c r="AA57" s="14">
        <f si="19" t="shared"/>
        <v>0</v>
      </c>
      <c r="AB57" s="14">
        <f si="19" t="shared"/>
        <v>0</v>
      </c>
      <c r="AC57" s="14">
        <f si="19" t="shared"/>
        <v>0</v>
      </c>
      <c r="AD57" s="14">
        <f si="19" t="shared"/>
        <v>0</v>
      </c>
      <c r="AE57" s="14" t="e">
        <f si="20" t="shared"/>
        <v>#DIV/0!</v>
      </c>
      <c r="AF57" s="14">
        <f si="20" t="shared"/>
        <v>0</v>
      </c>
    </row>
    <row ht="13.15" r="61" spans="1:32" x14ac:dyDescent="0.4">
      <c r="A61" s="2" t="s">
        <v>175</v>
      </c>
      <c r="L61" s="2" t="s">
        <v>175</v>
      </c>
      <c r="W61" s="2" t="s">
        <v>175</v>
      </c>
    </row>
    <row ht="13.15" r="62" spans="1:32" x14ac:dyDescent="0.4">
      <c r="A62" s="2" t="s">
        <v>258</v>
      </c>
      <c r="L62" s="2" t="s">
        <v>297</v>
      </c>
      <c r="W62" s="2" t="s">
        <v>92</v>
      </c>
    </row>
    <row ht="13.15" r="63" spans="1:32" thickBot="1" x14ac:dyDescent="0.4"/>
    <row ht="13.15" r="64" spans="1:32" x14ac:dyDescent="0.4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245</v>
      </c>
      <c r="Q64" s="41" t="s">
        <v>246</v>
      </c>
      <c r="R64" s="41" t="s">
        <v>247</v>
      </c>
      <c r="S64" s="41" t="s">
        <v>248</v>
      </c>
      <c r="T64" s="41" t="s">
        <v>170</v>
      </c>
      <c r="U64" s="41" t="s">
        <v>223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35">
      <c r="A65" s="3" t="s">
        <v>228</v>
      </c>
      <c r="B65" s="12">
        <f>output_NHTS!B64/SUM(output_NHTS!B$64:B$67)</f>
        <v>0.75526742301458671</v>
      </c>
      <c r="C65" s="12">
        <f>output_NHTS!C64/SUM(output_NHTS!C$64:C$67)</f>
        <v>0.73623188405797102</v>
      </c>
      <c r="D65" s="12">
        <f>output_NHTS!D64/SUM(output_NHTS!D$64:D$67)</f>
        <v>0.73566878980891715</v>
      </c>
      <c r="E65" s="12">
        <f>output_NHTS!E64/SUM(output_NHTS!E$64:E$67)</f>
        <v>0.74837310195227769</v>
      </c>
      <c r="F65" s="12">
        <f>output_NHTS!F64/SUM(output_NHTS!F$64:F$67)</f>
        <v>0.70344827586206893</v>
      </c>
      <c r="G65" s="12">
        <f>output_NHTS!G64/SUM(output_NHTS!G$64:G$67)</f>
        <v>0.67875647668393779</v>
      </c>
      <c r="H65" s="12">
        <f>output_NHTS!H64/SUM(output_NHTS!H$64:H$67)</f>
        <v>0.81494057724957558</v>
      </c>
      <c r="I65" s="12" t="e">
        <f>output_NHTS!I64/SUM(output_NHTS!I$64:I$67)</f>
        <v>#DIV/0!</v>
      </c>
      <c r="J65" s="12">
        <f>output_NHTS!J64/SUM(output_NHTS!J$64:J$67)</f>
        <v>0.75434318805242306</v>
      </c>
      <c r="L65" s="3" t="s">
        <v>228</v>
      </c>
      <c r="M65" s="42">
        <f>output!B64/SUM(output!B$64:B$67)</f>
        <v>0.75526742301458671</v>
      </c>
      <c r="N65" s="42">
        <f>output!C64/SUM(output!C$64:C$67)</f>
        <v>0.73623188405797102</v>
      </c>
      <c r="O65" s="42">
        <f>output!D64/SUM(output!D$64:D$67)</f>
        <v>0.73566878980891715</v>
      </c>
      <c r="P65" s="42">
        <f>output!E64/SUM(output!E$64:E$67)</f>
        <v>0.74837310195227769</v>
      </c>
      <c r="Q65" s="42">
        <f>output!F64/SUM(output!F$64:F$67)</f>
        <v>0.70344827586206893</v>
      </c>
      <c r="R65" s="42">
        <f>output!G64/SUM(output!G$64:G$67)</f>
        <v>0.67875647668393779</v>
      </c>
      <c r="S65" s="42">
        <f>output!H64/SUM(output!H$64:H$67)</f>
        <v>0.81494057724957558</v>
      </c>
      <c r="T65" s="42" t="e">
        <f>output!I64/SUM(output!I$64:I$67)</f>
        <v>#DIV/0!</v>
      </c>
      <c r="U65" s="42">
        <f>output!J64/SUM(output!J$64:J$67)</f>
        <v>0.75434318805242306</v>
      </c>
      <c r="W65" s="3" t="s">
        <v>228</v>
      </c>
      <c r="X65" s="12">
        <f ref="X65:AD69" si="23" t="shared">M65-B65</f>
        <v>0</v>
      </c>
      <c r="Y65" s="12">
        <f si="23" t="shared"/>
        <v>0</v>
      </c>
      <c r="Z65" s="12">
        <f si="23" t="shared"/>
        <v>0</v>
      </c>
      <c r="AA65" s="12">
        <f si="23" t="shared"/>
        <v>0</v>
      </c>
      <c r="AB65" s="12">
        <f si="23" t="shared"/>
        <v>0</v>
      </c>
      <c r="AC65" s="12">
        <f si="23" t="shared"/>
        <v>0</v>
      </c>
      <c r="AD65" s="12">
        <f si="23" t="shared"/>
        <v>0</v>
      </c>
      <c r="AE65" s="12" t="e">
        <f ref="AE65:AF69" si="24" t="shared">T65-I65</f>
        <v>#DIV/0!</v>
      </c>
      <c r="AF65" s="12">
        <f si="24" t="shared"/>
        <v>0</v>
      </c>
    </row>
    <row r="66" spans="1:32" x14ac:dyDescent="0.35">
      <c r="A66" s="3" t="s">
        <v>237</v>
      </c>
      <c r="B66" s="12">
        <f>output_NHTS!B65/SUM(output_NHTS!B$64:B$67)</f>
        <v>0.15802269043760131</v>
      </c>
      <c r="C66" s="12">
        <f>output_NHTS!C65/SUM(output_NHTS!C$64:C$67)</f>
        <v>0.18260869565217391</v>
      </c>
      <c r="D66" s="12">
        <f>output_NHTS!D65/SUM(output_NHTS!D$64:D$67)</f>
        <v>0.13694267515923567</v>
      </c>
      <c r="E66" s="12">
        <f>output_NHTS!E65/SUM(output_NHTS!E$64:E$67)</f>
        <v>0.13232104121475055</v>
      </c>
      <c r="F66" s="12">
        <f>output_NHTS!F65/SUM(output_NHTS!F$64:F$67)</f>
        <v>0.23448275862068965</v>
      </c>
      <c r="G66" s="12">
        <f>output_NHTS!G65/SUM(output_NHTS!G$64:G$67)</f>
        <v>0.23316062176165803</v>
      </c>
      <c r="H66" s="12">
        <f>output_NHTS!H65/SUM(output_NHTS!H$64:H$67)</f>
        <v>0.15110356536502548</v>
      </c>
      <c r="I66" s="12" t="e">
        <f>output_NHTS!I65/SUM(output_NHTS!I$64:I$67)</f>
        <v>#DIV/0!</v>
      </c>
      <c r="J66" s="12">
        <f>output_NHTS!J65/SUM(output_NHTS!J$64:J$67)</f>
        <v>0.16153611703748857</v>
      </c>
      <c r="L66" s="3" t="s">
        <v>237</v>
      </c>
      <c r="M66" s="42">
        <f>output!B65/SUM(output!B$64:B$67)</f>
        <v>0.15802269043760131</v>
      </c>
      <c r="N66" s="42">
        <f>output!C65/SUM(output!C$64:C$67)</f>
        <v>0.18260869565217391</v>
      </c>
      <c r="O66" s="42">
        <f>output!D65/SUM(output!D$64:D$67)</f>
        <v>0.13694267515923567</v>
      </c>
      <c r="P66" s="42">
        <f>output!E65/SUM(output!E$64:E$67)</f>
        <v>0.13232104121475055</v>
      </c>
      <c r="Q66" s="42">
        <f>output!F65/SUM(output!F$64:F$67)</f>
        <v>0.23448275862068965</v>
      </c>
      <c r="R66" s="42">
        <f>output!G65/SUM(output!G$64:G$67)</f>
        <v>0.23316062176165803</v>
      </c>
      <c r="S66" s="42">
        <f>output!H65/SUM(output!H$64:H$67)</f>
        <v>0.15110356536502548</v>
      </c>
      <c r="T66" s="42" t="e">
        <f>output!I65/SUM(output!I$64:I$67)</f>
        <v>#DIV/0!</v>
      </c>
      <c r="U66" s="42">
        <f>output!J65/SUM(output!J$64:J$67)</f>
        <v>0.16153611703748857</v>
      </c>
      <c r="W66" s="3" t="s">
        <v>237</v>
      </c>
      <c r="X66" s="12">
        <f si="23" t="shared"/>
        <v>0</v>
      </c>
      <c r="Y66" s="12">
        <f si="23" t="shared"/>
        <v>0</v>
      </c>
      <c r="Z66" s="12">
        <f si="23" t="shared"/>
        <v>0</v>
      </c>
      <c r="AA66" s="12">
        <f si="23" t="shared"/>
        <v>0</v>
      </c>
      <c r="AB66" s="12">
        <f si="23" t="shared"/>
        <v>0</v>
      </c>
      <c r="AC66" s="12">
        <f si="23" t="shared"/>
        <v>0</v>
      </c>
      <c r="AD66" s="12">
        <f si="23" t="shared"/>
        <v>0</v>
      </c>
      <c r="AE66" s="12" t="e">
        <f si="24" t="shared"/>
        <v>#DIV/0!</v>
      </c>
      <c r="AF66" s="12">
        <f si="24" t="shared"/>
        <v>0</v>
      </c>
    </row>
    <row r="67" spans="1:32" x14ac:dyDescent="0.35">
      <c r="A67" s="3" t="s">
        <v>238</v>
      </c>
      <c r="B67" s="12">
        <f>output_NHTS!B66/SUM(output_NHTS!B$64:B$67)</f>
        <v>8.0226904376012972E-2</v>
      </c>
      <c r="C67" s="12">
        <f>output_NHTS!C66/SUM(output_NHTS!C$64:C$67)</f>
        <v>7.2463768115942032E-2</v>
      </c>
      <c r="D67" s="12">
        <f>output_NHTS!D66/SUM(output_NHTS!D$64:D$67)</f>
        <v>0.11146496815286625</v>
      </c>
      <c r="E67" s="12">
        <f>output_NHTS!E66/SUM(output_NHTS!E$64:E$67)</f>
        <v>0.11496746203904555</v>
      </c>
      <c r="F67" s="12">
        <f>output_NHTS!F66/SUM(output_NHTS!F$64:F$67)</f>
        <v>4.1379310344827586E-2</v>
      </c>
      <c r="G67" s="12">
        <f>output_NHTS!G66/SUM(output_NHTS!G$64:G$67)</f>
        <v>8.8082901554404139E-2</v>
      </c>
      <c r="H67" s="12">
        <f>output_NHTS!H66/SUM(output_NHTS!H$64:H$67)</f>
        <v>2.7164685908319185E-2</v>
      </c>
      <c r="I67" s="12" t="e">
        <f>output_NHTS!I66/SUM(output_NHTS!I$64:I$67)</f>
        <v>#DIV/0!</v>
      </c>
      <c r="J67" s="12">
        <f>output_NHTS!J66/SUM(output_NHTS!J$64:J$67)</f>
        <v>7.65010667479427E-2</v>
      </c>
      <c r="L67" s="3" t="s">
        <v>238</v>
      </c>
      <c r="M67" s="42">
        <f>output!B66/SUM(output!B$64:B$67)</f>
        <v>8.0226904376012972E-2</v>
      </c>
      <c r="N67" s="42">
        <f>output!C66/SUM(output!C$64:C$67)</f>
        <v>7.2463768115942032E-2</v>
      </c>
      <c r="O67" s="42">
        <f>output!D66/SUM(output!D$64:D$67)</f>
        <v>0.11146496815286625</v>
      </c>
      <c r="P67" s="42">
        <f>output!E66/SUM(output!E$64:E$67)</f>
        <v>0.11496746203904555</v>
      </c>
      <c r="Q67" s="42">
        <f>output!F66/SUM(output!F$64:F$67)</f>
        <v>4.1379310344827586E-2</v>
      </c>
      <c r="R67" s="42">
        <f>output!G66/SUM(output!G$64:G$67)</f>
        <v>8.8082901554404139E-2</v>
      </c>
      <c r="S67" s="42">
        <f>output!H66/SUM(output!H$64:H$67)</f>
        <v>2.7164685908319185E-2</v>
      </c>
      <c r="T67" s="42" t="e">
        <f>output!I66/SUM(output!I$64:I$67)</f>
        <v>#DIV/0!</v>
      </c>
      <c r="U67" s="42">
        <f>output!J66/SUM(output!J$64:J$67)</f>
        <v>7.65010667479427E-2</v>
      </c>
      <c r="W67" s="3" t="s">
        <v>238</v>
      </c>
      <c r="X67" s="12">
        <f si="23" t="shared"/>
        <v>0</v>
      </c>
      <c r="Y67" s="12">
        <f si="23" t="shared"/>
        <v>0</v>
      </c>
      <c r="Z67" s="12">
        <f si="23" t="shared"/>
        <v>0</v>
      </c>
      <c r="AA67" s="12">
        <f si="23" t="shared"/>
        <v>0</v>
      </c>
      <c r="AB67" s="12">
        <f si="23" t="shared"/>
        <v>0</v>
      </c>
      <c r="AC67" s="12">
        <f si="23" t="shared"/>
        <v>0</v>
      </c>
      <c r="AD67" s="12">
        <f si="23" t="shared"/>
        <v>0</v>
      </c>
      <c r="AE67" s="12" t="e">
        <f si="24" t="shared"/>
        <v>#DIV/0!</v>
      </c>
      <c r="AF67" s="12">
        <f si="24" t="shared"/>
        <v>0</v>
      </c>
    </row>
    <row r="68" spans="1:32" x14ac:dyDescent="0.35">
      <c r="A68" s="8" t="s">
        <v>173</v>
      </c>
      <c r="B68" s="13">
        <f>output_NHTS!B67/SUM(output_NHTS!B$64:B$67)</f>
        <v>6.4829821717990272E-3</v>
      </c>
      <c r="C68" s="13">
        <f>output_NHTS!C67/SUM(output_NHTS!C$64:C$67)</f>
        <v>8.6956521739130436E-3</v>
      </c>
      <c r="D68" s="13">
        <f>output_NHTS!D67/SUM(output_NHTS!D$64:D$67)</f>
        <v>1.5923566878980892E-2</v>
      </c>
      <c r="E68" s="13">
        <f>output_NHTS!E67/SUM(output_NHTS!E$64:E$67)</f>
        <v>4.3383947939262474E-3</v>
      </c>
      <c r="F68" s="13">
        <f>output_NHTS!F67/SUM(output_NHTS!F$64:F$67)</f>
        <v>2.0689655172413793E-2</v>
      </c>
      <c r="G68" s="13">
        <f>output_NHTS!G67/SUM(output_NHTS!G$64:G$67)</f>
        <v>0</v>
      </c>
      <c r="H68" s="13">
        <f>output_NHTS!H67/SUM(output_NHTS!H$64:H$67)</f>
        <v>6.7911714770797962E-3</v>
      </c>
      <c r="I68" s="13" t="e">
        <f>output_NHTS!I67/SUM(output_NHTS!I$64:I$67)</f>
        <v>#DIV/0!</v>
      </c>
      <c r="J68" s="13">
        <f>output_NHTS!J67/SUM(output_NHTS!J$64:J$67)</f>
        <v>7.6196281621456873E-3</v>
      </c>
      <c r="L68" s="8" t="s">
        <v>173</v>
      </c>
      <c r="M68" s="43">
        <f>output!B67/SUM(output!B$64:B$67)</f>
        <v>6.4829821717990272E-3</v>
      </c>
      <c r="N68" s="43">
        <f>output!C67/SUM(output!C$64:C$67)</f>
        <v>8.6956521739130436E-3</v>
      </c>
      <c r="O68" s="43">
        <f>output!D67/SUM(output!D$64:D$67)</f>
        <v>1.5923566878980892E-2</v>
      </c>
      <c r="P68" s="43">
        <f>output!E67/SUM(output!E$64:E$67)</f>
        <v>4.3383947939262474E-3</v>
      </c>
      <c r="Q68" s="43">
        <f>output!F67/SUM(output!F$64:F$67)</f>
        <v>2.0689655172413793E-2</v>
      </c>
      <c r="R68" s="43">
        <f>output!G67/SUM(output!G$64:G$67)</f>
        <v>0</v>
      </c>
      <c r="S68" s="43">
        <f>output!H67/SUM(output!H$64:H$67)</f>
        <v>6.7911714770797962E-3</v>
      </c>
      <c r="T68" s="43" t="e">
        <f>output!I67/SUM(output!I$64:I$67)</f>
        <v>#DIV/0!</v>
      </c>
      <c r="U68" s="43">
        <f>output!J67/SUM(output!J$64:J$67)</f>
        <v>7.6196281621456873E-3</v>
      </c>
      <c r="W68" s="8" t="s">
        <v>173</v>
      </c>
      <c r="X68" s="12">
        <f si="23" t="shared"/>
        <v>0</v>
      </c>
      <c r="Y68" s="12">
        <f si="23" t="shared"/>
        <v>0</v>
      </c>
      <c r="Z68" s="12">
        <f si="23" t="shared"/>
        <v>0</v>
      </c>
      <c r="AA68" s="12">
        <f si="23" t="shared"/>
        <v>0</v>
      </c>
      <c r="AB68" s="12">
        <f si="23" t="shared"/>
        <v>0</v>
      </c>
      <c r="AC68" s="12">
        <f si="23" t="shared"/>
        <v>0</v>
      </c>
      <c r="AD68" s="12">
        <f si="23" t="shared"/>
        <v>0</v>
      </c>
      <c r="AE68" s="12" t="e">
        <f si="24" t="shared"/>
        <v>#DIV/0!</v>
      </c>
      <c r="AF68" s="12">
        <f si="24" t="shared"/>
        <v>0</v>
      </c>
    </row>
    <row ht="13.15" r="69" spans="1:32" thickBot="1" x14ac:dyDescent="0.4">
      <c r="A69" s="15" t="s">
        <v>223</v>
      </c>
      <c r="B69" s="44">
        <f>SUM(B65:B68)</f>
        <v>1</v>
      </c>
      <c r="C69" s="44">
        <f ref="C69:J69" si="25" t="shared">SUM(C65:C68)</f>
        <v>0.99999999999999989</v>
      </c>
      <c r="D69" s="44">
        <f si="25" t="shared"/>
        <v>0.99999999999999989</v>
      </c>
      <c r="E69" s="44">
        <f si="25" t="shared"/>
        <v>1</v>
      </c>
      <c r="F69" s="44">
        <f si="25" t="shared"/>
        <v>1</v>
      </c>
      <c r="G69" s="44">
        <f si="25" t="shared"/>
        <v>0.99999999999999989</v>
      </c>
      <c r="H69" s="44">
        <f si="25" t="shared"/>
        <v>1</v>
      </c>
      <c r="I69" s="44" t="e">
        <f si="25" t="shared"/>
        <v>#DIV/0!</v>
      </c>
      <c r="J69" s="44">
        <f si="25" t="shared"/>
        <v>1</v>
      </c>
      <c r="L69" s="15" t="s">
        <v>223</v>
      </c>
      <c r="M69" s="44">
        <f>SUM(M65:M68)</f>
        <v>1</v>
      </c>
      <c r="N69" s="44">
        <f ref="N69:U69" si="26" t="shared">SUM(N65:N68)</f>
        <v>0.99999999999999989</v>
      </c>
      <c r="O69" s="44">
        <f si="26" t="shared"/>
        <v>0.99999999999999989</v>
      </c>
      <c r="P69" s="44">
        <f si="26" t="shared"/>
        <v>1</v>
      </c>
      <c r="Q69" s="44">
        <f si="26" t="shared"/>
        <v>1</v>
      </c>
      <c r="R69" s="44">
        <f si="26" t="shared"/>
        <v>0.99999999999999989</v>
      </c>
      <c r="S69" s="44">
        <f si="26" t="shared"/>
        <v>1</v>
      </c>
      <c r="T69" s="44" t="e">
        <f si="26" t="shared"/>
        <v>#DIV/0!</v>
      </c>
      <c r="U69" s="44">
        <f si="26" t="shared"/>
        <v>1</v>
      </c>
      <c r="W69" s="15" t="s">
        <v>223</v>
      </c>
      <c r="X69" s="14">
        <f si="23" t="shared"/>
        <v>0</v>
      </c>
      <c r="Y69" s="14">
        <f si="23" t="shared"/>
        <v>0</v>
      </c>
      <c r="Z69" s="14">
        <f si="23" t="shared"/>
        <v>0</v>
      </c>
      <c r="AA69" s="14">
        <f si="23" t="shared"/>
        <v>0</v>
      </c>
      <c r="AB69" s="14">
        <f si="23" t="shared"/>
        <v>0</v>
      </c>
      <c r="AC69" s="14">
        <f si="23" t="shared"/>
        <v>0</v>
      </c>
      <c r="AD69" s="14">
        <f si="23" t="shared"/>
        <v>0</v>
      </c>
      <c r="AE69" s="14" t="e">
        <f si="24" t="shared"/>
        <v>#DIV/0!</v>
      </c>
      <c r="AF69" s="14">
        <f si="24" t="shared"/>
        <v>0</v>
      </c>
    </row>
    <row ht="13.15" r="73" spans="1:32" x14ac:dyDescent="0.4">
      <c r="A73" s="2" t="s">
        <v>175</v>
      </c>
      <c r="L73" s="2" t="s">
        <v>175</v>
      </c>
      <c r="W73" s="2" t="s">
        <v>175</v>
      </c>
    </row>
    <row ht="13.15" r="74" spans="1:32" x14ac:dyDescent="0.4">
      <c r="A74" s="2" t="s">
        <v>120</v>
      </c>
      <c r="L74" s="2" t="s">
        <v>171</v>
      </c>
      <c r="W74" s="2" t="s">
        <v>93</v>
      </c>
    </row>
    <row ht="13.15" r="75" spans="1:32" thickBot="1" x14ac:dyDescent="0.4"/>
    <row ht="13.15" r="76" spans="1:32" x14ac:dyDescent="0.4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245</v>
      </c>
      <c r="Q76" s="41" t="s">
        <v>246</v>
      </c>
      <c r="R76" s="41" t="s">
        <v>247</v>
      </c>
      <c r="S76" s="41" t="s">
        <v>248</v>
      </c>
      <c r="T76" s="41" t="s">
        <v>170</v>
      </c>
      <c r="U76" s="41" t="s">
        <v>223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35">
      <c r="A77" s="3" t="s">
        <v>228</v>
      </c>
      <c r="B77" s="12">
        <f>output_NHTS!B71/SUM(output_NHTS!B$71:B$74)</f>
        <v>0.77633711507293357</v>
      </c>
      <c r="C77" s="12">
        <f>output_NHTS!C71/SUM(output_NHTS!C$71:C$74)</f>
        <v>0.74492753623188401</v>
      </c>
      <c r="D77" s="12">
        <f>output_NHTS!D71/SUM(output_NHTS!D$71:D$74)</f>
        <v>0.71019108280254772</v>
      </c>
      <c r="E77" s="12">
        <f>output_NHTS!E71/SUM(output_NHTS!E$71:E$74)</f>
        <v>0.69631236442516264</v>
      </c>
      <c r="F77" s="12">
        <f>output_NHTS!F71/SUM(output_NHTS!F$71:F$74)</f>
        <v>0.7448275862068966</v>
      </c>
      <c r="G77" s="12">
        <f>output_NHTS!G71/SUM(output_NHTS!G$71:G$74)</f>
        <v>0.78756476683937826</v>
      </c>
      <c r="H77" s="12">
        <f>output_NHTS!H71/SUM(output_NHTS!H$71:H$74)</f>
        <v>0.79626485568760608</v>
      </c>
      <c r="I77" s="12" t="e">
        <f>output_NHTS!I71/SUM(output_NHTS!I$71:I$74)</f>
        <v>#DIV/0!</v>
      </c>
      <c r="J77" s="12">
        <f>output_NHTS!J71/SUM(output_NHTS!J$71:J$74)</f>
        <v>0.75830539469673874</v>
      </c>
      <c r="L77" s="3" t="s">
        <v>228</v>
      </c>
      <c r="M77" s="42">
        <f>output!B71/SUM(output!B$71:B$74)</f>
        <v>0.77633711507293357</v>
      </c>
      <c r="N77" s="42">
        <f>output!C71/SUM(output!C$71:C$74)</f>
        <v>0.74492753623188401</v>
      </c>
      <c r="O77" s="42">
        <f>output!D71/SUM(output!D$71:D$74)</f>
        <v>0.71019108280254772</v>
      </c>
      <c r="P77" s="42">
        <f>output!E71/SUM(output!E$71:E$74)</f>
        <v>0.69631236442516264</v>
      </c>
      <c r="Q77" s="42">
        <f>output!F71/SUM(output!F$71:F$74)</f>
        <v>0.7448275862068966</v>
      </c>
      <c r="R77" s="42">
        <f>output!G71/SUM(output!G$71:G$74)</f>
        <v>0.78756476683937826</v>
      </c>
      <c r="S77" s="42">
        <f>output!H71/SUM(output!H$71:H$74)</f>
        <v>0.79626485568760608</v>
      </c>
      <c r="T77" s="42" t="e">
        <f>output!I71/SUM(output!I$71:I$74)</f>
        <v>#DIV/0!</v>
      </c>
      <c r="U77" s="42">
        <f>output!J71/SUM(output!J$71:J$74)</f>
        <v>0.75830539469673874</v>
      </c>
      <c r="W77" s="3" t="s">
        <v>228</v>
      </c>
      <c r="X77" s="12">
        <f ref="X77:AD81" si="27" t="shared">M77-B77</f>
        <v>0</v>
      </c>
      <c r="Y77" s="12">
        <f si="27" t="shared"/>
        <v>0</v>
      </c>
      <c r="Z77" s="12">
        <f si="27" t="shared"/>
        <v>0</v>
      </c>
      <c r="AA77" s="12">
        <f si="27" t="shared"/>
        <v>0</v>
      </c>
      <c r="AB77" s="12">
        <f si="27" t="shared"/>
        <v>0</v>
      </c>
      <c r="AC77" s="12">
        <f si="27" t="shared"/>
        <v>0</v>
      </c>
      <c r="AD77" s="12">
        <f si="27" t="shared"/>
        <v>0</v>
      </c>
      <c r="AE77" s="12" t="e">
        <f ref="AE77:AF81" si="28" t="shared">T77-I77</f>
        <v>#DIV/0!</v>
      </c>
      <c r="AF77" s="12">
        <f si="28" t="shared"/>
        <v>0</v>
      </c>
    </row>
    <row r="78" spans="1:32" x14ac:dyDescent="0.35">
      <c r="A78" s="3" t="s">
        <v>237</v>
      </c>
      <c r="B78" s="12">
        <f>output_NHTS!B72/SUM(output_NHTS!B$71:B$74)</f>
        <v>1.7828200972447326E-2</v>
      </c>
      <c r="C78" s="12">
        <f>output_NHTS!C72/SUM(output_NHTS!C$71:C$74)</f>
        <v>1.7391304347826087E-2</v>
      </c>
      <c r="D78" s="12">
        <f>output_NHTS!D72/SUM(output_NHTS!D$71:D$74)</f>
        <v>1.9108280254777069E-2</v>
      </c>
      <c r="E78" s="12">
        <f>output_NHTS!E72/SUM(output_NHTS!E$71:E$74)</f>
        <v>2.8199566160520606E-2</v>
      </c>
      <c r="F78" s="12">
        <f>output_NHTS!F72/SUM(output_NHTS!F$71:F$74)</f>
        <v>2.0689655172413793E-2</v>
      </c>
      <c r="G78" s="12">
        <f>output_NHTS!G72/SUM(output_NHTS!G$71:G$74)</f>
        <v>1.5544041450777202E-2</v>
      </c>
      <c r="H78" s="12">
        <f>output_NHTS!H72/SUM(output_NHTS!H$71:H$74)</f>
        <v>2.3769100169779286E-2</v>
      </c>
      <c r="I78" s="12" t="e">
        <f>output_NHTS!I72/SUM(output_NHTS!I$71:I$74)</f>
        <v>#DIV/0!</v>
      </c>
      <c r="J78" s="12">
        <f>output_NHTS!J72/SUM(output_NHTS!J$71:J$74)</f>
        <v>2.0420603474550443E-2</v>
      </c>
      <c r="L78" s="3" t="s">
        <v>237</v>
      </c>
      <c r="M78" s="42">
        <f>output!B72/SUM(output!B$71:B$74)</f>
        <v>1.7828200972447326E-2</v>
      </c>
      <c r="N78" s="42">
        <f>output!C72/SUM(output!C$71:C$74)</f>
        <v>1.7391304347826087E-2</v>
      </c>
      <c r="O78" s="42">
        <f>output!D72/SUM(output!D$71:D$74)</f>
        <v>1.9108280254777069E-2</v>
      </c>
      <c r="P78" s="42">
        <f>output!E72/SUM(output!E$71:E$74)</f>
        <v>2.8199566160520606E-2</v>
      </c>
      <c r="Q78" s="42">
        <f>output!F72/SUM(output!F$71:F$74)</f>
        <v>2.0689655172413793E-2</v>
      </c>
      <c r="R78" s="42">
        <f>output!G72/SUM(output!G$71:G$74)</f>
        <v>1.5544041450777202E-2</v>
      </c>
      <c r="S78" s="42">
        <f>output!H72/SUM(output!H$71:H$74)</f>
        <v>2.3769100169779286E-2</v>
      </c>
      <c r="T78" s="42" t="e">
        <f>output!I72/SUM(output!I$71:I$74)</f>
        <v>#DIV/0!</v>
      </c>
      <c r="U78" s="42">
        <f>output!J72/SUM(output!J$71:J$74)</f>
        <v>2.0420603474550443E-2</v>
      </c>
      <c r="W78" s="3" t="s">
        <v>237</v>
      </c>
      <c r="X78" s="12">
        <f si="27" t="shared"/>
        <v>0</v>
      </c>
      <c r="Y78" s="12">
        <f si="27" t="shared"/>
        <v>0</v>
      </c>
      <c r="Z78" s="12">
        <f si="27" t="shared"/>
        <v>0</v>
      </c>
      <c r="AA78" s="12">
        <f si="27" t="shared"/>
        <v>0</v>
      </c>
      <c r="AB78" s="12">
        <f si="27" t="shared"/>
        <v>0</v>
      </c>
      <c r="AC78" s="12">
        <f si="27" t="shared"/>
        <v>0</v>
      </c>
      <c r="AD78" s="12">
        <f si="27" t="shared"/>
        <v>0</v>
      </c>
      <c r="AE78" s="12" t="e">
        <f si="28" t="shared"/>
        <v>#DIV/0!</v>
      </c>
      <c r="AF78" s="12">
        <f si="28" t="shared"/>
        <v>0</v>
      </c>
    </row>
    <row r="79" spans="1:32" x14ac:dyDescent="0.35">
      <c r="A79" s="3" t="s">
        <v>238</v>
      </c>
      <c r="B79" s="12">
        <f>output_NHTS!B73/SUM(output_NHTS!B$71:B$74)</f>
        <v>0.20016207455429497</v>
      </c>
      <c r="C79" s="12">
        <f>output_NHTS!C73/SUM(output_NHTS!C$71:C$74)</f>
        <v>0.22318840579710145</v>
      </c>
      <c r="D79" s="12">
        <f>output_NHTS!D73/SUM(output_NHTS!D$71:D$74)</f>
        <v>0.26114649681528662</v>
      </c>
      <c r="E79" s="12">
        <f>output_NHTS!E73/SUM(output_NHTS!E$71:E$74)</f>
        <v>0.25813449023861174</v>
      </c>
      <c r="F79" s="12">
        <f>output_NHTS!F73/SUM(output_NHTS!F$71:F$74)</f>
        <v>0.22068965517241379</v>
      </c>
      <c r="G79" s="12">
        <f>output_NHTS!G73/SUM(output_NHTS!G$71:G$74)</f>
        <v>0.19170984455958548</v>
      </c>
      <c r="H79" s="12">
        <f>output_NHTS!H73/SUM(output_NHTS!H$71:H$74)</f>
        <v>0.17996604414261461</v>
      </c>
      <c r="I79" s="12" t="e">
        <f>output_NHTS!I73/SUM(output_NHTS!I$71:I$74)</f>
        <v>#DIV/0!</v>
      </c>
      <c r="J79" s="12">
        <f>output_NHTS!J73/SUM(output_NHTS!J$71:J$74)</f>
        <v>0.21334958854007924</v>
      </c>
      <c r="L79" s="3" t="s">
        <v>238</v>
      </c>
      <c r="M79" s="42">
        <f>output!B73/SUM(output!B$71:B$74)</f>
        <v>0.20016207455429497</v>
      </c>
      <c r="N79" s="42">
        <f>output!C73/SUM(output!C$71:C$74)</f>
        <v>0.22318840579710145</v>
      </c>
      <c r="O79" s="42">
        <f>output!D73/SUM(output!D$71:D$74)</f>
        <v>0.26114649681528662</v>
      </c>
      <c r="P79" s="42">
        <f>output!E73/SUM(output!E$71:E$74)</f>
        <v>0.25813449023861174</v>
      </c>
      <c r="Q79" s="42">
        <f>output!F73/SUM(output!F$71:F$74)</f>
        <v>0.22068965517241379</v>
      </c>
      <c r="R79" s="42">
        <f>output!G73/SUM(output!G$71:G$74)</f>
        <v>0.19170984455958548</v>
      </c>
      <c r="S79" s="42">
        <f>output!H73/SUM(output!H$71:H$74)</f>
        <v>0.17996604414261461</v>
      </c>
      <c r="T79" s="42" t="e">
        <f>output!I73/SUM(output!I$71:I$74)</f>
        <v>#DIV/0!</v>
      </c>
      <c r="U79" s="42">
        <f>output!J73/SUM(output!J$71:J$74)</f>
        <v>0.21334958854007924</v>
      </c>
      <c r="W79" s="3" t="s">
        <v>238</v>
      </c>
      <c r="X79" s="12">
        <f si="27" t="shared"/>
        <v>0</v>
      </c>
      <c r="Y79" s="12">
        <f si="27" t="shared"/>
        <v>0</v>
      </c>
      <c r="Z79" s="12">
        <f si="27" t="shared"/>
        <v>0</v>
      </c>
      <c r="AA79" s="12">
        <f si="27" t="shared"/>
        <v>0</v>
      </c>
      <c r="AB79" s="12">
        <f si="27" t="shared"/>
        <v>0</v>
      </c>
      <c r="AC79" s="12">
        <f si="27" t="shared"/>
        <v>0</v>
      </c>
      <c r="AD79" s="12">
        <f si="27" t="shared"/>
        <v>0</v>
      </c>
      <c r="AE79" s="12" t="e">
        <f si="28" t="shared"/>
        <v>#DIV/0!</v>
      </c>
      <c r="AF79" s="12">
        <f si="28" t="shared"/>
        <v>0</v>
      </c>
    </row>
    <row r="80" spans="1:32" x14ac:dyDescent="0.35">
      <c r="A80" s="8" t="s">
        <v>173</v>
      </c>
      <c r="B80" s="13">
        <f>output_NHTS!B74/SUM(output_NHTS!B$71:B$74)</f>
        <v>5.6726094003241492E-3</v>
      </c>
      <c r="C80" s="13">
        <f>output_NHTS!C74/SUM(output_NHTS!C$71:C$74)</f>
        <v>1.4492753623188406E-2</v>
      </c>
      <c r="D80" s="13">
        <f>output_NHTS!D74/SUM(output_NHTS!D$71:D$74)</f>
        <v>9.5541401273885346E-3</v>
      </c>
      <c r="E80" s="13">
        <f>output_NHTS!E74/SUM(output_NHTS!E$71:E$74)</f>
        <v>1.735357917570499E-2</v>
      </c>
      <c r="F80" s="13">
        <f>output_NHTS!F74/SUM(output_NHTS!F$71:F$74)</f>
        <v>1.3793103448275862E-2</v>
      </c>
      <c r="G80" s="13">
        <f>output_NHTS!G74/SUM(output_NHTS!G$71:G$74)</f>
        <v>5.1813471502590676E-3</v>
      </c>
      <c r="H80" s="13">
        <f>output_NHTS!H74/SUM(output_NHTS!H$71:H$74)</f>
        <v>0</v>
      </c>
      <c r="I80" s="13" t="e">
        <f>output_NHTS!I74/SUM(output_NHTS!I$71:I$74)</f>
        <v>#DIV/0!</v>
      </c>
      <c r="J80" s="13">
        <f>output_NHTS!J74/SUM(output_NHTS!J$71:J$74)</f>
        <v>7.9244132886315145E-3</v>
      </c>
      <c r="L80" s="8" t="s">
        <v>173</v>
      </c>
      <c r="M80" s="43">
        <f>output!B74/SUM(output!B$71:B$74)</f>
        <v>5.6726094003241492E-3</v>
      </c>
      <c r="N80" s="43">
        <f>output!C74/SUM(output!C$71:C$74)</f>
        <v>1.4492753623188406E-2</v>
      </c>
      <c r="O80" s="43">
        <f>output!D74/SUM(output!D$71:D$74)</f>
        <v>9.5541401273885346E-3</v>
      </c>
      <c r="P80" s="43">
        <f>output!E74/SUM(output!E$71:E$74)</f>
        <v>1.735357917570499E-2</v>
      </c>
      <c r="Q80" s="43">
        <f>output!F74/SUM(output!F$71:F$74)</f>
        <v>1.3793103448275862E-2</v>
      </c>
      <c r="R80" s="43">
        <f>output!G74/SUM(output!G$71:G$74)</f>
        <v>5.1813471502590676E-3</v>
      </c>
      <c r="S80" s="43">
        <f>output!H74/SUM(output!H$71:H$74)</f>
        <v>0</v>
      </c>
      <c r="T80" s="43" t="e">
        <f>output!I74/SUM(output!I$71:I$74)</f>
        <v>#DIV/0!</v>
      </c>
      <c r="U80" s="43">
        <f>output!J74/SUM(output!J$71:J$74)</f>
        <v>7.9244132886315145E-3</v>
      </c>
      <c r="W80" s="8" t="s">
        <v>173</v>
      </c>
      <c r="X80" s="12">
        <f si="27" t="shared"/>
        <v>0</v>
      </c>
      <c r="Y80" s="12">
        <f si="27" t="shared"/>
        <v>0</v>
      </c>
      <c r="Z80" s="12">
        <f si="27" t="shared"/>
        <v>0</v>
      </c>
      <c r="AA80" s="12">
        <f si="27" t="shared"/>
        <v>0</v>
      </c>
      <c r="AB80" s="12">
        <f si="27" t="shared"/>
        <v>0</v>
      </c>
      <c r="AC80" s="12">
        <f si="27" t="shared"/>
        <v>0</v>
      </c>
      <c r="AD80" s="12">
        <f si="27" t="shared"/>
        <v>0</v>
      </c>
      <c r="AE80" s="12" t="e">
        <f si="28" t="shared"/>
        <v>#DIV/0!</v>
      </c>
      <c r="AF80" s="12">
        <f si="28" t="shared"/>
        <v>0</v>
      </c>
    </row>
    <row ht="13.15" r="81" spans="1:32" thickBot="1" x14ac:dyDescent="0.4">
      <c r="A81" s="15" t="s">
        <v>223</v>
      </c>
      <c r="B81" s="44">
        <f>SUM(B77:B80)</f>
        <v>1</v>
      </c>
      <c r="C81" s="44">
        <f ref="C81:J81" si="29" t="shared">SUM(C77:C80)</f>
        <v>0.99999999999999989</v>
      </c>
      <c r="D81" s="44">
        <f si="29" t="shared"/>
        <v>0.99999999999999989</v>
      </c>
      <c r="E81" s="44">
        <f si="29" t="shared"/>
        <v>1</v>
      </c>
      <c r="F81" s="44">
        <f si="29" t="shared"/>
        <v>1</v>
      </c>
      <c r="G81" s="44">
        <f si="29" t="shared"/>
        <v>1</v>
      </c>
      <c r="H81" s="44">
        <f si="29" t="shared"/>
        <v>1</v>
      </c>
      <c r="I81" s="44" t="e">
        <f si="29" t="shared"/>
        <v>#DIV/0!</v>
      </c>
      <c r="J81" s="44">
        <f si="29" t="shared"/>
        <v>0.99999999999999989</v>
      </c>
      <c r="L81" s="15" t="s">
        <v>223</v>
      </c>
      <c r="M81" s="51">
        <f>SUM(M77:M80)</f>
        <v>1</v>
      </c>
      <c r="N81" s="51">
        <f ref="N81:U81" si="30" t="shared">SUM(N77:N80)</f>
        <v>0.99999999999999989</v>
      </c>
      <c r="O81" s="51">
        <f si="30" t="shared"/>
        <v>0.99999999999999989</v>
      </c>
      <c r="P81" s="51">
        <f si="30" t="shared"/>
        <v>1</v>
      </c>
      <c r="Q81" s="51">
        <f si="30" t="shared"/>
        <v>1</v>
      </c>
      <c r="R81" s="51">
        <f si="30" t="shared"/>
        <v>1</v>
      </c>
      <c r="S81" s="51">
        <f si="30" t="shared"/>
        <v>1</v>
      </c>
      <c r="T81" s="51" t="e">
        <f si="30" t="shared"/>
        <v>#DIV/0!</v>
      </c>
      <c r="U81" s="51">
        <f si="30" t="shared"/>
        <v>0.99999999999999989</v>
      </c>
      <c r="W81" s="15" t="s">
        <v>223</v>
      </c>
      <c r="X81" s="14">
        <f si="27" t="shared"/>
        <v>0</v>
      </c>
      <c r="Y81" s="14">
        <f si="27" t="shared"/>
        <v>0</v>
      </c>
      <c r="Z81" s="14">
        <f si="27" t="shared"/>
        <v>0</v>
      </c>
      <c r="AA81" s="14">
        <f si="27" t="shared"/>
        <v>0</v>
      </c>
      <c r="AB81" s="14">
        <f si="27" t="shared"/>
        <v>0</v>
      </c>
      <c r="AC81" s="14">
        <f si="27" t="shared"/>
        <v>0</v>
      </c>
      <c r="AD81" s="14">
        <f si="27" t="shared"/>
        <v>0</v>
      </c>
      <c r="AE81" s="14" t="e">
        <f si="28" t="shared"/>
        <v>#DIV/0!</v>
      </c>
      <c r="AF81" s="14">
        <f si="28" t="shared"/>
        <v>0</v>
      </c>
    </row>
  </sheetData>
  <phoneticPr fontId="4"/>
  <conditionalFormatting sqref="X29:AF33 X41:AF45 X53:AF57 X65:AF69 X77:AF81 X5:AF9 X17:AF21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F74"/>
  <sheetViews>
    <sheetView topLeftCell="A31" workbookViewId="0">
      <selection activeCell="O62" sqref="O62"/>
    </sheetView>
  </sheetViews>
  <sheetFormatPr defaultColWidth="10.76171875" defaultRowHeight="12.75" x14ac:dyDescent="0.35"/>
  <cols>
    <col min="1" max="11" style="3" width="10.76171875" collapsed="true"/>
    <col min="12" max="21" style="39" width="10.76171875" collapsed="true"/>
    <col min="22" max="23" style="3" width="10.76171875" collapsed="true"/>
    <col min="24" max="32" style="39" width="10.76171875" collapsed="true"/>
    <col min="33" max="16384" style="3" width="10.76171875" collapsed="true"/>
  </cols>
  <sheetData>
    <row ht="13.15" r="1" spans="1:32" x14ac:dyDescent="0.4">
      <c r="A1" s="2" t="s">
        <v>175</v>
      </c>
      <c r="L1" s="46" t="s">
        <v>175</v>
      </c>
      <c r="W1" s="2" t="s">
        <v>175</v>
      </c>
    </row>
    <row ht="13.15" r="2" spans="1:32" x14ac:dyDescent="0.4">
      <c r="A2" s="2" t="s">
        <v>123</v>
      </c>
      <c r="L2" s="46" t="s">
        <v>203</v>
      </c>
      <c r="W2" s="2" t="s">
        <v>244</v>
      </c>
    </row>
    <row ht="13.5" r="3" spans="1:32" thickBot="1" x14ac:dyDescent="0.4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ht="13.15" r="4" spans="1:32" x14ac:dyDescent="0.4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245</v>
      </c>
      <c r="AB4" s="41" t="s">
        <v>246</v>
      </c>
      <c r="AC4" s="41" t="s">
        <v>247</v>
      </c>
      <c r="AD4" s="41" t="s">
        <v>248</v>
      </c>
      <c r="AE4" s="41" t="s">
        <v>170</v>
      </c>
      <c r="AF4" s="41" t="s">
        <v>223</v>
      </c>
    </row>
    <row r="5" spans="1:32" x14ac:dyDescent="0.35">
      <c r="A5" s="18">
        <v>1</v>
      </c>
      <c r="B5" s="12">
        <f>output_NHTS!B81/SUM(output_NHTS!B$81:B$83)</f>
        <v>0.97388781431334626</v>
      </c>
      <c r="C5" s="12">
        <f>output_NHTS!C81/SUM(output_NHTS!C$81:C$83)</f>
        <v>0.95564516129032262</v>
      </c>
      <c r="D5" s="12" t="e">
        <f>output_NHTS!D81/SUM(output_NHTS!D$81:D$83)</f>
        <v>#DIV/0!</v>
      </c>
      <c r="E5" s="12" t="e">
        <f>output_NHTS!E81/SUM(output_NHTS!E$81:E$83)</f>
        <v>#DIV/0!</v>
      </c>
      <c r="F5" s="12">
        <f>output_NHTS!F81/SUM(output_NHTS!F$81:F$83)</f>
        <v>0.96153846153846156</v>
      </c>
      <c r="G5" s="12">
        <f>output_NHTS!G81/SUM(output_NHTS!G$81:G$83)</f>
        <v>1</v>
      </c>
      <c r="H5" s="12" t="e">
        <f>output_NHTS!H81/SUM(output_NHTS!H$81:H$83)</f>
        <v>#DIV/0!</v>
      </c>
      <c r="I5" s="12" t="e">
        <f>output_NHTS!I81/SUM(output_NHTS!I$81:I$83)</f>
        <v>#DIV/0!</v>
      </c>
      <c r="J5" s="12">
        <f>output_NHTS!J81/SUM(output_NHTS!J$81:J$83)</f>
        <v>0.970499243570348</v>
      </c>
      <c r="L5" s="48">
        <v>1</v>
      </c>
      <c r="M5" s="42">
        <f>output!B81/SUM(output!B$81:B$83)</f>
        <v>0.97388781431334626</v>
      </c>
      <c r="N5" s="42">
        <f>output!C81/SUM(output!C$81:C$83)</f>
        <v>0.95564516129032262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0.96153846153846156</v>
      </c>
      <c r="R5" s="42">
        <f>output!G81/SUM(output!G$81:G$83)</f>
        <v>1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0.970499243570348</v>
      </c>
      <c r="W5" s="18">
        <v>1</v>
      </c>
      <c r="X5" s="12">
        <f ref="X5:AD8" si="0" t="shared">M5-B5</f>
        <v>0</v>
      </c>
      <c r="Y5" s="12">
        <f si="0" t="shared"/>
        <v>0</v>
      </c>
      <c r="Z5" s="12" t="e">
        <f si="0" t="shared"/>
        <v>#DIV/0!</v>
      </c>
      <c r="AA5" s="12" t="e">
        <f si="0" t="shared"/>
        <v>#DIV/0!</v>
      </c>
      <c r="AB5" s="12">
        <f si="0" t="shared"/>
        <v>0</v>
      </c>
      <c r="AC5" s="12">
        <f si="0" t="shared"/>
        <v>0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0</v>
      </c>
    </row>
    <row r="6" spans="1:32" x14ac:dyDescent="0.35">
      <c r="A6" s="18">
        <v>2</v>
      </c>
      <c r="B6" s="12">
        <f>output_NHTS!B82/SUM(output_NHTS!B$81:B$83)</f>
        <v>2.5145067698259187E-2</v>
      </c>
      <c r="C6" s="12">
        <f>output_NHTS!C82/SUM(output_NHTS!C$81:C$83)</f>
        <v>4.4354838709677422E-2</v>
      </c>
      <c r="D6" s="12" t="e">
        <f>output_NHTS!D82/SUM(output_NHTS!D$81:D$83)</f>
        <v>#DIV/0!</v>
      </c>
      <c r="E6" s="12" t="e">
        <f>output_NHTS!E82/SUM(output_NHTS!E$81:E$83)</f>
        <v>#DIV/0!</v>
      </c>
      <c r="F6" s="12">
        <f>output_NHTS!F82/SUM(output_NHTS!F$81:F$83)</f>
        <v>3.8461538461538464E-2</v>
      </c>
      <c r="G6" s="12">
        <f>output_NHTS!G82/SUM(output_NHTS!G$81:G$83)</f>
        <v>0</v>
      </c>
      <c r="H6" s="12" t="e">
        <f>output_NHTS!H82/SUM(output_NHTS!H$81:H$83)</f>
        <v>#DIV/0!</v>
      </c>
      <c r="I6" s="12" t="e">
        <f>output_NHTS!I82/SUM(output_NHTS!I$81:I$83)</f>
        <v>#DIV/0!</v>
      </c>
      <c r="J6" s="12">
        <f>output_NHTS!J82/SUM(output_NHTS!J$81:J$83)</f>
        <v>2.8744326777609682E-2</v>
      </c>
      <c r="L6" s="48">
        <v>2</v>
      </c>
      <c r="M6" s="42">
        <f>output!B82/SUM(output!B$81:B$83)</f>
        <v>2.5145067698259187E-2</v>
      </c>
      <c r="N6" s="42">
        <f>output!C82/SUM(output!C$81:C$83)</f>
        <v>4.4354838709677422E-2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3.8461538461538464E-2</v>
      </c>
      <c r="R6" s="42">
        <f>output!G82/SUM(output!G$81:G$83)</f>
        <v>0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2.8744326777609682E-2</v>
      </c>
      <c r="W6" s="18">
        <v>2</v>
      </c>
      <c r="X6" s="12">
        <f si="0" t="shared"/>
        <v>0</v>
      </c>
      <c r="Y6" s="12">
        <f si="0" t="shared"/>
        <v>0</v>
      </c>
      <c r="Z6" s="12" t="e">
        <f si="0" t="shared"/>
        <v>#DIV/0!</v>
      </c>
      <c r="AA6" s="12" t="e">
        <f si="0" t="shared"/>
        <v>#DIV/0!</v>
      </c>
      <c r="AB6" s="12">
        <f si="0" t="shared"/>
        <v>0</v>
      </c>
      <c r="AC6" s="12">
        <f si="0" t="shared"/>
        <v>0</v>
      </c>
      <c r="AD6" s="12" t="e">
        <f si="0" t="shared"/>
        <v>#DIV/0!</v>
      </c>
      <c r="AE6" s="12" t="e">
        <f si="1" t="shared"/>
        <v>#DIV/0!</v>
      </c>
      <c r="AF6" s="12">
        <f si="1" t="shared"/>
        <v>0</v>
      </c>
    </row>
    <row r="7" spans="1:32" x14ac:dyDescent="0.35">
      <c r="A7" s="23" t="s">
        <v>116</v>
      </c>
      <c r="B7" s="12">
        <f>output_NHTS!B83/SUM(output_NHTS!B$81:B$83)</f>
        <v>9.6711798839458415E-4</v>
      </c>
      <c r="C7" s="12">
        <f>output_NHTS!C83/SUM(output_NHTS!C$81:C$83)</f>
        <v>0</v>
      </c>
      <c r="D7" s="12" t="e">
        <f>output_NHTS!D83/SUM(output_NHTS!D$81:D$83)</f>
        <v>#DIV/0!</v>
      </c>
      <c r="E7" s="12" t="e">
        <f>output_NHTS!E83/SUM(output_NHTS!E$81:E$83)</f>
        <v>#DIV/0!</v>
      </c>
      <c r="F7" s="12">
        <f>output_NHTS!F83/SUM(output_NHTS!F$81:F$83)</f>
        <v>0</v>
      </c>
      <c r="G7" s="12">
        <f>output_NHTS!G83/SUM(output_NHTS!G$81:G$83)</f>
        <v>0</v>
      </c>
      <c r="H7" s="12" t="e">
        <f>output_NHTS!H83/SUM(output_NHTS!H$81:H$83)</f>
        <v>#DIV/0!</v>
      </c>
      <c r="I7" s="12" t="e">
        <f>output_NHTS!I83/SUM(output_NHTS!I$81:I$83)</f>
        <v>#DIV/0!</v>
      </c>
      <c r="J7" s="12">
        <f>output_NHTS!J83/SUM(output_NHTS!J$81:J$83)</f>
        <v>7.5642965204236008E-4</v>
      </c>
      <c r="L7" s="49" t="s">
        <v>116</v>
      </c>
      <c r="M7" s="43">
        <f>output!B83/SUM(output!B$81:B$83)</f>
        <v>9.6711798839458415E-4</v>
      </c>
      <c r="N7" s="43">
        <f>output!C83/SUM(output!C$81:C$83)</f>
        <v>0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0</v>
      </c>
      <c r="R7" s="43">
        <f>output!G83/SUM(output!G$81:G$83)</f>
        <v>0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7.5642965204236008E-4</v>
      </c>
      <c r="W7" s="23" t="s">
        <v>116</v>
      </c>
      <c r="X7" s="12">
        <f si="0" t="shared"/>
        <v>0</v>
      </c>
      <c r="Y7" s="12">
        <f si="0" t="shared"/>
        <v>0</v>
      </c>
      <c r="Z7" s="12" t="e">
        <f si="0" t="shared"/>
        <v>#DIV/0!</v>
      </c>
      <c r="AA7" s="12" t="e">
        <f si="0" t="shared"/>
        <v>#DIV/0!</v>
      </c>
      <c r="AB7" s="12">
        <f si="0" t="shared"/>
        <v>0</v>
      </c>
      <c r="AC7" s="12">
        <f si="0" t="shared"/>
        <v>0</v>
      </c>
      <c r="AD7" s="12" t="e">
        <f si="0" t="shared"/>
        <v>#DIV/0!</v>
      </c>
      <c r="AE7" s="12" t="e">
        <f si="1" t="shared"/>
        <v>#DIV/0!</v>
      </c>
      <c r="AF7" s="12">
        <f si="1" t="shared"/>
        <v>0</v>
      </c>
    </row>
    <row ht="13.15" r="8" spans="1:32" thickBot="1" x14ac:dyDescent="0.4">
      <c r="A8" s="21" t="s">
        <v>223</v>
      </c>
      <c r="B8" s="51">
        <f>SUM(B5:B7)</f>
        <v>1</v>
      </c>
      <c r="C8" s="51">
        <f ref="C8:J8" si="2" t="shared">SUM(C5:C7)</f>
        <v>1</v>
      </c>
      <c r="D8" s="51" t="e">
        <f si="2" t="shared"/>
        <v>#DIV/0!</v>
      </c>
      <c r="E8" s="51" t="e">
        <f si="2" t="shared"/>
        <v>#DIV/0!</v>
      </c>
      <c r="F8" s="51">
        <f si="2" t="shared"/>
        <v>1</v>
      </c>
      <c r="G8" s="51">
        <f si="2" t="shared"/>
        <v>1</v>
      </c>
      <c r="H8" s="51" t="e">
        <f si="2" t="shared"/>
        <v>#DIV/0!</v>
      </c>
      <c r="I8" s="51" t="e">
        <f si="2" t="shared"/>
        <v>#DIV/0!</v>
      </c>
      <c r="J8" s="51">
        <f si="2" t="shared"/>
        <v>1</v>
      </c>
      <c r="L8" s="50" t="s">
        <v>223</v>
      </c>
      <c r="M8" s="51">
        <f>SUM(M5:M7)</f>
        <v>1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1</v>
      </c>
      <c r="W8" s="21" t="s">
        <v>223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35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35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35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ht="13.15" r="12" spans="1:32" x14ac:dyDescent="0.4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ht="13.15" r="13" spans="1:32" x14ac:dyDescent="0.4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200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255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4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ht="13.15" r="15" spans="1:32" x14ac:dyDescent="0.4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245</v>
      </c>
      <c r="F15" s="6" t="s">
        <v>246</v>
      </c>
      <c r="G15" s="6" t="s">
        <v>247</v>
      </c>
      <c r="H15" s="6" t="s">
        <v>248</v>
      </c>
      <c r="I15" s="6" t="s">
        <v>170</v>
      </c>
      <c r="J15" s="6" t="s">
        <v>223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245</v>
      </c>
      <c r="Q15" s="41" t="s">
        <v>246</v>
      </c>
      <c r="R15" s="41" t="s">
        <v>247</v>
      </c>
      <c r="S15" s="41" t="s">
        <v>248</v>
      </c>
      <c r="T15" s="41" t="s">
        <v>170</v>
      </c>
      <c r="U15" s="41" t="s">
        <v>223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245</v>
      </c>
      <c r="AB15" s="41" t="s">
        <v>246</v>
      </c>
      <c r="AC15" s="41" t="s">
        <v>247</v>
      </c>
      <c r="AD15" s="41" t="s">
        <v>248</v>
      </c>
      <c r="AE15" s="41" t="s">
        <v>170</v>
      </c>
      <c r="AF15" s="41" t="s">
        <v>223</v>
      </c>
    </row>
    <row r="16" spans="1:32" x14ac:dyDescent="0.35">
      <c r="A16" s="18">
        <v>1</v>
      </c>
      <c r="B16" s="12" t="e">
        <f>output_NHTS!B88/SUM(output_NHTS!B$88:B$90)</f>
        <v>#DIV/0!</v>
      </c>
      <c r="C16" s="12" t="e">
        <f>output_NHTS!C88/SUM(output_NHTS!C$88:C$90)</f>
        <v>#DIV/0!</v>
      </c>
      <c r="D16" s="12" t="e">
        <f>output_NHTS!D88/SUM(output_NHTS!D$88:D$90)</f>
        <v>#DIV/0!</v>
      </c>
      <c r="E16" s="12" t="e">
        <f>output_NHTS!E88/SUM(output_NHTS!E$88:E$90)</f>
        <v>#DIV/0!</v>
      </c>
      <c r="F16" s="12">
        <f>output_NHTS!F88/SUM(output_NHTS!F$88:F$90)</f>
        <v>0.956989247311828</v>
      </c>
      <c r="G16" s="12">
        <f>output_NHTS!G88/SUM(output_NHTS!G$88:G$90)</f>
        <v>0.97023809523809523</v>
      </c>
      <c r="H16" s="12">
        <f>output_NHTS!H88/SUM(output_NHTS!H$88:H$90)</f>
        <v>0.98804780876494025</v>
      </c>
      <c r="I16" s="12" t="e">
        <f>output_NHTS!I88/SUM(output_NHTS!I$88:I$90)</f>
        <v>#DIV/0!</v>
      </c>
      <c r="J16" s="12">
        <f>output_NHTS!J88/SUM(output_NHTS!J$88:J$90)</f>
        <v>0.98034076015727389</v>
      </c>
      <c r="L16" s="48">
        <v>1</v>
      </c>
      <c r="M16" s="42" t="e">
        <f>output!B88/SUM(output!B$88:B$90)</f>
        <v>#DIV/0!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0.956989247311828</v>
      </c>
      <c r="R16" s="42">
        <f>output!G88/SUM(output!G$88:G$90)</f>
        <v>0.97023809523809523</v>
      </c>
      <c r="S16" s="42">
        <f>output!H88/SUM(output!H$88:H$90)</f>
        <v>0.98804780876494025</v>
      </c>
      <c r="T16" s="42" t="e">
        <f>output!I88/SUM(output!I$88:I$90)</f>
        <v>#DIV/0!</v>
      </c>
      <c r="U16" s="42">
        <f>output!J88/SUM(output!J$88:J$90)</f>
        <v>0.98034076015727389</v>
      </c>
      <c r="W16" s="18">
        <v>1</v>
      </c>
      <c r="X16" s="12" t="e">
        <f ref="X16:AF19" si="4" t="shared">M16-B16</f>
        <v>#DIV/0!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0</v>
      </c>
      <c r="AC16" s="12">
        <f si="4" t="shared"/>
        <v>0</v>
      </c>
      <c r="AD16" s="12">
        <f si="4" t="shared"/>
        <v>0</v>
      </c>
      <c r="AE16" s="12" t="e">
        <f si="4" t="shared"/>
        <v>#DIV/0!</v>
      </c>
      <c r="AF16" s="12">
        <f si="4" t="shared"/>
        <v>0</v>
      </c>
    </row>
    <row r="17" spans="1:32" x14ac:dyDescent="0.35">
      <c r="A17" s="18">
        <v>2</v>
      </c>
      <c r="B17" s="12" t="e">
        <f>output_NHTS!B89/SUM(output_NHTS!B$88:B$90)</f>
        <v>#DIV/0!</v>
      </c>
      <c r="C17" s="12" t="e">
        <f>output_NHTS!C89/SUM(output_NHTS!C$88:C$90)</f>
        <v>#DIV/0!</v>
      </c>
      <c r="D17" s="12" t="e">
        <f>output_NHTS!D89/SUM(output_NHTS!D$88:D$90)</f>
        <v>#DIV/0!</v>
      </c>
      <c r="E17" s="12" t="e">
        <f>output_NHTS!E89/SUM(output_NHTS!E$88:E$90)</f>
        <v>#DIV/0!</v>
      </c>
      <c r="F17" s="12">
        <f>output_NHTS!F89/SUM(output_NHTS!F$88:F$90)</f>
        <v>4.3010752688172046E-2</v>
      </c>
      <c r="G17" s="12">
        <f>output_NHTS!G89/SUM(output_NHTS!G$88:G$90)</f>
        <v>2.976190476190476E-2</v>
      </c>
      <c r="H17" s="12">
        <f>output_NHTS!H89/SUM(output_NHTS!H$88:H$90)</f>
        <v>1.1952191235059761E-2</v>
      </c>
      <c r="I17" s="12" t="e">
        <f>output_NHTS!I89/SUM(output_NHTS!I$88:I$90)</f>
        <v>#DIV/0!</v>
      </c>
      <c r="J17" s="12">
        <f>output_NHTS!J89/SUM(output_NHTS!J$88:J$90)</f>
        <v>1.9659239842726082E-2</v>
      </c>
      <c r="L17" s="48">
        <v>2</v>
      </c>
      <c r="M17" s="42" t="e">
        <f>output!B89/SUM(output!B$88:B$90)</f>
        <v>#DIV/0!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4.3010752688172046E-2</v>
      </c>
      <c r="R17" s="42">
        <f>output!G89/SUM(output!G$88:G$90)</f>
        <v>2.976190476190476E-2</v>
      </c>
      <c r="S17" s="42">
        <f>output!H89/SUM(output!H$88:H$90)</f>
        <v>1.1952191235059761E-2</v>
      </c>
      <c r="T17" s="42" t="e">
        <f>output!I89/SUM(output!I$88:I$90)</f>
        <v>#DIV/0!</v>
      </c>
      <c r="U17" s="42">
        <f>output!J89/SUM(output!J$88:J$90)</f>
        <v>1.9659239842726082E-2</v>
      </c>
      <c r="W17" s="18">
        <v>2</v>
      </c>
      <c r="X17" s="12" t="e">
        <f si="4" t="shared"/>
        <v>#DIV/0!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0</v>
      </c>
      <c r="AC17" s="12">
        <f si="4" t="shared"/>
        <v>0</v>
      </c>
      <c r="AD17" s="12">
        <f si="4" t="shared"/>
        <v>0</v>
      </c>
      <c r="AE17" s="12" t="e">
        <f si="4" t="shared"/>
        <v>#DIV/0!</v>
      </c>
      <c r="AF17" s="12">
        <f si="4" t="shared"/>
        <v>0</v>
      </c>
    </row>
    <row r="18" spans="1:32" x14ac:dyDescent="0.35">
      <c r="A18" s="23" t="s">
        <v>116</v>
      </c>
      <c r="B18" s="12" t="e">
        <f>output_NHTS!B90/SUM(output_NHTS!B$88:B$90)</f>
        <v>#DIV/0!</v>
      </c>
      <c r="C18" s="12" t="e">
        <f>output_NHTS!C90/SUM(output_NHTS!C$88:C$90)</f>
        <v>#DIV/0!</v>
      </c>
      <c r="D18" s="12" t="e">
        <f>output_NHTS!D90/SUM(output_NHTS!D$88:D$90)</f>
        <v>#DIV/0!</v>
      </c>
      <c r="E18" s="12" t="e">
        <f>output_NHTS!E90/SUM(output_NHTS!E$88:E$90)</f>
        <v>#DIV/0!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 t="e">
        <f>output!B90/SUM(output!B$88:B$90)</f>
        <v>#DIV/0!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0</v>
      </c>
      <c r="R18" s="43">
        <f>output!G90/SUM(output!G$88:G$90)</f>
        <v>0</v>
      </c>
      <c r="S18" s="43">
        <f>output!H90/SUM(output!H$88:H$90)</f>
        <v>0</v>
      </c>
      <c r="T18" s="43" t="e">
        <f>output!I90/SUM(output!I$88:I$90)</f>
        <v>#DIV/0!</v>
      </c>
      <c r="U18" s="43">
        <f>output!J90/SUM(output!J$88:J$90)</f>
        <v>0</v>
      </c>
      <c r="W18" s="23" t="s">
        <v>116</v>
      </c>
      <c r="X18" s="12" t="e">
        <f si="4" t="shared"/>
        <v>#DIV/0!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0</v>
      </c>
      <c r="AC18" s="12">
        <f si="4" t="shared"/>
        <v>0</v>
      </c>
      <c r="AD18" s="12">
        <f si="4" t="shared"/>
        <v>0</v>
      </c>
      <c r="AE18" s="12" t="e">
        <f si="4" t="shared"/>
        <v>#DIV/0!</v>
      </c>
      <c r="AF18" s="12">
        <f si="4" t="shared"/>
        <v>0</v>
      </c>
    </row>
    <row ht="13.15" r="19" spans="1:32" thickBot="1" x14ac:dyDescent="0.4">
      <c r="A19" s="21" t="s">
        <v>223</v>
      </c>
      <c r="B19" s="51" t="e">
        <f>SUM(B16:B18)</f>
        <v>#DIV/0!</v>
      </c>
      <c r="C19" s="51" t="e">
        <f ref="C19:J19" si="5" t="shared">SUM(C16:C18)</f>
        <v>#DIV/0!</v>
      </c>
      <c r="D19" s="51" t="e">
        <f si="5" t="shared"/>
        <v>#DIV/0!</v>
      </c>
      <c r="E19" s="51" t="e">
        <f si="5" t="shared"/>
        <v>#DIV/0!</v>
      </c>
      <c r="F19" s="51">
        <f si="5" t="shared"/>
        <v>1</v>
      </c>
      <c r="G19" s="51">
        <f si="5" t="shared"/>
        <v>1</v>
      </c>
      <c r="H19" s="51">
        <f si="5" t="shared"/>
        <v>1</v>
      </c>
      <c r="I19" s="51" t="e">
        <f si="5" t="shared"/>
        <v>#DIV/0!</v>
      </c>
      <c r="J19" s="51">
        <f si="5" t="shared"/>
        <v>1</v>
      </c>
      <c r="L19" s="50" t="s">
        <v>223</v>
      </c>
      <c r="M19" s="51" t="e">
        <f ref="M19:U19" si="6" t="shared">SUM(M16:M18)</f>
        <v>#DIV/0!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1</v>
      </c>
      <c r="T19" s="51" t="e">
        <f si="6" t="shared"/>
        <v>#DIV/0!</v>
      </c>
      <c r="U19" s="51">
        <f si="6" t="shared"/>
        <v>1</v>
      </c>
      <c r="W19" s="21" t="s">
        <v>223</v>
      </c>
      <c r="X19" s="14" t="e">
        <f si="4" t="shared"/>
        <v>#DIV/0!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 t="e">
        <f si="4" t="shared"/>
        <v>#DIV/0!</v>
      </c>
      <c r="AF19" s="14">
        <f si="4" t="shared"/>
        <v>0</v>
      </c>
    </row>
    <row r="20" spans="1:32" x14ac:dyDescent="0.35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35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35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ht="13.15" r="23" spans="1:32" x14ac:dyDescent="0.4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ht="13.15" r="24" spans="1:32" x14ac:dyDescent="0.4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201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205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4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ht="13.15" r="26" spans="1:32" x14ac:dyDescent="0.4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245</v>
      </c>
      <c r="F26" s="24" t="s">
        <v>246</v>
      </c>
      <c r="G26" s="24" t="s">
        <v>247</v>
      </c>
      <c r="H26" s="24" t="s">
        <v>248</v>
      </c>
      <c r="I26" s="24" t="s">
        <v>170</v>
      </c>
      <c r="J26" s="24" t="s">
        <v>223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245</v>
      </c>
      <c r="Q26" s="52" t="s">
        <v>246</v>
      </c>
      <c r="R26" s="52" t="s">
        <v>247</v>
      </c>
      <c r="S26" s="52" t="s">
        <v>248</v>
      </c>
      <c r="T26" s="52" t="s">
        <v>170</v>
      </c>
      <c r="U26" s="52" t="s">
        <v>223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245</v>
      </c>
      <c r="AB26" s="52" t="s">
        <v>246</v>
      </c>
      <c r="AC26" s="52" t="s">
        <v>247</v>
      </c>
      <c r="AD26" s="52" t="s">
        <v>248</v>
      </c>
      <c r="AE26" s="52" t="s">
        <v>170</v>
      </c>
      <c r="AF26" s="52" t="s">
        <v>223</v>
      </c>
    </row>
    <row r="27" spans="1:32" x14ac:dyDescent="0.35">
      <c r="A27" s="18">
        <v>1</v>
      </c>
      <c r="B27" s="12">
        <f>output_NHTS!B95/SUM(output_NHTS!B$95:B$97)</f>
        <v>0.87387387387387383</v>
      </c>
      <c r="C27" s="12">
        <f>output_NHTS!C95/SUM(output_NHTS!C$95:C$97)</f>
        <v>0.73076923076923073</v>
      </c>
      <c r="D27" s="12">
        <f>output_NHTS!D95/SUM(output_NHTS!D$95:D$97)</f>
        <v>0.91111111111111109</v>
      </c>
      <c r="E27" s="12">
        <f>output_NHTS!E95/SUM(output_NHTS!E$95:E$97)</f>
        <v>0.67045454545454541</v>
      </c>
      <c r="F27" s="12">
        <f>output_NHTS!F95/SUM(output_NHTS!F$95:F$97)</f>
        <v>0.8</v>
      </c>
      <c r="G27" s="12">
        <f>output_NHTS!G95/SUM(output_NHTS!G$95:G$97)</f>
        <v>1</v>
      </c>
      <c r="H27" s="12">
        <f>output_NHTS!H95/SUM(output_NHTS!H$95:H$97)</f>
        <v>0.93617021276595747</v>
      </c>
      <c r="I27" s="12" t="e">
        <f>output_NHTS!I95/SUM(output_NHTS!I$95:I$97)</f>
        <v>#DIV/0!</v>
      </c>
      <c r="J27" s="12">
        <f>output_NHTS!J95/SUM(output_NHTS!J$95:J$97)</f>
        <v>0.79084967320261434</v>
      </c>
      <c r="L27" s="48">
        <v>1</v>
      </c>
      <c r="M27" s="42">
        <f>output!B95/SUM(output!B$95:B$97)</f>
        <v>0.87387387387387383</v>
      </c>
      <c r="N27" s="42">
        <f>output!C95/SUM(output!C$95:C$97)</f>
        <v>0.73076923076923073</v>
      </c>
      <c r="O27" s="42">
        <f>output!D95/SUM(output!D$95:D$97)</f>
        <v>0.91111111111111109</v>
      </c>
      <c r="P27" s="42">
        <f>output!E95/SUM(output!E$95:E$97)</f>
        <v>0.67045454545454541</v>
      </c>
      <c r="Q27" s="42">
        <f>output!F95/SUM(output!F$95:F$97)</f>
        <v>0.8</v>
      </c>
      <c r="R27" s="42">
        <f>output!G95/SUM(output!G$95:G$97)</f>
        <v>1</v>
      </c>
      <c r="S27" s="42">
        <f>output!H95/SUM(output!H$95:H$97)</f>
        <v>0.93617021276595747</v>
      </c>
      <c r="T27" s="42" t="e">
        <f>output!I95/SUM(output!I$95:I$97)</f>
        <v>#DIV/0!</v>
      </c>
      <c r="U27" s="42">
        <f>output!J95/SUM(output!J$95:J$97)</f>
        <v>0.79084967320261434</v>
      </c>
      <c r="W27" s="18">
        <v>1</v>
      </c>
      <c r="X27" s="12">
        <f ref="X27:AD30" si="7" t="shared">M27-B27</f>
        <v>0</v>
      </c>
      <c r="Y27" s="12">
        <f si="7" t="shared"/>
        <v>0</v>
      </c>
      <c r="Z27" s="12">
        <f si="7" t="shared"/>
        <v>0</v>
      </c>
      <c r="AA27" s="12">
        <f si="7" t="shared"/>
        <v>0</v>
      </c>
      <c r="AB27" s="12">
        <f si="7" t="shared"/>
        <v>0</v>
      </c>
      <c r="AC27" s="12">
        <f si="7" t="shared"/>
        <v>0</v>
      </c>
      <c r="AD27" s="12">
        <f si="7" t="shared"/>
        <v>0</v>
      </c>
      <c r="AE27" s="12" t="e">
        <f ref="AE27:AF30" si="8" t="shared">T27-I27</f>
        <v>#DIV/0!</v>
      </c>
      <c r="AF27" s="12">
        <f si="8" t="shared"/>
        <v>0</v>
      </c>
    </row>
    <row r="28" spans="1:32" x14ac:dyDescent="0.35">
      <c r="A28" s="18">
        <v>2</v>
      </c>
      <c r="B28" s="12">
        <f>output_NHTS!B96/SUM(output_NHTS!B$95:B$97)</f>
        <v>9.0090090090090086E-2</v>
      </c>
      <c r="C28" s="12">
        <f>output_NHTS!C96/SUM(output_NHTS!C$95:C$97)</f>
        <v>0.19230769230769232</v>
      </c>
      <c r="D28" s="12">
        <f>output_NHTS!D96/SUM(output_NHTS!D$95:D$97)</f>
        <v>6.6666666666666666E-2</v>
      </c>
      <c r="E28" s="12">
        <f>output_NHTS!E96/SUM(output_NHTS!E$95:E$97)</f>
        <v>0.25568181818181818</v>
      </c>
      <c r="F28" s="12">
        <f>output_NHTS!F96/SUM(output_NHTS!F$95:F$97)</f>
        <v>0.2</v>
      </c>
      <c r="G28" s="12">
        <f>output_NHTS!G96/SUM(output_NHTS!G$95:G$97)</f>
        <v>0</v>
      </c>
      <c r="H28" s="12">
        <f>output_NHTS!H96/SUM(output_NHTS!H$95:H$97)</f>
        <v>6.3829787234042548E-2</v>
      </c>
      <c r="I28" s="12" t="e">
        <f>output_NHTS!I96/SUM(output_NHTS!I$95:I$97)</f>
        <v>#DIV/0!</v>
      </c>
      <c r="J28" s="12">
        <f>output_NHTS!J96/SUM(output_NHTS!J$95:J$97)</f>
        <v>0.16122004357298475</v>
      </c>
      <c r="L28" s="48">
        <v>2</v>
      </c>
      <c r="M28" s="42">
        <f>output!B96/SUM(output!B$95:B$97)</f>
        <v>9.0090090090090086E-2</v>
      </c>
      <c r="N28" s="42">
        <f>output!C96/SUM(output!C$95:C$97)</f>
        <v>0.19230769230769232</v>
      </c>
      <c r="O28" s="42">
        <f>output!D96/SUM(output!D$95:D$97)</f>
        <v>6.6666666666666666E-2</v>
      </c>
      <c r="P28" s="42">
        <f>output!E96/SUM(output!E$95:E$97)</f>
        <v>0.25568181818181818</v>
      </c>
      <c r="Q28" s="42">
        <f>output!F96/SUM(output!F$95:F$97)</f>
        <v>0.2</v>
      </c>
      <c r="R28" s="42">
        <f>output!G96/SUM(output!G$95:G$97)</f>
        <v>0</v>
      </c>
      <c r="S28" s="42">
        <f>output!H96/SUM(output!H$95:H$97)</f>
        <v>6.3829787234042548E-2</v>
      </c>
      <c r="T28" s="42" t="e">
        <f>output!I96/SUM(output!I$95:I$97)</f>
        <v>#DIV/0!</v>
      </c>
      <c r="U28" s="42">
        <f>output!J96/SUM(output!J$95:J$97)</f>
        <v>0.16122004357298475</v>
      </c>
      <c r="W28" s="18">
        <v>2</v>
      </c>
      <c r="X28" s="12">
        <f si="7" t="shared"/>
        <v>0</v>
      </c>
      <c r="Y28" s="12">
        <f si="7" t="shared"/>
        <v>0</v>
      </c>
      <c r="Z28" s="12">
        <f si="7" t="shared"/>
        <v>0</v>
      </c>
      <c r="AA28" s="12">
        <f si="7" t="shared"/>
        <v>0</v>
      </c>
      <c r="AB28" s="12">
        <f si="7" t="shared"/>
        <v>0</v>
      </c>
      <c r="AC28" s="12">
        <f si="7" t="shared"/>
        <v>0</v>
      </c>
      <c r="AD28" s="12">
        <f si="7" t="shared"/>
        <v>0</v>
      </c>
      <c r="AE28" s="12" t="e">
        <f si="8" t="shared"/>
        <v>#DIV/0!</v>
      </c>
      <c r="AF28" s="12">
        <f si="8" t="shared"/>
        <v>0</v>
      </c>
    </row>
    <row r="29" spans="1:32" x14ac:dyDescent="0.35">
      <c r="A29" s="18" t="s">
        <v>116</v>
      </c>
      <c r="B29" s="12">
        <f>output_NHTS!B97/SUM(output_NHTS!B$95:B$97)</f>
        <v>3.6036036036036036E-2</v>
      </c>
      <c r="C29" s="12">
        <f>output_NHTS!C97/SUM(output_NHTS!C$95:C$97)</f>
        <v>7.6923076923076927E-2</v>
      </c>
      <c r="D29" s="12">
        <f>output_NHTS!D97/SUM(output_NHTS!D$95:D$97)</f>
        <v>2.2222222222222223E-2</v>
      </c>
      <c r="E29" s="12">
        <f>output_NHTS!E97/SUM(output_NHTS!E$95:E$97)</f>
        <v>7.3863636363636367E-2</v>
      </c>
      <c r="F29" s="12">
        <f>output_NHTS!F97/SUM(output_NHTS!F$95:F$97)</f>
        <v>0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4.793028322440087E-2</v>
      </c>
      <c r="L29" s="48">
        <v>3</v>
      </c>
      <c r="M29" s="43">
        <f>output!B97/SUM(output!B$95:B$97)</f>
        <v>3.6036036036036036E-2</v>
      </c>
      <c r="N29" s="43">
        <f>output!C97/SUM(output!C$95:C$97)</f>
        <v>7.6923076923076927E-2</v>
      </c>
      <c r="O29" s="43">
        <f>output!D97/SUM(output!D$95:D$97)</f>
        <v>2.2222222222222223E-2</v>
      </c>
      <c r="P29" s="43">
        <f>output!E97/SUM(output!E$95:E$97)</f>
        <v>7.3863636363636367E-2</v>
      </c>
      <c r="Q29" s="43">
        <f>output!F97/SUM(output!F$95:F$97)</f>
        <v>0</v>
      </c>
      <c r="R29" s="43">
        <f>output!G97/SUM(output!G$95:G$97)</f>
        <v>0</v>
      </c>
      <c r="S29" s="43">
        <f>output!H97/SUM(output!H$95:H$97)</f>
        <v>0</v>
      </c>
      <c r="T29" s="43" t="e">
        <f>output!I97/SUM(output!I$95:I$97)</f>
        <v>#DIV/0!</v>
      </c>
      <c r="U29" s="43">
        <f>output!J97/SUM(output!J$95:J$97)</f>
        <v>4.793028322440087E-2</v>
      </c>
      <c r="W29" s="18">
        <v>3</v>
      </c>
      <c r="X29" s="12">
        <f si="7" t="shared"/>
        <v>0</v>
      </c>
      <c r="Y29" s="12">
        <f si="7" t="shared"/>
        <v>0</v>
      </c>
      <c r="Z29" s="12">
        <f si="7" t="shared"/>
        <v>0</v>
      </c>
      <c r="AA29" s="12">
        <f si="7" t="shared"/>
        <v>0</v>
      </c>
      <c r="AB29" s="12">
        <f si="7" t="shared"/>
        <v>0</v>
      </c>
      <c r="AC29" s="12">
        <f si="7" t="shared"/>
        <v>0</v>
      </c>
      <c r="AD29" s="12">
        <f si="7" t="shared"/>
        <v>0</v>
      </c>
      <c r="AE29" s="12" t="e">
        <f si="8" t="shared"/>
        <v>#DIV/0!</v>
      </c>
      <c r="AF29" s="12">
        <f si="8" t="shared"/>
        <v>0</v>
      </c>
    </row>
    <row ht="13.15" r="30" spans="1:32" thickBot="1" x14ac:dyDescent="0.4">
      <c r="A30" s="21" t="s">
        <v>223</v>
      </c>
      <c r="B30" s="51">
        <f>SUM(B27:B29)</f>
        <v>0.99999999999999989</v>
      </c>
      <c r="C30" s="51">
        <f ref="C30:J30" si="9" t="shared">SUM(C27:C29)</f>
        <v>1</v>
      </c>
      <c r="D30" s="51">
        <f si="9" t="shared"/>
        <v>1</v>
      </c>
      <c r="E30" s="51">
        <f si="9" t="shared"/>
        <v>0.99999999999999989</v>
      </c>
      <c r="F30" s="51">
        <f si="9" t="shared"/>
        <v>1</v>
      </c>
      <c r="G30" s="51">
        <f si="9" t="shared"/>
        <v>1</v>
      </c>
      <c r="H30" s="51">
        <f si="9" t="shared"/>
        <v>1</v>
      </c>
      <c r="I30" s="51" t="e">
        <f si="9" t="shared"/>
        <v>#DIV/0!</v>
      </c>
      <c r="J30" s="51">
        <f si="9" t="shared"/>
        <v>1</v>
      </c>
      <c r="L30" s="50" t="s">
        <v>223</v>
      </c>
      <c r="M30" s="44">
        <f>SUM(M27:M29)</f>
        <v>0.99999999999999989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0.99999999999999989</v>
      </c>
      <c r="Q30" s="44">
        <f si="10" t="shared"/>
        <v>1</v>
      </c>
      <c r="R30" s="44">
        <f si="10" t="shared"/>
        <v>1</v>
      </c>
      <c r="S30" s="44">
        <f si="10" t="shared"/>
        <v>1</v>
      </c>
      <c r="T30" s="44" t="e">
        <f si="10" t="shared"/>
        <v>#DIV/0!</v>
      </c>
      <c r="U30" s="44">
        <f si="10" t="shared"/>
        <v>1</v>
      </c>
      <c r="W30" s="21" t="s">
        <v>223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 t="e">
        <f si="8" t="shared"/>
        <v>#DIV/0!</v>
      </c>
      <c r="AF30" s="14">
        <f si="8" t="shared"/>
        <v>0</v>
      </c>
    </row>
    <row r="31" spans="1:32" x14ac:dyDescent="0.35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35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35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ht="13.15" r="34" spans="1:32" x14ac:dyDescent="0.4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ht="13.15" r="35" spans="1:32" x14ac:dyDescent="0.4">
      <c r="A35" s="2" t="s">
        <v>204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206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4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ht="13.15" r="37" spans="1:32" x14ac:dyDescent="0.4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245</v>
      </c>
      <c r="F37" s="6" t="s">
        <v>246</v>
      </c>
      <c r="G37" s="6" t="s">
        <v>247</v>
      </c>
      <c r="H37" s="6" t="s">
        <v>248</v>
      </c>
      <c r="I37" s="6" t="s">
        <v>170</v>
      </c>
      <c r="J37" s="6" t="s">
        <v>223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245</v>
      </c>
      <c r="Q37" s="41" t="s">
        <v>246</v>
      </c>
      <c r="R37" s="41" t="s">
        <v>247</v>
      </c>
      <c r="S37" s="41" t="s">
        <v>248</v>
      </c>
      <c r="T37" s="41" t="s">
        <v>170</v>
      </c>
      <c r="U37" s="41" t="s">
        <v>223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245</v>
      </c>
      <c r="AB37" s="41" t="s">
        <v>246</v>
      </c>
      <c r="AC37" s="41" t="s">
        <v>247</v>
      </c>
      <c r="AD37" s="41" t="s">
        <v>248</v>
      </c>
      <c r="AE37" s="41" t="s">
        <v>170</v>
      </c>
      <c r="AF37" s="41" t="s">
        <v>223</v>
      </c>
    </row>
    <row r="38" spans="1:32" x14ac:dyDescent="0.35">
      <c r="A38" s="18">
        <v>1</v>
      </c>
      <c r="B38" s="12">
        <f>output_NHTS!B102/SUM(output_NHTS!B$102:B$104)</f>
        <v>0.87022900763358779</v>
      </c>
      <c r="C38" s="12">
        <f>output_NHTS!C102/SUM(output_NHTS!C$102:C$104)</f>
        <v>0.83333333333333337</v>
      </c>
      <c r="D38" s="12">
        <f>output_NHTS!D102/SUM(output_NHTS!D$102:D$104)</f>
        <v>0.91111111111111109</v>
      </c>
      <c r="E38" s="12">
        <f>output_NHTS!E102/SUM(output_NHTS!E$102:E$104)</f>
        <v>0.90909090909090906</v>
      </c>
      <c r="F38" s="12">
        <f>output_NHTS!F102/SUM(output_NHTS!F$102:F$104)</f>
        <v>0.88235294117647056</v>
      </c>
      <c r="G38" s="12">
        <f>output_NHTS!G102/SUM(output_NHTS!G$102:G$104)</f>
        <v>0.9285714285714286</v>
      </c>
      <c r="H38" s="12">
        <f>output_NHTS!H102/SUM(output_NHTS!H$102:H$104)</f>
        <v>0.88571428571428568</v>
      </c>
      <c r="I38" s="12" t="e">
        <f>output_NHTS!I102/SUM(output_NHTS!I$102:I$104)</f>
        <v>#DIV/0!</v>
      </c>
      <c r="J38" s="12">
        <f>output_NHTS!J102/SUM(output_NHTS!J$102:J$104)</f>
        <v>0.88378378378378375</v>
      </c>
      <c r="L38" s="48">
        <v>1</v>
      </c>
      <c r="M38" s="42">
        <f>output!B102/SUM(output!B$102:B$104)</f>
        <v>0.87022900763358779</v>
      </c>
      <c r="N38" s="42">
        <f>output!C102/SUM(output!C$102:C$104)</f>
        <v>0.83333333333333337</v>
      </c>
      <c r="O38" s="42">
        <f>output!D102/SUM(output!D$102:D$104)</f>
        <v>0.91111111111111109</v>
      </c>
      <c r="P38" s="42">
        <f>output!E102/SUM(output!E$102:E$104)</f>
        <v>0.90909090909090906</v>
      </c>
      <c r="Q38" s="42">
        <f>output!F102/SUM(output!F$102:F$104)</f>
        <v>0.88235294117647056</v>
      </c>
      <c r="R38" s="42">
        <f>output!G102/SUM(output!G$102:G$104)</f>
        <v>0.9285714285714286</v>
      </c>
      <c r="S38" s="42">
        <f>output!H102/SUM(output!H$102:H$104)</f>
        <v>0.88571428571428568</v>
      </c>
      <c r="T38" s="42" t="e">
        <f>output!I102/SUM(output!I$102:I$104)</f>
        <v>#DIV/0!</v>
      </c>
      <c r="U38" s="42">
        <f>output!J102/SUM(output!J$102:J$104)</f>
        <v>0.88378378378378375</v>
      </c>
      <c r="W38" s="18">
        <v>1</v>
      </c>
      <c r="X38" s="12">
        <f ref="X38:AF41" si="11" t="shared">M38-B38</f>
        <v>0</v>
      </c>
      <c r="Y38" s="12">
        <f si="11" t="shared"/>
        <v>0</v>
      </c>
      <c r="Z38" s="12">
        <f si="11" t="shared"/>
        <v>0</v>
      </c>
      <c r="AA38" s="12">
        <f si="11" t="shared"/>
        <v>0</v>
      </c>
      <c r="AB38" s="12">
        <f si="11" t="shared"/>
        <v>0</v>
      </c>
      <c r="AC38" s="12">
        <f si="11" t="shared"/>
        <v>0</v>
      </c>
      <c r="AD38" s="12">
        <f si="11" t="shared"/>
        <v>0</v>
      </c>
      <c r="AE38" s="12" t="e">
        <f si="11" t="shared"/>
        <v>#DIV/0!</v>
      </c>
      <c r="AF38" s="12">
        <f si="11" t="shared"/>
        <v>0</v>
      </c>
    </row>
    <row r="39" spans="1:32" x14ac:dyDescent="0.35">
      <c r="A39" s="18">
        <v>2</v>
      </c>
      <c r="B39" s="12">
        <f>output_NHTS!B103/SUM(output_NHTS!B$102:B$104)</f>
        <v>9.9236641221374045E-2</v>
      </c>
      <c r="C39" s="12">
        <f>output_NHTS!C103/SUM(output_NHTS!C$102:C$104)</f>
        <v>0.16666666666666666</v>
      </c>
      <c r="D39" s="12">
        <f>output_NHTS!D103/SUM(output_NHTS!D$102:D$104)</f>
        <v>8.8888888888888892E-2</v>
      </c>
      <c r="E39" s="12">
        <f>output_NHTS!E103/SUM(output_NHTS!E$102:E$104)</f>
        <v>6.0606060606060608E-2</v>
      </c>
      <c r="F39" s="12">
        <f>output_NHTS!F103/SUM(output_NHTS!F$102:F$104)</f>
        <v>0.11764705882352941</v>
      </c>
      <c r="G39" s="12">
        <f>output_NHTS!G103/SUM(output_NHTS!G$102:G$104)</f>
        <v>7.1428571428571425E-2</v>
      </c>
      <c r="H39" s="12">
        <f>output_NHTS!H103/SUM(output_NHTS!H$102:H$104)</f>
        <v>0.11428571428571428</v>
      </c>
      <c r="I39" s="12" t="e">
        <f>output_NHTS!I103/SUM(output_NHTS!I$102:I$104)</f>
        <v>#DIV/0!</v>
      </c>
      <c r="J39" s="12">
        <f>output_NHTS!J103/SUM(output_NHTS!J$102:J$104)</f>
        <v>0.1</v>
      </c>
      <c r="L39" s="48">
        <v>2</v>
      </c>
      <c r="M39" s="42">
        <f>output!B103/SUM(output!B$102:B$104)</f>
        <v>9.9236641221374045E-2</v>
      </c>
      <c r="N39" s="42">
        <f>output!C103/SUM(output!C$102:C$104)</f>
        <v>0.16666666666666666</v>
      </c>
      <c r="O39" s="42">
        <f>output!D103/SUM(output!D$102:D$104)</f>
        <v>8.8888888888888892E-2</v>
      </c>
      <c r="P39" s="42">
        <f>output!E103/SUM(output!E$102:E$104)</f>
        <v>6.0606060606060608E-2</v>
      </c>
      <c r="Q39" s="42">
        <f>output!F103/SUM(output!F$102:F$104)</f>
        <v>0.11764705882352941</v>
      </c>
      <c r="R39" s="42">
        <f>output!G103/SUM(output!G$102:G$104)</f>
        <v>7.1428571428571425E-2</v>
      </c>
      <c r="S39" s="42">
        <f>output!H103/SUM(output!H$102:H$104)</f>
        <v>0.11428571428571428</v>
      </c>
      <c r="T39" s="42" t="e">
        <f>output!I103/SUM(output!I$102:I$104)</f>
        <v>#DIV/0!</v>
      </c>
      <c r="U39" s="42">
        <f>output!J103/SUM(output!J$102:J$104)</f>
        <v>0.1</v>
      </c>
      <c r="W39" s="18">
        <v>2</v>
      </c>
      <c r="X39" s="12">
        <f si="11" t="shared"/>
        <v>0</v>
      </c>
      <c r="Y39" s="12">
        <f si="11" t="shared"/>
        <v>0</v>
      </c>
      <c r="Z39" s="12">
        <f si="11" t="shared"/>
        <v>0</v>
      </c>
      <c r="AA39" s="12">
        <f si="11" t="shared"/>
        <v>0</v>
      </c>
      <c r="AB39" s="12">
        <f si="11" t="shared"/>
        <v>0</v>
      </c>
      <c r="AC39" s="12">
        <f si="11" t="shared"/>
        <v>0</v>
      </c>
      <c r="AD39" s="12">
        <f si="11" t="shared"/>
        <v>0</v>
      </c>
      <c r="AE39" s="12" t="e">
        <f si="11" t="shared"/>
        <v>#DIV/0!</v>
      </c>
      <c r="AF39" s="12">
        <f si="11" t="shared"/>
        <v>0</v>
      </c>
    </row>
    <row r="40" spans="1:32" x14ac:dyDescent="0.35">
      <c r="A40" s="23" t="s">
        <v>116</v>
      </c>
      <c r="B40" s="12">
        <f>output_NHTS!B104/SUM(output_NHTS!B$102:B$104)</f>
        <v>3.0534351145038167E-2</v>
      </c>
      <c r="C40" s="12">
        <f>output_NHTS!C104/SUM(output_NHTS!C$102:C$104)</f>
        <v>0</v>
      </c>
      <c r="D40" s="12">
        <f>output_NHTS!D104/SUM(output_NHTS!D$102:D$104)</f>
        <v>0</v>
      </c>
      <c r="E40" s="12">
        <f>output_NHTS!E104/SUM(output_NHTS!E$102:E$104)</f>
        <v>3.0303030303030304E-2</v>
      </c>
      <c r="F40" s="12">
        <f>output_NHTS!F104/SUM(output_NHTS!F$102:F$104)</f>
        <v>0</v>
      </c>
      <c r="G40" s="12">
        <f>output_NHTS!G104/SUM(output_NHTS!G$102:G$104)</f>
        <v>0</v>
      </c>
      <c r="H40" s="12">
        <f>output_NHTS!H104/SUM(output_NHTS!H$102:H$104)</f>
        <v>0</v>
      </c>
      <c r="I40" s="12" t="e">
        <f>output_NHTS!I104/SUM(output_NHTS!I$102:I$104)</f>
        <v>#DIV/0!</v>
      </c>
      <c r="J40" s="12">
        <f>output_NHTS!J104/SUM(output_NHTS!J$102:J$104)</f>
        <v>1.6216216216216217E-2</v>
      </c>
      <c r="L40" s="49" t="s">
        <v>116</v>
      </c>
      <c r="M40" s="43">
        <f>output!B104/SUM(output!B$102:B$104)</f>
        <v>3.0534351145038167E-2</v>
      </c>
      <c r="N40" s="43">
        <f>output!C104/SUM(output!C$102:C$104)</f>
        <v>0</v>
      </c>
      <c r="O40" s="43">
        <f>output!D104/SUM(output!D$102:D$104)</f>
        <v>0</v>
      </c>
      <c r="P40" s="43">
        <f>output!E104/SUM(output!E$102:E$104)</f>
        <v>3.0303030303030304E-2</v>
      </c>
      <c r="Q40" s="43">
        <f>output!F104/SUM(output!F$102:F$104)</f>
        <v>0</v>
      </c>
      <c r="R40" s="43">
        <f>output!G104/SUM(output!G$102:G$104)</f>
        <v>0</v>
      </c>
      <c r="S40" s="43">
        <f>output!H104/SUM(output!H$102:H$104)</f>
        <v>0</v>
      </c>
      <c r="T40" s="43" t="e">
        <f>output!I104/SUM(output!I$102:I$104)</f>
        <v>#DIV/0!</v>
      </c>
      <c r="U40" s="43">
        <f>output!J104/SUM(output!J$102:J$104)</f>
        <v>1.6216216216216217E-2</v>
      </c>
      <c r="W40" s="23" t="s">
        <v>116</v>
      </c>
      <c r="X40" s="12">
        <f si="11" t="shared"/>
        <v>0</v>
      </c>
      <c r="Y40" s="12">
        <f si="11" t="shared"/>
        <v>0</v>
      </c>
      <c r="Z40" s="12">
        <f si="11" t="shared"/>
        <v>0</v>
      </c>
      <c r="AA40" s="12">
        <f si="11" t="shared"/>
        <v>0</v>
      </c>
      <c r="AB40" s="12">
        <f si="11" t="shared"/>
        <v>0</v>
      </c>
      <c r="AC40" s="12">
        <f si="11" t="shared"/>
        <v>0</v>
      </c>
      <c r="AD40" s="12">
        <f si="11" t="shared"/>
        <v>0</v>
      </c>
      <c r="AE40" s="12" t="e">
        <f si="11" t="shared"/>
        <v>#DIV/0!</v>
      </c>
      <c r="AF40" s="12">
        <f si="11" t="shared"/>
        <v>0</v>
      </c>
    </row>
    <row ht="13.15" r="41" spans="1:32" thickBot="1" x14ac:dyDescent="0.4">
      <c r="A41" s="21" t="s">
        <v>223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1</v>
      </c>
      <c r="G41" s="51">
        <f si="12" t="shared"/>
        <v>1</v>
      </c>
      <c r="H41" s="51">
        <f si="12" t="shared"/>
        <v>1</v>
      </c>
      <c r="I41" s="51" t="e">
        <f si="12" t="shared"/>
        <v>#DIV/0!</v>
      </c>
      <c r="J41" s="51">
        <f si="12" t="shared"/>
        <v>1</v>
      </c>
      <c r="L41" s="50" t="s">
        <v>223</v>
      </c>
      <c r="M41" s="51">
        <f>SUM(M38:M40)</f>
        <v>1</v>
      </c>
      <c r="N41" s="51">
        <f ref="N41:U41" si="13" t="shared">SUM(N38:N40)</f>
        <v>1</v>
      </c>
      <c r="O41" s="51">
        <f si="13" t="shared"/>
        <v>1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1</v>
      </c>
      <c r="T41" s="51" t="e">
        <f si="13" t="shared"/>
        <v>#DIV/0!</v>
      </c>
      <c r="U41" s="51">
        <f si="13" t="shared"/>
        <v>1</v>
      </c>
      <c r="W41" s="21" t="s">
        <v>223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 t="e">
        <f si="11" t="shared"/>
        <v>#DIV/0!</v>
      </c>
      <c r="AF41" s="14">
        <f si="11" t="shared"/>
        <v>0</v>
      </c>
    </row>
    <row r="42" spans="1:32" x14ac:dyDescent="0.35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35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35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ht="13.15" r="45" spans="1:32" x14ac:dyDescent="0.4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ht="13.15" r="46" spans="1:32" x14ac:dyDescent="0.4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256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4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ht="13.15" r="48" spans="1:32" x14ac:dyDescent="0.4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6" t="s">
        <v>170</v>
      </c>
      <c r="J48" s="6" t="s">
        <v>223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245</v>
      </c>
      <c r="Q48" s="41" t="s">
        <v>246</v>
      </c>
      <c r="R48" s="41" t="s">
        <v>247</v>
      </c>
      <c r="S48" s="41" t="s">
        <v>248</v>
      </c>
      <c r="T48" s="41" t="s">
        <v>170</v>
      </c>
      <c r="U48" s="41" t="s">
        <v>223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245</v>
      </c>
      <c r="AB48" s="41" t="s">
        <v>246</v>
      </c>
      <c r="AC48" s="41" t="s">
        <v>247</v>
      </c>
      <c r="AD48" s="41" t="s">
        <v>248</v>
      </c>
      <c r="AE48" s="41" t="s">
        <v>170</v>
      </c>
      <c r="AF48" s="41" t="s">
        <v>223</v>
      </c>
    </row>
    <row r="49" spans="1:32" x14ac:dyDescent="0.35">
      <c r="A49" s="18">
        <v>1</v>
      </c>
      <c r="B49" s="12">
        <f>output_NHTS!B109/SUM(output_NHTS!B$109:B$111)</f>
        <v>1</v>
      </c>
      <c r="C49" s="12">
        <f>output_NHTS!C109/SUM(output_NHTS!C$109:C$111)</f>
        <v>0.81818181818181823</v>
      </c>
      <c r="D49" s="12">
        <f>output_NHTS!D109/SUM(output_NHTS!D$109:D$111)</f>
        <v>1</v>
      </c>
      <c r="E49" s="12">
        <f>output_NHTS!E109/SUM(output_NHTS!E$109:E$111)</f>
        <v>0.93181818181818177</v>
      </c>
      <c r="F49" s="12">
        <f>output_NHTS!F109/SUM(output_NHTS!F$109:F$111)</f>
        <v>1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0.96212121212121215</v>
      </c>
      <c r="L49" s="48">
        <v>1</v>
      </c>
      <c r="M49" s="42">
        <f>output!B109/SUM(output!B$109:B$111)</f>
        <v>1</v>
      </c>
      <c r="N49" s="42">
        <f>output!C109/SUM(output!C$109:C$111)</f>
        <v>0.81818181818181823</v>
      </c>
      <c r="O49" s="42">
        <f>output!D109/SUM(output!D$109:D$111)</f>
        <v>1</v>
      </c>
      <c r="P49" s="42">
        <f>output!E109/SUM(output!E$109:E$111)</f>
        <v>0.93181818181818177</v>
      </c>
      <c r="Q49" s="42">
        <f>output!F109/SUM(output!F$109:F$111)</f>
        <v>1</v>
      </c>
      <c r="R49" s="42">
        <f>output!G109/SUM(output!G$109:G$111)</f>
        <v>1</v>
      </c>
      <c r="S49" s="42">
        <f>output!H109/SUM(output!H$109:H$111)</f>
        <v>1</v>
      </c>
      <c r="T49" s="42" t="e">
        <f>output!I109/SUM(output!I$109:I$111)</f>
        <v>#DIV/0!</v>
      </c>
      <c r="U49" s="42">
        <f>output!J109/SUM(output!J$109:J$111)</f>
        <v>0.96212121212121215</v>
      </c>
      <c r="W49" s="18">
        <v>1</v>
      </c>
      <c r="X49" s="12">
        <f ref="X49:AF52" si="14" t="shared">M49-B49</f>
        <v>0</v>
      </c>
      <c r="Y49" s="12">
        <f si="14" t="shared"/>
        <v>0</v>
      </c>
      <c r="Z49" s="12">
        <f si="14" t="shared"/>
        <v>0</v>
      </c>
      <c r="AA49" s="12">
        <f si="14" t="shared"/>
        <v>0</v>
      </c>
      <c r="AB49" s="12">
        <f si="14" t="shared"/>
        <v>0</v>
      </c>
      <c r="AC49" s="12">
        <f si="14" t="shared"/>
        <v>0</v>
      </c>
      <c r="AD49" s="12">
        <f si="14" t="shared"/>
        <v>0</v>
      </c>
      <c r="AE49" s="12" t="e">
        <f si="14" t="shared"/>
        <v>#DIV/0!</v>
      </c>
      <c r="AF49" s="12">
        <f si="14" t="shared"/>
        <v>0</v>
      </c>
    </row>
    <row r="50" spans="1:32" x14ac:dyDescent="0.35">
      <c r="A50" s="18">
        <v>2</v>
      </c>
      <c r="B50" s="12">
        <f>output_NHTS!B110/SUM(output_NHTS!B$109:B$111)</f>
        <v>0</v>
      </c>
      <c r="C50" s="12">
        <f>output_NHTS!C110/SUM(output_NHTS!C$109:C$111)</f>
        <v>0.18181818181818182</v>
      </c>
      <c r="D50" s="12">
        <f>output_NHTS!D110/SUM(output_NHTS!D$109:D$111)</f>
        <v>0</v>
      </c>
      <c r="E50" s="12">
        <f>output_NHTS!E110/SUM(output_NHTS!E$109:E$111)</f>
        <v>6.8181818181818177E-2</v>
      </c>
      <c r="F50" s="12">
        <f>output_NHTS!F110/SUM(output_NHTS!F$109:F$111)</f>
        <v>0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3.787878787878788E-2</v>
      </c>
      <c r="L50" s="48">
        <v>2</v>
      </c>
      <c r="M50" s="42">
        <f>output!B110/SUM(output!B$109:B$111)</f>
        <v>0</v>
      </c>
      <c r="N50" s="42">
        <f>output!C110/SUM(output!C$109:C$111)</f>
        <v>0.18181818181818182</v>
      </c>
      <c r="O50" s="42">
        <f>output!D110/SUM(output!D$109:D$111)</f>
        <v>0</v>
      </c>
      <c r="P50" s="42">
        <f>output!E110/SUM(output!E$109:E$111)</f>
        <v>6.8181818181818177E-2</v>
      </c>
      <c r="Q50" s="42">
        <f>output!F110/SUM(output!F$109:F$111)</f>
        <v>0</v>
      </c>
      <c r="R50" s="42">
        <f>output!G110/SUM(output!G$109:G$111)</f>
        <v>0</v>
      </c>
      <c r="S50" s="42">
        <f>output!H110/SUM(output!H$109:H$111)</f>
        <v>0</v>
      </c>
      <c r="T50" s="42" t="e">
        <f>output!I110/SUM(output!I$109:I$111)</f>
        <v>#DIV/0!</v>
      </c>
      <c r="U50" s="42">
        <f>output!J110/SUM(output!J$109:J$111)</f>
        <v>3.787878787878788E-2</v>
      </c>
      <c r="W50" s="18">
        <v>2</v>
      </c>
      <c r="X50" s="12">
        <f si="14" t="shared"/>
        <v>0</v>
      </c>
      <c r="Y50" s="12">
        <f si="14" t="shared"/>
        <v>0</v>
      </c>
      <c r="Z50" s="12">
        <f si="14" t="shared"/>
        <v>0</v>
      </c>
      <c r="AA50" s="12">
        <f si="14" t="shared"/>
        <v>0</v>
      </c>
      <c r="AB50" s="12">
        <f si="14" t="shared"/>
        <v>0</v>
      </c>
      <c r="AC50" s="12">
        <f si="14" t="shared"/>
        <v>0</v>
      </c>
      <c r="AD50" s="12">
        <f si="14" t="shared"/>
        <v>0</v>
      </c>
      <c r="AE50" s="12" t="e">
        <f si="14" t="shared"/>
        <v>#DIV/0!</v>
      </c>
      <c r="AF50" s="12">
        <f si="14" t="shared"/>
        <v>0</v>
      </c>
    </row>
    <row r="51" spans="1:32" x14ac:dyDescent="0.35">
      <c r="A51" s="23" t="s">
        <v>116</v>
      </c>
      <c r="B51" s="12">
        <f>output_NHTS!B111/SUM(output_NHTS!B$109:B$111)</f>
        <v>0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0</v>
      </c>
      <c r="L51" s="49" t="s">
        <v>116</v>
      </c>
      <c r="M51" s="43">
        <f>output!B111/SUM(output!B$109:B$111)</f>
        <v>0</v>
      </c>
      <c r="N51" s="43">
        <f>output!C111/SUM(output!C$109:C$111)</f>
        <v>0</v>
      </c>
      <c r="O51" s="43">
        <f>output!D111/SUM(output!D$109:D$111)</f>
        <v>0</v>
      </c>
      <c r="P51" s="43">
        <f>output!E111/SUM(output!E$109:E$111)</f>
        <v>0</v>
      </c>
      <c r="Q51" s="43">
        <f>output!F111/SUM(output!F$109:F$111)</f>
        <v>0</v>
      </c>
      <c r="R51" s="43">
        <f>output!G111/SUM(output!G$109:G$111)</f>
        <v>0</v>
      </c>
      <c r="S51" s="43">
        <f>output!H111/SUM(output!H$109:H$111)</f>
        <v>0</v>
      </c>
      <c r="T51" s="43" t="e">
        <f>output!I111/SUM(output!I$109:I$111)</f>
        <v>#DIV/0!</v>
      </c>
      <c r="U51" s="43">
        <f>output!J111/SUM(output!J$109:J$111)</f>
        <v>0</v>
      </c>
      <c r="W51" s="23" t="s">
        <v>116</v>
      </c>
      <c r="X51" s="12">
        <f si="14" t="shared"/>
        <v>0</v>
      </c>
      <c r="Y51" s="12">
        <f si="14" t="shared"/>
        <v>0</v>
      </c>
      <c r="Z51" s="12">
        <f si="14" t="shared"/>
        <v>0</v>
      </c>
      <c r="AA51" s="12">
        <f si="14" t="shared"/>
        <v>0</v>
      </c>
      <c r="AB51" s="12">
        <f si="14" t="shared"/>
        <v>0</v>
      </c>
      <c r="AC51" s="12">
        <f si="14" t="shared"/>
        <v>0</v>
      </c>
      <c r="AD51" s="12">
        <f si="14" t="shared"/>
        <v>0</v>
      </c>
      <c r="AE51" s="12" t="e">
        <f si="14" t="shared"/>
        <v>#DIV/0!</v>
      </c>
      <c r="AF51" s="12">
        <f si="14" t="shared"/>
        <v>0</v>
      </c>
    </row>
    <row ht="13.15" r="52" spans="1:32" thickBot="1" x14ac:dyDescent="0.4">
      <c r="A52" s="21" t="s">
        <v>223</v>
      </c>
      <c r="B52" s="51">
        <f>SUM(B49:B51)</f>
        <v>1</v>
      </c>
      <c r="C52" s="51">
        <f ref="C52:J52" si="15" t="shared">SUM(C49:C51)</f>
        <v>1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 t="e">
        <f si="15" t="shared"/>
        <v>#DIV/0!</v>
      </c>
      <c r="J52" s="51">
        <f si="15" t="shared"/>
        <v>1</v>
      </c>
      <c r="L52" s="50" t="s">
        <v>223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1</v>
      </c>
      <c r="R52" s="51">
        <f si="16" t="shared"/>
        <v>1</v>
      </c>
      <c r="S52" s="51">
        <f si="16" t="shared"/>
        <v>1</v>
      </c>
      <c r="T52" s="51" t="e">
        <f si="16" t="shared"/>
        <v>#DIV/0!</v>
      </c>
      <c r="U52" s="51">
        <f si="16" t="shared"/>
        <v>1</v>
      </c>
      <c r="W52" s="21" t="s">
        <v>223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 t="e">
        <f si="14" t="shared"/>
        <v>#DIV/0!</v>
      </c>
      <c r="AF52" s="14">
        <f si="14" t="shared"/>
        <v>0</v>
      </c>
    </row>
    <row r="53" spans="1:32" x14ac:dyDescent="0.35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35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35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ht="13.15" r="56" spans="1:32" x14ac:dyDescent="0.4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ht="13.15" r="57" spans="1:32" x14ac:dyDescent="0.4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257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4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ht="13.15" r="59" spans="1:32" x14ac:dyDescent="0.4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245</v>
      </c>
      <c r="F59" s="6" t="s">
        <v>246</v>
      </c>
      <c r="G59" s="6" t="s">
        <v>247</v>
      </c>
      <c r="H59" s="6" t="s">
        <v>248</v>
      </c>
      <c r="I59" s="6" t="s">
        <v>170</v>
      </c>
      <c r="J59" s="6" t="s">
        <v>223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245</v>
      </c>
      <c r="Q59" s="41" t="s">
        <v>246</v>
      </c>
      <c r="R59" s="41" t="s">
        <v>247</v>
      </c>
      <c r="S59" s="41" t="s">
        <v>248</v>
      </c>
      <c r="T59" s="41" t="s">
        <v>170</v>
      </c>
      <c r="U59" s="41" t="s">
        <v>223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245</v>
      </c>
      <c r="AB59" s="41" t="s">
        <v>246</v>
      </c>
      <c r="AC59" s="41" t="s">
        <v>247</v>
      </c>
      <c r="AD59" s="41" t="s">
        <v>248</v>
      </c>
      <c r="AE59" s="41" t="s">
        <v>170</v>
      </c>
      <c r="AF59" s="41" t="s">
        <v>223</v>
      </c>
    </row>
    <row r="60" spans="1:32" x14ac:dyDescent="0.35">
      <c r="A60" s="18">
        <v>1</v>
      </c>
      <c r="B60" s="12">
        <f>output_NHTS!B116/SUM(output_NHTS!B$116:B$118)</f>
        <v>0.98130841121495327</v>
      </c>
      <c r="C60" s="12">
        <f>output_NHTS!C116/SUM(output_NHTS!C$116:C$118)</f>
        <v>0.8928571428571429</v>
      </c>
      <c r="D60" s="12">
        <f>output_NHTS!D116/SUM(output_NHTS!D$116:D$118)</f>
        <v>0.92500000000000004</v>
      </c>
      <c r="E60" s="12">
        <f>output_NHTS!E116/SUM(output_NHTS!E$116:E$118)</f>
        <v>0.89090909090909087</v>
      </c>
      <c r="F60" s="12">
        <f>output_NHTS!F116/SUM(output_NHTS!F$116:F$118)</f>
        <v>1</v>
      </c>
      <c r="G60" s="12">
        <f>output_NHTS!G116/SUM(output_NHTS!G$116:G$118)</f>
        <v>1</v>
      </c>
      <c r="H60" s="12">
        <f>output_NHTS!H116/SUM(output_NHTS!H$116:H$118)</f>
        <v>1</v>
      </c>
      <c r="I60" s="12" t="e">
        <f>output_NHTS!I116/SUM(output_NHTS!I$116:I$118)</f>
        <v>#DIV/0!</v>
      </c>
      <c r="J60" s="12">
        <f>output_NHTS!J116/SUM(output_NHTS!J$116:J$118)</f>
        <v>0.94927536231884058</v>
      </c>
      <c r="L60" s="48">
        <v>1</v>
      </c>
      <c r="M60" s="42">
        <f>output!B116/SUM(output!B$116:B$118)</f>
        <v>0.98130841121495327</v>
      </c>
      <c r="N60" s="42">
        <f>output!C116/SUM(output!C$116:C$118)</f>
        <v>0.8928571428571429</v>
      </c>
      <c r="O60" s="42">
        <f>output!D116/SUM(output!D$116:D$118)</f>
        <v>0.92500000000000004</v>
      </c>
      <c r="P60" s="42">
        <f>output!E116/SUM(output!E$116:E$118)</f>
        <v>0.89090909090909087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0.94927536231884058</v>
      </c>
      <c r="W60" s="18">
        <v>1</v>
      </c>
      <c r="X60" s="12">
        <f ref="X60:AF63" si="17" t="shared">M60-B60</f>
        <v>0</v>
      </c>
      <c r="Y60" s="12">
        <f si="17" t="shared"/>
        <v>0</v>
      </c>
      <c r="Z60" s="12">
        <f si="17" t="shared"/>
        <v>0</v>
      </c>
      <c r="AA60" s="12">
        <f si="17" t="shared"/>
        <v>0</v>
      </c>
      <c r="AB60" s="12">
        <f si="17" t="shared"/>
        <v>0</v>
      </c>
      <c r="AC60" s="12">
        <f si="17" t="shared"/>
        <v>0</v>
      </c>
      <c r="AD60" s="12">
        <f si="17" t="shared"/>
        <v>0</v>
      </c>
      <c r="AE60" s="12" t="e">
        <f si="17" t="shared"/>
        <v>#DIV/0!</v>
      </c>
      <c r="AF60" s="12">
        <f si="17" t="shared"/>
        <v>0</v>
      </c>
    </row>
    <row r="61" spans="1:32" x14ac:dyDescent="0.35">
      <c r="A61" s="18">
        <v>2</v>
      </c>
      <c r="B61" s="12">
        <f>output_NHTS!B117/SUM(output_NHTS!B$116:B$118)</f>
        <v>1.8691588785046728E-2</v>
      </c>
      <c r="C61" s="12">
        <f>output_NHTS!C117/SUM(output_NHTS!C$116:C$118)</f>
        <v>0.10714285714285714</v>
      </c>
      <c r="D61" s="12">
        <f>output_NHTS!D117/SUM(output_NHTS!D$116:D$118)</f>
        <v>7.4999999999999997E-2</v>
      </c>
      <c r="E61" s="12">
        <f>output_NHTS!E117/SUM(output_NHTS!E$116:E$118)</f>
        <v>0.10909090909090909</v>
      </c>
      <c r="F61" s="12">
        <f>output_NHTS!F117/SUM(output_NHTS!F$116:F$118)</f>
        <v>0</v>
      </c>
      <c r="G61" s="12">
        <f>output_NHTS!G117/SUM(output_NHTS!G$116:G$118)</f>
        <v>0</v>
      </c>
      <c r="H61" s="12">
        <f>output_NHTS!H117/SUM(output_NHTS!H$116:H$118)</f>
        <v>0</v>
      </c>
      <c r="I61" s="12" t="e">
        <f>output_NHTS!I117/SUM(output_NHTS!I$116:I$118)</f>
        <v>#DIV/0!</v>
      </c>
      <c r="J61" s="12">
        <f>output_NHTS!J117/SUM(output_NHTS!J$116:J$118)</f>
        <v>5.0724637681159424E-2</v>
      </c>
      <c r="L61" s="48">
        <v>2</v>
      </c>
      <c r="M61" s="42">
        <f>output!B117/SUM(output!B$116:B$118)</f>
        <v>1.8691588785046728E-2</v>
      </c>
      <c r="N61" s="42">
        <f>output!C117/SUM(output!C$116:C$118)</f>
        <v>0.10714285714285714</v>
      </c>
      <c r="O61" s="42">
        <f>output!D117/SUM(output!D$116:D$118)</f>
        <v>7.4999999999999997E-2</v>
      </c>
      <c r="P61" s="42">
        <f>output!E117/SUM(output!E$116:E$118)</f>
        <v>0.10909090909090909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5.0724637681159424E-2</v>
      </c>
      <c r="W61" s="18">
        <v>2</v>
      </c>
      <c r="X61" s="12">
        <f si="17" t="shared"/>
        <v>0</v>
      </c>
      <c r="Y61" s="12">
        <f si="17" t="shared"/>
        <v>0</v>
      </c>
      <c r="Z61" s="12">
        <f si="17" t="shared"/>
        <v>0</v>
      </c>
      <c r="AA61" s="12">
        <f si="17" t="shared"/>
        <v>0</v>
      </c>
      <c r="AB61" s="12">
        <f si="17" t="shared"/>
        <v>0</v>
      </c>
      <c r="AC61" s="12">
        <f si="17" t="shared"/>
        <v>0</v>
      </c>
      <c r="AD61" s="12">
        <f si="17" t="shared"/>
        <v>0</v>
      </c>
      <c r="AE61" s="12" t="e">
        <f si="17" t="shared"/>
        <v>#DIV/0!</v>
      </c>
      <c r="AF61" s="12">
        <f si="17" t="shared"/>
        <v>0</v>
      </c>
    </row>
    <row r="62" spans="1:32" x14ac:dyDescent="0.35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0</v>
      </c>
      <c r="AC62" s="12">
        <f si="17" t="shared"/>
        <v>0</v>
      </c>
      <c r="AD62" s="12">
        <f si="17" t="shared"/>
        <v>0</v>
      </c>
      <c r="AE62" s="12" t="e">
        <f si="17" t="shared"/>
        <v>#DIV/0!</v>
      </c>
      <c r="AF62" s="12">
        <f si="17" t="shared"/>
        <v>0</v>
      </c>
    </row>
    <row ht="13.15" r="63" spans="1:32" thickBot="1" x14ac:dyDescent="0.4">
      <c r="A63" s="21" t="s">
        <v>223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1</v>
      </c>
      <c r="G63" s="51">
        <f si="18" t="shared"/>
        <v>1</v>
      </c>
      <c r="H63" s="51">
        <f si="18" t="shared"/>
        <v>1</v>
      </c>
      <c r="I63" s="51" t="e">
        <f si="18" t="shared"/>
        <v>#DIV/0!</v>
      </c>
      <c r="J63" s="51">
        <f si="18" t="shared"/>
        <v>1</v>
      </c>
      <c r="L63" s="50" t="s">
        <v>223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 t="e">
        <f si="19" t="shared"/>
        <v>#DIV/0!</v>
      </c>
      <c r="U63" s="51">
        <f si="19" t="shared"/>
        <v>1</v>
      </c>
      <c r="W63" s="21" t="s">
        <v>223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>
        <f si="17" t="shared"/>
        <v>0</v>
      </c>
      <c r="AD63" s="14">
        <f si="17" t="shared"/>
        <v>0</v>
      </c>
      <c r="AE63" s="14" t="e">
        <f si="17" t="shared"/>
        <v>#DIV/0!</v>
      </c>
      <c r="AF63" s="14">
        <f si="17" t="shared"/>
        <v>0</v>
      </c>
    </row>
    <row r="64" spans="1:32" x14ac:dyDescent="0.35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35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35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ht="13.15" r="67" spans="1:32" x14ac:dyDescent="0.4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ht="13.15" r="68" spans="1:32" x14ac:dyDescent="0.4">
      <c r="A68" s="2" t="s">
        <v>243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4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ht="13.15" r="70" spans="1:32" x14ac:dyDescent="0.4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245</v>
      </c>
      <c r="F70" s="6" t="s">
        <v>246</v>
      </c>
      <c r="G70" s="6" t="s">
        <v>247</v>
      </c>
      <c r="H70" s="6" t="s">
        <v>248</v>
      </c>
      <c r="I70" s="6" t="s">
        <v>170</v>
      </c>
      <c r="J70" s="6" t="s">
        <v>223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245</v>
      </c>
      <c r="Q70" s="41" t="s">
        <v>246</v>
      </c>
      <c r="R70" s="41" t="s">
        <v>247</v>
      </c>
      <c r="S70" s="41" t="s">
        <v>248</v>
      </c>
      <c r="T70" s="41" t="s">
        <v>170</v>
      </c>
      <c r="U70" s="41" t="s">
        <v>223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245</v>
      </c>
      <c r="AB70" s="41" t="s">
        <v>246</v>
      </c>
      <c r="AC70" s="41" t="s">
        <v>247</v>
      </c>
      <c r="AD70" s="41" t="s">
        <v>248</v>
      </c>
      <c r="AE70" s="41" t="s">
        <v>170</v>
      </c>
      <c r="AF70" s="41" t="s">
        <v>223</v>
      </c>
    </row>
    <row r="71" spans="1:32" x14ac:dyDescent="0.35">
      <c r="A71" s="18">
        <v>1</v>
      </c>
      <c r="B71" s="12">
        <f>output_NHTS!B123/SUM(output_NHTS!B$123:B$125)</f>
        <v>0.89370078740157477</v>
      </c>
      <c r="C71" s="12">
        <f>output_NHTS!C123/SUM(output_NHTS!C$123:C$125)</f>
        <v>0.90243902439024393</v>
      </c>
      <c r="D71" s="12">
        <f>output_NHTS!D123/SUM(output_NHTS!D$123:D$125)</f>
        <v>0.87058823529411766</v>
      </c>
      <c r="E71" s="12">
        <f>output_NHTS!E123/SUM(output_NHTS!E$123:E$125)</f>
        <v>0.87401574803149606</v>
      </c>
      <c r="F71" s="12">
        <f>output_NHTS!F123/SUM(output_NHTS!F$123:F$125)</f>
        <v>0.91176470588235292</v>
      </c>
      <c r="G71" s="12">
        <f>output_NHTS!G123/SUM(output_NHTS!G$123:G$125)</f>
        <v>0.94736842105263153</v>
      </c>
      <c r="H71" s="12">
        <f>output_NHTS!H123/SUM(output_NHTS!H$123:H$125)</f>
        <v>0.94339622641509435</v>
      </c>
      <c r="I71" s="12" t="e">
        <f>output_NHTS!I123/SUM(output_NHTS!I$123:I$125)</f>
        <v>#DIV/0!</v>
      </c>
      <c r="J71" s="12">
        <f>output_NHTS!J123/SUM(output_NHTS!J$123:J$125)</f>
        <v>0.89944903581267222</v>
      </c>
      <c r="L71" s="48">
        <v>1</v>
      </c>
      <c r="M71" s="42">
        <f>output!B123/SUM(output!B$123:B$125)</f>
        <v>0.89370078740157477</v>
      </c>
      <c r="N71" s="42">
        <f>output!C123/SUM(output!C$123:C$125)</f>
        <v>0.90243902439024393</v>
      </c>
      <c r="O71" s="42">
        <f>output!D123/SUM(output!D$123:D$125)</f>
        <v>0.87058823529411766</v>
      </c>
      <c r="P71" s="42">
        <f>output!E123/SUM(output!E$123:E$125)</f>
        <v>0.87401574803149606</v>
      </c>
      <c r="Q71" s="42">
        <f>output!F123/SUM(output!F$123:F$125)</f>
        <v>0.91176470588235292</v>
      </c>
      <c r="R71" s="42">
        <f>output!G123/SUM(output!G$123:G$125)</f>
        <v>0.94736842105263153</v>
      </c>
      <c r="S71" s="42">
        <f>output!H123/SUM(output!H$123:H$125)</f>
        <v>0.94339622641509435</v>
      </c>
      <c r="T71" s="42" t="e">
        <f>output!I123/SUM(output!I$123:I$125)</f>
        <v>#DIV/0!</v>
      </c>
      <c r="U71" s="42">
        <f>output!J123/SUM(output!J$123:J$125)</f>
        <v>0.89944903581267222</v>
      </c>
      <c r="W71" s="18">
        <v>1</v>
      </c>
      <c r="X71" s="12">
        <f ref="X71:AF74" si="20" t="shared">M71-B71</f>
        <v>0</v>
      </c>
      <c r="Y71" s="12">
        <f si="20" t="shared"/>
        <v>0</v>
      </c>
      <c r="Z71" s="12">
        <f si="20" t="shared"/>
        <v>0</v>
      </c>
      <c r="AA71" s="12">
        <f si="20" t="shared"/>
        <v>0</v>
      </c>
      <c r="AB71" s="12">
        <f si="20" t="shared"/>
        <v>0</v>
      </c>
      <c r="AC71" s="12">
        <f si="20" t="shared"/>
        <v>0</v>
      </c>
      <c r="AD71" s="12">
        <f si="20" t="shared"/>
        <v>0</v>
      </c>
      <c r="AE71" s="12" t="e">
        <f si="20" t="shared"/>
        <v>#DIV/0!</v>
      </c>
      <c r="AF71" s="12">
        <f si="20" t="shared"/>
        <v>0</v>
      </c>
    </row>
    <row r="72" spans="1:32" x14ac:dyDescent="0.35">
      <c r="A72" s="18">
        <v>2</v>
      </c>
      <c r="B72" s="12">
        <f>output_NHTS!B124/SUM(output_NHTS!B$123:B$125)</f>
        <v>0.1062992125984252</v>
      </c>
      <c r="C72" s="12">
        <f>output_NHTS!C124/SUM(output_NHTS!C$123:C$125)</f>
        <v>9.7560975609756101E-2</v>
      </c>
      <c r="D72" s="12">
        <f>output_NHTS!D124/SUM(output_NHTS!D$123:D$125)</f>
        <v>0.10588235294117647</v>
      </c>
      <c r="E72" s="12">
        <f>output_NHTS!E124/SUM(output_NHTS!E$123:E$125)</f>
        <v>0.11023622047244094</v>
      </c>
      <c r="F72" s="12">
        <f>output_NHTS!F124/SUM(output_NHTS!F$123:F$125)</f>
        <v>8.8235294117647065E-2</v>
      </c>
      <c r="G72" s="12">
        <f>output_NHTS!G124/SUM(output_NHTS!G$123:G$125)</f>
        <v>5.2631578947368418E-2</v>
      </c>
      <c r="H72" s="12">
        <f>output_NHTS!H124/SUM(output_NHTS!H$123:H$125)</f>
        <v>5.6603773584905662E-2</v>
      </c>
      <c r="I72" s="12" t="e">
        <f>output_NHTS!I124/SUM(output_NHTS!I$123:I$125)</f>
        <v>#DIV/0!</v>
      </c>
      <c r="J72" s="12">
        <f>output_NHTS!J124/SUM(output_NHTS!J$123:J$125)</f>
        <v>9.5041322314049589E-2</v>
      </c>
      <c r="L72" s="48">
        <v>2</v>
      </c>
      <c r="M72" s="42">
        <f>output!B124/SUM(output!B$123:B$125)</f>
        <v>0.1062992125984252</v>
      </c>
      <c r="N72" s="42">
        <f>output!C124/SUM(output!C$123:C$125)</f>
        <v>9.7560975609756101E-2</v>
      </c>
      <c r="O72" s="42">
        <f>output!D124/SUM(output!D$123:D$125)</f>
        <v>0.10588235294117647</v>
      </c>
      <c r="P72" s="42">
        <f>output!E124/SUM(output!E$123:E$125)</f>
        <v>0.11023622047244094</v>
      </c>
      <c r="Q72" s="42">
        <f>output!F124/SUM(output!F$123:F$125)</f>
        <v>8.8235294117647065E-2</v>
      </c>
      <c r="R72" s="42">
        <f>output!G124/SUM(output!G$123:G$125)</f>
        <v>5.2631578947368418E-2</v>
      </c>
      <c r="S72" s="42">
        <f>output!H124/SUM(output!H$123:H$125)</f>
        <v>5.6603773584905662E-2</v>
      </c>
      <c r="T72" s="42" t="e">
        <f>output!I124/SUM(output!I$123:I$125)</f>
        <v>#DIV/0!</v>
      </c>
      <c r="U72" s="42">
        <f>output!J124/SUM(output!J$123:J$125)</f>
        <v>9.5041322314049589E-2</v>
      </c>
      <c r="W72" s="18">
        <v>2</v>
      </c>
      <c r="X72" s="12">
        <f si="20" t="shared"/>
        <v>0</v>
      </c>
      <c r="Y72" s="12">
        <f si="20" t="shared"/>
        <v>0</v>
      </c>
      <c r="Z72" s="12">
        <f si="20" t="shared"/>
        <v>0</v>
      </c>
      <c r="AA72" s="12">
        <f si="20" t="shared"/>
        <v>0</v>
      </c>
      <c r="AB72" s="12">
        <f si="20" t="shared"/>
        <v>0</v>
      </c>
      <c r="AC72" s="12">
        <f si="20" t="shared"/>
        <v>0</v>
      </c>
      <c r="AD72" s="12">
        <f si="20" t="shared"/>
        <v>0</v>
      </c>
      <c r="AE72" s="12" t="e">
        <f si="20" t="shared"/>
        <v>#DIV/0!</v>
      </c>
      <c r="AF72" s="12">
        <f si="20" t="shared"/>
        <v>0</v>
      </c>
    </row>
    <row r="73" spans="1:32" x14ac:dyDescent="0.35">
      <c r="A73" s="23" t="s">
        <v>116</v>
      </c>
      <c r="B73" s="12">
        <f>output_NHTS!B125/SUM(output_NHTS!B$123:B$125)</f>
        <v>0</v>
      </c>
      <c r="C73" s="12">
        <f>output_NHTS!C125/SUM(output_NHTS!C$123:C$125)</f>
        <v>0</v>
      </c>
      <c r="D73" s="12">
        <f>output_NHTS!D125/SUM(output_NHTS!D$123:D$125)</f>
        <v>2.3529411764705882E-2</v>
      </c>
      <c r="E73" s="12">
        <f>output_NHTS!E125/SUM(output_NHTS!E$123:E$125)</f>
        <v>1.5748031496062992E-2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0</v>
      </c>
      <c r="I73" s="12" t="e">
        <f>output_NHTS!I125/SUM(output_NHTS!I$123:I$125)</f>
        <v>#DIV/0!</v>
      </c>
      <c r="J73" s="12">
        <f>output_NHTS!J125/SUM(output_NHTS!J$123:J$125)</f>
        <v>5.5096418732782371E-3</v>
      </c>
      <c r="L73" s="49" t="s">
        <v>116</v>
      </c>
      <c r="M73" s="43">
        <f>output!B125/SUM(output!B$123:B$125)</f>
        <v>0</v>
      </c>
      <c r="N73" s="43">
        <f>output!C125/SUM(output!C$123:C$125)</f>
        <v>0</v>
      </c>
      <c r="O73" s="43">
        <f>output!D125/SUM(output!D$123:D$125)</f>
        <v>2.3529411764705882E-2</v>
      </c>
      <c r="P73" s="43">
        <f>output!E125/SUM(output!E$123:E$125)</f>
        <v>1.5748031496062992E-2</v>
      </c>
      <c r="Q73" s="43">
        <f>output!F125/SUM(output!F$123:F$125)</f>
        <v>0</v>
      </c>
      <c r="R73" s="43">
        <f>output!G125/SUM(output!G$123:G$125)</f>
        <v>0</v>
      </c>
      <c r="S73" s="43">
        <f>output!H125/SUM(output!H$123:H$125)</f>
        <v>0</v>
      </c>
      <c r="T73" s="43" t="e">
        <f>output!I125/SUM(output!I$123:I$125)</f>
        <v>#DIV/0!</v>
      </c>
      <c r="U73" s="43">
        <f>output!J125/SUM(output!J$123:J$125)</f>
        <v>5.5096418732782371E-3</v>
      </c>
      <c r="W73" s="23" t="s">
        <v>116</v>
      </c>
      <c r="X73" s="12">
        <f si="20" t="shared"/>
        <v>0</v>
      </c>
      <c r="Y73" s="12">
        <f si="20" t="shared"/>
        <v>0</v>
      </c>
      <c r="Z73" s="12">
        <f si="20" t="shared"/>
        <v>0</v>
      </c>
      <c r="AA73" s="12">
        <f si="20" t="shared"/>
        <v>0</v>
      </c>
      <c r="AB73" s="12">
        <f si="20" t="shared"/>
        <v>0</v>
      </c>
      <c r="AC73" s="12">
        <f si="20" t="shared"/>
        <v>0</v>
      </c>
      <c r="AD73" s="12">
        <f si="20" t="shared"/>
        <v>0</v>
      </c>
      <c r="AE73" s="12" t="e">
        <f si="20" t="shared"/>
        <v>#DIV/0!</v>
      </c>
      <c r="AF73" s="12">
        <f si="20" t="shared"/>
        <v>0</v>
      </c>
    </row>
    <row ht="13.15" r="74" spans="1:32" thickBot="1" x14ac:dyDescent="0.4">
      <c r="A74" s="21" t="s">
        <v>223</v>
      </c>
      <c r="B74" s="51">
        <f>SUM(B71:B73)</f>
        <v>1</v>
      </c>
      <c r="C74" s="51">
        <f ref="C74:J74" si="21" t="shared">SUM(C71:C73)</f>
        <v>1</v>
      </c>
      <c r="D74" s="51">
        <f si="21" t="shared"/>
        <v>1</v>
      </c>
      <c r="E74" s="51">
        <f si="21" t="shared"/>
        <v>1</v>
      </c>
      <c r="F74" s="51">
        <f si="21" t="shared"/>
        <v>1</v>
      </c>
      <c r="G74" s="51">
        <f si="21" t="shared"/>
        <v>1</v>
      </c>
      <c r="H74" s="51">
        <f si="21" t="shared"/>
        <v>1</v>
      </c>
      <c r="I74" s="51" t="e">
        <f si="21" t="shared"/>
        <v>#DIV/0!</v>
      </c>
      <c r="J74" s="51">
        <f si="21" t="shared"/>
        <v>1</v>
      </c>
      <c r="L74" s="50" t="s">
        <v>223</v>
      </c>
      <c r="M74" s="51">
        <f>SUM(M71:M73)</f>
        <v>1</v>
      </c>
      <c r="N74" s="51">
        <f ref="N74:U74" si="22" t="shared">SUM(N71:N73)</f>
        <v>1</v>
      </c>
      <c r="O74" s="51">
        <f si="22" t="shared"/>
        <v>1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 t="e">
        <f si="22" t="shared"/>
        <v>#DIV/0!</v>
      </c>
      <c r="U74" s="51">
        <f si="22" t="shared"/>
        <v>1</v>
      </c>
      <c r="W74" s="21" t="s">
        <v>223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 t="e">
        <f si="20" t="shared"/>
        <v>#DIV/0!</v>
      </c>
      <c r="AF74" s="14">
        <f si="20" t="shared"/>
        <v>0</v>
      </c>
    </row>
  </sheetData>
  <phoneticPr fontId="4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F81"/>
  <sheetViews>
    <sheetView workbookViewId="0">
      <selection activeCell="F25" sqref="F25"/>
    </sheetView>
  </sheetViews>
  <sheetFormatPr defaultColWidth="10.76171875" defaultRowHeight="12.75" x14ac:dyDescent="0.35"/>
  <cols>
    <col min="1" max="16384" style="3" width="10.76171875" collapsed="true"/>
  </cols>
  <sheetData>
    <row ht="13.15" r="1" spans="1:32" x14ac:dyDescent="0.4">
      <c r="A1" s="2" t="s">
        <v>175</v>
      </c>
      <c r="L1" s="2" t="s">
        <v>175</v>
      </c>
      <c r="W1" s="2" t="s">
        <v>175</v>
      </c>
    </row>
    <row ht="13.15" r="2" spans="1:32" x14ac:dyDescent="0.4">
      <c r="A2" s="2" t="s">
        <v>131</v>
      </c>
      <c r="L2" s="2" t="s">
        <v>152</v>
      </c>
      <c r="W2" s="2" t="s">
        <v>132</v>
      </c>
    </row>
    <row ht="13.5" r="3" spans="1:32" thickBot="1" x14ac:dyDescent="0.4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ht="13.15" r="4" spans="1:32" x14ac:dyDescent="0.4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35">
      <c r="A5" s="18">
        <v>0</v>
      </c>
      <c r="B5" s="12">
        <f>output_NHTS!B80/SUM(output_NHTS!B$80:B$83)</f>
        <v>0.16207455429497569</v>
      </c>
      <c r="C5" s="12">
        <f>output_NHTS!C80/SUM(output_NHTS!C$80:C$83)</f>
        <v>0.28115942028985508</v>
      </c>
      <c r="D5" s="12">
        <f>output_NHTS!D80/SUM(output_NHTS!D$80:D$83)</f>
        <v>1</v>
      </c>
      <c r="E5" s="12">
        <f>output_NHTS!E80/SUM(output_NHTS!E$80:E$83)</f>
        <v>1</v>
      </c>
      <c r="F5" s="12">
        <f>output_NHTS!F80/SUM(output_NHTS!F$80:F$83)</f>
        <v>0.82068965517241377</v>
      </c>
      <c r="G5" s="12">
        <f>output_NHTS!G80/SUM(output_NHTS!G$80:G$83)</f>
        <v>0.92746113989637302</v>
      </c>
      <c r="H5" s="12">
        <f>output_NHTS!H80/SUM(output_NHTS!H$80:H$83)</f>
        <v>1</v>
      </c>
      <c r="I5" s="12" t="e">
        <f>output_NHTS!I80/SUM(output_NHTS!I$80:I$83)</f>
        <v>#DIV/0!</v>
      </c>
      <c r="J5" s="12">
        <f>output_NHTS!J80/SUM(output_NHTS!J$80:J$83)</f>
        <v>0.59707406278573605</v>
      </c>
      <c r="L5" s="18">
        <v>0</v>
      </c>
      <c r="M5" s="12">
        <f>output!B80/SUM(output!B$80:B$83)</f>
        <v>0.16207455429497569</v>
      </c>
      <c r="N5" s="12">
        <f>output!C80/SUM(output!C$80:C$83)</f>
        <v>0.28115942028985508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0.82068965517241377</v>
      </c>
      <c r="R5" s="12">
        <f>output!G80/SUM(output!G$80:G$83)</f>
        <v>0.92746113989637302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0.59707406278573605</v>
      </c>
      <c r="W5" s="18">
        <v>0</v>
      </c>
      <c r="X5" s="12">
        <f ref="X5:AF9" si="0" t="shared">M5-B5</f>
        <v>0</v>
      </c>
      <c r="Y5" s="12">
        <f si="0" t="shared"/>
        <v>0</v>
      </c>
      <c r="Z5" s="12">
        <f si="0" t="shared"/>
        <v>0</v>
      </c>
      <c r="AA5" s="12">
        <f si="0" t="shared"/>
        <v>0</v>
      </c>
      <c r="AB5" s="12">
        <f si="0" t="shared"/>
        <v>0</v>
      </c>
      <c r="AC5" s="12">
        <f si="0" t="shared"/>
        <v>0</v>
      </c>
      <c r="AD5" s="12">
        <f si="0" t="shared"/>
        <v>0</v>
      </c>
      <c r="AE5" s="12" t="e">
        <f si="0" t="shared"/>
        <v>#DIV/0!</v>
      </c>
      <c r="AF5" s="12">
        <f si="0" t="shared"/>
        <v>0</v>
      </c>
    </row>
    <row r="6" spans="1:32" x14ac:dyDescent="0.35">
      <c r="A6" s="18">
        <v>1</v>
      </c>
      <c r="B6" s="12">
        <f>output_NHTS!B81/SUM(output_NHTS!B$80:B$83)</f>
        <v>0.81604538087520262</v>
      </c>
      <c r="C6" s="12">
        <f>output_NHTS!C81/SUM(output_NHTS!C$80:C$83)</f>
        <v>0.68695652173913047</v>
      </c>
      <c r="D6" s="12">
        <f>output_NHTS!D81/SUM(output_NHTS!D$80:D$83)</f>
        <v>0</v>
      </c>
      <c r="E6" s="12">
        <f>output_NHTS!E81/SUM(output_NHTS!E$80:E$83)</f>
        <v>0</v>
      </c>
      <c r="F6" s="12">
        <f>output_NHTS!F81/SUM(output_NHTS!F$80:F$83)</f>
        <v>0.17241379310344829</v>
      </c>
      <c r="G6" s="12">
        <f>output_NHTS!G81/SUM(output_NHTS!G$80:G$83)</f>
        <v>7.2538860103626937E-2</v>
      </c>
      <c r="H6" s="12">
        <f>output_NHTS!H81/SUM(output_NHTS!H$80:H$83)</f>
        <v>0</v>
      </c>
      <c r="I6" s="12" t="e">
        <f>output_NHTS!I81/SUM(output_NHTS!I$80:I$83)</f>
        <v>#DIV/0!</v>
      </c>
      <c r="J6" s="12">
        <f>output_NHTS!J81/SUM(output_NHTS!J$80:J$83)</f>
        <v>0.39103931728131669</v>
      </c>
      <c r="L6" s="18">
        <v>1</v>
      </c>
      <c r="M6" s="12">
        <f>output!B81/SUM(output!B$80:B$83)</f>
        <v>0.81604538087520262</v>
      </c>
      <c r="N6" s="12">
        <f>output!C81/SUM(output!C$80:C$83)</f>
        <v>0.68695652173913047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0.17241379310344829</v>
      </c>
      <c r="R6" s="12">
        <f>output!G81/SUM(output!G$80:G$83)</f>
        <v>7.2538860103626937E-2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0.39103931728131669</v>
      </c>
      <c r="W6" s="18">
        <v>1</v>
      </c>
      <c r="X6" s="12">
        <f si="0" t="shared"/>
        <v>0</v>
      </c>
      <c r="Y6" s="12">
        <f si="0" t="shared"/>
        <v>0</v>
      </c>
      <c r="Z6" s="12">
        <f si="0" t="shared"/>
        <v>0</v>
      </c>
      <c r="AA6" s="12">
        <f si="0" t="shared"/>
        <v>0</v>
      </c>
      <c r="AB6" s="12">
        <f si="0" t="shared"/>
        <v>0</v>
      </c>
      <c r="AC6" s="12">
        <f si="0" t="shared"/>
        <v>0</v>
      </c>
      <c r="AD6" s="12">
        <f si="0" t="shared"/>
        <v>0</v>
      </c>
      <c r="AE6" s="12" t="e">
        <f si="0" t="shared"/>
        <v>#DIV/0!</v>
      </c>
      <c r="AF6" s="12">
        <f si="0" t="shared"/>
        <v>0</v>
      </c>
    </row>
    <row r="7" spans="1:32" x14ac:dyDescent="0.35">
      <c r="A7" s="18">
        <v>2</v>
      </c>
      <c r="B7" s="12">
        <f>output_NHTS!B82/SUM(output_NHTS!B$80:B$83)</f>
        <v>2.1069692058346839E-2</v>
      </c>
      <c r="C7" s="12">
        <f>output_NHTS!C82/SUM(output_NHTS!C$80:C$83)</f>
        <v>3.1884057971014491E-2</v>
      </c>
      <c r="D7" s="12">
        <f>output_NHTS!D82/SUM(output_NHTS!D$80:D$83)</f>
        <v>0</v>
      </c>
      <c r="E7" s="12">
        <f>output_NHTS!E82/SUM(output_NHTS!E$80:E$83)</f>
        <v>0</v>
      </c>
      <c r="F7" s="12">
        <f>output_NHTS!F82/SUM(output_NHTS!F$80:F$83)</f>
        <v>6.8965517241379309E-3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1.1581834806461445E-2</v>
      </c>
      <c r="L7" s="18">
        <v>2</v>
      </c>
      <c r="M7" s="12">
        <f>output!B82/SUM(output!B$80:B$83)</f>
        <v>2.1069692058346839E-2</v>
      </c>
      <c r="N7" s="12">
        <f>output!C82/SUM(output!C$80:C$83)</f>
        <v>3.1884057971014491E-2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6.8965517241379309E-3</v>
      </c>
      <c r="R7" s="12">
        <f>output!G82/SUM(output!G$80:G$83)</f>
        <v>0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1.1581834806461445E-2</v>
      </c>
      <c r="W7" s="18">
        <v>2</v>
      </c>
      <c r="X7" s="12">
        <f si="0" t="shared"/>
        <v>0</v>
      </c>
      <c r="Y7" s="12">
        <f si="0" t="shared"/>
        <v>0</v>
      </c>
      <c r="Z7" s="12">
        <f si="0" t="shared"/>
        <v>0</v>
      </c>
      <c r="AA7" s="12">
        <f si="0" t="shared"/>
        <v>0</v>
      </c>
      <c r="AB7" s="12">
        <f si="0" t="shared"/>
        <v>0</v>
      </c>
      <c r="AC7" s="12">
        <f si="0" t="shared"/>
        <v>0</v>
      </c>
      <c r="AD7" s="12">
        <f si="0" t="shared"/>
        <v>0</v>
      </c>
      <c r="AE7" s="12" t="e">
        <f si="0" t="shared"/>
        <v>#DIV/0!</v>
      </c>
      <c r="AF7" s="12">
        <f si="0" t="shared"/>
        <v>0</v>
      </c>
    </row>
    <row r="8" spans="1:32" x14ac:dyDescent="0.35">
      <c r="A8" s="23" t="s">
        <v>116</v>
      </c>
      <c r="B8" s="12">
        <f>output_NHTS!B83/SUM(output_NHTS!B$80:B$83)</f>
        <v>8.1037277147487841E-4</v>
      </c>
      <c r="C8" s="12">
        <f>output_NHTS!C83/SUM(output_NHTS!C$80:C$83)</f>
        <v>0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3.0478512648582747E-4</v>
      </c>
      <c r="L8" s="23" t="s">
        <v>116</v>
      </c>
      <c r="M8" s="13">
        <f>output!B83/SUM(output!B$80:B$83)</f>
        <v>8.1037277147487841E-4</v>
      </c>
      <c r="N8" s="13">
        <f>output!C83/SUM(output!C$80:C$83)</f>
        <v>0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0</v>
      </c>
      <c r="R8" s="13">
        <f>output!G83/SUM(output!G$80:G$83)</f>
        <v>0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3.0478512648582747E-4</v>
      </c>
      <c r="W8" s="23" t="s">
        <v>116</v>
      </c>
      <c r="X8" s="12">
        <f si="0" t="shared"/>
        <v>0</v>
      </c>
      <c r="Y8" s="12">
        <f si="0" t="shared"/>
        <v>0</v>
      </c>
      <c r="Z8" s="12">
        <f si="0" t="shared"/>
        <v>0</v>
      </c>
      <c r="AA8" s="12">
        <f si="0" t="shared"/>
        <v>0</v>
      </c>
      <c r="AB8" s="12">
        <f si="0" t="shared"/>
        <v>0</v>
      </c>
      <c r="AC8" s="12">
        <f si="0" t="shared"/>
        <v>0</v>
      </c>
      <c r="AD8" s="12">
        <f si="0" t="shared"/>
        <v>0</v>
      </c>
      <c r="AE8" s="12" t="e">
        <f si="0" t="shared"/>
        <v>#DIV/0!</v>
      </c>
      <c r="AF8" s="12">
        <f si="0" t="shared"/>
        <v>0</v>
      </c>
    </row>
    <row ht="13.15" r="9" spans="1:32" thickBot="1" x14ac:dyDescent="0.4">
      <c r="A9" s="21" t="s">
        <v>223</v>
      </c>
      <c r="B9" s="14">
        <f ref="B9:J9" si="1" t="shared">SUM(B5:B8)</f>
        <v>1</v>
      </c>
      <c r="C9" s="14">
        <f si="1" t="shared"/>
        <v>1</v>
      </c>
      <c r="D9" s="14">
        <f si="1" t="shared"/>
        <v>1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1</v>
      </c>
      <c r="I9" s="14" t="e">
        <f si="1" t="shared"/>
        <v>#DIV/0!</v>
      </c>
      <c r="J9" s="14">
        <f si="1" t="shared"/>
        <v>1</v>
      </c>
      <c r="L9" s="21" t="s">
        <v>223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1</v>
      </c>
      <c r="R9" s="14">
        <f si="2" t="shared"/>
        <v>1</v>
      </c>
      <c r="S9" s="14">
        <f si="2" t="shared"/>
        <v>1</v>
      </c>
      <c r="T9" s="14" t="e">
        <f si="2" t="shared"/>
        <v>#DIV/0!</v>
      </c>
      <c r="U9" s="14">
        <f si="2" t="shared"/>
        <v>1</v>
      </c>
      <c r="W9" s="21" t="s">
        <v>223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0" spans="1:32" x14ac:dyDescent="0.35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35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35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ht="13.15" r="13" spans="1:32" x14ac:dyDescent="0.4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ht="13.15" r="14" spans="1:32" x14ac:dyDescent="0.4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4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ht="13.15" r="16" spans="1:32" x14ac:dyDescent="0.4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245</v>
      </c>
      <c r="Q16" s="6" t="s">
        <v>246</v>
      </c>
      <c r="R16" s="6" t="s">
        <v>247</v>
      </c>
      <c r="S16" s="6" t="s">
        <v>248</v>
      </c>
      <c r="T16" s="6" t="s">
        <v>170</v>
      </c>
      <c r="U16" s="6" t="s">
        <v>223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35">
      <c r="A17" s="18">
        <v>0</v>
      </c>
      <c r="B17" s="12">
        <f>output_NHTS!B87/SUM(output_NHTS!B$87:B$90)</f>
        <v>1</v>
      </c>
      <c r="C17" s="12">
        <f>output_NHTS!C87/SUM(output_NHTS!C$87:C$90)</f>
        <v>1</v>
      </c>
      <c r="D17" s="12">
        <f>output_NHTS!D87/SUM(output_NHTS!D$87:D$90)</f>
        <v>1</v>
      </c>
      <c r="E17" s="12">
        <f>output_NHTS!E87/SUM(output_NHTS!E$87:E$90)</f>
        <v>1</v>
      </c>
      <c r="F17" s="12">
        <f>output_NHTS!F87/SUM(output_NHTS!F$87:F$90)</f>
        <v>0.35862068965517241</v>
      </c>
      <c r="G17" s="12">
        <f>output_NHTS!G87/SUM(output_NHTS!G$87:G$90)</f>
        <v>0.12953367875647667</v>
      </c>
      <c r="H17" s="12">
        <f>output_NHTS!H87/SUM(output_NHTS!H$87:H$90)</f>
        <v>0.14770797962648557</v>
      </c>
      <c r="I17" s="12" t="e">
        <f>output_NHTS!I87/SUM(output_NHTS!I$87:I$90)</f>
        <v>#DIV/0!</v>
      </c>
      <c r="J17" s="12">
        <f>output_NHTS!J87/SUM(output_NHTS!J$87:J$90)</f>
        <v>0.76744894849131362</v>
      </c>
      <c r="L17" s="18">
        <v>0</v>
      </c>
      <c r="M17" s="12">
        <f>output!B87/SUM(output!B$87:B$90)</f>
        <v>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0.35862068965517241</v>
      </c>
      <c r="R17" s="12">
        <f>output!G87/SUM(output!G$87:G$90)</f>
        <v>0.12953367875647667</v>
      </c>
      <c r="S17" s="28">
        <f>output!H87/SUM(output!H$87:H$90)</f>
        <v>0.14770797962648557</v>
      </c>
      <c r="T17" s="28" t="e">
        <f>output!I87/SUM(output!I$87:I$90)</f>
        <v>#DIV/0!</v>
      </c>
      <c r="U17" s="12">
        <f>output!J87/SUM(output!J$87:J$90)</f>
        <v>0.76744894849131362</v>
      </c>
      <c r="W17" s="18">
        <v>0</v>
      </c>
      <c r="X17" s="12">
        <f ref="X17:AF21" si="3" t="shared">M17-B17</f>
        <v>0</v>
      </c>
      <c r="Y17" s="12">
        <f si="3" t="shared"/>
        <v>0</v>
      </c>
      <c r="Z17" s="12">
        <f si="3" t="shared"/>
        <v>0</v>
      </c>
      <c r="AA17" s="12">
        <f si="3" t="shared"/>
        <v>0</v>
      </c>
      <c r="AB17" s="12">
        <f si="3" t="shared"/>
        <v>0</v>
      </c>
      <c r="AC17" s="12">
        <f si="3" t="shared"/>
        <v>0</v>
      </c>
      <c r="AD17" s="12">
        <f si="3" t="shared"/>
        <v>0</v>
      </c>
      <c r="AE17" s="12" t="e">
        <f si="3" t="shared"/>
        <v>#DIV/0!</v>
      </c>
      <c r="AF17" s="12">
        <f si="3" t="shared"/>
        <v>0</v>
      </c>
    </row>
    <row r="18" spans="1:32" x14ac:dyDescent="0.35">
      <c r="A18" s="18">
        <v>1</v>
      </c>
      <c r="B18" s="12">
        <f>output_NHTS!B88/SUM(output_NHTS!B$87:B$90)</f>
        <v>0</v>
      </c>
      <c r="C18" s="12">
        <f>output_NHTS!C88/SUM(output_NHTS!C$87:C$90)</f>
        <v>0</v>
      </c>
      <c r="D18" s="12">
        <f>output_NHTS!D88/SUM(output_NHTS!D$87:D$90)</f>
        <v>0</v>
      </c>
      <c r="E18" s="12">
        <f>output_NHTS!E88/SUM(output_NHTS!E$87:E$90)</f>
        <v>0</v>
      </c>
      <c r="F18" s="12">
        <f>output_NHTS!F88/SUM(output_NHTS!F$87:F$90)</f>
        <v>0.61379310344827587</v>
      </c>
      <c r="G18" s="12">
        <f>output_NHTS!G88/SUM(output_NHTS!G$87:G$90)</f>
        <v>0.84455958549222798</v>
      </c>
      <c r="H18" s="12">
        <f>output_NHTS!H88/SUM(output_NHTS!H$87:H$90)</f>
        <v>0.84210526315789469</v>
      </c>
      <c r="I18" s="12" t="e">
        <f>output_NHTS!I88/SUM(output_NHTS!I$87:I$90)</f>
        <v>#DIV/0!</v>
      </c>
      <c r="J18" s="12">
        <f>output_NHTS!J88/SUM(output_NHTS!J$87:J$90)</f>
        <v>0.22797927461139897</v>
      </c>
      <c r="L18" s="18">
        <v>1</v>
      </c>
      <c r="M18" s="12">
        <f>output!B88/SUM(output!B$87:B$90)</f>
        <v>0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0.61379310344827587</v>
      </c>
      <c r="R18" s="12">
        <f>output!G88/SUM(output!G$87:G$90)</f>
        <v>0.84455958549222798</v>
      </c>
      <c r="S18" s="28">
        <f>output!H88/SUM(output!H$87:H$90)</f>
        <v>0.84210526315789469</v>
      </c>
      <c r="T18" s="28" t="e">
        <f>output!I88/SUM(output!I$87:I$90)</f>
        <v>#DIV/0!</v>
      </c>
      <c r="U18" s="12">
        <f>output!J88/SUM(output!J$87:J$90)</f>
        <v>0.22797927461139897</v>
      </c>
      <c r="W18" s="18">
        <v>1</v>
      </c>
      <c r="X18" s="12">
        <f si="3" t="shared"/>
        <v>0</v>
      </c>
      <c r="Y18" s="12">
        <f si="3" t="shared"/>
        <v>0</v>
      </c>
      <c r="Z18" s="12">
        <f si="3" t="shared"/>
        <v>0</v>
      </c>
      <c r="AA18" s="12">
        <f si="3" t="shared"/>
        <v>0</v>
      </c>
      <c r="AB18" s="12">
        <f si="3" t="shared"/>
        <v>0</v>
      </c>
      <c r="AC18" s="12">
        <f si="3" t="shared"/>
        <v>0</v>
      </c>
      <c r="AD18" s="12">
        <f si="3" t="shared"/>
        <v>0</v>
      </c>
      <c r="AE18" s="12" t="e">
        <f si="3" t="shared"/>
        <v>#DIV/0!</v>
      </c>
      <c r="AF18" s="12">
        <f si="3" t="shared"/>
        <v>0</v>
      </c>
    </row>
    <row r="19" spans="1:32" x14ac:dyDescent="0.35">
      <c r="A19" s="18">
        <v>2</v>
      </c>
      <c r="B19" s="12">
        <f>output_NHTS!B89/SUM(output_NHTS!B$87:B$90)</f>
        <v>0</v>
      </c>
      <c r="C19" s="12">
        <f>output_NHTS!C89/SUM(output_NHTS!C$87:C$90)</f>
        <v>0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2.7586206896551724E-2</v>
      </c>
      <c r="G19" s="12">
        <f>output_NHTS!G89/SUM(output_NHTS!G$87:G$90)</f>
        <v>2.5906735751295335E-2</v>
      </c>
      <c r="H19" s="12">
        <f>output_NHTS!H89/SUM(output_NHTS!H$87:H$90)</f>
        <v>1.0186757215619695E-2</v>
      </c>
      <c r="I19" s="12" t="e">
        <f>output_NHTS!I89/SUM(output_NHTS!I$87:I$90)</f>
        <v>#DIV/0!</v>
      </c>
      <c r="J19" s="12">
        <f>output_NHTS!J89/SUM(output_NHTS!J$87:J$90)</f>
        <v>4.5717768972874124E-3</v>
      </c>
      <c r="L19" s="18">
        <v>2</v>
      </c>
      <c r="M19" s="12">
        <f>output!B89/SUM(output!B$87:B$90)</f>
        <v>0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2.7586206896551724E-2</v>
      </c>
      <c r="R19" s="12">
        <f>output!G89/SUM(output!G$87:G$90)</f>
        <v>2.5906735751295335E-2</v>
      </c>
      <c r="S19" s="28">
        <f>output!H89/SUM(output!H$87:H$90)</f>
        <v>1.0186757215619695E-2</v>
      </c>
      <c r="T19" s="28" t="e">
        <f>output!I89/SUM(output!I$87:I$90)</f>
        <v>#DIV/0!</v>
      </c>
      <c r="U19" s="12">
        <f>output!J89/SUM(output!J$87:J$90)</f>
        <v>4.5717768972874124E-3</v>
      </c>
      <c r="W19" s="18">
        <v>2</v>
      </c>
      <c r="X19" s="12">
        <f si="3" t="shared"/>
        <v>0</v>
      </c>
      <c r="Y19" s="12">
        <f si="3" t="shared"/>
        <v>0</v>
      </c>
      <c r="Z19" s="12">
        <f si="3" t="shared"/>
        <v>0</v>
      </c>
      <c r="AA19" s="12">
        <f si="3" t="shared"/>
        <v>0</v>
      </c>
      <c r="AB19" s="12">
        <f si="3" t="shared"/>
        <v>0</v>
      </c>
      <c r="AC19" s="12">
        <f si="3" t="shared"/>
        <v>0</v>
      </c>
      <c r="AD19" s="12">
        <f si="3" t="shared"/>
        <v>0</v>
      </c>
      <c r="AE19" s="12" t="e">
        <f si="3" t="shared"/>
        <v>#DIV/0!</v>
      </c>
      <c r="AF19" s="12">
        <f si="3" t="shared"/>
        <v>0</v>
      </c>
    </row>
    <row r="20" spans="1:32" x14ac:dyDescent="0.35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0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0</v>
      </c>
      <c r="R20" s="13">
        <f>output!G90/SUM(output!G$87:G$90)</f>
        <v>0</v>
      </c>
      <c r="S20" s="30">
        <f>output!H90/SUM(output!H$87:H$90)</f>
        <v>0</v>
      </c>
      <c r="T20" s="30" t="e">
        <f>output!I90/SUM(output!I$87:I$90)</f>
        <v>#DIV/0!</v>
      </c>
      <c r="U20" s="13">
        <f>output!J90/SUM(output!J$87:J$90)</f>
        <v>0</v>
      </c>
      <c r="W20" s="23" t="s">
        <v>116</v>
      </c>
      <c r="X20" s="12">
        <f si="3" t="shared"/>
        <v>0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0</v>
      </c>
      <c r="AC20" s="12">
        <f si="3" t="shared"/>
        <v>0</v>
      </c>
      <c r="AD20" s="12">
        <f si="3" t="shared"/>
        <v>0</v>
      </c>
      <c r="AE20" s="12" t="e">
        <f si="3" t="shared"/>
        <v>#DIV/0!</v>
      </c>
      <c r="AF20" s="12">
        <f si="3" t="shared"/>
        <v>0</v>
      </c>
    </row>
    <row ht="13.15" r="21" spans="1:32" thickBot="1" x14ac:dyDescent="0.4">
      <c r="A21" s="21" t="s">
        <v>223</v>
      </c>
      <c r="B21" s="14">
        <f ref="B21:J21" si="4" t="shared">SUM(B17:B20)</f>
        <v>1</v>
      </c>
      <c r="C21" s="14">
        <f si="4" t="shared"/>
        <v>1</v>
      </c>
      <c r="D21" s="14">
        <f si="4" t="shared"/>
        <v>1</v>
      </c>
      <c r="E21" s="14">
        <f si="4" t="shared"/>
        <v>1</v>
      </c>
      <c r="F21" s="14">
        <f si="4" t="shared"/>
        <v>1</v>
      </c>
      <c r="G21" s="14">
        <f si="4" t="shared"/>
        <v>1</v>
      </c>
      <c r="H21" s="14">
        <f si="4" t="shared"/>
        <v>0.99999999999999989</v>
      </c>
      <c r="I21" s="14" t="e">
        <f si="4" t="shared"/>
        <v>#DIV/0!</v>
      </c>
      <c r="J21" s="14">
        <f si="4" t="shared"/>
        <v>1</v>
      </c>
      <c r="L21" s="21" t="s">
        <v>223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0.99999999999999989</v>
      </c>
      <c r="T21" s="14" t="e">
        <f si="5" t="shared"/>
        <v>#DIV/0!</v>
      </c>
      <c r="U21" s="14">
        <f si="5" t="shared"/>
        <v>1</v>
      </c>
      <c r="W21" s="21" t="s">
        <v>223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 t="e">
        <f si="3" t="shared"/>
        <v>#DIV/0!</v>
      </c>
      <c r="AF21" s="14">
        <f si="3" t="shared"/>
        <v>0</v>
      </c>
    </row>
    <row r="22" spans="1:32" x14ac:dyDescent="0.35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35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35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ht="13.15" r="25" spans="1:32" x14ac:dyDescent="0.4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ht="13.15" r="26" spans="1:32" x14ac:dyDescent="0.4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4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ht="13.15" r="28" spans="1:32" x14ac:dyDescent="0.4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245</v>
      </c>
      <c r="F28" s="24" t="s">
        <v>246</v>
      </c>
      <c r="G28" s="24" t="s">
        <v>247</v>
      </c>
      <c r="H28" s="24" t="s">
        <v>248</v>
      </c>
      <c r="I28" s="24" t="s">
        <v>170</v>
      </c>
      <c r="J28" s="24" t="s">
        <v>223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245</v>
      </c>
      <c r="Q28" s="24" t="s">
        <v>246</v>
      </c>
      <c r="R28" s="24" t="s">
        <v>247</v>
      </c>
      <c r="S28" s="24" t="s">
        <v>248</v>
      </c>
      <c r="T28" s="24" t="s">
        <v>170</v>
      </c>
      <c r="U28" s="24" t="s">
        <v>223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245</v>
      </c>
      <c r="AB28" s="24" t="s">
        <v>246</v>
      </c>
      <c r="AC28" s="24" t="s">
        <v>247</v>
      </c>
      <c r="AD28" s="24" t="s">
        <v>248</v>
      </c>
      <c r="AE28" s="24" t="s">
        <v>170</v>
      </c>
      <c r="AF28" s="24" t="s">
        <v>223</v>
      </c>
    </row>
    <row r="29" spans="1:32" x14ac:dyDescent="0.35">
      <c r="A29" s="18">
        <v>0</v>
      </c>
      <c r="B29" s="12">
        <f>output_NHTS!B94/SUM(output_NHTS!B$94:B$97)</f>
        <v>0.91004862236628847</v>
      </c>
      <c r="C29" s="12">
        <f>output_NHTS!C94/SUM(output_NHTS!C$94:C$97)</f>
        <v>0.8492753623188406</v>
      </c>
      <c r="D29" s="12">
        <f>output_NHTS!D94/SUM(output_NHTS!D$94:D$97)</f>
        <v>0.85668789808917201</v>
      </c>
      <c r="E29" s="12">
        <f>output_NHTS!E94/SUM(output_NHTS!E$94:E$97)</f>
        <v>0.61822125813449025</v>
      </c>
      <c r="F29" s="12">
        <f>output_NHTS!F94/SUM(output_NHTS!F$94:F$97)</f>
        <v>0.89655172413793105</v>
      </c>
      <c r="G29" s="12">
        <f>output_NHTS!G94/SUM(output_NHTS!G$94:G$97)</f>
        <v>0.93264248704663211</v>
      </c>
      <c r="H29" s="12">
        <f>output_NHTS!H94/SUM(output_NHTS!H$94:H$97)</f>
        <v>0.92020373514431242</v>
      </c>
      <c r="I29" s="12" t="e">
        <f>output_NHTS!I94/SUM(output_NHTS!I$94:I$97)</f>
        <v>#DIV/0!</v>
      </c>
      <c r="J29" s="12">
        <f>output_NHTS!J94/SUM(output_NHTS!J$94:J$97)</f>
        <v>0.86010362694300513</v>
      </c>
      <c r="L29" s="18">
        <v>0</v>
      </c>
      <c r="M29" s="12">
        <f>output!B94/SUM(output!B$94:B$97)</f>
        <v>0.91004862236628847</v>
      </c>
      <c r="N29" s="12">
        <f>output!C94/SUM(output!C$94:C$97)</f>
        <v>0.8492753623188406</v>
      </c>
      <c r="O29" s="12">
        <f>output!D94/SUM(output!D$94:D$97)</f>
        <v>0.85668789808917201</v>
      </c>
      <c r="P29" s="12">
        <f>output!E94/SUM(output!E$94:E$97)</f>
        <v>0.61822125813449025</v>
      </c>
      <c r="Q29" s="12">
        <f>output!F94/SUM(output!F$94:F$97)</f>
        <v>0.89655172413793105</v>
      </c>
      <c r="R29" s="12">
        <f>output!G94/SUM(output!G$94:G$97)</f>
        <v>0.93264248704663211</v>
      </c>
      <c r="S29" s="28">
        <f>output!H94/SUM(output!H$94:H$97)</f>
        <v>0.92020373514431242</v>
      </c>
      <c r="T29" s="28" t="e">
        <f>output!I94/SUM(output!I$94:I$97)</f>
        <v>#DIV/0!</v>
      </c>
      <c r="U29" s="12">
        <f>output!J94/SUM(output!J$94:J$97)</f>
        <v>0.86010362694300513</v>
      </c>
      <c r="W29" s="18">
        <v>0</v>
      </c>
      <c r="X29" s="12">
        <f ref="X29:AF33" si="6" t="shared">M29-B29</f>
        <v>0</v>
      </c>
      <c r="Y29" s="12">
        <f si="6" t="shared"/>
        <v>0</v>
      </c>
      <c r="Z29" s="12">
        <f si="6" t="shared"/>
        <v>0</v>
      </c>
      <c r="AA29" s="12">
        <f si="6" t="shared"/>
        <v>0</v>
      </c>
      <c r="AB29" s="12">
        <f si="6" t="shared"/>
        <v>0</v>
      </c>
      <c r="AC29" s="12">
        <f si="6" t="shared"/>
        <v>0</v>
      </c>
      <c r="AD29" s="12">
        <f si="6" t="shared"/>
        <v>0</v>
      </c>
      <c r="AE29" s="12" t="e">
        <f si="6" t="shared"/>
        <v>#DIV/0!</v>
      </c>
      <c r="AF29" s="12">
        <f si="6" t="shared"/>
        <v>0</v>
      </c>
    </row>
    <row r="30" spans="1:32" x14ac:dyDescent="0.35">
      <c r="A30" s="18">
        <v>1</v>
      </c>
      <c r="B30" s="12">
        <f>output_NHTS!B95/SUM(output_NHTS!B$94:B$97)</f>
        <v>7.8606158833063211E-2</v>
      </c>
      <c r="C30" s="12">
        <f>output_NHTS!C95/SUM(output_NHTS!C$94:C$97)</f>
        <v>0.11014492753623188</v>
      </c>
      <c r="D30" s="12">
        <f>output_NHTS!D95/SUM(output_NHTS!D$94:D$97)</f>
        <v>0.13057324840764331</v>
      </c>
      <c r="E30" s="12">
        <f>output_NHTS!E95/SUM(output_NHTS!E$94:E$97)</f>
        <v>0.2559652928416486</v>
      </c>
      <c r="F30" s="12">
        <f>output_NHTS!F95/SUM(output_NHTS!F$94:F$97)</f>
        <v>8.2758620689655171E-2</v>
      </c>
      <c r="G30" s="12">
        <f>output_NHTS!G95/SUM(output_NHTS!G$94:G$97)</f>
        <v>6.7357512953367879E-2</v>
      </c>
      <c r="H30" s="12">
        <f>output_NHTS!H95/SUM(output_NHTS!H$94:H$97)</f>
        <v>7.4702886247877756E-2</v>
      </c>
      <c r="I30" s="12" t="e">
        <f>output_NHTS!I95/SUM(output_NHTS!I$94:I$97)</f>
        <v>#DIV/0!</v>
      </c>
      <c r="J30" s="12">
        <f>output_NHTS!J95/SUM(output_NHTS!J$94:J$97)</f>
        <v>0.11063700091435538</v>
      </c>
      <c r="L30" s="18">
        <v>1</v>
      </c>
      <c r="M30" s="12">
        <f>output!B95/SUM(output!B$94:B$97)</f>
        <v>7.8606158833063211E-2</v>
      </c>
      <c r="N30" s="12">
        <f>output!C95/SUM(output!C$94:C$97)</f>
        <v>0.11014492753623188</v>
      </c>
      <c r="O30" s="12">
        <f>output!D95/SUM(output!D$94:D$97)</f>
        <v>0.13057324840764331</v>
      </c>
      <c r="P30" s="12">
        <f>output!E95/SUM(output!E$94:E$97)</f>
        <v>0.2559652928416486</v>
      </c>
      <c r="Q30" s="12">
        <f>output!F95/SUM(output!F$94:F$97)</f>
        <v>8.2758620689655171E-2</v>
      </c>
      <c r="R30" s="12">
        <f>output!G95/SUM(output!G$94:G$97)</f>
        <v>6.7357512953367879E-2</v>
      </c>
      <c r="S30" s="28">
        <f>output!H95/SUM(output!H$94:H$97)</f>
        <v>7.4702886247877756E-2</v>
      </c>
      <c r="T30" s="28" t="e">
        <f>output!I95/SUM(output!I$94:I$97)</f>
        <v>#DIV/0!</v>
      </c>
      <c r="U30" s="12">
        <f>output!J95/SUM(output!J$94:J$97)</f>
        <v>0.11063700091435538</v>
      </c>
      <c r="W30" s="18">
        <v>1</v>
      </c>
      <c r="X30" s="12">
        <f si="6" t="shared"/>
        <v>0</v>
      </c>
      <c r="Y30" s="12">
        <f si="6" t="shared"/>
        <v>0</v>
      </c>
      <c r="Z30" s="12">
        <f si="6" t="shared"/>
        <v>0</v>
      </c>
      <c r="AA30" s="12">
        <f si="6" t="shared"/>
        <v>0</v>
      </c>
      <c r="AB30" s="12">
        <f si="6" t="shared"/>
        <v>0</v>
      </c>
      <c r="AC30" s="12">
        <f si="6" t="shared"/>
        <v>0</v>
      </c>
      <c r="AD30" s="12">
        <f si="6" t="shared"/>
        <v>0</v>
      </c>
      <c r="AE30" s="12" t="e">
        <f si="6" t="shared"/>
        <v>#DIV/0!</v>
      </c>
      <c r="AF30" s="12">
        <f si="6" t="shared"/>
        <v>0</v>
      </c>
    </row>
    <row r="31" spans="1:32" x14ac:dyDescent="0.35">
      <c r="A31" s="18">
        <v>2</v>
      </c>
      <c r="B31" s="12">
        <f>output_NHTS!B96/SUM(output_NHTS!B$94:B$97)</f>
        <v>8.1037277147487843E-3</v>
      </c>
      <c r="C31" s="12">
        <f>output_NHTS!C96/SUM(output_NHTS!C$94:C$97)</f>
        <v>2.8985507246376812E-2</v>
      </c>
      <c r="D31" s="12">
        <f>output_NHTS!D96/SUM(output_NHTS!D$94:D$97)</f>
        <v>9.5541401273885346E-3</v>
      </c>
      <c r="E31" s="12">
        <f>output_NHTS!E96/SUM(output_NHTS!E$94:E$97)</f>
        <v>9.7613882863340565E-2</v>
      </c>
      <c r="F31" s="12">
        <f>output_NHTS!F96/SUM(output_NHTS!F$94:F$97)</f>
        <v>2.0689655172413793E-2</v>
      </c>
      <c r="G31" s="12">
        <f>output_NHTS!G96/SUM(output_NHTS!G$94:G$97)</f>
        <v>0</v>
      </c>
      <c r="H31" s="12">
        <f>output_NHTS!H96/SUM(output_NHTS!H$94:H$97)</f>
        <v>5.0933786078098476E-3</v>
      </c>
      <c r="I31" s="12" t="e">
        <f>output_NHTS!I96/SUM(output_NHTS!I$94:I$97)</f>
        <v>#DIV/0!</v>
      </c>
      <c r="J31" s="12">
        <f>output_NHTS!J96/SUM(output_NHTS!J$94:J$97)</f>
        <v>2.2554099359951233E-2</v>
      </c>
      <c r="L31" s="18">
        <v>2</v>
      </c>
      <c r="M31" s="12">
        <f>output!B96/SUM(output!B$94:B$97)</f>
        <v>8.1037277147487843E-3</v>
      </c>
      <c r="N31" s="12">
        <f>output!C96/SUM(output!C$94:C$97)</f>
        <v>2.8985507246376812E-2</v>
      </c>
      <c r="O31" s="12">
        <f>output!D96/SUM(output!D$94:D$97)</f>
        <v>9.5541401273885346E-3</v>
      </c>
      <c r="P31" s="12">
        <f>output!E96/SUM(output!E$94:E$97)</f>
        <v>9.7613882863340565E-2</v>
      </c>
      <c r="Q31" s="12">
        <f>output!F96/SUM(output!F$94:F$97)</f>
        <v>2.0689655172413793E-2</v>
      </c>
      <c r="R31" s="12">
        <f>output!G96/SUM(output!G$94:G$97)</f>
        <v>0</v>
      </c>
      <c r="S31" s="28">
        <f>output!H96/SUM(output!H$94:H$97)</f>
        <v>5.0933786078098476E-3</v>
      </c>
      <c r="T31" s="28" t="e">
        <f>output!I96/SUM(output!I$94:I$97)</f>
        <v>#DIV/0!</v>
      </c>
      <c r="U31" s="12">
        <f>output!J96/SUM(output!J$94:J$97)</f>
        <v>2.2554099359951233E-2</v>
      </c>
      <c r="W31" s="18">
        <v>2</v>
      </c>
      <c r="X31" s="12">
        <f si="6" t="shared"/>
        <v>0</v>
      </c>
      <c r="Y31" s="12">
        <f si="6" t="shared"/>
        <v>0</v>
      </c>
      <c r="Z31" s="12">
        <f si="6" t="shared"/>
        <v>0</v>
      </c>
      <c r="AA31" s="12">
        <f si="6" t="shared"/>
        <v>0</v>
      </c>
      <c r="AB31" s="12">
        <f si="6" t="shared"/>
        <v>0</v>
      </c>
      <c r="AC31" s="12">
        <f si="6" t="shared"/>
        <v>0</v>
      </c>
      <c r="AD31" s="12">
        <f si="6" t="shared"/>
        <v>0</v>
      </c>
      <c r="AE31" s="12" t="e">
        <f si="6" t="shared"/>
        <v>#DIV/0!</v>
      </c>
      <c r="AF31" s="12">
        <f si="6" t="shared"/>
        <v>0</v>
      </c>
    </row>
    <row r="32" spans="1:32" x14ac:dyDescent="0.35">
      <c r="A32" s="18" t="s">
        <v>116</v>
      </c>
      <c r="B32" s="12">
        <f>output_NHTS!B97/SUM(output_NHTS!B$94:B$97)</f>
        <v>3.2414910858995136E-3</v>
      </c>
      <c r="C32" s="12">
        <f>output_NHTS!C97/SUM(output_NHTS!C$94:C$97)</f>
        <v>1.1594202898550725E-2</v>
      </c>
      <c r="D32" s="12">
        <f>output_NHTS!D97/SUM(output_NHTS!D$94:D$97)</f>
        <v>3.1847133757961785E-3</v>
      </c>
      <c r="E32" s="12">
        <f>output_NHTS!E97/SUM(output_NHTS!E$94:E$97)</f>
        <v>2.8199566160520606E-2</v>
      </c>
      <c r="F32" s="12">
        <f>output_NHTS!F97/SUM(output_NHTS!F$94:F$97)</f>
        <v>0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6.705272782688205E-3</v>
      </c>
      <c r="L32" s="18" t="s">
        <v>116</v>
      </c>
      <c r="M32" s="13">
        <f>output!B97/SUM(output!B$94:B$97)</f>
        <v>3.2414910858995136E-3</v>
      </c>
      <c r="N32" s="13">
        <f>output!C97/SUM(output!C$94:C$97)</f>
        <v>1.1594202898550725E-2</v>
      </c>
      <c r="O32" s="13">
        <f>output!D97/SUM(output!D$94:D$97)</f>
        <v>3.1847133757961785E-3</v>
      </c>
      <c r="P32" s="13">
        <f>output!E97/SUM(output!E$94:E$97)</f>
        <v>2.8199566160520606E-2</v>
      </c>
      <c r="Q32" s="13">
        <f>output!F97/SUM(output!F$94:F$97)</f>
        <v>0</v>
      </c>
      <c r="R32" s="13">
        <f>output!G97/SUM(output!G$94:G$97)</f>
        <v>0</v>
      </c>
      <c r="S32" s="30">
        <f>output!H97/SUM(output!H$94:H$97)</f>
        <v>0</v>
      </c>
      <c r="T32" s="30" t="e">
        <f>output!I97/SUM(output!I$94:I$97)</f>
        <v>#DIV/0!</v>
      </c>
      <c r="U32" s="13">
        <f>output!J97/SUM(output!J$94:J$97)</f>
        <v>6.705272782688205E-3</v>
      </c>
      <c r="W32" s="18" t="s">
        <v>116</v>
      </c>
      <c r="X32" s="12">
        <f si="6" t="shared"/>
        <v>0</v>
      </c>
      <c r="Y32" s="12">
        <f si="6" t="shared"/>
        <v>0</v>
      </c>
      <c r="Z32" s="12">
        <f si="6" t="shared"/>
        <v>0</v>
      </c>
      <c r="AA32" s="12">
        <f si="6" t="shared"/>
        <v>0</v>
      </c>
      <c r="AB32" s="12">
        <f si="6" t="shared"/>
        <v>0</v>
      </c>
      <c r="AC32" s="12">
        <f si="6" t="shared"/>
        <v>0</v>
      </c>
      <c r="AD32" s="12">
        <f si="6" t="shared"/>
        <v>0</v>
      </c>
      <c r="AE32" s="12" t="e">
        <f si="6" t="shared"/>
        <v>#DIV/0!</v>
      </c>
      <c r="AF32" s="12">
        <f si="6" t="shared"/>
        <v>0</v>
      </c>
    </row>
    <row ht="13.15" r="33" spans="1:32" thickBot="1" x14ac:dyDescent="0.4">
      <c r="A33" s="21" t="s">
        <v>223</v>
      </c>
      <c r="B33" s="14">
        <f ref="B33:J33" si="7" t="shared">SUM(B29:B32)</f>
        <v>1</v>
      </c>
      <c r="C33" s="14">
        <f si="7" t="shared"/>
        <v>1</v>
      </c>
      <c r="D33" s="14">
        <f si="7" t="shared"/>
        <v>1</v>
      </c>
      <c r="E33" s="14">
        <f si="7" t="shared"/>
        <v>1</v>
      </c>
      <c r="F33" s="14">
        <f si="7" t="shared"/>
        <v>1</v>
      </c>
      <c r="G33" s="14">
        <f si="7" t="shared"/>
        <v>1</v>
      </c>
      <c r="H33" s="14">
        <f si="7" t="shared"/>
        <v>1</v>
      </c>
      <c r="I33" s="14" t="e">
        <f si="7" t="shared"/>
        <v>#DIV/0!</v>
      </c>
      <c r="J33" s="14">
        <f si="7" t="shared"/>
        <v>0.99999999999999989</v>
      </c>
      <c r="L33" s="21" t="s">
        <v>223</v>
      </c>
      <c r="M33" s="14">
        <f>SUM(M29:M32)</f>
        <v>1</v>
      </c>
      <c r="N33" s="14">
        <f ref="N33:U33" si="8" t="shared">SUM(N29:N32)</f>
        <v>1</v>
      </c>
      <c r="O33" s="14">
        <f si="8" t="shared"/>
        <v>1</v>
      </c>
      <c r="P33" s="14">
        <f si="8" t="shared"/>
        <v>1</v>
      </c>
      <c r="Q33" s="14">
        <f si="8" t="shared"/>
        <v>1</v>
      </c>
      <c r="R33" s="14">
        <f si="8" t="shared"/>
        <v>1</v>
      </c>
      <c r="S33" s="14">
        <f si="8" t="shared"/>
        <v>1</v>
      </c>
      <c r="T33" s="14" t="e">
        <f si="8" t="shared"/>
        <v>#DIV/0!</v>
      </c>
      <c r="U33" s="14">
        <f si="8" t="shared"/>
        <v>0.99999999999999989</v>
      </c>
      <c r="W33" s="21" t="s">
        <v>223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 t="e">
        <f si="6" t="shared"/>
        <v>#DIV/0!</v>
      </c>
      <c r="AF33" s="14">
        <f si="6" t="shared"/>
        <v>0</v>
      </c>
    </row>
    <row r="34" spans="1:32" x14ac:dyDescent="0.35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35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35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ht="13.15" r="37" spans="1:32" x14ac:dyDescent="0.4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ht="13.15" r="38" spans="1:32" x14ac:dyDescent="0.4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4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ht="13.15" r="40" spans="1:32" x14ac:dyDescent="0.4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245</v>
      </c>
      <c r="Q40" s="6" t="s">
        <v>246</v>
      </c>
      <c r="R40" s="6" t="s">
        <v>247</v>
      </c>
      <c r="S40" s="6" t="s">
        <v>248</v>
      </c>
      <c r="T40" s="6" t="s">
        <v>170</v>
      </c>
      <c r="U40" s="6" t="s">
        <v>223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35">
      <c r="A41" s="18">
        <v>0</v>
      </c>
      <c r="B41" s="12">
        <f>output_NHTS!B101/SUM(output_NHTS!B$101:B$104)</f>
        <v>0.89384116693679094</v>
      </c>
      <c r="C41" s="12">
        <f>output_NHTS!C101/SUM(output_NHTS!C$101:C$104)</f>
        <v>0.86086956521739133</v>
      </c>
      <c r="D41" s="12">
        <f>output_NHTS!D101/SUM(output_NHTS!D$101:D$104)</f>
        <v>0.85668789808917201</v>
      </c>
      <c r="E41" s="12">
        <f>output_NHTS!E101/SUM(output_NHTS!E$101:E$104)</f>
        <v>0.85683297180043383</v>
      </c>
      <c r="F41" s="12">
        <f>output_NHTS!F101/SUM(output_NHTS!F$101:F$104)</f>
        <v>0.88275862068965516</v>
      </c>
      <c r="G41" s="12">
        <f>output_NHTS!G101/SUM(output_NHTS!G$101:G$104)</f>
        <v>0.85492227979274615</v>
      </c>
      <c r="H41" s="12">
        <f>output_NHTS!H101/SUM(output_NHTS!H$101:H$104)</f>
        <v>0.94057724957555178</v>
      </c>
      <c r="I41" s="12" t="e">
        <f>output_NHTS!I101/SUM(output_NHTS!I$101:I$104)</f>
        <v>#DIV/0!</v>
      </c>
      <c r="J41" s="12">
        <f>output_NHTS!J101/SUM(output_NHTS!J$101:J$104)</f>
        <v>0.88722950320024385</v>
      </c>
      <c r="L41" s="18">
        <v>0</v>
      </c>
      <c r="M41" s="12">
        <f>output!B101/SUM(output!B$101:B$104)</f>
        <v>0.89384116693679094</v>
      </c>
      <c r="N41" s="12">
        <f>output!C101/SUM(output!C$101:C$104)</f>
        <v>0.86086956521739133</v>
      </c>
      <c r="O41" s="12">
        <f>output!D101/SUM(output!D$101:D$104)</f>
        <v>0.85668789808917201</v>
      </c>
      <c r="P41" s="12">
        <f>output!E101/SUM(output!E$101:E$104)</f>
        <v>0.85683297180043383</v>
      </c>
      <c r="Q41" s="12">
        <f>output!F101/SUM(output!F$101:F$104)</f>
        <v>0.88275862068965516</v>
      </c>
      <c r="R41" s="12">
        <f>output!G101/SUM(output!G$101:G$104)</f>
        <v>0.85492227979274615</v>
      </c>
      <c r="S41" s="28">
        <f>output!H101/SUM(output!H$101:H$104)</f>
        <v>0.94057724957555178</v>
      </c>
      <c r="T41" s="28" t="e">
        <f>output!I101/SUM(output!I$101:I$104)</f>
        <v>#DIV/0!</v>
      </c>
      <c r="U41" s="12">
        <f>output!J101/SUM(output!J$101:J$104)</f>
        <v>0.88722950320024385</v>
      </c>
      <c r="W41" s="18">
        <v>0</v>
      </c>
      <c r="X41" s="12">
        <f ref="X41:AF45" si="9" t="shared">M41-B41</f>
        <v>0</v>
      </c>
      <c r="Y41" s="12">
        <f si="9" t="shared"/>
        <v>0</v>
      </c>
      <c r="Z41" s="12">
        <f si="9" t="shared"/>
        <v>0</v>
      </c>
      <c r="AA41" s="12">
        <f si="9" t="shared"/>
        <v>0</v>
      </c>
      <c r="AB41" s="12">
        <f si="9" t="shared"/>
        <v>0</v>
      </c>
      <c r="AC41" s="12">
        <f si="9" t="shared"/>
        <v>0</v>
      </c>
      <c r="AD41" s="12">
        <f si="9" t="shared"/>
        <v>0</v>
      </c>
      <c r="AE41" s="12" t="e">
        <f si="9" t="shared"/>
        <v>#DIV/0!</v>
      </c>
      <c r="AF41" s="12">
        <f si="9" t="shared"/>
        <v>0</v>
      </c>
    </row>
    <row r="42" spans="1:32" x14ac:dyDescent="0.35">
      <c r="A42" s="18">
        <v>1</v>
      </c>
      <c r="B42" s="12">
        <f>output_NHTS!B102/SUM(output_NHTS!B$101:B$104)</f>
        <v>9.2382495948136148E-2</v>
      </c>
      <c r="C42" s="12">
        <f>output_NHTS!C102/SUM(output_NHTS!C$101:C$104)</f>
        <v>0.11594202898550725</v>
      </c>
      <c r="D42" s="12">
        <f>output_NHTS!D102/SUM(output_NHTS!D$101:D$104)</f>
        <v>0.13057324840764331</v>
      </c>
      <c r="E42" s="12">
        <f>output_NHTS!E102/SUM(output_NHTS!E$101:E$104)</f>
        <v>0.13015184381778741</v>
      </c>
      <c r="F42" s="12">
        <f>output_NHTS!F102/SUM(output_NHTS!F$101:F$104)</f>
        <v>0.10344827586206896</v>
      </c>
      <c r="G42" s="12">
        <f>output_NHTS!G102/SUM(output_NHTS!G$101:G$104)</f>
        <v>0.13471502590673576</v>
      </c>
      <c r="H42" s="12">
        <f>output_NHTS!H102/SUM(output_NHTS!H$101:H$104)</f>
        <v>5.2631578947368418E-2</v>
      </c>
      <c r="I42" s="12" t="e">
        <f>output_NHTS!I102/SUM(output_NHTS!I$101:I$104)</f>
        <v>#DIV/0!</v>
      </c>
      <c r="J42" s="12">
        <f>output_NHTS!J102/SUM(output_NHTS!J$101:J$104)</f>
        <v>9.9664736360865591E-2</v>
      </c>
      <c r="L42" s="18">
        <v>1</v>
      </c>
      <c r="M42" s="12">
        <f>output!B102/SUM(output!B$101:B$104)</f>
        <v>9.2382495948136148E-2</v>
      </c>
      <c r="N42" s="12">
        <f>output!C102/SUM(output!C$101:C$104)</f>
        <v>0.11594202898550725</v>
      </c>
      <c r="O42" s="12">
        <f>output!D102/SUM(output!D$101:D$104)</f>
        <v>0.13057324840764331</v>
      </c>
      <c r="P42" s="12">
        <f>output!E102/SUM(output!E$101:E$104)</f>
        <v>0.13015184381778741</v>
      </c>
      <c r="Q42" s="12">
        <f>output!F102/SUM(output!F$101:F$104)</f>
        <v>0.10344827586206896</v>
      </c>
      <c r="R42" s="12">
        <f>output!G102/SUM(output!G$101:G$104)</f>
        <v>0.13471502590673576</v>
      </c>
      <c r="S42" s="28">
        <f>output!H102/SUM(output!H$101:H$104)</f>
        <v>5.2631578947368418E-2</v>
      </c>
      <c r="T42" s="28" t="e">
        <f>output!I102/SUM(output!I$101:I$104)</f>
        <v>#DIV/0!</v>
      </c>
      <c r="U42" s="12">
        <f>output!J102/SUM(output!J$101:J$104)</f>
        <v>9.9664736360865591E-2</v>
      </c>
      <c r="W42" s="18">
        <v>1</v>
      </c>
      <c r="X42" s="12">
        <f si="9" t="shared"/>
        <v>0</v>
      </c>
      <c r="Y42" s="12">
        <f si="9" t="shared"/>
        <v>0</v>
      </c>
      <c r="Z42" s="12">
        <f si="9" t="shared"/>
        <v>0</v>
      </c>
      <c r="AA42" s="12">
        <f si="9" t="shared"/>
        <v>0</v>
      </c>
      <c r="AB42" s="12">
        <f si="9" t="shared"/>
        <v>0</v>
      </c>
      <c r="AC42" s="12">
        <f si="9" t="shared"/>
        <v>0</v>
      </c>
      <c r="AD42" s="12">
        <f si="9" t="shared"/>
        <v>0</v>
      </c>
      <c r="AE42" s="12" t="e">
        <f si="9" t="shared"/>
        <v>#DIV/0!</v>
      </c>
      <c r="AF42" s="12">
        <f si="9" t="shared"/>
        <v>0</v>
      </c>
    </row>
    <row r="43" spans="1:32" x14ac:dyDescent="0.35">
      <c r="A43" s="18">
        <v>2</v>
      </c>
      <c r="B43" s="12">
        <f>output_NHTS!B103/SUM(output_NHTS!B$101:B$104)</f>
        <v>1.0534846029173419E-2</v>
      </c>
      <c r="C43" s="12">
        <f>output_NHTS!C103/SUM(output_NHTS!C$101:C$104)</f>
        <v>2.318840579710145E-2</v>
      </c>
      <c r="D43" s="12">
        <f>output_NHTS!D103/SUM(output_NHTS!D$101:D$104)</f>
        <v>1.2738853503184714E-2</v>
      </c>
      <c r="E43" s="12">
        <f>output_NHTS!E103/SUM(output_NHTS!E$101:E$104)</f>
        <v>8.6767895878524948E-3</v>
      </c>
      <c r="F43" s="12">
        <f>output_NHTS!F103/SUM(output_NHTS!F$101:F$104)</f>
        <v>1.3793103448275862E-2</v>
      </c>
      <c r="G43" s="12">
        <f>output_NHTS!G103/SUM(output_NHTS!G$101:G$104)</f>
        <v>1.0362694300518135E-2</v>
      </c>
      <c r="H43" s="12">
        <f>output_NHTS!H103/SUM(output_NHTS!H$101:H$104)</f>
        <v>6.7911714770797962E-3</v>
      </c>
      <c r="I43" s="12" t="e">
        <f>output_NHTS!I103/SUM(output_NHTS!I$101:I$104)</f>
        <v>#DIV/0!</v>
      </c>
      <c r="J43" s="12">
        <f>output_NHTS!J103/SUM(output_NHTS!J$101:J$104)</f>
        <v>1.1277049679975617E-2</v>
      </c>
      <c r="L43" s="18">
        <v>2</v>
      </c>
      <c r="M43" s="12">
        <f>output!B103/SUM(output!B$101:B$104)</f>
        <v>1.0534846029173419E-2</v>
      </c>
      <c r="N43" s="12">
        <f>output!C103/SUM(output!C$101:C$104)</f>
        <v>2.318840579710145E-2</v>
      </c>
      <c r="O43" s="12">
        <f>output!D103/SUM(output!D$101:D$104)</f>
        <v>1.2738853503184714E-2</v>
      </c>
      <c r="P43" s="12">
        <f>output!E103/SUM(output!E$101:E$104)</f>
        <v>8.6767895878524948E-3</v>
      </c>
      <c r="Q43" s="12">
        <f>output!F103/SUM(output!F$101:F$104)</f>
        <v>1.3793103448275862E-2</v>
      </c>
      <c r="R43" s="12">
        <f>output!G103/SUM(output!G$101:G$104)</f>
        <v>1.0362694300518135E-2</v>
      </c>
      <c r="S43" s="28">
        <f>output!H103/SUM(output!H$101:H$104)</f>
        <v>6.7911714770797962E-3</v>
      </c>
      <c r="T43" s="28" t="e">
        <f>output!I103/SUM(output!I$101:I$104)</f>
        <v>#DIV/0!</v>
      </c>
      <c r="U43" s="12">
        <f>output!J103/SUM(output!J$101:J$104)</f>
        <v>1.1277049679975617E-2</v>
      </c>
      <c r="W43" s="18">
        <v>2</v>
      </c>
      <c r="X43" s="12">
        <f si="9" t="shared"/>
        <v>0</v>
      </c>
      <c r="Y43" s="12">
        <f si="9" t="shared"/>
        <v>0</v>
      </c>
      <c r="Z43" s="12">
        <f si="9" t="shared"/>
        <v>0</v>
      </c>
      <c r="AA43" s="12">
        <f si="9" t="shared"/>
        <v>0</v>
      </c>
      <c r="AB43" s="12">
        <f si="9" t="shared"/>
        <v>0</v>
      </c>
      <c r="AC43" s="12">
        <f si="9" t="shared"/>
        <v>0</v>
      </c>
      <c r="AD43" s="12">
        <f si="9" t="shared"/>
        <v>0</v>
      </c>
      <c r="AE43" s="12" t="e">
        <f si="9" t="shared"/>
        <v>#DIV/0!</v>
      </c>
      <c r="AF43" s="12">
        <f si="9" t="shared"/>
        <v>0</v>
      </c>
    </row>
    <row r="44" spans="1:32" x14ac:dyDescent="0.35">
      <c r="A44" s="23" t="s">
        <v>116</v>
      </c>
      <c r="B44" s="12">
        <f>output_NHTS!B104/SUM(output_NHTS!B$101:B$104)</f>
        <v>3.2414910858995136E-3</v>
      </c>
      <c r="C44" s="12">
        <f>output_NHTS!C104/SUM(output_NHTS!C$101:C$104)</f>
        <v>0</v>
      </c>
      <c r="D44" s="12">
        <f>output_NHTS!D104/SUM(output_NHTS!D$101:D$104)</f>
        <v>0</v>
      </c>
      <c r="E44" s="12">
        <f>output_NHTS!E104/SUM(output_NHTS!E$101:E$104)</f>
        <v>4.3383947939262474E-3</v>
      </c>
      <c r="F44" s="12">
        <f>output_NHTS!F104/SUM(output_NHTS!F$101:F$104)</f>
        <v>0</v>
      </c>
      <c r="G44" s="12">
        <f>output_NHTS!G104/SUM(output_NHTS!G$101:G$104)</f>
        <v>0</v>
      </c>
      <c r="H44" s="12">
        <f>output_NHTS!H104/SUM(output_NHTS!H$101:H$104)</f>
        <v>0</v>
      </c>
      <c r="I44" s="12" t="e">
        <f>output_NHTS!I104/SUM(output_NHTS!I$101:I$104)</f>
        <v>#DIV/0!</v>
      </c>
      <c r="J44" s="12">
        <f>output_NHTS!J104/SUM(output_NHTS!J$101:J$104)</f>
        <v>1.828710758914965E-3</v>
      </c>
      <c r="L44" s="23" t="s">
        <v>116</v>
      </c>
      <c r="M44" s="13">
        <f>output!B104/SUM(output!B$101:B$104)</f>
        <v>3.2414910858995136E-3</v>
      </c>
      <c r="N44" s="13">
        <f>output!C104/SUM(output!C$101:C$104)</f>
        <v>0</v>
      </c>
      <c r="O44" s="13">
        <f>output!D104/SUM(output!D$101:D$104)</f>
        <v>0</v>
      </c>
      <c r="P44" s="13">
        <f>output!E104/SUM(output!E$101:E$104)</f>
        <v>4.3383947939262474E-3</v>
      </c>
      <c r="Q44" s="13">
        <f>output!F104/SUM(output!F$101:F$104)</f>
        <v>0</v>
      </c>
      <c r="R44" s="13">
        <f>output!G104/SUM(output!G$101:G$104)</f>
        <v>0</v>
      </c>
      <c r="S44" s="30">
        <f>output!H104/SUM(output!H$101:H$104)</f>
        <v>0</v>
      </c>
      <c r="T44" s="30" t="e">
        <f>output!I104/SUM(output!I$101:I$104)</f>
        <v>#DIV/0!</v>
      </c>
      <c r="U44" s="13">
        <f>output!J104/SUM(output!J$101:J$104)</f>
        <v>1.828710758914965E-3</v>
      </c>
      <c r="W44" s="23" t="s">
        <v>116</v>
      </c>
      <c r="X44" s="12">
        <f si="9" t="shared"/>
        <v>0</v>
      </c>
      <c r="Y44" s="12">
        <f si="9" t="shared"/>
        <v>0</v>
      </c>
      <c r="Z44" s="12">
        <f si="9" t="shared"/>
        <v>0</v>
      </c>
      <c r="AA44" s="12">
        <f si="9" t="shared"/>
        <v>0</v>
      </c>
      <c r="AB44" s="12">
        <f si="9" t="shared"/>
        <v>0</v>
      </c>
      <c r="AC44" s="12">
        <f si="9" t="shared"/>
        <v>0</v>
      </c>
      <c r="AD44" s="12">
        <f si="9" t="shared"/>
        <v>0</v>
      </c>
      <c r="AE44" s="12" t="e">
        <f si="9" t="shared"/>
        <v>#DIV/0!</v>
      </c>
      <c r="AF44" s="12">
        <f si="9" t="shared"/>
        <v>0</v>
      </c>
    </row>
    <row ht="13.15" r="45" spans="1:32" thickBot="1" x14ac:dyDescent="0.4">
      <c r="A45" s="21" t="s">
        <v>223</v>
      </c>
      <c r="B45" s="14">
        <f ref="B45:J45" si="10" t="shared">SUM(B41:B44)</f>
        <v>1</v>
      </c>
      <c r="C45" s="14">
        <f si="10" t="shared"/>
        <v>1</v>
      </c>
      <c r="D45" s="14">
        <f si="10" t="shared"/>
        <v>1</v>
      </c>
      <c r="E45" s="14">
        <f si="10" t="shared"/>
        <v>1</v>
      </c>
      <c r="F45" s="14">
        <f si="10" t="shared"/>
        <v>1</v>
      </c>
      <c r="G45" s="14">
        <f si="10" t="shared"/>
        <v>1</v>
      </c>
      <c r="H45" s="14">
        <f si="10" t="shared"/>
        <v>0.99999999999999989</v>
      </c>
      <c r="I45" s="14" t="e">
        <f si="10" t="shared"/>
        <v>#DIV/0!</v>
      </c>
      <c r="J45" s="14">
        <f si="10" t="shared"/>
        <v>1</v>
      </c>
      <c r="L45" s="21" t="s">
        <v>223</v>
      </c>
      <c r="M45" s="14">
        <f>SUM(M41:M44)</f>
        <v>1</v>
      </c>
      <c r="N45" s="14">
        <f ref="N45:U45" si="11" t="shared">SUM(N41:N44)</f>
        <v>1</v>
      </c>
      <c r="O45" s="14">
        <f si="11" t="shared"/>
        <v>1</v>
      </c>
      <c r="P45" s="14">
        <f si="11" t="shared"/>
        <v>1</v>
      </c>
      <c r="Q45" s="14">
        <f si="11" t="shared"/>
        <v>1</v>
      </c>
      <c r="R45" s="14">
        <f si="11" t="shared"/>
        <v>1</v>
      </c>
      <c r="S45" s="14">
        <f si="11" t="shared"/>
        <v>0.99999999999999989</v>
      </c>
      <c r="T45" s="14" t="e">
        <f si="11" t="shared"/>
        <v>#DIV/0!</v>
      </c>
      <c r="U45" s="14">
        <f si="11" t="shared"/>
        <v>1</v>
      </c>
      <c r="W45" s="21" t="s">
        <v>223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 t="e">
        <f si="9" t="shared"/>
        <v>#DIV/0!</v>
      </c>
      <c r="AF45" s="14">
        <f si="9" t="shared"/>
        <v>0</v>
      </c>
    </row>
    <row r="46" spans="1:32" x14ac:dyDescent="0.35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35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35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ht="13.15" r="49" spans="1:32" x14ac:dyDescent="0.4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ht="13.15" r="50" spans="1:32" x14ac:dyDescent="0.4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230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4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ht="13.15" r="52" spans="1:32" x14ac:dyDescent="0.4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245</v>
      </c>
      <c r="Q52" s="6" t="s">
        <v>246</v>
      </c>
      <c r="R52" s="6" t="s">
        <v>247</v>
      </c>
      <c r="S52" s="6" t="s">
        <v>248</v>
      </c>
      <c r="T52" s="6" t="s">
        <v>170</v>
      </c>
      <c r="U52" s="6" t="s">
        <v>223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35">
      <c r="A53" s="18">
        <v>0</v>
      </c>
      <c r="B53" s="12">
        <f>output_NHTS!B108/SUM(output_NHTS!B$108:B$111)</f>
        <v>0.97244732576985415</v>
      </c>
      <c r="C53" s="12">
        <f>output_NHTS!C108/SUM(output_NHTS!C$108:C$111)</f>
        <v>0.96811594202898554</v>
      </c>
      <c r="D53" s="12">
        <f>output_NHTS!D108/SUM(output_NHTS!D$108:D$111)</f>
        <v>0.90127388535031849</v>
      </c>
      <c r="E53" s="12">
        <f>output_NHTS!E108/SUM(output_NHTS!E$108:E$111)</f>
        <v>0.90455531453362259</v>
      </c>
      <c r="F53" s="12">
        <f>output_NHTS!F108/SUM(output_NHTS!F$108:F$111)</f>
        <v>0.97931034482758617</v>
      </c>
      <c r="G53" s="12">
        <f>output_NHTS!G108/SUM(output_NHTS!G$108:G$111)</f>
        <v>0.98445595854922274</v>
      </c>
      <c r="H53" s="12">
        <f>output_NHTS!H108/SUM(output_NHTS!H$108:H$111)</f>
        <v>0.98981324278438032</v>
      </c>
      <c r="I53" s="12" t="e">
        <f>output_NHTS!I108/SUM(output_NHTS!I$108:I$111)</f>
        <v>#DIV/0!</v>
      </c>
      <c r="J53" s="12">
        <f>output_NHTS!J108/SUM(output_NHTS!J$108:J$111)</f>
        <v>0.95976836330387072</v>
      </c>
      <c r="L53" s="18">
        <v>0</v>
      </c>
      <c r="M53" s="12">
        <f>output!B108/SUM(output!B$108:B$111)</f>
        <v>0.97244732576985415</v>
      </c>
      <c r="N53" s="12">
        <f>output!C108/SUM(output!C$108:C$111)</f>
        <v>0.96811594202898554</v>
      </c>
      <c r="O53" s="12">
        <f>output!D108/SUM(output!D$108:D$111)</f>
        <v>0.90127388535031849</v>
      </c>
      <c r="P53" s="12">
        <f>output!E108/SUM(output!E$108:E$111)</f>
        <v>0.90455531453362259</v>
      </c>
      <c r="Q53" s="12">
        <f>output!F108/SUM(output!F$108:F$111)</f>
        <v>0.97931034482758617</v>
      </c>
      <c r="R53" s="12">
        <f>output!G108/SUM(output!G$108:G$111)</f>
        <v>0.98445595854922274</v>
      </c>
      <c r="S53" s="28">
        <f>output!H108/SUM(output!H$108:H$111)</f>
        <v>0.98981324278438032</v>
      </c>
      <c r="T53" s="28" t="e">
        <f>output!I108/SUM(output!I$108:I$111)</f>
        <v>#DIV/0!</v>
      </c>
      <c r="U53" s="12">
        <f>output!J108/SUM(output!J$108:J$111)</f>
        <v>0.95976836330387072</v>
      </c>
      <c r="W53" s="18">
        <v>0</v>
      </c>
      <c r="X53" s="12">
        <f ref="X53:AF57" si="12" t="shared">M53-B53</f>
        <v>0</v>
      </c>
      <c r="Y53" s="12">
        <f si="12" t="shared"/>
        <v>0</v>
      </c>
      <c r="Z53" s="12">
        <f si="12" t="shared"/>
        <v>0</v>
      </c>
      <c r="AA53" s="12">
        <f si="12" t="shared"/>
        <v>0</v>
      </c>
      <c r="AB53" s="12">
        <f si="12" t="shared"/>
        <v>0</v>
      </c>
      <c r="AC53" s="12">
        <f si="12" t="shared"/>
        <v>0</v>
      </c>
      <c r="AD53" s="12">
        <f si="12" t="shared"/>
        <v>0</v>
      </c>
      <c r="AE53" s="12" t="e">
        <f si="12" t="shared"/>
        <v>#DIV/0!</v>
      </c>
      <c r="AF53" s="12">
        <f si="12" t="shared"/>
        <v>0</v>
      </c>
    </row>
    <row r="54" spans="1:32" x14ac:dyDescent="0.35">
      <c r="A54" s="18">
        <v>1</v>
      </c>
      <c r="B54" s="12">
        <f>output_NHTS!B109/SUM(output_NHTS!B$108:B$111)</f>
        <v>2.7552674230145867E-2</v>
      </c>
      <c r="C54" s="12">
        <f>output_NHTS!C109/SUM(output_NHTS!C$108:C$111)</f>
        <v>2.6086956521739129E-2</v>
      </c>
      <c r="D54" s="12">
        <f>output_NHTS!D109/SUM(output_NHTS!D$108:D$111)</f>
        <v>9.8726114649681534E-2</v>
      </c>
      <c r="E54" s="12">
        <f>output_NHTS!E109/SUM(output_NHTS!E$108:E$111)</f>
        <v>8.8937093275488072E-2</v>
      </c>
      <c r="F54" s="12">
        <f>output_NHTS!F109/SUM(output_NHTS!F$108:F$111)</f>
        <v>2.0689655172413793E-2</v>
      </c>
      <c r="G54" s="12">
        <f>output_NHTS!G109/SUM(output_NHTS!G$108:G$111)</f>
        <v>1.5544041450777202E-2</v>
      </c>
      <c r="H54" s="12">
        <f>output_NHTS!H109/SUM(output_NHTS!H$108:H$111)</f>
        <v>1.0186757215619695E-2</v>
      </c>
      <c r="I54" s="12" t="e">
        <f>output_NHTS!I109/SUM(output_NHTS!I$108:I$111)</f>
        <v>#DIV/0!</v>
      </c>
      <c r="J54" s="12">
        <f>output_NHTS!J109/SUM(output_NHTS!J$108:J$111)</f>
        <v>3.8707711063700093E-2</v>
      </c>
      <c r="L54" s="18">
        <v>1</v>
      </c>
      <c r="M54" s="12">
        <f>output!B109/SUM(output!B$108:B$111)</f>
        <v>2.7552674230145867E-2</v>
      </c>
      <c r="N54" s="12">
        <f>output!C109/SUM(output!C$108:C$111)</f>
        <v>2.6086956521739129E-2</v>
      </c>
      <c r="O54" s="12">
        <f>output!D109/SUM(output!D$108:D$111)</f>
        <v>9.8726114649681534E-2</v>
      </c>
      <c r="P54" s="12">
        <f>output!E109/SUM(output!E$108:E$111)</f>
        <v>8.8937093275488072E-2</v>
      </c>
      <c r="Q54" s="12">
        <f>output!F109/SUM(output!F$108:F$111)</f>
        <v>2.0689655172413793E-2</v>
      </c>
      <c r="R54" s="12">
        <f>output!G109/SUM(output!G$108:G$111)</f>
        <v>1.5544041450777202E-2</v>
      </c>
      <c r="S54" s="28">
        <f>output!H109/SUM(output!H$108:H$111)</f>
        <v>1.0186757215619695E-2</v>
      </c>
      <c r="T54" s="28" t="e">
        <f>output!I109/SUM(output!I$108:I$111)</f>
        <v>#DIV/0!</v>
      </c>
      <c r="U54" s="12">
        <f>output!J109/SUM(output!J$108:J$111)</f>
        <v>3.8707711063700093E-2</v>
      </c>
      <c r="W54" s="18">
        <v>1</v>
      </c>
      <c r="X54" s="12">
        <f si="12" t="shared"/>
        <v>0</v>
      </c>
      <c r="Y54" s="12">
        <f si="12" t="shared"/>
        <v>0</v>
      </c>
      <c r="Z54" s="12">
        <f si="12" t="shared"/>
        <v>0</v>
      </c>
      <c r="AA54" s="12">
        <f si="12" t="shared"/>
        <v>0</v>
      </c>
      <c r="AB54" s="12">
        <f si="12" t="shared"/>
        <v>0</v>
      </c>
      <c r="AC54" s="12">
        <f si="12" t="shared"/>
        <v>0</v>
      </c>
      <c r="AD54" s="12">
        <f si="12" t="shared"/>
        <v>0</v>
      </c>
      <c r="AE54" s="12" t="e">
        <f si="12" t="shared"/>
        <v>#DIV/0!</v>
      </c>
      <c r="AF54" s="12">
        <f si="12" t="shared"/>
        <v>0</v>
      </c>
    </row>
    <row r="55" spans="1:32" x14ac:dyDescent="0.35">
      <c r="A55" s="18">
        <v>2</v>
      </c>
      <c r="B55" s="12">
        <f>output_NHTS!B110/SUM(output_NHTS!B$108:B$111)</f>
        <v>0</v>
      </c>
      <c r="C55" s="12">
        <f>output_NHTS!C110/SUM(output_NHTS!C$108:C$111)</f>
        <v>5.7971014492753624E-3</v>
      </c>
      <c r="D55" s="12">
        <f>output_NHTS!D110/SUM(output_NHTS!D$108:D$111)</f>
        <v>0</v>
      </c>
      <c r="E55" s="12">
        <f>output_NHTS!E110/SUM(output_NHTS!E$108:E$111)</f>
        <v>6.5075921908893707E-3</v>
      </c>
      <c r="F55" s="12">
        <f>output_NHTS!F110/SUM(output_NHTS!F$108:F$111)</f>
        <v>0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1.5239256324291375E-3</v>
      </c>
      <c r="L55" s="18">
        <v>2</v>
      </c>
      <c r="M55" s="12">
        <f>output!B110/SUM(output!B$108:B$111)</f>
        <v>0</v>
      </c>
      <c r="N55" s="12">
        <f>output!C110/SUM(output!C$108:C$111)</f>
        <v>5.7971014492753624E-3</v>
      </c>
      <c r="O55" s="12">
        <f>output!D110/SUM(output!D$108:D$111)</f>
        <v>0</v>
      </c>
      <c r="P55" s="12">
        <f>output!E110/SUM(output!E$108:E$111)</f>
        <v>6.5075921908893707E-3</v>
      </c>
      <c r="Q55" s="12">
        <f>output!F110/SUM(output!F$108:F$111)</f>
        <v>0</v>
      </c>
      <c r="R55" s="12">
        <f>output!G110/SUM(output!G$108:G$111)</f>
        <v>0</v>
      </c>
      <c r="S55" s="28">
        <f>output!H110/SUM(output!H$108:H$111)</f>
        <v>0</v>
      </c>
      <c r="T55" s="28" t="e">
        <f>output!I110/SUM(output!I$108:I$111)</f>
        <v>#DIV/0!</v>
      </c>
      <c r="U55" s="12">
        <f>output!J110/SUM(output!J$108:J$111)</f>
        <v>1.5239256324291375E-3</v>
      </c>
      <c r="W55" s="18">
        <v>2</v>
      </c>
      <c r="X55" s="12">
        <f si="12" t="shared"/>
        <v>0</v>
      </c>
      <c r="Y55" s="12">
        <f si="12" t="shared"/>
        <v>0</v>
      </c>
      <c r="Z55" s="12">
        <f si="12" t="shared"/>
        <v>0</v>
      </c>
      <c r="AA55" s="12">
        <f si="12" t="shared"/>
        <v>0</v>
      </c>
      <c r="AB55" s="12">
        <f si="12" t="shared"/>
        <v>0</v>
      </c>
      <c r="AC55" s="12">
        <f si="12" t="shared"/>
        <v>0</v>
      </c>
      <c r="AD55" s="12">
        <f si="12" t="shared"/>
        <v>0</v>
      </c>
      <c r="AE55" s="12" t="e">
        <f si="12" t="shared"/>
        <v>#DIV/0!</v>
      </c>
      <c r="AF55" s="12">
        <f si="12" t="shared"/>
        <v>0</v>
      </c>
    </row>
    <row r="56" spans="1:32" x14ac:dyDescent="0.35">
      <c r="A56" s="23" t="s">
        <v>116</v>
      </c>
      <c r="B56" s="12">
        <f>output_NHTS!B111/SUM(output_NHTS!B$108:B$111)</f>
        <v>0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0</v>
      </c>
      <c r="L56" s="23" t="s">
        <v>116</v>
      </c>
      <c r="M56" s="13">
        <f>output!B111/SUM(output!B$108:B$111)</f>
        <v>0</v>
      </c>
      <c r="N56" s="13">
        <f>output!C111/SUM(output!C$108:C$111)</f>
        <v>0</v>
      </c>
      <c r="O56" s="13">
        <f>output!D111/SUM(output!D$108:D$111)</f>
        <v>0</v>
      </c>
      <c r="P56" s="13">
        <f>output!E111/SUM(output!E$108:E$111)</f>
        <v>0</v>
      </c>
      <c r="Q56" s="13">
        <f>output!F111/SUM(output!F$108:F$111)</f>
        <v>0</v>
      </c>
      <c r="R56" s="13">
        <f>output!G111/SUM(output!G$108:G$111)</f>
        <v>0</v>
      </c>
      <c r="S56" s="30">
        <f>output!H111/SUM(output!H$108:H$111)</f>
        <v>0</v>
      </c>
      <c r="T56" s="30" t="e">
        <f>output!I111/SUM(output!I$108:I$111)</f>
        <v>#DIV/0!</v>
      </c>
      <c r="U56" s="13">
        <f>output!J111/SUM(output!J$108:J$111)</f>
        <v>0</v>
      </c>
      <c r="W56" s="23" t="s">
        <v>116</v>
      </c>
      <c r="X56" s="12">
        <f si="12" t="shared"/>
        <v>0</v>
      </c>
      <c r="Y56" s="12">
        <f si="12" t="shared"/>
        <v>0</v>
      </c>
      <c r="Z56" s="12">
        <f si="12" t="shared"/>
        <v>0</v>
      </c>
      <c r="AA56" s="12">
        <f si="12" t="shared"/>
        <v>0</v>
      </c>
      <c r="AB56" s="12">
        <f si="12" t="shared"/>
        <v>0</v>
      </c>
      <c r="AC56" s="12">
        <f si="12" t="shared"/>
        <v>0</v>
      </c>
      <c r="AD56" s="12">
        <f si="12" t="shared"/>
        <v>0</v>
      </c>
      <c r="AE56" s="12" t="e">
        <f si="12" t="shared"/>
        <v>#DIV/0!</v>
      </c>
      <c r="AF56" s="12">
        <f si="12" t="shared"/>
        <v>0</v>
      </c>
    </row>
    <row ht="13.15" r="57" spans="1:32" thickBot="1" x14ac:dyDescent="0.4">
      <c r="A57" s="21" t="s">
        <v>223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1</v>
      </c>
      <c r="E57" s="14">
        <f si="13" t="shared"/>
        <v>1</v>
      </c>
      <c r="F57" s="14">
        <f si="13" t="shared"/>
        <v>1</v>
      </c>
      <c r="G57" s="14">
        <f si="13" t="shared"/>
        <v>1</v>
      </c>
      <c r="H57" s="14">
        <f si="13" t="shared"/>
        <v>1</v>
      </c>
      <c r="I57" s="14" t="e">
        <f si="13" t="shared"/>
        <v>#DIV/0!</v>
      </c>
      <c r="J57" s="14">
        <f si="13" t="shared"/>
        <v>0.99999999999999989</v>
      </c>
      <c r="L57" s="21" t="s">
        <v>223</v>
      </c>
      <c r="M57" s="14">
        <f>SUM(M53:M56)</f>
        <v>1</v>
      </c>
      <c r="N57" s="14">
        <f ref="N57:U57" si="14" t="shared">SUM(N53:N56)</f>
        <v>1</v>
      </c>
      <c r="O57" s="14">
        <f si="14" t="shared"/>
        <v>1</v>
      </c>
      <c r="P57" s="14">
        <f si="14" t="shared"/>
        <v>1</v>
      </c>
      <c r="Q57" s="14">
        <f si="14" t="shared"/>
        <v>1</v>
      </c>
      <c r="R57" s="14">
        <f si="14" t="shared"/>
        <v>1</v>
      </c>
      <c r="S57" s="14">
        <f si="14" t="shared"/>
        <v>1</v>
      </c>
      <c r="T57" s="14" t="e">
        <f si="14" t="shared"/>
        <v>#DIV/0!</v>
      </c>
      <c r="U57" s="14">
        <f si="14" t="shared"/>
        <v>0.99999999999999989</v>
      </c>
      <c r="W57" s="21" t="s">
        <v>223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 t="e">
        <f si="12" t="shared"/>
        <v>#DIV/0!</v>
      </c>
      <c r="AF57" s="14">
        <f si="12" t="shared"/>
        <v>0</v>
      </c>
    </row>
    <row r="58" spans="1:32" x14ac:dyDescent="0.35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35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35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ht="13.15" r="61" spans="1:32" x14ac:dyDescent="0.4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ht="13.15" r="62" spans="1:32" x14ac:dyDescent="0.4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231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4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ht="13.15" r="64" spans="1:32" x14ac:dyDescent="0.4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245</v>
      </c>
      <c r="Q64" s="6" t="s">
        <v>246</v>
      </c>
      <c r="R64" s="6" t="s">
        <v>247</v>
      </c>
      <c r="S64" s="6" t="s">
        <v>248</v>
      </c>
      <c r="T64" s="6" t="s">
        <v>170</v>
      </c>
      <c r="U64" s="6" t="s">
        <v>223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35">
      <c r="A65" s="18">
        <v>0</v>
      </c>
      <c r="B65" s="12">
        <f>output_NHTS!B115/SUM(output_NHTS!B$115:B$118)</f>
        <v>0.91329011345218802</v>
      </c>
      <c r="C65" s="12">
        <f>output_NHTS!C115/SUM(output_NHTS!C$115:C$118)</f>
        <v>0.91884057971014488</v>
      </c>
      <c r="D65" s="12">
        <f>output_NHTS!D115/SUM(output_NHTS!D$115:D$118)</f>
        <v>0.87261146496815289</v>
      </c>
      <c r="E65" s="12">
        <f>output_NHTS!E115/SUM(output_NHTS!E$115:E$118)</f>
        <v>0.88069414316702821</v>
      </c>
      <c r="F65" s="12">
        <f>output_NHTS!F115/SUM(output_NHTS!F$115:F$118)</f>
        <v>0.93793103448275861</v>
      </c>
      <c r="G65" s="12">
        <f>output_NHTS!G115/SUM(output_NHTS!G$115:G$118)</f>
        <v>0.91191709844559588</v>
      </c>
      <c r="H65" s="12">
        <f>output_NHTS!H115/SUM(output_NHTS!H$115:H$118)</f>
        <v>0.96604414261460103</v>
      </c>
      <c r="I65" s="12" t="e">
        <f>output_NHTS!I115/SUM(output_NHTS!I$115:I$118)</f>
        <v>#DIV/0!</v>
      </c>
      <c r="J65" s="12">
        <f>output_NHTS!J115/SUM(output_NHTS!J$115:J$118)</f>
        <v>0.91587930508991167</v>
      </c>
      <c r="L65" s="18">
        <v>0</v>
      </c>
      <c r="M65" s="12">
        <f>output!B115/SUM(output!B$115:B$118)</f>
        <v>0.91329011345218802</v>
      </c>
      <c r="N65" s="12">
        <f>output!C115/SUM(output!C$115:C$118)</f>
        <v>0.91884057971014488</v>
      </c>
      <c r="O65" s="12">
        <f>output!D115/SUM(output!D$115:D$118)</f>
        <v>0.87261146496815289</v>
      </c>
      <c r="P65" s="12">
        <f>output!E115/SUM(output!E$115:E$118)</f>
        <v>0.88069414316702821</v>
      </c>
      <c r="Q65" s="12">
        <f>output!F115/SUM(output!F$115:F$118)</f>
        <v>0.93793103448275861</v>
      </c>
      <c r="R65" s="12">
        <f>output!G115/SUM(output!G$115:G$118)</f>
        <v>0.91191709844559588</v>
      </c>
      <c r="S65" s="28">
        <f>output!H115/SUM(output!H$115:H$118)</f>
        <v>0.96604414261460103</v>
      </c>
      <c r="T65" s="28" t="e">
        <f>output!I115/SUM(output!I$115:I$118)</f>
        <v>#DIV/0!</v>
      </c>
      <c r="U65" s="12">
        <f>output!J115/SUM(output!J$115:J$118)</f>
        <v>0.91587930508991167</v>
      </c>
      <c r="W65" s="18">
        <v>0</v>
      </c>
      <c r="X65" s="12">
        <f ref="X65:AF69" si="15" t="shared">M65-B65</f>
        <v>0</v>
      </c>
      <c r="Y65" s="12">
        <f si="15" t="shared"/>
        <v>0</v>
      </c>
      <c r="Z65" s="12">
        <f si="15" t="shared"/>
        <v>0</v>
      </c>
      <c r="AA65" s="12">
        <f si="15" t="shared"/>
        <v>0</v>
      </c>
      <c r="AB65" s="12">
        <f si="15" t="shared"/>
        <v>0</v>
      </c>
      <c r="AC65" s="12">
        <f si="15" t="shared"/>
        <v>0</v>
      </c>
      <c r="AD65" s="12">
        <f si="15" t="shared"/>
        <v>0</v>
      </c>
      <c r="AE65" s="12" t="e">
        <f si="15" t="shared"/>
        <v>#DIV/0!</v>
      </c>
      <c r="AF65" s="12">
        <f si="15" t="shared"/>
        <v>0</v>
      </c>
    </row>
    <row r="66" spans="1:32" x14ac:dyDescent="0.35">
      <c r="A66" s="18">
        <v>1</v>
      </c>
      <c r="B66" s="12">
        <f>output_NHTS!B116/SUM(output_NHTS!B$115:B$118)</f>
        <v>8.5089141004862243E-2</v>
      </c>
      <c r="C66" s="12">
        <f>output_NHTS!C116/SUM(output_NHTS!C$115:C$118)</f>
        <v>7.2463768115942032E-2</v>
      </c>
      <c r="D66" s="12">
        <f>output_NHTS!D116/SUM(output_NHTS!D$115:D$118)</f>
        <v>0.1178343949044586</v>
      </c>
      <c r="E66" s="12">
        <f>output_NHTS!E116/SUM(output_NHTS!E$115:E$118)</f>
        <v>0.10629067245119306</v>
      </c>
      <c r="F66" s="12">
        <f>output_NHTS!F116/SUM(output_NHTS!F$115:F$118)</f>
        <v>6.2068965517241378E-2</v>
      </c>
      <c r="G66" s="12">
        <f>output_NHTS!G116/SUM(output_NHTS!G$115:G$118)</f>
        <v>8.8082901554404139E-2</v>
      </c>
      <c r="H66" s="12">
        <f>output_NHTS!H116/SUM(output_NHTS!H$115:H$118)</f>
        <v>3.3955857385398983E-2</v>
      </c>
      <c r="I66" s="12" t="e">
        <f>output_NHTS!I116/SUM(output_NHTS!I$115:I$118)</f>
        <v>#DIV/0!</v>
      </c>
      <c r="J66" s="12">
        <f>output_NHTS!J116/SUM(output_NHTS!J$115:J$118)</f>
        <v>7.9853703139286802E-2</v>
      </c>
      <c r="L66" s="18">
        <v>1</v>
      </c>
      <c r="M66" s="12">
        <f>output!B116/SUM(output!B$115:B$118)</f>
        <v>8.5089141004862243E-2</v>
      </c>
      <c r="N66" s="12">
        <f>output!C116/SUM(output!C$115:C$118)</f>
        <v>7.2463768115942032E-2</v>
      </c>
      <c r="O66" s="12">
        <f>output!D116/SUM(output!D$115:D$118)</f>
        <v>0.1178343949044586</v>
      </c>
      <c r="P66" s="12">
        <f>output!E116/SUM(output!E$115:E$118)</f>
        <v>0.10629067245119306</v>
      </c>
      <c r="Q66" s="12">
        <f>output!F116/SUM(output!F$115:F$118)</f>
        <v>6.2068965517241378E-2</v>
      </c>
      <c r="R66" s="12">
        <f>output!G116/SUM(output!G$115:G$118)</f>
        <v>8.8082901554404139E-2</v>
      </c>
      <c r="S66" s="28">
        <f>output!H116/SUM(output!H$115:H$118)</f>
        <v>3.3955857385398983E-2</v>
      </c>
      <c r="T66" s="28" t="e">
        <f>output!I116/SUM(output!I$115:I$118)</f>
        <v>#DIV/0!</v>
      </c>
      <c r="U66" s="12">
        <f>output!J116/SUM(output!J$115:J$118)</f>
        <v>7.9853703139286802E-2</v>
      </c>
      <c r="W66" s="18">
        <v>1</v>
      </c>
      <c r="X66" s="12">
        <f si="15" t="shared"/>
        <v>0</v>
      </c>
      <c r="Y66" s="12">
        <f si="15" t="shared"/>
        <v>0</v>
      </c>
      <c r="Z66" s="12">
        <f si="15" t="shared"/>
        <v>0</v>
      </c>
      <c r="AA66" s="12">
        <f si="15" t="shared"/>
        <v>0</v>
      </c>
      <c r="AB66" s="12">
        <f si="15" t="shared"/>
        <v>0</v>
      </c>
      <c r="AC66" s="12">
        <f si="15" t="shared"/>
        <v>0</v>
      </c>
      <c r="AD66" s="12">
        <f si="15" t="shared"/>
        <v>0</v>
      </c>
      <c r="AE66" s="12" t="e">
        <f si="15" t="shared"/>
        <v>#DIV/0!</v>
      </c>
      <c r="AF66" s="12">
        <f si="15" t="shared"/>
        <v>0</v>
      </c>
    </row>
    <row r="67" spans="1:32" x14ac:dyDescent="0.35">
      <c r="A67" s="18">
        <v>2</v>
      </c>
      <c r="B67" s="12">
        <f>output_NHTS!B117/SUM(output_NHTS!B$115:B$118)</f>
        <v>1.6207455429497568E-3</v>
      </c>
      <c r="C67" s="12">
        <f>output_NHTS!C117/SUM(output_NHTS!C$115:C$118)</f>
        <v>8.6956521739130436E-3</v>
      </c>
      <c r="D67" s="12">
        <f>output_NHTS!D117/SUM(output_NHTS!D$115:D$118)</f>
        <v>9.5541401273885346E-3</v>
      </c>
      <c r="E67" s="12">
        <f>output_NHTS!E117/SUM(output_NHTS!E$115:E$118)</f>
        <v>1.3015184381778741E-2</v>
      </c>
      <c r="F67" s="12">
        <f>output_NHTS!F117/SUM(output_NHTS!F$115:F$118)</f>
        <v>0</v>
      </c>
      <c r="G67" s="12">
        <f>output_NHTS!G117/SUM(output_NHTS!G$115:G$118)</f>
        <v>0</v>
      </c>
      <c r="H67" s="12">
        <f>output_NHTS!H117/SUM(output_NHTS!H$115:H$118)</f>
        <v>0</v>
      </c>
      <c r="I67" s="12" t="e">
        <f>output_NHTS!I117/SUM(output_NHTS!I$115:I$118)</f>
        <v>#DIV/0!</v>
      </c>
      <c r="J67" s="12">
        <f>output_NHTS!J117/SUM(output_NHTS!J$115:J$118)</f>
        <v>4.2669917708015852E-3</v>
      </c>
      <c r="L67" s="18">
        <v>2</v>
      </c>
      <c r="M67" s="12">
        <f>output!B117/SUM(output!B$115:B$118)</f>
        <v>1.6207455429497568E-3</v>
      </c>
      <c r="N67" s="12">
        <f>output!C117/SUM(output!C$115:C$118)</f>
        <v>8.6956521739130436E-3</v>
      </c>
      <c r="O67" s="12">
        <f>output!D117/SUM(output!D$115:D$118)</f>
        <v>9.5541401273885346E-3</v>
      </c>
      <c r="P67" s="12">
        <f>output!E117/SUM(output!E$115:E$118)</f>
        <v>1.3015184381778741E-2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4.2669917708015852E-3</v>
      </c>
      <c r="W67" s="18">
        <v>2</v>
      </c>
      <c r="X67" s="12">
        <f si="15" t="shared"/>
        <v>0</v>
      </c>
      <c r="Y67" s="12">
        <f si="15" t="shared"/>
        <v>0</v>
      </c>
      <c r="Z67" s="12">
        <f si="15" t="shared"/>
        <v>0</v>
      </c>
      <c r="AA67" s="12">
        <f si="15" t="shared"/>
        <v>0</v>
      </c>
      <c r="AB67" s="12">
        <f si="15" t="shared"/>
        <v>0</v>
      </c>
      <c r="AC67" s="12">
        <f si="15" t="shared"/>
        <v>0</v>
      </c>
      <c r="AD67" s="12">
        <f si="15" t="shared"/>
        <v>0</v>
      </c>
      <c r="AE67" s="12" t="e">
        <f si="15" t="shared"/>
        <v>#DIV/0!</v>
      </c>
      <c r="AF67" s="12">
        <f si="15" t="shared"/>
        <v>0</v>
      </c>
    </row>
    <row r="68" spans="1:32" x14ac:dyDescent="0.35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0</v>
      </c>
      <c r="AC68" s="12">
        <f si="15" t="shared"/>
        <v>0</v>
      </c>
      <c r="AD68" s="12">
        <f si="15" t="shared"/>
        <v>0</v>
      </c>
      <c r="AE68" s="12" t="e">
        <f si="15" t="shared"/>
        <v>#DIV/0!</v>
      </c>
      <c r="AF68" s="12">
        <f si="15" t="shared"/>
        <v>0</v>
      </c>
    </row>
    <row ht="13.15" r="69" spans="1:32" thickBot="1" x14ac:dyDescent="0.4">
      <c r="A69" s="21" t="s">
        <v>223</v>
      </c>
      <c r="B69" s="14">
        <f ref="B69:J69" si="16" t="shared">SUM(B65:B68)</f>
        <v>1</v>
      </c>
      <c r="C69" s="14">
        <f si="16" t="shared"/>
        <v>0.99999999999999989</v>
      </c>
      <c r="D69" s="14">
        <f si="16" t="shared"/>
        <v>1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 t="e">
        <f si="16" t="shared"/>
        <v>#DIV/0!</v>
      </c>
      <c r="J69" s="14">
        <f si="16" t="shared"/>
        <v>1</v>
      </c>
      <c r="L69" s="21" t="s">
        <v>223</v>
      </c>
      <c r="M69" s="14">
        <f>SUM(M65:M68)</f>
        <v>1</v>
      </c>
      <c r="N69" s="14">
        <f ref="N69:U69" si="17" t="shared">SUM(N65:N68)</f>
        <v>0.99999999999999989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 t="e">
        <f si="17" t="shared"/>
        <v>#DIV/0!</v>
      </c>
      <c r="U69" s="14">
        <f si="17" t="shared"/>
        <v>1</v>
      </c>
      <c r="W69" s="21" t="s">
        <v>223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 t="e">
        <f si="15" t="shared"/>
        <v>#DIV/0!</v>
      </c>
      <c r="AF69" s="14">
        <f si="15" t="shared"/>
        <v>0</v>
      </c>
    </row>
    <row r="70" spans="1:32" x14ac:dyDescent="0.35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35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35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ht="13.15" r="73" spans="1:32" x14ac:dyDescent="0.4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ht="13.15" r="74" spans="1:32" x14ac:dyDescent="0.4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4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ht="13.15" r="76" spans="1:32" x14ac:dyDescent="0.4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245</v>
      </c>
      <c r="Q76" s="6" t="s">
        <v>246</v>
      </c>
      <c r="R76" s="6" t="s">
        <v>247</v>
      </c>
      <c r="S76" s="6" t="s">
        <v>248</v>
      </c>
      <c r="T76" s="6" t="s">
        <v>170</v>
      </c>
      <c r="U76" s="6" t="s">
        <v>223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35">
      <c r="A77" s="18">
        <v>0</v>
      </c>
      <c r="B77" s="12">
        <f>output_NHTS!B122/SUM(output_NHTS!B$122:B$125)</f>
        <v>0.79416531604538088</v>
      </c>
      <c r="C77" s="12">
        <f>output_NHTS!C122/SUM(output_NHTS!C$122:C$125)</f>
        <v>0.76231884057971011</v>
      </c>
      <c r="D77" s="12">
        <f>output_NHTS!D122/SUM(output_NHTS!D$122:D$125)</f>
        <v>0.72929936305732479</v>
      </c>
      <c r="E77" s="12">
        <f>output_NHTS!E122/SUM(output_NHTS!E$122:E$125)</f>
        <v>0.72451193058568331</v>
      </c>
      <c r="F77" s="12">
        <f>output_NHTS!F122/SUM(output_NHTS!F$122:F$125)</f>
        <v>0.76551724137931032</v>
      </c>
      <c r="G77" s="12">
        <f>output_NHTS!G122/SUM(output_NHTS!G$122:G$125)</f>
        <v>0.80310880829015541</v>
      </c>
      <c r="H77" s="12">
        <f>output_NHTS!H122/SUM(output_NHTS!H$122:H$125)</f>
        <v>0.82003395585738537</v>
      </c>
      <c r="I77" s="12" t="e">
        <f>output_NHTS!I122/SUM(output_NHTS!I$122:I$125)</f>
        <v>#DIV/0!</v>
      </c>
      <c r="J77" s="12">
        <f>output_NHTS!J122/SUM(output_NHTS!J$122:J$125)</f>
        <v>0.77872599817128929</v>
      </c>
      <c r="L77" s="18">
        <v>0</v>
      </c>
      <c r="M77" s="12">
        <f>output!B122/SUM(output!B$122:B$125)</f>
        <v>0.79416531604538088</v>
      </c>
      <c r="N77" s="12">
        <f>output!C122/SUM(output!C$122:C$125)</f>
        <v>0.76231884057971011</v>
      </c>
      <c r="O77" s="12">
        <f>output!D122/SUM(output!D$122:D$125)</f>
        <v>0.72929936305732479</v>
      </c>
      <c r="P77" s="12">
        <f>output!E122/SUM(output!E$122:E$125)</f>
        <v>0.72451193058568331</v>
      </c>
      <c r="Q77" s="12">
        <f>output!F122/SUM(output!F$122:F$125)</f>
        <v>0.76551724137931032</v>
      </c>
      <c r="R77" s="12">
        <f>output!G122/SUM(output!G$122:G$125)</f>
        <v>0.80310880829015541</v>
      </c>
      <c r="S77" s="28">
        <f>output!H122/SUM(output!H$122:H$125)</f>
        <v>0.82003395585738537</v>
      </c>
      <c r="T77" s="28" t="e">
        <f>output!I122/SUM(output!I$122:I$125)</f>
        <v>#DIV/0!</v>
      </c>
      <c r="U77" s="12">
        <f>output!J122/SUM(output!J$122:J$125)</f>
        <v>0.77872599817128929</v>
      </c>
      <c r="W77" s="18">
        <v>0</v>
      </c>
      <c r="X77" s="12">
        <f ref="X77:AF81" si="18" t="shared">M77-B77</f>
        <v>0</v>
      </c>
      <c r="Y77" s="12">
        <f si="18" t="shared"/>
        <v>0</v>
      </c>
      <c r="Z77" s="12">
        <f si="18" t="shared"/>
        <v>0</v>
      </c>
      <c r="AA77" s="12">
        <f si="18" t="shared"/>
        <v>0</v>
      </c>
      <c r="AB77" s="12">
        <f si="18" t="shared"/>
        <v>0</v>
      </c>
      <c r="AC77" s="12">
        <f si="18" t="shared"/>
        <v>0</v>
      </c>
      <c r="AD77" s="12">
        <f si="18" t="shared"/>
        <v>0</v>
      </c>
      <c r="AE77" s="12" t="e">
        <f si="18" t="shared"/>
        <v>#DIV/0!</v>
      </c>
      <c r="AF77" s="12">
        <f si="18" t="shared"/>
        <v>0</v>
      </c>
    </row>
    <row r="78" spans="1:32" x14ac:dyDescent="0.35">
      <c r="A78" s="18">
        <v>1</v>
      </c>
      <c r="B78" s="12">
        <f>output_NHTS!B123/SUM(output_NHTS!B$122:B$125)</f>
        <v>0.18395461912479741</v>
      </c>
      <c r="C78" s="12">
        <f>output_NHTS!C123/SUM(output_NHTS!C$122:C$125)</f>
        <v>0.2144927536231884</v>
      </c>
      <c r="D78" s="12">
        <f>output_NHTS!D123/SUM(output_NHTS!D$122:D$125)</f>
        <v>0.2356687898089172</v>
      </c>
      <c r="E78" s="12">
        <f>output_NHTS!E123/SUM(output_NHTS!E$122:E$125)</f>
        <v>0.24078091106290672</v>
      </c>
      <c r="F78" s="12">
        <f>output_NHTS!F123/SUM(output_NHTS!F$122:F$125)</f>
        <v>0.21379310344827587</v>
      </c>
      <c r="G78" s="12">
        <f>output_NHTS!G123/SUM(output_NHTS!G$122:G$125)</f>
        <v>0.18652849740932642</v>
      </c>
      <c r="H78" s="12">
        <f>output_NHTS!H123/SUM(output_NHTS!H$122:H$125)</f>
        <v>0.1697792869269949</v>
      </c>
      <c r="I78" s="12" t="e">
        <f>output_NHTS!I123/SUM(output_NHTS!I$122:I$125)</f>
        <v>#DIV/0!</v>
      </c>
      <c r="J78" s="12">
        <f>output_NHTS!J123/SUM(output_NHTS!J$122:J$125)</f>
        <v>0.19902468759524536</v>
      </c>
      <c r="L78" s="18">
        <v>1</v>
      </c>
      <c r="M78" s="12">
        <f>output!B123/SUM(output!B$122:B$125)</f>
        <v>0.18395461912479741</v>
      </c>
      <c r="N78" s="12">
        <f>output!C123/SUM(output!C$122:C$125)</f>
        <v>0.2144927536231884</v>
      </c>
      <c r="O78" s="12">
        <f>output!D123/SUM(output!D$122:D$125)</f>
        <v>0.2356687898089172</v>
      </c>
      <c r="P78" s="12">
        <f>output!E123/SUM(output!E$122:E$125)</f>
        <v>0.24078091106290672</v>
      </c>
      <c r="Q78" s="12">
        <f>output!F123/SUM(output!F$122:F$125)</f>
        <v>0.21379310344827587</v>
      </c>
      <c r="R78" s="12">
        <f>output!G123/SUM(output!G$122:G$125)</f>
        <v>0.18652849740932642</v>
      </c>
      <c r="S78" s="28">
        <f>output!H123/SUM(output!H$122:H$125)</f>
        <v>0.1697792869269949</v>
      </c>
      <c r="T78" s="28" t="e">
        <f>output!I123/SUM(output!I$122:I$125)</f>
        <v>#DIV/0!</v>
      </c>
      <c r="U78" s="12">
        <f>output!J123/SUM(output!J$122:J$125)</f>
        <v>0.19902468759524536</v>
      </c>
      <c r="W78" s="18">
        <v>1</v>
      </c>
      <c r="X78" s="12">
        <f si="18" t="shared"/>
        <v>0</v>
      </c>
      <c r="Y78" s="12">
        <f si="18" t="shared"/>
        <v>0</v>
      </c>
      <c r="Z78" s="12">
        <f si="18" t="shared"/>
        <v>0</v>
      </c>
      <c r="AA78" s="12">
        <f si="18" t="shared"/>
        <v>0</v>
      </c>
      <c r="AB78" s="12">
        <f si="18" t="shared"/>
        <v>0</v>
      </c>
      <c r="AC78" s="12">
        <f si="18" t="shared"/>
        <v>0</v>
      </c>
      <c r="AD78" s="12">
        <f si="18" t="shared"/>
        <v>0</v>
      </c>
      <c r="AE78" s="12" t="e">
        <f si="18" t="shared"/>
        <v>#DIV/0!</v>
      </c>
      <c r="AF78" s="12">
        <f si="18" t="shared"/>
        <v>0</v>
      </c>
    </row>
    <row r="79" spans="1:32" x14ac:dyDescent="0.35">
      <c r="A79" s="18">
        <v>2</v>
      </c>
      <c r="B79" s="12">
        <f>output_NHTS!B124/SUM(output_NHTS!B$122:B$125)</f>
        <v>2.1880064829821719E-2</v>
      </c>
      <c r="C79" s="12">
        <f>output_NHTS!C124/SUM(output_NHTS!C$122:C$125)</f>
        <v>2.318840579710145E-2</v>
      </c>
      <c r="D79" s="12">
        <f>output_NHTS!D124/SUM(output_NHTS!D$122:D$125)</f>
        <v>2.8662420382165606E-2</v>
      </c>
      <c r="E79" s="12">
        <f>output_NHTS!E124/SUM(output_NHTS!E$122:E$125)</f>
        <v>3.0368763557483729E-2</v>
      </c>
      <c r="F79" s="12">
        <f>output_NHTS!F124/SUM(output_NHTS!F$122:F$125)</f>
        <v>2.0689655172413793E-2</v>
      </c>
      <c r="G79" s="12">
        <f>output_NHTS!G124/SUM(output_NHTS!G$122:G$125)</f>
        <v>1.0362694300518135E-2</v>
      </c>
      <c r="H79" s="12">
        <f>output_NHTS!H124/SUM(output_NHTS!H$122:H$125)</f>
        <v>1.0186757215619695E-2</v>
      </c>
      <c r="I79" s="12" t="e">
        <f>output_NHTS!I124/SUM(output_NHTS!I$122:I$125)</f>
        <v>#DIV/0!</v>
      </c>
      <c r="J79" s="12">
        <f>output_NHTS!J124/SUM(output_NHTS!J$122:J$125)</f>
        <v>2.1030173727522097E-2</v>
      </c>
      <c r="L79" s="18">
        <v>2</v>
      </c>
      <c r="M79" s="12">
        <f>output!B124/SUM(output!B$122:B$125)</f>
        <v>2.1880064829821719E-2</v>
      </c>
      <c r="N79" s="12">
        <f>output!C124/SUM(output!C$122:C$125)</f>
        <v>2.318840579710145E-2</v>
      </c>
      <c r="O79" s="12">
        <f>output!D124/SUM(output!D$122:D$125)</f>
        <v>2.8662420382165606E-2</v>
      </c>
      <c r="P79" s="12">
        <f>output!E124/SUM(output!E$122:E$125)</f>
        <v>3.0368763557483729E-2</v>
      </c>
      <c r="Q79" s="12">
        <f>output!F124/SUM(output!F$122:F$125)</f>
        <v>2.0689655172413793E-2</v>
      </c>
      <c r="R79" s="12">
        <f>output!G124/SUM(output!G$122:G$125)</f>
        <v>1.0362694300518135E-2</v>
      </c>
      <c r="S79" s="28">
        <f>output!H124/SUM(output!H$122:H$125)</f>
        <v>1.0186757215619695E-2</v>
      </c>
      <c r="T79" s="28" t="e">
        <f>output!I124/SUM(output!I$122:I$125)</f>
        <v>#DIV/0!</v>
      </c>
      <c r="U79" s="12">
        <f>output!J124/SUM(output!J$122:J$125)</f>
        <v>2.1030173727522097E-2</v>
      </c>
      <c r="W79" s="18">
        <v>2</v>
      </c>
      <c r="X79" s="12">
        <f si="18" t="shared"/>
        <v>0</v>
      </c>
      <c r="Y79" s="12">
        <f si="18" t="shared"/>
        <v>0</v>
      </c>
      <c r="Z79" s="12">
        <f si="18" t="shared"/>
        <v>0</v>
      </c>
      <c r="AA79" s="12">
        <f si="18" t="shared"/>
        <v>0</v>
      </c>
      <c r="AB79" s="12">
        <f si="18" t="shared"/>
        <v>0</v>
      </c>
      <c r="AC79" s="12">
        <f si="18" t="shared"/>
        <v>0</v>
      </c>
      <c r="AD79" s="12">
        <f si="18" t="shared"/>
        <v>0</v>
      </c>
      <c r="AE79" s="12" t="e">
        <f si="18" t="shared"/>
        <v>#DIV/0!</v>
      </c>
      <c r="AF79" s="12">
        <f si="18" t="shared"/>
        <v>0</v>
      </c>
    </row>
    <row r="80" spans="1:32" x14ac:dyDescent="0.35">
      <c r="A80" s="23" t="s">
        <v>116</v>
      </c>
      <c r="B80" s="12">
        <f>output_NHTS!B125/SUM(output_NHTS!B$122:B$125)</f>
        <v>0</v>
      </c>
      <c r="C80" s="12">
        <f>output_NHTS!C125/SUM(output_NHTS!C$122:C$125)</f>
        <v>0</v>
      </c>
      <c r="D80" s="12">
        <f>output_NHTS!D125/SUM(output_NHTS!D$122:D$125)</f>
        <v>6.369426751592357E-3</v>
      </c>
      <c r="E80" s="12">
        <f>output_NHTS!E125/SUM(output_NHTS!E$122:E$125)</f>
        <v>4.3383947939262474E-3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0</v>
      </c>
      <c r="I80" s="12" t="e">
        <f>output_NHTS!I125/SUM(output_NHTS!I$122:I$125)</f>
        <v>#DIV/0!</v>
      </c>
      <c r="J80" s="12">
        <f>output_NHTS!J125/SUM(output_NHTS!J$122:J$125)</f>
        <v>1.2191405059433099E-3</v>
      </c>
      <c r="L80" s="23" t="s">
        <v>116</v>
      </c>
      <c r="M80" s="13">
        <f>output!B125/SUM(output!B$122:B$125)</f>
        <v>0</v>
      </c>
      <c r="N80" s="13">
        <f>output!C125/SUM(output!C$122:C$125)</f>
        <v>0</v>
      </c>
      <c r="O80" s="13">
        <f>output!D125/SUM(output!D$122:D$125)</f>
        <v>6.369426751592357E-3</v>
      </c>
      <c r="P80" s="13">
        <f>output!E125/SUM(output!E$122:E$125)</f>
        <v>4.3383947939262474E-3</v>
      </c>
      <c r="Q80" s="13">
        <f>output!F125/SUM(output!F$122:F$125)</f>
        <v>0</v>
      </c>
      <c r="R80" s="13">
        <f>output!G125/SUM(output!G$122:G$125)</f>
        <v>0</v>
      </c>
      <c r="S80" s="30">
        <f>output!H125/SUM(output!H$122:H$125)</f>
        <v>0</v>
      </c>
      <c r="T80" s="30" t="e">
        <f>output!I125/SUM(output!I$122:I$125)</f>
        <v>#DIV/0!</v>
      </c>
      <c r="U80" s="13">
        <f>output!J125/SUM(output!J$122:J$125)</f>
        <v>1.2191405059433099E-3</v>
      </c>
      <c r="W80" s="23" t="s">
        <v>116</v>
      </c>
      <c r="X80" s="12">
        <f si="18" t="shared"/>
        <v>0</v>
      </c>
      <c r="Y80" s="12">
        <f si="18" t="shared"/>
        <v>0</v>
      </c>
      <c r="Z80" s="12">
        <f si="18" t="shared"/>
        <v>0</v>
      </c>
      <c r="AA80" s="12">
        <f si="18" t="shared"/>
        <v>0</v>
      </c>
      <c r="AB80" s="12">
        <f si="18" t="shared"/>
        <v>0</v>
      </c>
      <c r="AC80" s="12">
        <f si="18" t="shared"/>
        <v>0</v>
      </c>
      <c r="AD80" s="12">
        <f si="18" t="shared"/>
        <v>0</v>
      </c>
      <c r="AE80" s="12" t="e">
        <f si="18" t="shared"/>
        <v>#DIV/0!</v>
      </c>
      <c r="AF80" s="12">
        <f si="18" t="shared"/>
        <v>0</v>
      </c>
    </row>
    <row ht="13.15" r="81" spans="1:32" thickBot="1" x14ac:dyDescent="0.4">
      <c r="A81" s="21" t="s">
        <v>223</v>
      </c>
      <c r="B81" s="14">
        <f ref="B81:J81" si="19" t="shared">SUM(B77:B80)</f>
        <v>1</v>
      </c>
      <c r="C81" s="14">
        <f si="19" t="shared"/>
        <v>1</v>
      </c>
      <c r="D81" s="14">
        <f si="19" t="shared"/>
        <v>0.99999999999999989</v>
      </c>
      <c r="E81" s="14">
        <f si="19" t="shared"/>
        <v>1</v>
      </c>
      <c r="F81" s="14">
        <f si="19" t="shared"/>
        <v>1</v>
      </c>
      <c r="G81" s="14">
        <f si="19" t="shared"/>
        <v>1</v>
      </c>
      <c r="H81" s="14">
        <f si="19" t="shared"/>
        <v>0.99999999999999989</v>
      </c>
      <c r="I81" s="14" t="e">
        <f si="19" t="shared"/>
        <v>#DIV/0!</v>
      </c>
      <c r="J81" s="14">
        <f si="19" t="shared"/>
        <v>1.0000000000000002</v>
      </c>
      <c r="L81" s="21" t="s">
        <v>223</v>
      </c>
      <c r="M81" s="14">
        <f>SUM(M77:M80)</f>
        <v>1</v>
      </c>
      <c r="N81" s="14">
        <f ref="N81:U81" si="20" t="shared">SUM(N77:N80)</f>
        <v>1</v>
      </c>
      <c r="O81" s="14">
        <f si="20" t="shared"/>
        <v>0.99999999999999989</v>
      </c>
      <c r="P81" s="14">
        <f si="20" t="shared"/>
        <v>1</v>
      </c>
      <c r="Q81" s="14">
        <f si="20" t="shared"/>
        <v>1</v>
      </c>
      <c r="R81" s="14">
        <f si="20" t="shared"/>
        <v>1</v>
      </c>
      <c r="S81" s="14">
        <f si="20" t="shared"/>
        <v>0.99999999999999989</v>
      </c>
      <c r="T81" s="14" t="e">
        <f si="20" t="shared"/>
        <v>#DIV/0!</v>
      </c>
      <c r="U81" s="14">
        <f si="20" t="shared"/>
        <v>1.0000000000000002</v>
      </c>
      <c r="W81" s="21" t="s">
        <v>223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 t="e">
        <f si="18" t="shared"/>
        <v>#DIV/0!</v>
      </c>
      <c r="AF81" s="14">
        <f si="18" t="shared"/>
        <v>0</v>
      </c>
    </row>
  </sheetData>
  <phoneticPr fontId="4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Q51"/>
  <sheetViews>
    <sheetView workbookViewId="0"/>
  </sheetViews>
  <sheetFormatPr defaultColWidth="10.76171875" defaultRowHeight="12.75" x14ac:dyDescent="0.35"/>
  <cols>
    <col min="1" max="1" customWidth="true" style="3" width="21.3515625" collapsed="true"/>
    <col min="2" max="5" style="3" width="10.76171875" collapsed="true"/>
    <col min="6" max="6" customWidth="true" style="3" width="21.3515625" collapsed="true"/>
    <col min="7" max="9" bestFit="true" customWidth="true" style="3" width="12.1171875" collapsed="true"/>
    <col min="10" max="10" style="3" width="10.76171875" collapsed="true"/>
    <col min="11" max="11" customWidth="true" style="3" width="21.3515625" collapsed="true"/>
    <col min="12" max="16384" style="3" width="10.76171875" collapsed="true"/>
  </cols>
  <sheetData>
    <row ht="13.15" r="1" spans="1:17" x14ac:dyDescent="0.4">
      <c r="A1" s="2" t="s">
        <v>175</v>
      </c>
      <c r="F1" s="2" t="s">
        <v>175</v>
      </c>
      <c r="J1"/>
      <c r="K1" s="2" t="s">
        <v>175</v>
      </c>
      <c r="O1"/>
      <c r="P1"/>
      <c r="Q1"/>
    </row>
    <row ht="13.15" r="2" spans="1:17" x14ac:dyDescent="0.4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15" r="3" spans="1:17" thickBot="1" x14ac:dyDescent="0.4">
      <c r="J3"/>
      <c r="O3"/>
      <c r="P3"/>
      <c r="Q3"/>
    </row>
    <row ht="13.15" r="4" spans="1:17" x14ac:dyDescent="0.4">
      <c r="A4" s="5" t="s">
        <v>87</v>
      </c>
      <c r="B4" s="6" t="s">
        <v>251</v>
      </c>
      <c r="C4" s="6" t="s">
        <v>252</v>
      </c>
      <c r="D4" s="6" t="s">
        <v>223</v>
      </c>
      <c r="F4" s="5" t="s">
        <v>87</v>
      </c>
      <c r="G4" s="6" t="s">
        <v>251</v>
      </c>
      <c r="H4" s="94" t="s">
        <v>252</v>
      </c>
      <c r="I4" s="6" t="s">
        <v>223</v>
      </c>
      <c r="J4"/>
      <c r="K4" s="5" t="s">
        <v>87</v>
      </c>
      <c r="L4" s="6" t="s">
        <v>251</v>
      </c>
      <c r="M4" s="6" t="s">
        <v>252</v>
      </c>
      <c r="N4" s="6" t="s">
        <v>223</v>
      </c>
      <c r="O4"/>
      <c r="P4"/>
      <c r="Q4"/>
    </row>
    <row r="5" spans="1:17" x14ac:dyDescent="0.35">
      <c r="A5" s="18">
        <v>0</v>
      </c>
      <c r="B5" s="12">
        <f>output_NHTS!B129/SUM(output_NHTS!B$129:B$132)</f>
        <v>0.72648083623693382</v>
      </c>
      <c r="C5" s="12">
        <f>output_NHTS!C129/SUM(output_NHTS!C$129:C$132)</f>
        <v>0.74522292993630568</v>
      </c>
      <c r="D5" s="12">
        <f>output_NHTS!D129/SUM(output_NHTS!D$129:D$132)</f>
        <v>0.73050615595075241</v>
      </c>
      <c r="F5" s="18">
        <v>0</v>
      </c>
      <c r="G5" s="12">
        <f>output!B129/SUM(output!B$129:B$132)</f>
        <v>0.72648083623693382</v>
      </c>
      <c r="H5" s="92">
        <f>output!C129/SUM(output!C$129:C$132)</f>
        <v>0.74522292993630568</v>
      </c>
      <c r="I5" s="12">
        <f>output!D129/SUM(output!D$129:D$132)</f>
        <v>0.73050615595075241</v>
      </c>
      <c r="J5"/>
      <c r="K5" s="18">
        <v>0</v>
      </c>
      <c r="L5" s="12">
        <f ref="L5:N9" si="0" t="shared">G5-B5</f>
        <v>0</v>
      </c>
      <c r="M5" s="12">
        <f si="0" t="shared"/>
        <v>0</v>
      </c>
      <c r="N5" s="12">
        <f si="0" t="shared"/>
        <v>0</v>
      </c>
      <c r="O5"/>
      <c r="P5"/>
      <c r="Q5"/>
    </row>
    <row r="6" spans="1:17" x14ac:dyDescent="0.35">
      <c r="A6" s="18">
        <v>1</v>
      </c>
      <c r="B6" s="12">
        <f>output_NHTS!B130/SUM(output_NHTS!B$129:B$132)</f>
        <v>0.27351916376306618</v>
      </c>
      <c r="C6" s="12">
        <f>output_NHTS!C130/SUM(output_NHTS!C$129:C$132)</f>
        <v>0.25477707006369427</v>
      </c>
      <c r="D6" s="12">
        <f>output_NHTS!D130/SUM(output_NHTS!D$129:D$132)</f>
        <v>0.26949384404924759</v>
      </c>
      <c r="F6" s="18">
        <v>1</v>
      </c>
      <c r="G6" s="12">
        <f>output!B130/SUM(output!B$129:B$132)</f>
        <v>0.27351916376306618</v>
      </c>
      <c r="H6" s="92">
        <f>output!C130/SUM(output!C$129:C$132)</f>
        <v>0.25477707006369427</v>
      </c>
      <c r="I6" s="12">
        <f>output!D130/SUM(output!D$129:D$132)</f>
        <v>0.26949384404924759</v>
      </c>
      <c r="J6"/>
      <c r="K6" s="18">
        <v>1</v>
      </c>
      <c r="L6" s="12">
        <f si="0" t="shared"/>
        <v>0</v>
      </c>
      <c r="M6" s="12">
        <f si="0" t="shared"/>
        <v>0</v>
      </c>
      <c r="N6" s="12">
        <f si="0" t="shared"/>
        <v>0</v>
      </c>
      <c r="O6"/>
      <c r="P6"/>
      <c r="Q6"/>
    </row>
    <row r="7" spans="1:17" x14ac:dyDescent="0.35">
      <c r="A7" s="18">
        <v>2</v>
      </c>
      <c r="B7" s="12">
        <f>output_NHTS!B131/SUM(output_NHTS!B$129:B$132)</f>
        <v>0</v>
      </c>
      <c r="C7" s="12">
        <f>output_NHTS!C131/SUM(output_NHTS!C$129:C$132)</f>
        <v>0</v>
      </c>
      <c r="D7" s="12">
        <f>output_NHTS!D131/SUM(output_NHTS!D$129:D$132)</f>
        <v>0</v>
      </c>
      <c r="F7" s="18">
        <v>2</v>
      </c>
      <c r="G7" s="12">
        <f>output!B131/SUM(output!B$129:B$132)</f>
        <v>0</v>
      </c>
      <c r="H7" s="92">
        <f>output!C131/SUM(output!C$129:C$132)</f>
        <v>0</v>
      </c>
      <c r="I7" s="12">
        <f>output!D131/SUM(output!D$129:D$132)</f>
        <v>0</v>
      </c>
      <c r="J7"/>
      <c r="K7" s="18">
        <v>2</v>
      </c>
      <c r="L7" s="12">
        <f si="0" t="shared"/>
        <v>0</v>
      </c>
      <c r="M7" s="12">
        <f si="0" t="shared"/>
        <v>0</v>
      </c>
      <c r="N7" s="12">
        <f si="0" t="shared"/>
        <v>0</v>
      </c>
      <c r="O7"/>
      <c r="P7"/>
      <c r="Q7"/>
    </row>
    <row r="8" spans="1:17" x14ac:dyDescent="0.35">
      <c r="A8" s="23" t="s">
        <v>116</v>
      </c>
      <c r="B8" s="13">
        <f>output_NHTS!B132/SUM(output_NHTS!B$129:B$132)</f>
        <v>0</v>
      </c>
      <c r="C8" s="13">
        <f>output_NHTS!C132/SUM(output_NHTS!C$129:C$132)</f>
        <v>0</v>
      </c>
      <c r="D8" s="13">
        <f>output_NHTS!D132/SUM(output_NHTS!D$129:D$132)</f>
        <v>0</v>
      </c>
      <c r="F8" s="23" t="s">
        <v>116</v>
      </c>
      <c r="G8" s="13">
        <f>output!B132/SUM(output!B$129:B$132)</f>
        <v>0</v>
      </c>
      <c r="H8" s="90">
        <f>output!C132/SUM(output!C$129:C$132)</f>
        <v>0</v>
      </c>
      <c r="I8" s="13">
        <f>output!D132/SUM(output!D$129:D$132)</f>
        <v>0</v>
      </c>
      <c r="J8"/>
      <c r="K8" s="23" t="s">
        <v>116</v>
      </c>
      <c r="L8" s="12">
        <f si="0" t="shared"/>
        <v>0</v>
      </c>
      <c r="M8" s="12">
        <f si="0" t="shared"/>
        <v>0</v>
      </c>
      <c r="N8" s="12">
        <f si="0" t="shared"/>
        <v>0</v>
      </c>
      <c r="O8"/>
      <c r="P8"/>
      <c r="Q8"/>
    </row>
    <row ht="13.15" r="9" spans="1:17" thickBot="1" x14ac:dyDescent="0.4">
      <c r="A9" s="21" t="s">
        <v>223</v>
      </c>
      <c r="B9" s="17">
        <f>SUM(B5:B8)</f>
        <v>1</v>
      </c>
      <c r="C9" s="91">
        <f>SUM(C5:C8)</f>
        <v>1</v>
      </c>
      <c r="D9" s="17">
        <f>SUM(D5:D8)</f>
        <v>1</v>
      </c>
      <c r="F9" s="21" t="s">
        <v>223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223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35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ht="13.15" r="12" spans="1:17" x14ac:dyDescent="0.4">
      <c r="A12" s="2" t="s">
        <v>175</v>
      </c>
      <c r="F12" s="2" t="s">
        <v>175</v>
      </c>
      <c r="K12" s="2" t="s">
        <v>175</v>
      </c>
    </row>
    <row ht="13.15" r="13" spans="1:17" x14ac:dyDescent="0.4">
      <c r="A13" s="2" t="s">
        <v>177</v>
      </c>
      <c r="F13" s="2" t="s">
        <v>138</v>
      </c>
      <c r="K13" s="2" t="s">
        <v>140</v>
      </c>
    </row>
    <row ht="13.15" r="14" spans="1:17" thickBot="1" x14ac:dyDescent="0.4"/>
    <row ht="13.15" r="15" spans="1:17" x14ac:dyDescent="0.4">
      <c r="A15" s="5" t="s">
        <v>159</v>
      </c>
      <c r="B15" s="6" t="s">
        <v>251</v>
      </c>
      <c r="C15" s="6" t="s">
        <v>252</v>
      </c>
      <c r="D15" s="6" t="s">
        <v>223</v>
      </c>
      <c r="F15" s="5" t="s">
        <v>159</v>
      </c>
      <c r="G15" s="6" t="s">
        <v>251</v>
      </c>
      <c r="H15" s="6" t="s">
        <v>252</v>
      </c>
      <c r="I15" s="6" t="s">
        <v>223</v>
      </c>
      <c r="K15" s="5" t="s">
        <v>159</v>
      </c>
      <c r="L15" s="6" t="s">
        <v>251</v>
      </c>
      <c r="M15" s="6" t="s">
        <v>252</v>
      </c>
      <c r="N15" s="6" t="s">
        <v>223</v>
      </c>
    </row>
    <row r="16" spans="1:17" x14ac:dyDescent="0.35">
      <c r="A16" s="18" t="s">
        <v>117</v>
      </c>
      <c r="B16" s="12">
        <f>output_NHTS!B136/SUM(output_NHTS!B$136:B$142)</f>
        <v>0.27388535031847133</v>
      </c>
      <c r="C16" s="12">
        <f>output_NHTS!C136/SUM(output_NHTS!C$136:C$142)</f>
        <v>0.17499999999999999</v>
      </c>
      <c r="D16" s="12">
        <f>output_NHTS!D136/SUM(output_NHTS!D$136:D$142)</f>
        <v>0.25380710659898476</v>
      </c>
      <c r="F16" s="18" t="s">
        <v>117</v>
      </c>
      <c r="G16" s="12">
        <f>output!B136/SUM(output!B$136:B$142)</f>
        <v>0.27388535031847133</v>
      </c>
      <c r="H16" s="12">
        <f>output!C136/SUM(output!C$136:C$142)</f>
        <v>0.17499999999999999</v>
      </c>
      <c r="I16" s="12">
        <f>output!D136/SUM(output!D$136:D$142)</f>
        <v>0.25380710659898476</v>
      </c>
      <c r="K16" s="18" t="s">
        <v>117</v>
      </c>
      <c r="L16" s="12">
        <f ref="L16:L23" si="1" t="shared">G16-B16</f>
        <v>0</v>
      </c>
      <c r="M16" s="12">
        <f ref="M16:M23" si="2" t="shared">H16-C16</f>
        <v>0</v>
      </c>
      <c r="N16" s="12">
        <f ref="N16:N23" si="3" t="shared">I16-D16</f>
        <v>0</v>
      </c>
    </row>
    <row r="17" spans="1:15" x14ac:dyDescent="0.35">
      <c r="A17" s="18" t="s">
        <v>118</v>
      </c>
      <c r="B17" s="12">
        <f>output_NHTS!B137/SUM(output_NHTS!B$136:B$142)</f>
        <v>0</v>
      </c>
      <c r="C17" s="12">
        <f>output_NHTS!C137/SUM(output_NHTS!C$136:C$142)</f>
        <v>3.7499999999999999E-2</v>
      </c>
      <c r="D17" s="12">
        <f>output_NHTS!D137/SUM(output_NHTS!D$136:D$142)</f>
        <v>7.6142131979695434E-3</v>
      </c>
      <c r="F17" s="18" t="s">
        <v>118</v>
      </c>
      <c r="G17" s="12">
        <f>output!B137/SUM(output!B$136:B$142)</f>
        <v>0</v>
      </c>
      <c r="H17" s="12">
        <f>output!C137/SUM(output!C$136:C$142)</f>
        <v>3.7499999999999999E-2</v>
      </c>
      <c r="I17" s="12">
        <f>output!D137/SUM(output!D$136:D$142)</f>
        <v>7.6142131979695434E-3</v>
      </c>
      <c r="K17" s="18" t="s">
        <v>118</v>
      </c>
      <c r="L17" s="12"/>
      <c r="M17" s="12"/>
      <c r="N17" s="12"/>
    </row>
    <row r="18" spans="1:15" x14ac:dyDescent="0.35">
      <c r="A18" s="18" t="s">
        <v>4</v>
      </c>
      <c r="B18" s="12">
        <f>output_NHTS!B138/SUM(output_NHTS!B$136:B$142)</f>
        <v>7.0063694267515922E-2</v>
      </c>
      <c r="C18" s="12">
        <f>output_NHTS!C138/SUM(output_NHTS!C$136:C$142)</f>
        <v>6.25E-2</v>
      </c>
      <c r="D18" s="12">
        <f>output_NHTS!D138/SUM(output_NHTS!D$136:D$142)</f>
        <v>6.8527918781725886E-2</v>
      </c>
      <c r="F18" s="18" t="s">
        <v>4</v>
      </c>
      <c r="G18" s="12">
        <f>output!B138/SUM(output!B$136:B$142)</f>
        <v>7.0063694267515922E-2</v>
      </c>
      <c r="H18" s="12">
        <f>output!C138/SUM(output!C$136:C$142)</f>
        <v>6.25E-2</v>
      </c>
      <c r="I18" s="12">
        <f>output!D138/SUM(output!D$136:D$142)</f>
        <v>6.8527918781725886E-2</v>
      </c>
      <c r="K18" s="18" t="s">
        <v>4</v>
      </c>
      <c r="L18" s="12">
        <f si="1" t="shared"/>
        <v>0</v>
      </c>
      <c r="M18" s="12">
        <f si="2" t="shared"/>
        <v>0</v>
      </c>
      <c r="N18" s="12">
        <f si="3" t="shared"/>
        <v>0</v>
      </c>
    </row>
    <row r="19" spans="1:15" x14ac:dyDescent="0.35">
      <c r="A19" s="18" t="s">
        <v>5</v>
      </c>
      <c r="B19" s="12">
        <f>output_NHTS!B139/SUM(output_NHTS!B$136:B$142)</f>
        <v>0.12738853503184713</v>
      </c>
      <c r="C19" s="12">
        <f>output_NHTS!C139/SUM(output_NHTS!C$136:C$142)</f>
        <v>0.125</v>
      </c>
      <c r="D19" s="12">
        <f>output_NHTS!D139/SUM(output_NHTS!D$136:D$142)</f>
        <v>0.12690355329949238</v>
      </c>
      <c r="F19" s="18" t="s">
        <v>5</v>
      </c>
      <c r="G19" s="12">
        <f>output!B139/SUM(output!B$136:B$142)</f>
        <v>0.12738853503184713</v>
      </c>
      <c r="H19" s="12">
        <f>output!C139/SUM(output!C$136:C$142)</f>
        <v>0.125</v>
      </c>
      <c r="I19" s="12">
        <f>output!D139/SUM(output!D$136:D$142)</f>
        <v>0.12690355329949238</v>
      </c>
      <c r="K19" s="18" t="s">
        <v>5</v>
      </c>
      <c r="L19" s="12">
        <f si="1" t="shared"/>
        <v>0</v>
      </c>
      <c r="M19" s="12">
        <f si="2" t="shared"/>
        <v>0</v>
      </c>
      <c r="N19" s="12">
        <f si="3" t="shared"/>
        <v>0</v>
      </c>
    </row>
    <row r="20" spans="1:15" x14ac:dyDescent="0.35">
      <c r="A20" s="18" t="s">
        <v>6</v>
      </c>
      <c r="B20" s="12">
        <f>output_NHTS!B140/SUM(output_NHTS!B$136:B$142)</f>
        <v>0.22292993630573249</v>
      </c>
      <c r="C20" s="12">
        <f>output_NHTS!C140/SUM(output_NHTS!C$136:C$142)</f>
        <v>0.22500000000000001</v>
      </c>
      <c r="D20" s="12">
        <f>output_NHTS!D140/SUM(output_NHTS!D$136:D$142)</f>
        <v>0.2233502538071066</v>
      </c>
      <c r="F20" s="18" t="s">
        <v>6</v>
      </c>
      <c r="G20" s="12">
        <f>output!B140/SUM(output!B$136:B$142)</f>
        <v>0.22292993630573249</v>
      </c>
      <c r="H20" s="12">
        <f>output!C140/SUM(output!C$136:C$142)</f>
        <v>0.22500000000000001</v>
      </c>
      <c r="I20" s="12">
        <f>output!D140/SUM(output!D$136:D$142)</f>
        <v>0.2233502538071066</v>
      </c>
      <c r="K20" s="18" t="s">
        <v>6</v>
      </c>
      <c r="L20" s="12">
        <f si="1" t="shared"/>
        <v>0</v>
      </c>
      <c r="M20" s="12">
        <f si="2" t="shared"/>
        <v>0</v>
      </c>
      <c r="N20" s="12">
        <f si="3" t="shared"/>
        <v>0</v>
      </c>
    </row>
    <row r="21" spans="1:15" x14ac:dyDescent="0.35">
      <c r="A21" s="18" t="s">
        <v>7</v>
      </c>
      <c r="B21" s="12">
        <f>output_NHTS!B141/SUM(output_NHTS!B$136:B$142)</f>
        <v>0.27070063694267515</v>
      </c>
      <c r="C21" s="12">
        <f>output_NHTS!C141/SUM(output_NHTS!C$136:C$142)</f>
        <v>0.32500000000000001</v>
      </c>
      <c r="D21" s="12">
        <f>output_NHTS!D141/SUM(output_NHTS!D$136:D$142)</f>
        <v>0.28172588832487311</v>
      </c>
      <c r="F21" s="18" t="s">
        <v>7</v>
      </c>
      <c r="G21" s="12">
        <f>output!B141/SUM(output!B$136:B$142)</f>
        <v>0.27070063694267515</v>
      </c>
      <c r="H21" s="12">
        <f>output!C141/SUM(output!C$136:C$142)</f>
        <v>0.32500000000000001</v>
      </c>
      <c r="I21" s="12">
        <f>output!D141/SUM(output!D$136:D$142)</f>
        <v>0.28172588832487311</v>
      </c>
      <c r="K21" s="18" t="s">
        <v>7</v>
      </c>
      <c r="L21" s="12">
        <f si="1" t="shared"/>
        <v>0</v>
      </c>
      <c r="M21" s="12">
        <f si="2" t="shared"/>
        <v>0</v>
      </c>
      <c r="N21" s="12">
        <f si="3" t="shared"/>
        <v>0</v>
      </c>
    </row>
    <row r="22" spans="1:15" x14ac:dyDescent="0.35">
      <c r="A22" s="23" t="s">
        <v>8</v>
      </c>
      <c r="B22" s="13">
        <f>output_NHTS!B142/SUM(output_NHTS!B$136:B$142)</f>
        <v>3.5031847133757961E-2</v>
      </c>
      <c r="C22" s="13">
        <f>output_NHTS!C142/SUM(output_NHTS!C$136:C$142)</f>
        <v>0.05</v>
      </c>
      <c r="D22" s="13">
        <f>output_NHTS!D142/SUM(output_NHTS!D$136:D$142)</f>
        <v>3.8071065989847719E-2</v>
      </c>
      <c r="F22" s="23" t="s">
        <v>8</v>
      </c>
      <c r="G22" s="13">
        <f>output!B142/SUM(output!B$136:B$142)</f>
        <v>3.5031847133757961E-2</v>
      </c>
      <c r="H22" s="13">
        <f>output!C142/SUM(output!C$136:C$142)</f>
        <v>0.05</v>
      </c>
      <c r="I22" s="13">
        <f>output!D142/SUM(output!D$136:D$142)</f>
        <v>3.8071065989847719E-2</v>
      </c>
      <c r="K22" s="23" t="s">
        <v>8</v>
      </c>
      <c r="L22" s="12">
        <f si="1" t="shared"/>
        <v>0</v>
      </c>
      <c r="M22" s="12">
        <f si="2" t="shared"/>
        <v>0</v>
      </c>
      <c r="N22" s="12">
        <f si="3" t="shared"/>
        <v>0</v>
      </c>
      <c r="O22" s="36"/>
    </row>
    <row ht="13.15" r="23" spans="1:15" thickBot="1" x14ac:dyDescent="0.4">
      <c r="A23" s="21" t="s">
        <v>223</v>
      </c>
      <c r="B23" s="17">
        <f>SUM(B19:B22)</f>
        <v>0.6560509554140127</v>
      </c>
      <c r="C23" s="91">
        <f>SUM(C19:C22)</f>
        <v>0.72500000000000009</v>
      </c>
      <c r="D23" s="17">
        <f>SUM(D19:D22)</f>
        <v>0.67005076142131981</v>
      </c>
      <c r="F23" s="21" t="s">
        <v>223</v>
      </c>
      <c r="G23" s="14">
        <f>SUM(G16:G22)</f>
        <v>1.0000000000000002</v>
      </c>
      <c r="H23" s="14">
        <f>SUM(H16:H22)</f>
        <v>1</v>
      </c>
      <c r="I23" s="14">
        <f>SUM(I16:I22)</f>
        <v>1</v>
      </c>
      <c r="K23" s="21" t="s">
        <v>223</v>
      </c>
      <c r="L23" s="14">
        <f si="1" t="shared"/>
        <v>0.34394904458598752</v>
      </c>
      <c r="M23" s="14">
        <f si="2" t="shared"/>
        <v>0.27499999999999991</v>
      </c>
      <c r="N23" s="14">
        <f si="3" t="shared"/>
        <v>0.32994923857868019</v>
      </c>
      <c r="O23" s="36"/>
    </row>
    <row r="24" spans="1:15" x14ac:dyDescent="0.35">
      <c r="B24" s="34"/>
      <c r="C24" s="34"/>
      <c r="D24" s="34"/>
      <c r="M24" s="36"/>
      <c r="N24" s="36"/>
      <c r="O24" s="36"/>
    </row>
    <row r="25" spans="1:15" x14ac:dyDescent="0.35">
      <c r="M25" s="36"/>
      <c r="N25" s="36"/>
      <c r="O25" s="36"/>
    </row>
    <row r="26" spans="1:15" x14ac:dyDescent="0.35">
      <c r="G26" s="87"/>
      <c r="H26" s="87"/>
      <c r="I26" s="87"/>
      <c r="M26" s="36"/>
      <c r="N26" s="36"/>
      <c r="O26" s="36"/>
    </row>
    <row r="27" spans="1:15" x14ac:dyDescent="0.35">
      <c r="G27" s="87"/>
      <c r="H27" s="87"/>
      <c r="I27" s="87"/>
      <c r="M27" s="36"/>
      <c r="N27" s="36"/>
      <c r="O27" s="36"/>
    </row>
    <row r="28" spans="1:15" x14ac:dyDescent="0.35">
      <c r="F28" s="25"/>
      <c r="G28" s="96"/>
      <c r="H28" s="96"/>
      <c r="I28" s="96"/>
      <c r="M28" s="36"/>
      <c r="N28" s="36"/>
      <c r="O28" s="36"/>
    </row>
    <row ht="13.15" r="29" spans="1:15" x14ac:dyDescent="0.4">
      <c r="F29" s="88"/>
      <c r="G29" s="25"/>
      <c r="H29" s="25"/>
      <c r="I29" s="25"/>
    </row>
    <row ht="13.15" r="30" spans="1:15" x14ac:dyDescent="0.4">
      <c r="F30" s="88"/>
      <c r="G30" s="97"/>
      <c r="H30" s="25"/>
      <c r="I30" s="25"/>
    </row>
    <row r="31" spans="1:15" x14ac:dyDescent="0.35">
      <c r="F31" s="25"/>
      <c r="G31" s="25"/>
      <c r="H31" s="25"/>
      <c r="I31" s="25"/>
    </row>
    <row ht="13.15" r="32" spans="1:15" x14ac:dyDescent="0.4">
      <c r="F32" s="98"/>
      <c r="G32" s="89"/>
      <c r="H32" s="89"/>
      <c r="I32" s="89"/>
    </row>
    <row r="33" spans="6:9" x14ac:dyDescent="0.35">
      <c r="F33" s="19"/>
      <c r="G33" s="34"/>
      <c r="H33" s="34"/>
      <c r="I33" s="34"/>
    </row>
    <row r="34" spans="6:9" x14ac:dyDescent="0.35">
      <c r="F34" s="19"/>
      <c r="G34" s="34"/>
      <c r="H34" s="34"/>
      <c r="I34" s="34"/>
    </row>
    <row r="35" spans="6:9" x14ac:dyDescent="0.35">
      <c r="F35" s="19"/>
      <c r="G35" s="34"/>
      <c r="H35" s="34"/>
      <c r="I35" s="34"/>
    </row>
    <row r="36" spans="6:9" x14ac:dyDescent="0.35">
      <c r="F36" s="19"/>
      <c r="G36" s="34"/>
      <c r="H36" s="34"/>
      <c r="I36" s="34"/>
    </row>
    <row r="37" spans="6:9" x14ac:dyDescent="0.35">
      <c r="F37" s="19"/>
      <c r="G37" s="34"/>
      <c r="H37" s="34"/>
      <c r="I37" s="34"/>
    </row>
    <row r="38" spans="6:9" x14ac:dyDescent="0.35">
      <c r="F38" s="19"/>
      <c r="G38" s="34"/>
      <c r="H38" s="34"/>
      <c r="I38" s="34"/>
    </row>
    <row r="39" spans="6:9" x14ac:dyDescent="0.35">
      <c r="F39" s="25"/>
      <c r="G39" s="25"/>
      <c r="H39" s="25"/>
      <c r="I39" s="25"/>
    </row>
    <row ht="13.15" r="40" spans="6:9" x14ac:dyDescent="0.4">
      <c r="F40" s="88"/>
      <c r="G40" s="25"/>
      <c r="H40" s="25"/>
      <c r="I40" s="25"/>
    </row>
    <row ht="13.15" r="41" spans="6:9" x14ac:dyDescent="0.4">
      <c r="F41" s="88"/>
      <c r="G41" s="25"/>
      <c r="H41" s="25"/>
      <c r="I41" s="25"/>
    </row>
    <row r="42" spans="6:9" x14ac:dyDescent="0.35">
      <c r="F42" s="25"/>
      <c r="G42" s="25"/>
      <c r="H42" s="25"/>
      <c r="I42" s="25"/>
    </row>
    <row ht="13.15" r="43" spans="6:9" x14ac:dyDescent="0.4">
      <c r="F43" s="98"/>
      <c r="G43" s="89"/>
      <c r="H43" s="89"/>
      <c r="I43" s="89"/>
    </row>
    <row r="44" spans="6:9" x14ac:dyDescent="0.35">
      <c r="F44" s="19"/>
      <c r="G44" s="34"/>
      <c r="H44" s="34"/>
      <c r="I44" s="34"/>
    </row>
    <row r="45" spans="6:9" x14ac:dyDescent="0.35">
      <c r="F45" s="19"/>
      <c r="G45" s="34"/>
      <c r="H45" s="34"/>
      <c r="I45" s="34"/>
    </row>
    <row r="46" spans="6:9" x14ac:dyDescent="0.35">
      <c r="F46" s="19"/>
      <c r="G46" s="34"/>
      <c r="H46" s="34"/>
      <c r="I46" s="34"/>
    </row>
    <row r="47" spans="6:9" x14ac:dyDescent="0.35">
      <c r="F47" s="19"/>
      <c r="G47" s="34"/>
      <c r="H47" s="34"/>
      <c r="I47" s="34"/>
    </row>
    <row r="48" spans="6:9" x14ac:dyDescent="0.35">
      <c r="F48" s="19"/>
      <c r="G48" s="34"/>
      <c r="H48" s="34"/>
      <c r="I48" s="34"/>
    </row>
    <row r="49" spans="6:9" x14ac:dyDescent="0.35">
      <c r="F49" s="19"/>
      <c r="G49" s="34"/>
      <c r="H49" s="34"/>
      <c r="I49" s="34"/>
    </row>
    <row r="50" spans="6:9" x14ac:dyDescent="0.35">
      <c r="F50" s="19"/>
      <c r="G50" s="34"/>
      <c r="H50" s="34"/>
      <c r="I50" s="34"/>
    </row>
    <row r="51" spans="6:9" x14ac:dyDescent="0.35">
      <c r="F51" s="25"/>
      <c r="G51" s="25"/>
      <c r="H51" s="25"/>
      <c r="I51" s="25"/>
    </row>
  </sheetData>
  <phoneticPr fontId="4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C86"/>
  <sheetViews>
    <sheetView workbookViewId="0">
      <selection activeCell="B5" sqref="B5:H11"/>
    </sheetView>
  </sheetViews>
  <sheetFormatPr defaultColWidth="10.76171875" defaultRowHeight="12.75" x14ac:dyDescent="0.35"/>
  <cols>
    <col min="1" max="16384" style="3" width="10.76171875" collapsed="true"/>
  </cols>
  <sheetData>
    <row ht="13.15" r="1" spans="1:29" x14ac:dyDescent="0.4">
      <c r="A1" s="2" t="s">
        <v>175</v>
      </c>
      <c r="K1" s="2" t="s">
        <v>175</v>
      </c>
      <c r="U1" s="2" t="s">
        <v>175</v>
      </c>
    </row>
    <row ht="13.15" r="2" spans="1:29" x14ac:dyDescent="0.4">
      <c r="A2" s="2" t="s">
        <v>176</v>
      </c>
      <c r="K2" s="2" t="s">
        <v>169</v>
      </c>
      <c r="U2" s="2" t="s">
        <v>294</v>
      </c>
    </row>
    <row ht="13.15" r="3" spans="1:29" thickBot="1" x14ac:dyDescent="0.4"/>
    <row ht="13.15" r="4" spans="1:29" x14ac:dyDescent="0.4">
      <c r="A4" s="5" t="s">
        <v>250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223</v>
      </c>
      <c r="K4" s="5" t="s">
        <v>250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223</v>
      </c>
      <c r="U4" s="5" t="s">
        <v>250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223</v>
      </c>
    </row>
    <row r="5" spans="1:29" x14ac:dyDescent="0.35">
      <c r="A5" s="18">
        <v>0</v>
      </c>
      <c r="B5" s="7">
        <f>output_NHTS!B148</f>
        <v>879000</v>
      </c>
      <c r="C5" s="7">
        <f>output_NHTS!C148</f>
        <v>503000</v>
      </c>
      <c r="D5" s="7">
        <f>output_NHTS!D148</f>
        <v>405000</v>
      </c>
      <c r="E5" s="7">
        <f>output_NHTS!E148</f>
        <v>343000</v>
      </c>
      <c r="F5" s="7">
        <f>output_NHTS!F148</f>
        <v>171000</v>
      </c>
      <c r="G5" s="7">
        <f>output_NHTS!G148</f>
        <v>350000</v>
      </c>
      <c r="H5" s="7">
        <f>output_NHTS!H148</f>
        <v>703000</v>
      </c>
      <c r="I5" s="7">
        <f>output_NHTS!I148</f>
        <v>3354000</v>
      </c>
      <c r="K5" s="18">
        <v>0</v>
      </c>
      <c r="L5" s="7">
        <f>output!B148</f>
        <v>879000</v>
      </c>
      <c r="M5" s="7">
        <f>output!C148</f>
        <v>503000</v>
      </c>
      <c r="N5" s="7">
        <f>output!D148</f>
        <v>405000</v>
      </c>
      <c r="O5" s="7">
        <f>output!E148</f>
        <v>343000</v>
      </c>
      <c r="P5" s="7">
        <f>output!F148</f>
        <v>171000</v>
      </c>
      <c r="Q5" s="7">
        <f>output!G148</f>
        <v>350000</v>
      </c>
      <c r="R5" s="7">
        <f>output!H148</f>
        <v>703000</v>
      </c>
      <c r="S5" s="7">
        <f>output!I148</f>
        <v>3354000</v>
      </c>
      <c r="U5" s="18">
        <v>0</v>
      </c>
      <c r="V5" s="7">
        <f>L5-B5</f>
        <v>0</v>
      </c>
      <c r="W5" s="7">
        <f ref="W5:W12" si="0" t="shared">M5-C5</f>
        <v>0</v>
      </c>
      <c r="X5" s="7">
        <f ref="X5:X12" si="1" t="shared">N5-D5</f>
        <v>0</v>
      </c>
      <c r="Y5" s="7">
        <f ref="Y5:Y12" si="2" t="shared">O5-E5</f>
        <v>0</v>
      </c>
      <c r="Z5" s="7">
        <f ref="Z5:Z12" si="3" t="shared">P5-F5</f>
        <v>0</v>
      </c>
      <c r="AA5" s="7">
        <f ref="AA5:AA12" si="4" t="shared">Q5-G5</f>
        <v>0</v>
      </c>
      <c r="AB5" s="7">
        <f ref="AB5:AB12" si="5" t="shared">R5-H5</f>
        <v>0</v>
      </c>
      <c r="AC5" s="7">
        <f ref="AC5:AC12" si="6" t="shared">S5-I5</f>
        <v>0</v>
      </c>
    </row>
    <row r="6" spans="1:29" x14ac:dyDescent="0.35">
      <c r="A6" s="18">
        <v>1</v>
      </c>
      <c r="B6" s="7">
        <f>output_NHTS!B149</f>
        <v>182000</v>
      </c>
      <c r="C6" s="7">
        <f>output_NHTS!C149</f>
        <v>84000</v>
      </c>
      <c r="D6" s="7">
        <f>output_NHTS!D149</f>
        <v>53000</v>
      </c>
      <c r="E6" s="7">
        <f>output_NHTS!E149</f>
        <v>58000</v>
      </c>
      <c r="F6" s="7">
        <f>output_NHTS!F149</f>
        <v>38000</v>
      </c>
      <c r="G6" s="7">
        <f>output_NHTS!G149</f>
        <v>32000</v>
      </c>
      <c r="H6" s="7">
        <f>output_NHTS!H149</f>
        <v>68000</v>
      </c>
      <c r="I6" s="7">
        <f>output_NHTS!I149</f>
        <v>515000</v>
      </c>
      <c r="K6" s="18">
        <v>1</v>
      </c>
      <c r="L6" s="7">
        <f>output!B149</f>
        <v>182000</v>
      </c>
      <c r="M6" s="7">
        <f>output!C149</f>
        <v>84000</v>
      </c>
      <c r="N6" s="7">
        <f>output!D149</f>
        <v>53000</v>
      </c>
      <c r="O6" s="7">
        <f>output!E149</f>
        <v>58000</v>
      </c>
      <c r="P6" s="7">
        <f>output!F149</f>
        <v>38000</v>
      </c>
      <c r="Q6" s="7">
        <f>output!G149</f>
        <v>32000</v>
      </c>
      <c r="R6" s="7">
        <f>output!H149</f>
        <v>68000</v>
      </c>
      <c r="S6" s="7">
        <f>output!I149</f>
        <v>515000</v>
      </c>
      <c r="U6" s="18">
        <v>1</v>
      </c>
      <c r="V6" s="7">
        <f ref="V6:V12" si="7" t="shared">L6-B6</f>
        <v>0</v>
      </c>
      <c r="W6" s="7">
        <f si="0" t="shared"/>
        <v>0</v>
      </c>
      <c r="X6" s="7">
        <f si="1" t="shared"/>
        <v>0</v>
      </c>
      <c r="Y6" s="7">
        <f si="2" t="shared"/>
        <v>0</v>
      </c>
      <c r="Z6" s="7">
        <f si="3" t="shared"/>
        <v>0</v>
      </c>
      <c r="AA6" s="7">
        <f si="4" t="shared"/>
        <v>0</v>
      </c>
      <c r="AB6" s="7">
        <f si="5" t="shared"/>
        <v>0</v>
      </c>
      <c r="AC6" s="7">
        <f si="6" t="shared"/>
        <v>0</v>
      </c>
    </row>
    <row r="7" spans="1:29" x14ac:dyDescent="0.35">
      <c r="A7" s="19">
        <v>2</v>
      </c>
      <c r="B7" s="7">
        <f>output_NHTS!B150</f>
        <v>136000</v>
      </c>
      <c r="C7" s="7">
        <f>output_NHTS!C150</f>
        <v>76000</v>
      </c>
      <c r="D7" s="7">
        <f>output_NHTS!D150</f>
        <v>30000</v>
      </c>
      <c r="E7" s="7">
        <f>output_NHTS!E150</f>
        <v>17000</v>
      </c>
      <c r="F7" s="7">
        <f>output_NHTS!F150</f>
        <v>7000</v>
      </c>
      <c r="G7" s="7">
        <f>output_NHTS!G150</f>
        <v>4000</v>
      </c>
      <c r="H7" s="7">
        <f>output_NHTS!H150</f>
        <v>21000</v>
      </c>
      <c r="I7" s="7">
        <f>output_NHTS!I150</f>
        <v>291000</v>
      </c>
      <c r="K7" s="19">
        <v>2</v>
      </c>
      <c r="L7" s="7">
        <f>output!B150</f>
        <v>136000</v>
      </c>
      <c r="M7" s="7">
        <f>output!C150</f>
        <v>76000</v>
      </c>
      <c r="N7" s="7">
        <f>output!D150</f>
        <v>30000</v>
      </c>
      <c r="O7" s="7">
        <f>output!E150</f>
        <v>17000</v>
      </c>
      <c r="P7" s="7">
        <f>output!F150</f>
        <v>7000</v>
      </c>
      <c r="Q7" s="7">
        <f>output!G150</f>
        <v>4000</v>
      </c>
      <c r="R7" s="7">
        <f>output!H150</f>
        <v>21000</v>
      </c>
      <c r="S7" s="7">
        <f>output!I150</f>
        <v>291000</v>
      </c>
      <c r="U7" s="19">
        <v>2</v>
      </c>
      <c r="V7" s="7">
        <f si="7" t="shared"/>
        <v>0</v>
      </c>
      <c r="W7" s="7">
        <f si="0" t="shared"/>
        <v>0</v>
      </c>
      <c r="X7" s="7">
        <f si="1" t="shared"/>
        <v>0</v>
      </c>
      <c r="Y7" s="7">
        <f si="2" t="shared"/>
        <v>0</v>
      </c>
      <c r="Z7" s="7">
        <f si="3" t="shared"/>
        <v>0</v>
      </c>
      <c r="AA7" s="7">
        <f si="4" t="shared"/>
        <v>0</v>
      </c>
      <c r="AB7" s="7">
        <f si="5" t="shared"/>
        <v>0</v>
      </c>
      <c r="AC7" s="7">
        <f si="6" t="shared"/>
        <v>0</v>
      </c>
    </row>
    <row r="8" spans="1:29" x14ac:dyDescent="0.35">
      <c r="A8" s="20">
        <v>3</v>
      </c>
      <c r="B8" s="7">
        <f>output_NHTS!B151</f>
        <v>107000</v>
      </c>
      <c r="C8" s="7">
        <f>output_NHTS!C151</f>
        <v>52000</v>
      </c>
      <c r="D8" s="7">
        <f>output_NHTS!D151</f>
        <v>37000</v>
      </c>
      <c r="E8" s="7">
        <f>output_NHTS!E151</f>
        <v>16000</v>
      </c>
      <c r="F8" s="7">
        <f>output_NHTS!F151</f>
        <v>2000</v>
      </c>
      <c r="G8" s="7">
        <f>output_NHTS!G151</f>
        <v>8000</v>
      </c>
      <c r="H8" s="7">
        <f>output_NHTS!H151</f>
        <v>12000</v>
      </c>
      <c r="I8" s="7">
        <f>output_NHTS!I151</f>
        <v>234000</v>
      </c>
      <c r="K8" s="20">
        <v>3</v>
      </c>
      <c r="L8" s="7">
        <f>output!B151</f>
        <v>107000</v>
      </c>
      <c r="M8" s="7">
        <f>output!C151</f>
        <v>52000</v>
      </c>
      <c r="N8" s="7">
        <f>output!D151</f>
        <v>37000</v>
      </c>
      <c r="O8" s="7">
        <f>output!E151</f>
        <v>16000</v>
      </c>
      <c r="P8" s="7">
        <f>output!F151</f>
        <v>2000</v>
      </c>
      <c r="Q8" s="7">
        <f>output!G151</f>
        <v>8000</v>
      </c>
      <c r="R8" s="7">
        <f>output!H151</f>
        <v>12000</v>
      </c>
      <c r="S8" s="7">
        <f>output!I151</f>
        <v>234000</v>
      </c>
      <c r="U8" s="20">
        <v>3</v>
      </c>
      <c r="V8" s="7">
        <f si="7" t="shared"/>
        <v>0</v>
      </c>
      <c r="W8" s="7">
        <f si="0" t="shared"/>
        <v>0</v>
      </c>
      <c r="X8" s="7">
        <f si="1" t="shared"/>
        <v>0</v>
      </c>
      <c r="Y8" s="7">
        <f si="2" t="shared"/>
        <v>0</v>
      </c>
      <c r="Z8" s="7">
        <f si="3" t="shared"/>
        <v>0</v>
      </c>
      <c r="AA8" s="7">
        <f si="4" t="shared"/>
        <v>0</v>
      </c>
      <c r="AB8" s="7">
        <f si="5" t="shared"/>
        <v>0</v>
      </c>
      <c r="AC8" s="7">
        <f si="6" t="shared"/>
        <v>0</v>
      </c>
    </row>
    <row r="9" spans="1:29" x14ac:dyDescent="0.35">
      <c r="A9" s="20">
        <v>4</v>
      </c>
      <c r="B9" s="7">
        <f>output_NHTS!B152</f>
        <v>98000</v>
      </c>
      <c r="C9" s="7">
        <f>output_NHTS!C152</f>
        <v>41000</v>
      </c>
      <c r="D9" s="7">
        <f>output_NHTS!D152</f>
        <v>30000</v>
      </c>
      <c r="E9" s="7">
        <f>output_NHTS!E152</f>
        <v>16000</v>
      </c>
      <c r="F9" s="7">
        <f>output_NHTS!F152</f>
        <v>4000</v>
      </c>
      <c r="G9" s="7">
        <f>output_NHTS!G152</f>
        <v>5000</v>
      </c>
      <c r="H9" s="7">
        <f>output_NHTS!H152</f>
        <v>6000</v>
      </c>
      <c r="I9" s="7">
        <f>output_NHTS!I152</f>
        <v>200000</v>
      </c>
      <c r="K9" s="20">
        <v>4</v>
      </c>
      <c r="L9" s="7">
        <f>output!B152</f>
        <v>98000</v>
      </c>
      <c r="M9" s="7">
        <f>output!C152</f>
        <v>41000</v>
      </c>
      <c r="N9" s="7">
        <f>output!D152</f>
        <v>30000</v>
      </c>
      <c r="O9" s="7">
        <f>output!E152</f>
        <v>16000</v>
      </c>
      <c r="P9" s="7">
        <f>output!F152</f>
        <v>4000</v>
      </c>
      <c r="Q9" s="7">
        <f>output!G152</f>
        <v>5000</v>
      </c>
      <c r="R9" s="7">
        <f>output!H152</f>
        <v>6000</v>
      </c>
      <c r="S9" s="7">
        <f>output!I152</f>
        <v>200000</v>
      </c>
      <c r="U9" s="20">
        <v>4</v>
      </c>
      <c r="V9" s="7">
        <f si="7" t="shared"/>
        <v>0</v>
      </c>
      <c r="W9" s="7">
        <f si="0" t="shared"/>
        <v>0</v>
      </c>
      <c r="X9" s="7">
        <f si="1" t="shared"/>
        <v>0</v>
      </c>
      <c r="Y9" s="7">
        <f si="2" t="shared"/>
        <v>0</v>
      </c>
      <c r="Z9" s="7">
        <f si="3" t="shared"/>
        <v>0</v>
      </c>
      <c r="AA9" s="7">
        <f si="4" t="shared"/>
        <v>0</v>
      </c>
      <c r="AB9" s="7">
        <f si="5" t="shared"/>
        <v>0</v>
      </c>
      <c r="AC9" s="7">
        <f si="6" t="shared"/>
        <v>0</v>
      </c>
    </row>
    <row r="10" spans="1:29" x14ac:dyDescent="0.35">
      <c r="A10" s="20">
        <v>5</v>
      </c>
      <c r="B10" s="7">
        <f>output_NHTS!B153</f>
        <v>37000</v>
      </c>
      <c r="C10" s="7">
        <f>output_NHTS!C153</f>
        <v>10000</v>
      </c>
      <c r="D10" s="7">
        <f>output_NHTS!D153</f>
        <v>8000</v>
      </c>
      <c r="E10" s="7">
        <f>output_NHTS!E153</f>
        <v>12000</v>
      </c>
      <c r="F10" s="7">
        <f>output_NHTS!F153</f>
        <v>1000</v>
      </c>
      <c r="G10" s="7">
        <f>output_NHTS!G153</f>
        <v>2000</v>
      </c>
      <c r="H10" s="7">
        <f>output_NHTS!H153</f>
        <v>5000</v>
      </c>
      <c r="I10" s="7">
        <f>output_NHTS!I153</f>
        <v>75000</v>
      </c>
      <c r="K10" s="20">
        <v>5</v>
      </c>
      <c r="L10" s="7">
        <f>output!B153</f>
        <v>37000</v>
      </c>
      <c r="M10" s="7">
        <f>output!C153</f>
        <v>10000</v>
      </c>
      <c r="N10" s="7">
        <f>output!D153</f>
        <v>8000</v>
      </c>
      <c r="O10" s="7">
        <f>output!E153</f>
        <v>12000</v>
      </c>
      <c r="P10" s="7">
        <f>output!F153</f>
        <v>1000</v>
      </c>
      <c r="Q10" s="7">
        <f>output!G153</f>
        <v>2000</v>
      </c>
      <c r="R10" s="7">
        <f>output!H153</f>
        <v>5000</v>
      </c>
      <c r="S10" s="7">
        <f>output!I153</f>
        <v>75000</v>
      </c>
      <c r="U10" s="20">
        <v>5</v>
      </c>
      <c r="V10" s="7">
        <f si="7" t="shared"/>
        <v>0</v>
      </c>
      <c r="W10" s="7">
        <f si="0" t="shared"/>
        <v>0</v>
      </c>
      <c r="X10" s="7">
        <f si="1" t="shared"/>
        <v>0</v>
      </c>
      <c r="Y10" s="7">
        <f si="2" t="shared"/>
        <v>0</v>
      </c>
      <c r="Z10" s="7">
        <f si="3" t="shared"/>
        <v>0</v>
      </c>
      <c r="AA10" s="7">
        <f si="4" t="shared"/>
        <v>0</v>
      </c>
      <c r="AB10" s="7">
        <f si="5" t="shared"/>
        <v>0</v>
      </c>
      <c r="AC10" s="7">
        <f si="6" t="shared"/>
        <v>0</v>
      </c>
    </row>
    <row r="11" spans="1:29" x14ac:dyDescent="0.35">
      <c r="A11" s="3" t="s">
        <v>210</v>
      </c>
      <c r="B11" s="9">
        <f>output_NHTS!B154</f>
        <v>23000</v>
      </c>
      <c r="C11" s="9">
        <f>output_NHTS!C154</f>
        <v>15000</v>
      </c>
      <c r="D11" s="9">
        <f>output_NHTS!D154</f>
        <v>41000</v>
      </c>
      <c r="E11" s="9">
        <f>output_NHTS!E154</f>
        <v>7000</v>
      </c>
      <c r="F11" s="9">
        <f>output_NHTS!F154</f>
        <v>2000</v>
      </c>
      <c r="G11" s="9">
        <f>output_NHTS!G154</f>
        <v>0</v>
      </c>
      <c r="H11" s="9">
        <f>output_NHTS!H154</f>
        <v>3000</v>
      </c>
      <c r="I11" s="9">
        <f>output_NHTS!I154</f>
        <v>91000</v>
      </c>
      <c r="K11" s="3" t="s">
        <v>210</v>
      </c>
      <c r="L11" s="9">
        <f>output!B154</f>
        <v>23000</v>
      </c>
      <c r="M11" s="9">
        <f>output!C154</f>
        <v>15000</v>
      </c>
      <c r="N11" s="9">
        <f>output!D154</f>
        <v>41000</v>
      </c>
      <c r="O11" s="9">
        <f>output!E154</f>
        <v>7000</v>
      </c>
      <c r="P11" s="9">
        <f>output!F154</f>
        <v>2000</v>
      </c>
      <c r="Q11" s="9">
        <f>output!G154</f>
        <v>0</v>
      </c>
      <c r="R11" s="9">
        <f>output!H154</f>
        <v>3000</v>
      </c>
      <c r="S11" s="9">
        <f>output!I154</f>
        <v>91000</v>
      </c>
      <c r="U11" s="3" t="s">
        <v>210</v>
      </c>
      <c r="V11" s="9">
        <f si="7" t="shared"/>
        <v>0</v>
      </c>
      <c r="W11" s="9">
        <f si="0" t="shared"/>
        <v>0</v>
      </c>
      <c r="X11" s="9">
        <f si="1" t="shared"/>
        <v>0</v>
      </c>
      <c r="Y11" s="9">
        <f si="2" t="shared"/>
        <v>0</v>
      </c>
      <c r="Z11" s="9">
        <f si="3" t="shared"/>
        <v>0</v>
      </c>
      <c r="AA11" s="9">
        <f si="4" t="shared"/>
        <v>0</v>
      </c>
      <c r="AB11" s="9">
        <f si="5" t="shared"/>
        <v>0</v>
      </c>
      <c r="AC11" s="9">
        <f si="6" t="shared"/>
        <v>0</v>
      </c>
    </row>
    <row ht="13.15" r="12" spans="1:29" thickBot="1" x14ac:dyDescent="0.4">
      <c r="A12" s="21" t="s">
        <v>223</v>
      </c>
      <c r="B12" s="22">
        <f ref="B12:I12" si="8" t="shared">SUM(B5:B11)</f>
        <v>1462000</v>
      </c>
      <c r="C12" s="22">
        <f si="8" t="shared"/>
        <v>781000</v>
      </c>
      <c r="D12" s="22">
        <f si="8" t="shared"/>
        <v>604000</v>
      </c>
      <c r="E12" s="22">
        <f si="8" t="shared"/>
        <v>469000</v>
      </c>
      <c r="F12" s="22">
        <f si="8" t="shared"/>
        <v>225000</v>
      </c>
      <c r="G12" s="22">
        <f si="8" t="shared"/>
        <v>401000</v>
      </c>
      <c r="H12" s="22">
        <f si="8" t="shared"/>
        <v>818000</v>
      </c>
      <c r="I12" s="22">
        <f si="8" t="shared"/>
        <v>4760000</v>
      </c>
      <c r="K12" s="21" t="s">
        <v>223</v>
      </c>
      <c r="L12" s="22">
        <f ref="L12:S12" si="9" t="shared">SUM(L5:L11)</f>
        <v>1462000</v>
      </c>
      <c r="M12" s="22">
        <f si="9" t="shared"/>
        <v>781000</v>
      </c>
      <c r="N12" s="22">
        <f si="9" t="shared"/>
        <v>604000</v>
      </c>
      <c r="O12" s="22">
        <f si="9" t="shared"/>
        <v>469000</v>
      </c>
      <c r="P12" s="22">
        <f si="9" t="shared"/>
        <v>225000</v>
      </c>
      <c r="Q12" s="22">
        <f si="9" t="shared"/>
        <v>401000</v>
      </c>
      <c r="R12" s="22">
        <f si="9" t="shared"/>
        <v>818000</v>
      </c>
      <c r="S12" s="22">
        <f si="9" t="shared"/>
        <v>4760000</v>
      </c>
      <c r="U12" s="21" t="s">
        <v>223</v>
      </c>
      <c r="V12" s="22">
        <f si="7" t="shared"/>
        <v>0</v>
      </c>
      <c r="W12" s="22">
        <f si="0" t="shared"/>
        <v>0</v>
      </c>
      <c r="X12" s="22">
        <f si="1" t="shared"/>
        <v>0</v>
      </c>
      <c r="Y12" s="22">
        <f si="2" t="shared"/>
        <v>0</v>
      </c>
      <c r="Z12" s="22">
        <f si="3" t="shared"/>
        <v>0</v>
      </c>
      <c r="AA12" s="22">
        <f si="4" t="shared"/>
        <v>0</v>
      </c>
      <c r="AB12" s="22">
        <f si="5" t="shared"/>
        <v>0</v>
      </c>
      <c r="AC12" s="22">
        <f si="6" t="shared"/>
        <v>0</v>
      </c>
    </row>
    <row ht="13.15" r="15" spans="1:29" x14ac:dyDescent="0.4">
      <c r="A15" s="2" t="s">
        <v>175</v>
      </c>
      <c r="K15" s="2" t="s">
        <v>175</v>
      </c>
      <c r="U15" s="2" t="s">
        <v>175</v>
      </c>
    </row>
    <row ht="13.15" r="16" spans="1:29" x14ac:dyDescent="0.4">
      <c r="A16" s="2" t="s">
        <v>102</v>
      </c>
      <c r="K16" s="2" t="s">
        <v>0</v>
      </c>
      <c r="U16" s="2" t="s">
        <v>295</v>
      </c>
    </row>
    <row ht="13.15" r="17" spans="1:29" thickBot="1" x14ac:dyDescent="0.4"/>
    <row ht="13.15" r="18" spans="1:29" x14ac:dyDescent="0.4">
      <c r="A18" s="5" t="s">
        <v>250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223</v>
      </c>
      <c r="K18" s="5" t="s">
        <v>250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223</v>
      </c>
      <c r="U18" s="5" t="s">
        <v>250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223</v>
      </c>
    </row>
    <row r="19" spans="1:29" x14ac:dyDescent="0.35">
      <c r="A19" s="18">
        <v>0</v>
      </c>
      <c r="B19" s="12">
        <f ref="B19:I24" si="10" t="shared">B5/B$12</f>
        <v>0.60123119015047877</v>
      </c>
      <c r="C19" s="12">
        <f si="10" t="shared"/>
        <v>0.64404609475032015</v>
      </c>
      <c r="D19" s="12">
        <f si="10" t="shared"/>
        <v>0.67052980132450335</v>
      </c>
      <c r="E19" s="12">
        <f si="10" t="shared"/>
        <v>0.73134328358208955</v>
      </c>
      <c r="F19" s="12">
        <f si="10" t="shared"/>
        <v>0.76</v>
      </c>
      <c r="G19" s="12">
        <f si="10" t="shared"/>
        <v>0.87281795511221949</v>
      </c>
      <c r="H19" s="12">
        <f si="10" t="shared"/>
        <v>0.85941320293398538</v>
      </c>
      <c r="I19" s="12">
        <f si="10" t="shared"/>
        <v>0.70462184873949585</v>
      </c>
      <c r="K19" s="18">
        <v>0</v>
      </c>
      <c r="L19" s="12">
        <f>L5/L$12</f>
        <v>0.60123119015047877</v>
      </c>
      <c r="M19" s="12">
        <f ref="M19:S19" si="11" t="shared">M5/M$12</f>
        <v>0.64404609475032015</v>
      </c>
      <c r="N19" s="12">
        <f si="11" t="shared"/>
        <v>0.67052980132450335</v>
      </c>
      <c r="O19" s="12">
        <f si="11" t="shared"/>
        <v>0.73134328358208955</v>
      </c>
      <c r="P19" s="12">
        <f si="11" t="shared"/>
        <v>0.76</v>
      </c>
      <c r="Q19" s="12">
        <f si="11" t="shared"/>
        <v>0.87281795511221949</v>
      </c>
      <c r="R19" s="12">
        <f si="11" t="shared"/>
        <v>0.85941320293398538</v>
      </c>
      <c r="S19" s="12">
        <f si="11" t="shared"/>
        <v>0.70462184873949585</v>
      </c>
      <c r="U19" s="18">
        <v>0</v>
      </c>
      <c r="V19" s="12">
        <f ref="V19:AA26" si="12" t="shared">L19-B19</f>
        <v>0</v>
      </c>
      <c r="W19" s="12">
        <f si="12" t="shared"/>
        <v>0</v>
      </c>
      <c r="X19" s="12">
        <f si="12" t="shared"/>
        <v>0</v>
      </c>
      <c r="Y19" s="12">
        <f si="12" t="shared"/>
        <v>0</v>
      </c>
      <c r="Z19" s="12">
        <f si="12" t="shared"/>
        <v>0</v>
      </c>
      <c r="AA19" s="12">
        <f si="12" t="shared"/>
        <v>0</v>
      </c>
      <c r="AB19" s="12">
        <f ref="AB19:AB26" si="13" t="shared">R19-H19</f>
        <v>0</v>
      </c>
      <c r="AC19" s="12">
        <f ref="AC19:AC26" si="14" t="shared">S19-I19</f>
        <v>0</v>
      </c>
    </row>
    <row r="20" spans="1:29" x14ac:dyDescent="0.35">
      <c r="A20" s="18">
        <v>1</v>
      </c>
      <c r="B20" s="12">
        <f si="10" t="shared"/>
        <v>0.12448700410396717</v>
      </c>
      <c r="C20" s="12">
        <f si="10" t="shared"/>
        <v>0.10755441741357234</v>
      </c>
      <c r="D20" s="12">
        <f si="10" t="shared"/>
        <v>8.7748344370860931E-2</v>
      </c>
      <c r="E20" s="12">
        <f si="10" t="shared"/>
        <v>0.12366737739872068</v>
      </c>
      <c r="F20" s="12">
        <f si="10" t="shared"/>
        <v>0.16888888888888889</v>
      </c>
      <c r="G20" s="12">
        <f si="10" t="shared"/>
        <v>7.9800498753117205E-2</v>
      </c>
      <c r="H20" s="12">
        <f si="10" t="shared"/>
        <v>8.3129584352078234E-2</v>
      </c>
      <c r="I20" s="12">
        <f si="10" t="shared"/>
        <v>0.10819327731092437</v>
      </c>
      <c r="K20" s="18">
        <v>1</v>
      </c>
      <c r="L20" s="12">
        <f ref="L20:S20" si="15" t="shared">L6/L$12</f>
        <v>0.12448700410396717</v>
      </c>
      <c r="M20" s="12">
        <f si="15" t="shared"/>
        <v>0.10755441741357234</v>
      </c>
      <c r="N20" s="12">
        <f si="15" t="shared"/>
        <v>8.7748344370860931E-2</v>
      </c>
      <c r="O20" s="12">
        <f si="15" t="shared"/>
        <v>0.12366737739872068</v>
      </c>
      <c r="P20" s="12">
        <f si="15" t="shared"/>
        <v>0.16888888888888889</v>
      </c>
      <c r="Q20" s="12">
        <f si="15" t="shared"/>
        <v>7.9800498753117205E-2</v>
      </c>
      <c r="R20" s="12">
        <f si="15" t="shared"/>
        <v>8.3129584352078234E-2</v>
      </c>
      <c r="S20" s="12">
        <f si="15" t="shared"/>
        <v>0.10819327731092437</v>
      </c>
      <c r="U20" s="18">
        <v>1</v>
      </c>
      <c r="V20" s="12">
        <f si="12" t="shared"/>
        <v>0</v>
      </c>
      <c r="W20" s="12">
        <f si="12" t="shared"/>
        <v>0</v>
      </c>
      <c r="X20" s="12">
        <f si="12" t="shared"/>
        <v>0</v>
      </c>
      <c r="Y20" s="12">
        <f si="12" t="shared"/>
        <v>0</v>
      </c>
      <c r="Z20" s="12">
        <f si="12" t="shared"/>
        <v>0</v>
      </c>
      <c r="AA20" s="12">
        <f si="12" t="shared"/>
        <v>0</v>
      </c>
      <c r="AB20" s="12">
        <f si="13" t="shared"/>
        <v>0</v>
      </c>
      <c r="AC20" s="12">
        <f si="14" t="shared"/>
        <v>0</v>
      </c>
    </row>
    <row r="21" spans="1:29" x14ac:dyDescent="0.35">
      <c r="A21" s="19">
        <v>2</v>
      </c>
      <c r="B21" s="12">
        <f si="10" t="shared"/>
        <v>9.3023255813953487E-2</v>
      </c>
      <c r="C21" s="12">
        <f si="10" t="shared"/>
        <v>9.7311139564660698E-2</v>
      </c>
      <c r="D21" s="12">
        <f si="10" t="shared"/>
        <v>4.9668874172185427E-2</v>
      </c>
      <c r="E21" s="12">
        <f si="10" t="shared"/>
        <v>3.6247334754797439E-2</v>
      </c>
      <c r="F21" s="12">
        <f si="10" t="shared"/>
        <v>3.111111111111111E-2</v>
      </c>
      <c r="G21" s="12">
        <f si="10" t="shared"/>
        <v>9.9750623441396506E-3</v>
      </c>
      <c r="H21" s="12">
        <f si="10" t="shared"/>
        <v>2.567237163814181E-2</v>
      </c>
      <c r="I21" s="12">
        <f si="10" t="shared"/>
        <v>6.1134453781512603E-2</v>
      </c>
      <c r="K21" s="19">
        <v>2</v>
      </c>
      <c r="L21" s="12">
        <f ref="L21:S21" si="16" t="shared">L7/L$12</f>
        <v>9.3023255813953487E-2</v>
      </c>
      <c r="M21" s="12">
        <f si="16" t="shared"/>
        <v>9.7311139564660698E-2</v>
      </c>
      <c r="N21" s="12">
        <f si="16" t="shared"/>
        <v>4.9668874172185427E-2</v>
      </c>
      <c r="O21" s="12">
        <f si="16" t="shared"/>
        <v>3.6247334754797439E-2</v>
      </c>
      <c r="P21" s="12">
        <f si="16" t="shared"/>
        <v>3.111111111111111E-2</v>
      </c>
      <c r="Q21" s="12">
        <f si="16" t="shared"/>
        <v>9.9750623441396506E-3</v>
      </c>
      <c r="R21" s="12">
        <f si="16" t="shared"/>
        <v>2.567237163814181E-2</v>
      </c>
      <c r="S21" s="12">
        <f si="16" t="shared"/>
        <v>6.1134453781512603E-2</v>
      </c>
      <c r="U21" s="19">
        <v>2</v>
      </c>
      <c r="V21" s="12">
        <f si="12" t="shared"/>
        <v>0</v>
      </c>
      <c r="W21" s="12">
        <f si="12" t="shared"/>
        <v>0</v>
      </c>
      <c r="X21" s="12">
        <f si="12" t="shared"/>
        <v>0</v>
      </c>
      <c r="Y21" s="12">
        <f si="12" t="shared"/>
        <v>0</v>
      </c>
      <c r="Z21" s="12">
        <f si="12" t="shared"/>
        <v>0</v>
      </c>
      <c r="AA21" s="12">
        <f si="12" t="shared"/>
        <v>0</v>
      </c>
      <c r="AB21" s="12">
        <f si="13" t="shared"/>
        <v>0</v>
      </c>
      <c r="AC21" s="12">
        <f si="14" t="shared"/>
        <v>0</v>
      </c>
    </row>
    <row r="22" spans="1:29" x14ac:dyDescent="0.35">
      <c r="A22" s="20">
        <v>3</v>
      </c>
      <c r="B22" s="12">
        <f si="10" t="shared"/>
        <v>7.3187414500684E-2</v>
      </c>
      <c r="C22" s="12">
        <f si="10" t="shared"/>
        <v>6.6581306017925737E-2</v>
      </c>
      <c r="D22" s="12">
        <f si="10" t="shared"/>
        <v>6.1258278145695365E-2</v>
      </c>
      <c r="E22" s="12">
        <f si="10" t="shared"/>
        <v>3.4115138592750532E-2</v>
      </c>
      <c r="F22" s="12">
        <f si="10" t="shared"/>
        <v>8.8888888888888889E-3</v>
      </c>
      <c r="G22" s="12">
        <f si="10" t="shared"/>
        <v>1.9950124688279301E-2</v>
      </c>
      <c r="H22" s="12">
        <f si="10" t="shared"/>
        <v>1.4669926650366748E-2</v>
      </c>
      <c r="I22" s="12">
        <f si="10" t="shared"/>
        <v>4.9159663865546217E-2</v>
      </c>
      <c r="K22" s="20">
        <v>3</v>
      </c>
      <c r="L22" s="12">
        <f ref="L22:S22" si="17" t="shared">L8/L$12</f>
        <v>7.3187414500684E-2</v>
      </c>
      <c r="M22" s="12">
        <f si="17" t="shared"/>
        <v>6.6581306017925737E-2</v>
      </c>
      <c r="N22" s="12">
        <f si="17" t="shared"/>
        <v>6.1258278145695365E-2</v>
      </c>
      <c r="O22" s="12">
        <f si="17" t="shared"/>
        <v>3.4115138592750532E-2</v>
      </c>
      <c r="P22" s="12">
        <f si="17" t="shared"/>
        <v>8.8888888888888889E-3</v>
      </c>
      <c r="Q22" s="12">
        <f si="17" t="shared"/>
        <v>1.9950124688279301E-2</v>
      </c>
      <c r="R22" s="12">
        <f si="17" t="shared"/>
        <v>1.4669926650366748E-2</v>
      </c>
      <c r="S22" s="12">
        <f si="17" t="shared"/>
        <v>4.9159663865546217E-2</v>
      </c>
      <c r="U22" s="20">
        <v>3</v>
      </c>
      <c r="V22" s="12">
        <f si="12" t="shared"/>
        <v>0</v>
      </c>
      <c r="W22" s="12">
        <f si="12" t="shared"/>
        <v>0</v>
      </c>
      <c r="X22" s="12">
        <f si="12" t="shared"/>
        <v>0</v>
      </c>
      <c r="Y22" s="12">
        <f si="12" t="shared"/>
        <v>0</v>
      </c>
      <c r="Z22" s="12">
        <f si="12" t="shared"/>
        <v>0</v>
      </c>
      <c r="AA22" s="12">
        <f si="12" t="shared"/>
        <v>0</v>
      </c>
      <c r="AB22" s="12">
        <f si="13" t="shared"/>
        <v>0</v>
      </c>
      <c r="AC22" s="12">
        <f si="14" t="shared"/>
        <v>0</v>
      </c>
    </row>
    <row r="23" spans="1:29" x14ac:dyDescent="0.35">
      <c r="A23" s="20">
        <v>4</v>
      </c>
      <c r="B23" s="12">
        <f si="10" t="shared"/>
        <v>6.7031463748290013E-2</v>
      </c>
      <c r="C23" s="12">
        <f si="10" t="shared"/>
        <v>5.2496798975672214E-2</v>
      </c>
      <c r="D23" s="12">
        <f si="10" t="shared"/>
        <v>4.9668874172185427E-2</v>
      </c>
      <c r="E23" s="12">
        <f si="10" t="shared"/>
        <v>3.4115138592750532E-2</v>
      </c>
      <c r="F23" s="12">
        <f si="10" t="shared"/>
        <v>1.7777777777777778E-2</v>
      </c>
      <c r="G23" s="12">
        <f si="10" t="shared"/>
        <v>1.2468827930174564E-2</v>
      </c>
      <c r="H23" s="12">
        <f si="10" t="shared"/>
        <v>7.3349633251833741E-3</v>
      </c>
      <c r="I23" s="12">
        <f si="10" t="shared"/>
        <v>4.2016806722689079E-2</v>
      </c>
      <c r="K23" s="20">
        <v>4</v>
      </c>
      <c r="L23" s="12">
        <f ref="L23:S23" si="18" t="shared">L9/L$12</f>
        <v>6.7031463748290013E-2</v>
      </c>
      <c r="M23" s="12">
        <f si="18" t="shared"/>
        <v>5.2496798975672214E-2</v>
      </c>
      <c r="N23" s="12">
        <f si="18" t="shared"/>
        <v>4.9668874172185427E-2</v>
      </c>
      <c r="O23" s="12">
        <f si="18" t="shared"/>
        <v>3.4115138592750532E-2</v>
      </c>
      <c r="P23" s="12">
        <f si="18" t="shared"/>
        <v>1.7777777777777778E-2</v>
      </c>
      <c r="Q23" s="12">
        <f si="18" t="shared"/>
        <v>1.2468827930174564E-2</v>
      </c>
      <c r="R23" s="12">
        <f si="18" t="shared"/>
        <v>7.3349633251833741E-3</v>
      </c>
      <c r="S23" s="12">
        <f si="18" t="shared"/>
        <v>4.2016806722689079E-2</v>
      </c>
      <c r="U23" s="20">
        <v>4</v>
      </c>
      <c r="V23" s="12">
        <f si="12" t="shared"/>
        <v>0</v>
      </c>
      <c r="W23" s="12">
        <f si="12" t="shared"/>
        <v>0</v>
      </c>
      <c r="X23" s="12">
        <f si="12" t="shared"/>
        <v>0</v>
      </c>
      <c r="Y23" s="12">
        <f si="12" t="shared"/>
        <v>0</v>
      </c>
      <c r="Z23" s="12">
        <f si="12" t="shared"/>
        <v>0</v>
      </c>
      <c r="AA23" s="12">
        <f si="12" t="shared"/>
        <v>0</v>
      </c>
      <c r="AB23" s="12">
        <f si="13" t="shared"/>
        <v>0</v>
      </c>
      <c r="AC23" s="12">
        <f si="14" t="shared"/>
        <v>0</v>
      </c>
    </row>
    <row r="24" spans="1:29" x14ac:dyDescent="0.35">
      <c r="A24" s="20">
        <v>5</v>
      </c>
      <c r="B24" s="12">
        <f si="10" t="shared"/>
        <v>2.5307797537619699E-2</v>
      </c>
      <c r="C24" s="12">
        <f si="10" t="shared"/>
        <v>1.2804097311139564E-2</v>
      </c>
      <c r="D24" s="12">
        <f si="10" t="shared"/>
        <v>1.3245033112582781E-2</v>
      </c>
      <c r="E24" s="12">
        <f si="10" t="shared"/>
        <v>2.5586353944562899E-2</v>
      </c>
      <c r="F24" s="12">
        <f si="10" t="shared"/>
        <v>4.4444444444444444E-3</v>
      </c>
      <c r="G24" s="12">
        <f si="10" t="shared"/>
        <v>4.9875311720698253E-3</v>
      </c>
      <c r="H24" s="12">
        <f si="10" t="shared"/>
        <v>6.1124694376528121E-3</v>
      </c>
      <c r="I24" s="12">
        <f si="10" t="shared"/>
        <v>1.5756302521008403E-2</v>
      </c>
      <c r="K24" s="20">
        <v>5</v>
      </c>
      <c r="L24" s="12">
        <f ref="L24:S24" si="19" t="shared">L10/L$12</f>
        <v>2.5307797537619699E-2</v>
      </c>
      <c r="M24" s="12">
        <f si="19" t="shared"/>
        <v>1.2804097311139564E-2</v>
      </c>
      <c r="N24" s="12">
        <f si="19" t="shared"/>
        <v>1.3245033112582781E-2</v>
      </c>
      <c r="O24" s="12">
        <f si="19" t="shared"/>
        <v>2.5586353944562899E-2</v>
      </c>
      <c r="P24" s="12">
        <f si="19" t="shared"/>
        <v>4.4444444444444444E-3</v>
      </c>
      <c r="Q24" s="12">
        <f si="19" t="shared"/>
        <v>4.9875311720698253E-3</v>
      </c>
      <c r="R24" s="12">
        <f si="19" t="shared"/>
        <v>6.1124694376528121E-3</v>
      </c>
      <c r="S24" s="12">
        <f si="19" t="shared"/>
        <v>1.5756302521008403E-2</v>
      </c>
      <c r="U24" s="20">
        <v>5</v>
      </c>
      <c r="V24" s="12">
        <f si="12" t="shared"/>
        <v>0</v>
      </c>
      <c r="W24" s="12">
        <f si="12" t="shared"/>
        <v>0</v>
      </c>
      <c r="X24" s="12">
        <f si="12" t="shared"/>
        <v>0</v>
      </c>
      <c r="Y24" s="12">
        <f si="12" t="shared"/>
        <v>0</v>
      </c>
      <c r="Z24" s="12">
        <f si="12" t="shared"/>
        <v>0</v>
      </c>
      <c r="AA24" s="12">
        <f si="12" t="shared"/>
        <v>0</v>
      </c>
      <c r="AB24" s="12">
        <f si="13" t="shared"/>
        <v>0</v>
      </c>
      <c r="AC24" s="12">
        <f si="14" t="shared"/>
        <v>0</v>
      </c>
    </row>
    <row r="25" spans="1:29" x14ac:dyDescent="0.35">
      <c r="A25" s="3" t="s">
        <v>210</v>
      </c>
      <c r="B25" s="13">
        <f ref="B25:I25" si="20" t="shared">B11/B$12</f>
        <v>1.573187414500684E-2</v>
      </c>
      <c r="C25" s="13">
        <f si="20" t="shared"/>
        <v>1.9206145966709345E-2</v>
      </c>
      <c r="D25" s="13">
        <f si="20" t="shared"/>
        <v>6.7880794701986755E-2</v>
      </c>
      <c r="E25" s="13">
        <f si="20" t="shared"/>
        <v>1.4925373134328358E-2</v>
      </c>
      <c r="F25" s="13">
        <f si="20" t="shared"/>
        <v>8.8888888888888889E-3</v>
      </c>
      <c r="G25" s="13">
        <f si="20" t="shared"/>
        <v>0</v>
      </c>
      <c r="H25" s="13">
        <f si="20" t="shared"/>
        <v>3.667481662591687E-3</v>
      </c>
      <c r="I25" s="13">
        <f si="20" t="shared"/>
        <v>1.9117647058823531E-2</v>
      </c>
      <c r="K25" s="3" t="s">
        <v>210</v>
      </c>
      <c r="L25" s="13">
        <f ref="L25:S25" si="21" t="shared">L11/L$12</f>
        <v>1.573187414500684E-2</v>
      </c>
      <c r="M25" s="13">
        <f si="21" t="shared"/>
        <v>1.9206145966709345E-2</v>
      </c>
      <c r="N25" s="13">
        <f si="21" t="shared"/>
        <v>6.7880794701986755E-2</v>
      </c>
      <c r="O25" s="13">
        <f si="21" t="shared"/>
        <v>1.4925373134328358E-2</v>
      </c>
      <c r="P25" s="13">
        <f si="21" t="shared"/>
        <v>8.8888888888888889E-3</v>
      </c>
      <c r="Q25" s="13">
        <f si="21" t="shared"/>
        <v>0</v>
      </c>
      <c r="R25" s="13">
        <f si="21" t="shared"/>
        <v>3.667481662591687E-3</v>
      </c>
      <c r="S25" s="13">
        <f si="21" t="shared"/>
        <v>1.9117647058823531E-2</v>
      </c>
      <c r="U25" s="3" t="s">
        <v>210</v>
      </c>
      <c r="V25" s="12">
        <f si="12" t="shared"/>
        <v>0</v>
      </c>
      <c r="W25" s="12">
        <f si="12" t="shared"/>
        <v>0</v>
      </c>
      <c r="X25" s="12">
        <f si="12" t="shared"/>
        <v>0</v>
      </c>
      <c r="Y25" s="12">
        <f si="12" t="shared"/>
        <v>0</v>
      </c>
      <c r="Z25" s="12">
        <f si="12" t="shared"/>
        <v>0</v>
      </c>
      <c r="AA25" s="12">
        <f si="12" t="shared"/>
        <v>0</v>
      </c>
      <c r="AB25" s="12">
        <f si="13" t="shared"/>
        <v>0</v>
      </c>
      <c r="AC25" s="12">
        <f si="14" t="shared"/>
        <v>0</v>
      </c>
    </row>
    <row ht="13.15" r="26" spans="1:29" thickBot="1" x14ac:dyDescent="0.4">
      <c r="A26" s="21" t="s">
        <v>223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223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223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ht="13.15" r="31" spans="1:29" x14ac:dyDescent="0.4">
      <c r="A31" s="2" t="s">
        <v>175</v>
      </c>
      <c r="K31" s="2" t="s">
        <v>175</v>
      </c>
      <c r="U31" s="2" t="s">
        <v>175</v>
      </c>
    </row>
    <row ht="13.15" r="32" spans="1:29" x14ac:dyDescent="0.4">
      <c r="A32" s="2" t="s">
        <v>103</v>
      </c>
      <c r="K32" s="2" t="s">
        <v>187</v>
      </c>
      <c r="U32" s="2" t="s">
        <v>270</v>
      </c>
    </row>
    <row ht="13.15" r="33" spans="1:29" thickBot="1" x14ac:dyDescent="0.4"/>
    <row ht="13.15" r="34" spans="1:29" x14ac:dyDescent="0.4">
      <c r="A34" s="5" t="s">
        <v>250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223</v>
      </c>
      <c r="K34" s="5" t="s">
        <v>250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223</v>
      </c>
      <c r="U34" s="5" t="s">
        <v>250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223</v>
      </c>
    </row>
    <row r="35" spans="1:29" x14ac:dyDescent="0.35">
      <c r="A35" s="18">
        <v>0</v>
      </c>
      <c r="B35" s="7">
        <f>output_NHTS!B158</f>
        <v>1045000</v>
      </c>
      <c r="C35" s="7">
        <f>output_NHTS!C158</f>
        <v>606000</v>
      </c>
      <c r="D35" s="7">
        <f>output_NHTS!D158</f>
        <v>466000</v>
      </c>
      <c r="E35" s="7">
        <f>output_NHTS!E158</f>
        <v>376000</v>
      </c>
      <c r="F35" s="7">
        <f>output_NHTS!F158</f>
        <v>188000</v>
      </c>
      <c r="G35" s="7">
        <f>output_NHTS!G158</f>
        <v>369000</v>
      </c>
      <c r="H35" s="7">
        <f>output_NHTS!H158</f>
        <v>752000</v>
      </c>
      <c r="I35" s="7">
        <f>output_NHTS!I158</f>
        <v>3802000</v>
      </c>
      <c r="K35" s="18">
        <v>0</v>
      </c>
      <c r="L35" s="7">
        <f>output!B158</f>
        <v>1045000</v>
      </c>
      <c r="M35" s="7">
        <f>output!C158</f>
        <v>606000</v>
      </c>
      <c r="N35" s="7">
        <f>output!D158</f>
        <v>466000</v>
      </c>
      <c r="O35" s="7">
        <f>output!E158</f>
        <v>376000</v>
      </c>
      <c r="P35" s="7">
        <f>output!F158</f>
        <v>188000</v>
      </c>
      <c r="Q35" s="7">
        <f>output!G158</f>
        <v>369000</v>
      </c>
      <c r="R35" s="7">
        <f>output!H158</f>
        <v>752000</v>
      </c>
      <c r="S35" s="7">
        <f>output!I158</f>
        <v>3802000</v>
      </c>
      <c r="U35" s="18">
        <v>0</v>
      </c>
      <c r="V35" s="7">
        <f ref="V35:AA42" si="24" t="shared">L35-B35</f>
        <v>0</v>
      </c>
      <c r="W35" s="7">
        <f si="24" t="shared"/>
        <v>0</v>
      </c>
      <c r="X35" s="7">
        <f si="24" t="shared"/>
        <v>0</v>
      </c>
      <c r="Y35" s="7">
        <f si="24" t="shared"/>
        <v>0</v>
      </c>
      <c r="Z35" s="7">
        <f si="24" t="shared"/>
        <v>0</v>
      </c>
      <c r="AA35" s="7">
        <f si="24" t="shared"/>
        <v>0</v>
      </c>
      <c r="AB35" s="7">
        <f ref="AB35:AB42" si="25" t="shared">R35-H35</f>
        <v>0</v>
      </c>
      <c r="AC35" s="7">
        <f ref="AC35:AC42" si="26" t="shared">S35-I35</f>
        <v>0</v>
      </c>
    </row>
    <row r="36" spans="1:29" x14ac:dyDescent="0.35">
      <c r="A36" s="18">
        <v>1</v>
      </c>
      <c r="B36" s="7">
        <f>output_NHTS!B159</f>
        <v>198000</v>
      </c>
      <c r="C36" s="7">
        <f>output_NHTS!C159</f>
        <v>93000</v>
      </c>
      <c r="D36" s="7">
        <f>output_NHTS!D159</f>
        <v>45000</v>
      </c>
      <c r="E36" s="7">
        <f>output_NHTS!E159</f>
        <v>53000</v>
      </c>
      <c r="F36" s="7">
        <f>output_NHTS!F159</f>
        <v>29000</v>
      </c>
      <c r="G36" s="7">
        <f>output_NHTS!G159</f>
        <v>22000</v>
      </c>
      <c r="H36" s="7">
        <f>output_NHTS!H159</f>
        <v>38000</v>
      </c>
      <c r="I36" s="7">
        <f>output_NHTS!I159</f>
        <v>478000</v>
      </c>
      <c r="K36" s="18">
        <v>1</v>
      </c>
      <c r="L36" s="7">
        <f>output!B159</f>
        <v>198000</v>
      </c>
      <c r="M36" s="7">
        <f>output!C159</f>
        <v>93000</v>
      </c>
      <c r="N36" s="7">
        <f>output!D159</f>
        <v>45000</v>
      </c>
      <c r="O36" s="7">
        <f>output!E159</f>
        <v>53000</v>
      </c>
      <c r="P36" s="7">
        <f>output!F159</f>
        <v>29000</v>
      </c>
      <c r="Q36" s="7">
        <f>output!G159</f>
        <v>22000</v>
      </c>
      <c r="R36" s="7">
        <f>output!H159</f>
        <v>38000</v>
      </c>
      <c r="S36" s="7">
        <f>output!I159</f>
        <v>478000</v>
      </c>
      <c r="U36" s="18">
        <v>1</v>
      </c>
      <c r="V36" s="7">
        <f si="24" t="shared"/>
        <v>0</v>
      </c>
      <c r="W36" s="7">
        <f si="24" t="shared"/>
        <v>0</v>
      </c>
      <c r="X36" s="7">
        <f si="24" t="shared"/>
        <v>0</v>
      </c>
      <c r="Y36" s="7">
        <f si="24" t="shared"/>
        <v>0</v>
      </c>
      <c r="Z36" s="7">
        <f si="24" t="shared"/>
        <v>0</v>
      </c>
      <c r="AA36" s="7">
        <f si="24" t="shared"/>
        <v>0</v>
      </c>
      <c r="AB36" s="7">
        <f si="25" t="shared"/>
        <v>0</v>
      </c>
      <c r="AC36" s="7">
        <f si="26" t="shared"/>
        <v>0</v>
      </c>
    </row>
    <row r="37" spans="1:29" x14ac:dyDescent="0.35">
      <c r="A37" s="19">
        <v>2</v>
      </c>
      <c r="B37" s="7">
        <f>output_NHTS!B160</f>
        <v>110000</v>
      </c>
      <c r="C37" s="7">
        <f>output_NHTS!C160</f>
        <v>53000</v>
      </c>
      <c r="D37" s="7">
        <f>output_NHTS!D160</f>
        <v>31000</v>
      </c>
      <c r="E37" s="7">
        <f>output_NHTS!E160</f>
        <v>19000</v>
      </c>
      <c r="F37" s="7">
        <f>output_NHTS!F160</f>
        <v>4000</v>
      </c>
      <c r="G37" s="7">
        <f>output_NHTS!G160</f>
        <v>7000</v>
      </c>
      <c r="H37" s="7">
        <f>output_NHTS!H160</f>
        <v>19000</v>
      </c>
      <c r="I37" s="7">
        <f>output_NHTS!I160</f>
        <v>243000</v>
      </c>
      <c r="K37" s="19">
        <v>2</v>
      </c>
      <c r="L37" s="7">
        <f>output!B160</f>
        <v>110000</v>
      </c>
      <c r="M37" s="7">
        <f>output!C160</f>
        <v>53000</v>
      </c>
      <c r="N37" s="7">
        <f>output!D160</f>
        <v>31000</v>
      </c>
      <c r="O37" s="7">
        <f>output!E160</f>
        <v>19000</v>
      </c>
      <c r="P37" s="7">
        <f>output!F160</f>
        <v>4000</v>
      </c>
      <c r="Q37" s="7">
        <f>output!G160</f>
        <v>7000</v>
      </c>
      <c r="R37" s="7">
        <f>output!H160</f>
        <v>19000</v>
      </c>
      <c r="S37" s="7">
        <f>output!I160</f>
        <v>243000</v>
      </c>
      <c r="U37" s="19">
        <v>2</v>
      </c>
      <c r="V37" s="7">
        <f si="24" t="shared"/>
        <v>0</v>
      </c>
      <c r="W37" s="7">
        <f si="24" t="shared"/>
        <v>0</v>
      </c>
      <c r="X37" s="7">
        <f si="24" t="shared"/>
        <v>0</v>
      </c>
      <c r="Y37" s="7">
        <f si="24" t="shared"/>
        <v>0</v>
      </c>
      <c r="Z37" s="7">
        <f si="24" t="shared"/>
        <v>0</v>
      </c>
      <c r="AA37" s="7">
        <f si="24" t="shared"/>
        <v>0</v>
      </c>
      <c r="AB37" s="7">
        <f si="25" t="shared"/>
        <v>0</v>
      </c>
      <c r="AC37" s="7">
        <f si="26" t="shared"/>
        <v>0</v>
      </c>
    </row>
    <row r="38" spans="1:29" x14ac:dyDescent="0.35">
      <c r="A38" s="20">
        <v>3</v>
      </c>
      <c r="B38" s="7">
        <f>output_NHTS!B161</f>
        <v>79000</v>
      </c>
      <c r="C38" s="7">
        <f>output_NHTS!C161</f>
        <v>23000</v>
      </c>
      <c r="D38" s="7">
        <f>output_NHTS!D161</f>
        <v>30000</v>
      </c>
      <c r="E38" s="7">
        <f>output_NHTS!E161</f>
        <v>11000</v>
      </c>
      <c r="F38" s="7">
        <f>output_NHTS!F161</f>
        <v>4000</v>
      </c>
      <c r="G38" s="7">
        <f>output_NHTS!G161</f>
        <v>2000</v>
      </c>
      <c r="H38" s="7">
        <f>output_NHTS!H161</f>
        <v>6000</v>
      </c>
      <c r="I38" s="7">
        <f>output_NHTS!I161</f>
        <v>155000</v>
      </c>
      <c r="K38" s="20">
        <v>3</v>
      </c>
      <c r="L38" s="7">
        <f>output!B161</f>
        <v>79000</v>
      </c>
      <c r="M38" s="7">
        <f>output!C161</f>
        <v>23000</v>
      </c>
      <c r="N38" s="7">
        <f>output!D161</f>
        <v>30000</v>
      </c>
      <c r="O38" s="7">
        <f>output!E161</f>
        <v>11000</v>
      </c>
      <c r="P38" s="7">
        <f>output!F161</f>
        <v>4000</v>
      </c>
      <c r="Q38" s="7">
        <f>output!G161</f>
        <v>2000</v>
      </c>
      <c r="R38" s="7">
        <f>output!H161</f>
        <v>6000</v>
      </c>
      <c r="S38" s="7">
        <f>output!I161</f>
        <v>155000</v>
      </c>
      <c r="U38" s="20">
        <v>3</v>
      </c>
      <c r="V38" s="7">
        <f si="24" t="shared"/>
        <v>0</v>
      </c>
      <c r="W38" s="7">
        <f si="24" t="shared"/>
        <v>0</v>
      </c>
      <c r="X38" s="7">
        <f si="24" t="shared"/>
        <v>0</v>
      </c>
      <c r="Y38" s="7">
        <f si="24" t="shared"/>
        <v>0</v>
      </c>
      <c r="Z38" s="7">
        <f si="24" t="shared"/>
        <v>0</v>
      </c>
      <c r="AA38" s="7">
        <f si="24" t="shared"/>
        <v>0</v>
      </c>
      <c r="AB38" s="7">
        <f si="25" t="shared"/>
        <v>0</v>
      </c>
      <c r="AC38" s="7">
        <f si="26" t="shared"/>
        <v>0</v>
      </c>
    </row>
    <row r="39" spans="1:29" x14ac:dyDescent="0.35">
      <c r="A39" s="20">
        <v>4</v>
      </c>
      <c r="B39" s="7">
        <f>output_NHTS!B162</f>
        <v>27000</v>
      </c>
      <c r="C39" s="7">
        <f>output_NHTS!C162</f>
        <v>6000</v>
      </c>
      <c r="D39" s="7">
        <f>output_NHTS!D162</f>
        <v>27000</v>
      </c>
      <c r="E39" s="7">
        <f>output_NHTS!E162</f>
        <v>10000</v>
      </c>
      <c r="F39" s="7">
        <f>output_NHTS!F162</f>
        <v>0</v>
      </c>
      <c r="G39" s="7">
        <f>output_NHTS!G162</f>
        <v>1000</v>
      </c>
      <c r="H39" s="7">
        <f>output_NHTS!H162</f>
        <v>3000</v>
      </c>
      <c r="I39" s="7">
        <f>output_NHTS!I162</f>
        <v>74000</v>
      </c>
      <c r="K39" s="20">
        <v>4</v>
      </c>
      <c r="L39" s="7">
        <f>output!B162</f>
        <v>27000</v>
      </c>
      <c r="M39" s="7">
        <f>output!C162</f>
        <v>6000</v>
      </c>
      <c r="N39" s="7">
        <f>output!D162</f>
        <v>27000</v>
      </c>
      <c r="O39" s="7">
        <f>output!E162</f>
        <v>10000</v>
      </c>
      <c r="P39" s="7">
        <f>output!F162</f>
        <v>0</v>
      </c>
      <c r="Q39" s="7">
        <f>output!G162</f>
        <v>1000</v>
      </c>
      <c r="R39" s="7">
        <f>output!H162</f>
        <v>3000</v>
      </c>
      <c r="S39" s="7">
        <f>output!I162</f>
        <v>74000</v>
      </c>
      <c r="U39" s="20">
        <v>4</v>
      </c>
      <c r="V39" s="7">
        <f si="24" t="shared"/>
        <v>0</v>
      </c>
      <c r="W39" s="7">
        <f si="24" t="shared"/>
        <v>0</v>
      </c>
      <c r="X39" s="7">
        <f si="24" t="shared"/>
        <v>0</v>
      </c>
      <c r="Y39" s="7">
        <f si="24" t="shared"/>
        <v>0</v>
      </c>
      <c r="Z39" s="7">
        <f si="24" t="shared"/>
        <v>0</v>
      </c>
      <c r="AA39" s="7">
        <f si="24" t="shared"/>
        <v>0</v>
      </c>
      <c r="AB39" s="7">
        <f si="25" t="shared"/>
        <v>0</v>
      </c>
      <c r="AC39" s="7">
        <f si="26" t="shared"/>
        <v>0</v>
      </c>
    </row>
    <row r="40" spans="1:29" x14ac:dyDescent="0.35">
      <c r="A40" s="20">
        <v>5</v>
      </c>
      <c r="B40" s="7">
        <f>output_NHTS!B163</f>
        <v>2000</v>
      </c>
      <c r="C40" s="7">
        <f>output_NHTS!C163</f>
        <v>0</v>
      </c>
      <c r="D40" s="7">
        <f>output_NHTS!D163</f>
        <v>0</v>
      </c>
      <c r="E40" s="7">
        <f>output_NHTS!E163</f>
        <v>0</v>
      </c>
      <c r="F40" s="7">
        <f>output_NHTS!F163</f>
        <v>0</v>
      </c>
      <c r="G40" s="7">
        <f>output_NHTS!G163</f>
        <v>0</v>
      </c>
      <c r="H40" s="7">
        <f>output_NHTS!H163</f>
        <v>0</v>
      </c>
      <c r="I40" s="7">
        <f>output_NHTS!I163</f>
        <v>2000</v>
      </c>
      <c r="K40" s="20">
        <v>5</v>
      </c>
      <c r="L40" s="7">
        <f>output!B163</f>
        <v>2000</v>
      </c>
      <c r="M40" s="7">
        <f>output!C163</f>
        <v>0</v>
      </c>
      <c r="N40" s="7">
        <f>output!D163</f>
        <v>0</v>
      </c>
      <c r="O40" s="7">
        <f>output!E163</f>
        <v>0</v>
      </c>
      <c r="P40" s="7">
        <f>output!F163</f>
        <v>0</v>
      </c>
      <c r="Q40" s="7">
        <f>output!G163</f>
        <v>0</v>
      </c>
      <c r="R40" s="7">
        <f>output!H163</f>
        <v>0</v>
      </c>
      <c r="S40" s="7">
        <f>output!I163</f>
        <v>2000</v>
      </c>
      <c r="U40" s="20">
        <v>5</v>
      </c>
      <c r="V40" s="7">
        <f si="24" t="shared"/>
        <v>0</v>
      </c>
      <c r="W40" s="7">
        <f si="24" t="shared"/>
        <v>0</v>
      </c>
      <c r="X40" s="7">
        <f si="24" t="shared"/>
        <v>0</v>
      </c>
      <c r="Y40" s="7">
        <f si="24" t="shared"/>
        <v>0</v>
      </c>
      <c r="Z40" s="7">
        <f si="24" t="shared"/>
        <v>0</v>
      </c>
      <c r="AA40" s="7">
        <f si="24" t="shared"/>
        <v>0</v>
      </c>
      <c r="AB40" s="7">
        <f si="25" t="shared"/>
        <v>0</v>
      </c>
      <c r="AC40" s="7">
        <f si="26" t="shared"/>
        <v>0</v>
      </c>
    </row>
    <row r="41" spans="1:29" x14ac:dyDescent="0.35">
      <c r="A41" s="3" t="s">
        <v>210</v>
      </c>
      <c r="B41" s="9">
        <f>output_NHTS!B164</f>
        <v>1000</v>
      </c>
      <c r="C41" s="9">
        <f>output_NHTS!C164</f>
        <v>0</v>
      </c>
      <c r="D41" s="9">
        <f>output_NHTS!D164</f>
        <v>5000</v>
      </c>
      <c r="E41" s="9">
        <f>output_NHTS!E164</f>
        <v>0</v>
      </c>
      <c r="F41" s="9">
        <f>output_NHTS!F164</f>
        <v>0</v>
      </c>
      <c r="G41" s="9">
        <f>output_NHTS!G164</f>
        <v>0</v>
      </c>
      <c r="H41" s="9">
        <f>output_NHTS!H164</f>
        <v>0</v>
      </c>
      <c r="I41" s="9">
        <f>output_NHTS!I164</f>
        <v>6000</v>
      </c>
      <c r="K41" s="3" t="s">
        <v>210</v>
      </c>
      <c r="L41" s="9">
        <f>output!B164</f>
        <v>1000</v>
      </c>
      <c r="M41" s="9">
        <f>output!C164</f>
        <v>0</v>
      </c>
      <c r="N41" s="9">
        <f>output!D164</f>
        <v>5000</v>
      </c>
      <c r="O41" s="9">
        <f>output!E164</f>
        <v>0</v>
      </c>
      <c r="P41" s="9">
        <f>output!F164</f>
        <v>0</v>
      </c>
      <c r="Q41" s="9">
        <f>output!G164</f>
        <v>0</v>
      </c>
      <c r="R41" s="9">
        <f>output!H164</f>
        <v>0</v>
      </c>
      <c r="S41" s="9">
        <f>output!I164</f>
        <v>6000</v>
      </c>
      <c r="U41" s="3" t="s">
        <v>210</v>
      </c>
      <c r="V41" s="9">
        <f si="24" t="shared"/>
        <v>0</v>
      </c>
      <c r="W41" s="9">
        <f si="24" t="shared"/>
        <v>0</v>
      </c>
      <c r="X41" s="9">
        <f si="24" t="shared"/>
        <v>0</v>
      </c>
      <c r="Y41" s="9">
        <f si="24" t="shared"/>
        <v>0</v>
      </c>
      <c r="Z41" s="9">
        <f si="24" t="shared"/>
        <v>0</v>
      </c>
      <c r="AA41" s="9">
        <f si="24" t="shared"/>
        <v>0</v>
      </c>
      <c r="AB41" s="9">
        <f si="25" t="shared"/>
        <v>0</v>
      </c>
      <c r="AC41" s="9">
        <f si="26" t="shared"/>
        <v>0</v>
      </c>
    </row>
    <row ht="13.15" r="42" spans="1:29" thickBot="1" x14ac:dyDescent="0.4">
      <c r="A42" s="21" t="s">
        <v>223</v>
      </c>
      <c r="B42" s="22">
        <f ref="B42:I42" si="27" t="shared">SUM(B35:B41)</f>
        <v>1462000</v>
      </c>
      <c r="C42" s="22">
        <f si="27" t="shared"/>
        <v>781000</v>
      </c>
      <c r="D42" s="22">
        <f si="27" t="shared"/>
        <v>604000</v>
      </c>
      <c r="E42" s="22">
        <f si="27" t="shared"/>
        <v>469000</v>
      </c>
      <c r="F42" s="22">
        <f si="27" t="shared"/>
        <v>225000</v>
      </c>
      <c r="G42" s="22">
        <f si="27" t="shared"/>
        <v>401000</v>
      </c>
      <c r="H42" s="22">
        <f si="27" t="shared"/>
        <v>818000</v>
      </c>
      <c r="I42" s="22">
        <f si="27" t="shared"/>
        <v>4760000</v>
      </c>
      <c r="K42" s="21" t="s">
        <v>223</v>
      </c>
      <c r="L42" s="22">
        <f>SUM(L35:L41)</f>
        <v>1462000</v>
      </c>
      <c r="M42" s="22">
        <f ref="M42:S42" si="28" t="shared">SUM(M35:M41)</f>
        <v>781000</v>
      </c>
      <c r="N42" s="22">
        <f si="28" t="shared"/>
        <v>604000</v>
      </c>
      <c r="O42" s="22">
        <f si="28" t="shared"/>
        <v>469000</v>
      </c>
      <c r="P42" s="22">
        <f si="28" t="shared"/>
        <v>225000</v>
      </c>
      <c r="Q42" s="22">
        <f si="28" t="shared"/>
        <v>401000</v>
      </c>
      <c r="R42" s="22">
        <f si="28" t="shared"/>
        <v>818000</v>
      </c>
      <c r="S42" s="22">
        <f si="28" t="shared"/>
        <v>4760000</v>
      </c>
      <c r="U42" s="21" t="s">
        <v>223</v>
      </c>
      <c r="V42" s="22">
        <f si="24" t="shared"/>
        <v>0</v>
      </c>
      <c r="W42" s="22">
        <f si="24" t="shared"/>
        <v>0</v>
      </c>
      <c r="X42" s="22">
        <f si="24" t="shared"/>
        <v>0</v>
      </c>
      <c r="Y42" s="22">
        <f si="24" t="shared"/>
        <v>0</v>
      </c>
      <c r="Z42" s="22">
        <f si="24" t="shared"/>
        <v>0</v>
      </c>
      <c r="AA42" s="22">
        <f si="24" t="shared"/>
        <v>0</v>
      </c>
      <c r="AB42" s="22">
        <f si="25" t="shared"/>
        <v>0</v>
      </c>
      <c r="AC42" s="22">
        <f si="26" t="shared"/>
        <v>0</v>
      </c>
    </row>
    <row ht="13.15" r="45" spans="1:29" x14ac:dyDescent="0.4">
      <c r="A45" s="2" t="s">
        <v>175</v>
      </c>
      <c r="K45" s="2" t="s">
        <v>175</v>
      </c>
      <c r="U45" s="2" t="s">
        <v>175</v>
      </c>
    </row>
    <row ht="13.15" r="46" spans="1:29" x14ac:dyDescent="0.4">
      <c r="A46" s="2" t="s">
        <v>186</v>
      </c>
      <c r="K46" s="2" t="s">
        <v>191</v>
      </c>
      <c r="U46" s="2" t="s">
        <v>271</v>
      </c>
    </row>
    <row ht="13.15" r="47" spans="1:29" thickBot="1" x14ac:dyDescent="0.4"/>
    <row ht="13.15" r="48" spans="1:29" x14ac:dyDescent="0.4">
      <c r="A48" s="5" t="s">
        <v>250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223</v>
      </c>
      <c r="K48" s="5" t="s">
        <v>250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223</v>
      </c>
      <c r="U48" s="5" t="s">
        <v>250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223</v>
      </c>
    </row>
    <row r="49" spans="1:29" x14ac:dyDescent="0.35">
      <c r="A49" s="18">
        <v>0</v>
      </c>
      <c r="B49" s="12">
        <f ref="B49:I49" si="29" t="shared">B35/B$12</f>
        <v>0.71477428180574554</v>
      </c>
      <c r="C49" s="12">
        <f si="29" t="shared"/>
        <v>0.77592829705505761</v>
      </c>
      <c r="D49" s="12">
        <f si="29" t="shared"/>
        <v>0.77152317880794707</v>
      </c>
      <c r="E49" s="12">
        <f si="29" t="shared"/>
        <v>0.80170575692963753</v>
      </c>
      <c r="F49" s="12">
        <f si="29" t="shared"/>
        <v>0.83555555555555561</v>
      </c>
      <c r="G49" s="12">
        <f si="29" t="shared"/>
        <v>0.92019950124688277</v>
      </c>
      <c r="H49" s="12">
        <f si="29" t="shared"/>
        <v>0.9193154034229829</v>
      </c>
      <c r="I49" s="12">
        <f si="29" t="shared"/>
        <v>0.79873949579831938</v>
      </c>
      <c r="K49" s="18">
        <v>0</v>
      </c>
      <c r="L49" s="12">
        <f ref="L49:S54" si="30" t="shared">L35/L$42</f>
        <v>0.71477428180574554</v>
      </c>
      <c r="M49" s="12">
        <f si="30" t="shared"/>
        <v>0.77592829705505761</v>
      </c>
      <c r="N49" s="12">
        <f si="30" t="shared"/>
        <v>0.77152317880794707</v>
      </c>
      <c r="O49" s="12">
        <f si="30" t="shared"/>
        <v>0.80170575692963753</v>
      </c>
      <c r="P49" s="12">
        <f si="30" t="shared"/>
        <v>0.83555555555555561</v>
      </c>
      <c r="Q49" s="12">
        <f si="30" t="shared"/>
        <v>0.92019950124688277</v>
      </c>
      <c r="R49" s="12">
        <f si="30" t="shared"/>
        <v>0.9193154034229829</v>
      </c>
      <c r="S49" s="12">
        <f si="30" t="shared"/>
        <v>0.79873949579831938</v>
      </c>
      <c r="U49" s="18">
        <v>0</v>
      </c>
      <c r="V49" s="12">
        <f>L49-B49</f>
        <v>0</v>
      </c>
      <c r="W49" s="12">
        <f ref="V49:AA56" si="31" t="shared">M49-C49</f>
        <v>0</v>
      </c>
      <c r="X49" s="12">
        <f si="31" t="shared"/>
        <v>0</v>
      </c>
      <c r="Y49" s="12">
        <f si="31" t="shared"/>
        <v>0</v>
      </c>
      <c r="Z49" s="12">
        <f si="31" t="shared"/>
        <v>0</v>
      </c>
      <c r="AA49" s="12">
        <f si="31" t="shared"/>
        <v>0</v>
      </c>
      <c r="AB49" s="12">
        <f ref="AB49:AB56" si="32" t="shared">R49-H49</f>
        <v>0</v>
      </c>
      <c r="AC49" s="12">
        <f ref="AC49:AC56" si="33" t="shared">S49-I49</f>
        <v>0</v>
      </c>
    </row>
    <row r="50" spans="1:29" x14ac:dyDescent="0.35">
      <c r="A50" s="18">
        <v>1</v>
      </c>
      <c r="B50" s="12">
        <f ref="B50:I50" si="34" t="shared">B36/B$12</f>
        <v>0.13543091655266759</v>
      </c>
      <c r="C50" s="12">
        <f si="34" t="shared"/>
        <v>0.11907810499359796</v>
      </c>
      <c r="D50" s="12">
        <f si="34" t="shared"/>
        <v>7.4503311258278151E-2</v>
      </c>
      <c r="E50" s="12">
        <f si="34" t="shared"/>
        <v>0.11300639658848614</v>
      </c>
      <c r="F50" s="12">
        <f si="34" t="shared"/>
        <v>0.12888888888888889</v>
      </c>
      <c r="G50" s="12">
        <f si="34" t="shared"/>
        <v>5.4862842892768077E-2</v>
      </c>
      <c r="H50" s="12">
        <f si="34" t="shared"/>
        <v>4.6454767726161368E-2</v>
      </c>
      <c r="I50" s="12">
        <f si="34" t="shared"/>
        <v>0.10042016806722689</v>
      </c>
      <c r="K50" s="18">
        <v>1</v>
      </c>
      <c r="L50" s="12">
        <f si="30" t="shared"/>
        <v>0.13543091655266759</v>
      </c>
      <c r="M50" s="12">
        <f si="30" t="shared"/>
        <v>0.11907810499359796</v>
      </c>
      <c r="N50" s="12">
        <f si="30" t="shared"/>
        <v>7.4503311258278151E-2</v>
      </c>
      <c r="O50" s="12">
        <f si="30" t="shared"/>
        <v>0.11300639658848614</v>
      </c>
      <c r="P50" s="12">
        <f si="30" t="shared"/>
        <v>0.12888888888888889</v>
      </c>
      <c r="Q50" s="12">
        <f si="30" t="shared"/>
        <v>5.4862842892768077E-2</v>
      </c>
      <c r="R50" s="12">
        <f si="30" t="shared"/>
        <v>4.6454767726161368E-2</v>
      </c>
      <c r="S50" s="12">
        <f si="30" t="shared"/>
        <v>0.10042016806722689</v>
      </c>
      <c r="U50" s="18">
        <v>1</v>
      </c>
      <c r="V50" s="12">
        <f si="31" t="shared"/>
        <v>0</v>
      </c>
      <c r="W50" s="12">
        <f si="31" t="shared"/>
        <v>0</v>
      </c>
      <c r="X50" s="12">
        <f si="31" t="shared"/>
        <v>0</v>
      </c>
      <c r="Y50" s="12">
        <f si="31" t="shared"/>
        <v>0</v>
      </c>
      <c r="Z50" s="12">
        <f si="31" t="shared"/>
        <v>0</v>
      </c>
      <c r="AA50" s="12">
        <f si="31" t="shared"/>
        <v>0</v>
      </c>
      <c r="AB50" s="12">
        <f si="32" t="shared"/>
        <v>0</v>
      </c>
      <c r="AC50" s="12">
        <f si="33" t="shared"/>
        <v>0</v>
      </c>
    </row>
    <row r="51" spans="1:29" x14ac:dyDescent="0.35">
      <c r="A51" s="19">
        <v>2</v>
      </c>
      <c r="B51" s="12">
        <f ref="B51:I51" si="35" t="shared">B37/B$12</f>
        <v>7.523939808481532E-2</v>
      </c>
      <c r="C51" s="12">
        <f si="35" t="shared"/>
        <v>6.7861715749039694E-2</v>
      </c>
      <c r="D51" s="12">
        <f si="35" t="shared"/>
        <v>5.1324503311258277E-2</v>
      </c>
      <c r="E51" s="12">
        <f si="35" t="shared"/>
        <v>4.0511727078891259E-2</v>
      </c>
      <c r="F51" s="12">
        <f si="35" t="shared"/>
        <v>1.7777777777777778E-2</v>
      </c>
      <c r="G51" s="12">
        <f si="35" t="shared"/>
        <v>1.7456359102244388E-2</v>
      </c>
      <c r="H51" s="12">
        <f si="35" t="shared"/>
        <v>2.3227383863080684E-2</v>
      </c>
      <c r="I51" s="12">
        <f si="35" t="shared"/>
        <v>5.1050420168067226E-2</v>
      </c>
      <c r="K51" s="19">
        <v>2</v>
      </c>
      <c r="L51" s="12">
        <f si="30" t="shared"/>
        <v>7.523939808481532E-2</v>
      </c>
      <c r="M51" s="12">
        <f si="30" t="shared"/>
        <v>6.7861715749039694E-2</v>
      </c>
      <c r="N51" s="12">
        <f si="30" t="shared"/>
        <v>5.1324503311258277E-2</v>
      </c>
      <c r="O51" s="12">
        <f si="30" t="shared"/>
        <v>4.0511727078891259E-2</v>
      </c>
      <c r="P51" s="12">
        <f si="30" t="shared"/>
        <v>1.7777777777777778E-2</v>
      </c>
      <c r="Q51" s="12">
        <f si="30" t="shared"/>
        <v>1.7456359102244388E-2</v>
      </c>
      <c r="R51" s="12">
        <f si="30" t="shared"/>
        <v>2.3227383863080684E-2</v>
      </c>
      <c r="S51" s="12">
        <f si="30" t="shared"/>
        <v>5.1050420168067226E-2</v>
      </c>
      <c r="U51" s="19">
        <v>2</v>
      </c>
      <c r="V51" s="12">
        <f si="31" t="shared"/>
        <v>0</v>
      </c>
      <c r="W51" s="12">
        <f si="31" t="shared"/>
        <v>0</v>
      </c>
      <c r="X51" s="12">
        <f si="31" t="shared"/>
        <v>0</v>
      </c>
      <c r="Y51" s="12">
        <f si="31" t="shared"/>
        <v>0</v>
      </c>
      <c r="Z51" s="12">
        <f si="31" t="shared"/>
        <v>0</v>
      </c>
      <c r="AA51" s="12">
        <f si="31" t="shared"/>
        <v>0</v>
      </c>
      <c r="AB51" s="12">
        <f si="32" t="shared"/>
        <v>0</v>
      </c>
      <c r="AC51" s="12">
        <f si="33" t="shared"/>
        <v>0</v>
      </c>
    </row>
    <row r="52" spans="1:29" x14ac:dyDescent="0.35">
      <c r="A52" s="20">
        <v>3</v>
      </c>
      <c r="B52" s="12">
        <f ref="B52:I52" si="36" t="shared">B38/B$12</f>
        <v>5.4035567715458276E-2</v>
      </c>
      <c r="C52" s="12">
        <f si="36" t="shared"/>
        <v>2.9449423815621E-2</v>
      </c>
      <c r="D52" s="12">
        <f si="36" t="shared"/>
        <v>4.9668874172185427E-2</v>
      </c>
      <c r="E52" s="12">
        <f si="36" t="shared"/>
        <v>2.3454157782515993E-2</v>
      </c>
      <c r="F52" s="12">
        <f si="36" t="shared"/>
        <v>1.7777777777777778E-2</v>
      </c>
      <c r="G52" s="12">
        <f si="36" t="shared"/>
        <v>4.9875311720698253E-3</v>
      </c>
      <c r="H52" s="12">
        <f si="36" t="shared"/>
        <v>7.3349633251833741E-3</v>
      </c>
      <c r="I52" s="12">
        <f si="36" t="shared"/>
        <v>3.2563025210084036E-2</v>
      </c>
      <c r="K52" s="20">
        <v>3</v>
      </c>
      <c r="L52" s="12">
        <f si="30" t="shared"/>
        <v>5.4035567715458276E-2</v>
      </c>
      <c r="M52" s="12">
        <f si="30" t="shared"/>
        <v>2.9449423815621E-2</v>
      </c>
      <c r="N52" s="12">
        <f si="30" t="shared"/>
        <v>4.9668874172185427E-2</v>
      </c>
      <c r="O52" s="12">
        <f si="30" t="shared"/>
        <v>2.3454157782515993E-2</v>
      </c>
      <c r="P52" s="12">
        <f si="30" t="shared"/>
        <v>1.7777777777777778E-2</v>
      </c>
      <c r="Q52" s="12">
        <f si="30" t="shared"/>
        <v>4.9875311720698253E-3</v>
      </c>
      <c r="R52" s="12">
        <f si="30" t="shared"/>
        <v>7.3349633251833741E-3</v>
      </c>
      <c r="S52" s="12">
        <f si="30" t="shared"/>
        <v>3.2563025210084036E-2</v>
      </c>
      <c r="U52" s="20">
        <v>3</v>
      </c>
      <c r="V52" s="12">
        <f si="31" t="shared"/>
        <v>0</v>
      </c>
      <c r="W52" s="12">
        <f si="31" t="shared"/>
        <v>0</v>
      </c>
      <c r="X52" s="12">
        <f si="31" t="shared"/>
        <v>0</v>
      </c>
      <c r="Y52" s="12">
        <f si="31" t="shared"/>
        <v>0</v>
      </c>
      <c r="Z52" s="12">
        <f si="31" t="shared"/>
        <v>0</v>
      </c>
      <c r="AA52" s="12">
        <f si="31" t="shared"/>
        <v>0</v>
      </c>
      <c r="AB52" s="12">
        <f si="32" t="shared"/>
        <v>0</v>
      </c>
      <c r="AC52" s="12">
        <f si="33" t="shared"/>
        <v>0</v>
      </c>
    </row>
    <row r="53" spans="1:29" x14ac:dyDescent="0.35">
      <c r="A53" s="20">
        <v>4</v>
      </c>
      <c r="B53" s="12">
        <f ref="B53:I53" si="37" t="shared">B39/B$12</f>
        <v>1.8467852257181942E-2</v>
      </c>
      <c r="C53" s="12">
        <f si="37" t="shared"/>
        <v>7.6824583866837385E-3</v>
      </c>
      <c r="D53" s="12">
        <f si="37" t="shared"/>
        <v>4.4701986754966887E-2</v>
      </c>
      <c r="E53" s="12">
        <f si="37" t="shared"/>
        <v>2.1321961620469083E-2</v>
      </c>
      <c r="F53" s="12">
        <f si="37" t="shared"/>
        <v>0</v>
      </c>
      <c r="G53" s="12">
        <f si="37" t="shared"/>
        <v>2.4937655860349127E-3</v>
      </c>
      <c r="H53" s="12">
        <f si="37" t="shared"/>
        <v>3.667481662591687E-3</v>
      </c>
      <c r="I53" s="12">
        <f si="37" t="shared"/>
        <v>1.5546218487394958E-2</v>
      </c>
      <c r="K53" s="20">
        <v>4</v>
      </c>
      <c r="L53" s="12">
        <f si="30" t="shared"/>
        <v>1.8467852257181942E-2</v>
      </c>
      <c r="M53" s="12">
        <f si="30" t="shared"/>
        <v>7.6824583866837385E-3</v>
      </c>
      <c r="N53" s="12">
        <f si="30" t="shared"/>
        <v>4.4701986754966887E-2</v>
      </c>
      <c r="O53" s="12">
        <f si="30" t="shared"/>
        <v>2.1321961620469083E-2</v>
      </c>
      <c r="P53" s="12">
        <f si="30" t="shared"/>
        <v>0</v>
      </c>
      <c r="Q53" s="12">
        <f si="30" t="shared"/>
        <v>2.4937655860349127E-3</v>
      </c>
      <c r="R53" s="12">
        <f si="30" t="shared"/>
        <v>3.667481662591687E-3</v>
      </c>
      <c r="S53" s="12">
        <f si="30" t="shared"/>
        <v>1.5546218487394958E-2</v>
      </c>
      <c r="U53" s="20">
        <v>4</v>
      </c>
      <c r="V53" s="12">
        <f si="31" t="shared"/>
        <v>0</v>
      </c>
      <c r="W53" s="12">
        <f si="31" t="shared"/>
        <v>0</v>
      </c>
      <c r="X53" s="12">
        <f si="31" t="shared"/>
        <v>0</v>
      </c>
      <c r="Y53" s="12">
        <f si="31" t="shared"/>
        <v>0</v>
      </c>
      <c r="Z53" s="12">
        <f si="31" t="shared"/>
        <v>0</v>
      </c>
      <c r="AA53" s="12">
        <f si="31" t="shared"/>
        <v>0</v>
      </c>
      <c r="AB53" s="12">
        <f si="32" t="shared"/>
        <v>0</v>
      </c>
      <c r="AC53" s="12">
        <f si="33" t="shared"/>
        <v>0</v>
      </c>
    </row>
    <row r="54" spans="1:29" x14ac:dyDescent="0.35">
      <c r="A54" s="20">
        <v>5</v>
      </c>
      <c r="B54" s="12">
        <f ref="B54:I54" si="38" t="shared">B40/B$12</f>
        <v>1.3679890560875513E-3</v>
      </c>
      <c r="C54" s="12">
        <f si="38" t="shared"/>
        <v>0</v>
      </c>
      <c r="D54" s="12">
        <f si="38" t="shared"/>
        <v>0</v>
      </c>
      <c r="E54" s="12">
        <f si="38" t="shared"/>
        <v>0</v>
      </c>
      <c r="F54" s="12">
        <f si="38" t="shared"/>
        <v>0</v>
      </c>
      <c r="G54" s="12">
        <f si="38" t="shared"/>
        <v>0</v>
      </c>
      <c r="H54" s="12">
        <f si="38" t="shared"/>
        <v>0</v>
      </c>
      <c r="I54" s="12">
        <f si="38" t="shared"/>
        <v>4.2016806722689078E-4</v>
      </c>
      <c r="K54" s="20">
        <v>5</v>
      </c>
      <c r="L54" s="12">
        <f si="30" t="shared"/>
        <v>1.3679890560875513E-3</v>
      </c>
      <c r="M54" s="12">
        <f si="30" t="shared"/>
        <v>0</v>
      </c>
      <c r="N54" s="12">
        <f si="30" t="shared"/>
        <v>0</v>
      </c>
      <c r="O54" s="12">
        <f si="30" t="shared"/>
        <v>0</v>
      </c>
      <c r="P54" s="12">
        <f si="30" t="shared"/>
        <v>0</v>
      </c>
      <c r="Q54" s="12">
        <f si="30" t="shared"/>
        <v>0</v>
      </c>
      <c r="R54" s="12">
        <f si="30" t="shared"/>
        <v>0</v>
      </c>
      <c r="S54" s="12">
        <f si="30" t="shared"/>
        <v>4.2016806722689078E-4</v>
      </c>
      <c r="U54" s="20">
        <v>5</v>
      </c>
      <c r="V54" s="12">
        <f si="31" t="shared"/>
        <v>0</v>
      </c>
      <c r="W54" s="12">
        <f si="31" t="shared"/>
        <v>0</v>
      </c>
      <c r="X54" s="12">
        <f si="31" t="shared"/>
        <v>0</v>
      </c>
      <c r="Y54" s="12">
        <f si="31" t="shared"/>
        <v>0</v>
      </c>
      <c r="Z54" s="12">
        <f si="31" t="shared"/>
        <v>0</v>
      </c>
      <c r="AA54" s="12">
        <f si="31" t="shared"/>
        <v>0</v>
      </c>
      <c r="AB54" s="12">
        <f si="32" t="shared"/>
        <v>0</v>
      </c>
      <c r="AC54" s="12">
        <f si="33" t="shared"/>
        <v>0</v>
      </c>
    </row>
    <row r="55" spans="1:29" x14ac:dyDescent="0.35">
      <c r="A55" s="3" t="s">
        <v>210</v>
      </c>
      <c r="B55" s="13">
        <f ref="B55:I55" si="39" t="shared">B41/B$12</f>
        <v>6.8399452804377564E-4</v>
      </c>
      <c r="C55" s="13">
        <f si="39" t="shared"/>
        <v>0</v>
      </c>
      <c r="D55" s="13">
        <f si="39" t="shared"/>
        <v>8.2781456953642391E-3</v>
      </c>
      <c r="E55" s="13">
        <f si="39" t="shared"/>
        <v>0</v>
      </c>
      <c r="F55" s="13">
        <f si="39" t="shared"/>
        <v>0</v>
      </c>
      <c r="G55" s="13">
        <f si="39" t="shared"/>
        <v>0</v>
      </c>
      <c r="H55" s="13">
        <f si="39" t="shared"/>
        <v>0</v>
      </c>
      <c r="I55" s="13">
        <f si="39" t="shared"/>
        <v>1.2605042016806723E-3</v>
      </c>
      <c r="K55" s="3" t="s">
        <v>210</v>
      </c>
      <c r="L55" s="13">
        <f ref="L55:S55" si="40" t="shared">L41/L$42</f>
        <v>6.8399452804377564E-4</v>
      </c>
      <c r="M55" s="13">
        <f si="40" t="shared"/>
        <v>0</v>
      </c>
      <c r="N55" s="13">
        <f si="40" t="shared"/>
        <v>8.2781456953642391E-3</v>
      </c>
      <c r="O55" s="13">
        <f si="40" t="shared"/>
        <v>0</v>
      </c>
      <c r="P55" s="13">
        <f si="40" t="shared"/>
        <v>0</v>
      </c>
      <c r="Q55" s="13">
        <f si="40" t="shared"/>
        <v>0</v>
      </c>
      <c r="R55" s="13">
        <f si="40" t="shared"/>
        <v>0</v>
      </c>
      <c r="S55" s="13">
        <f si="40" t="shared"/>
        <v>1.2605042016806723E-3</v>
      </c>
      <c r="U55" s="3" t="s">
        <v>210</v>
      </c>
      <c r="V55" s="12">
        <f si="31" t="shared"/>
        <v>0</v>
      </c>
      <c r="W55" s="12">
        <f si="31" t="shared"/>
        <v>0</v>
      </c>
      <c r="X55" s="12">
        <f si="31" t="shared"/>
        <v>0</v>
      </c>
      <c r="Y55" s="12">
        <f si="31" t="shared"/>
        <v>0</v>
      </c>
      <c r="Z55" s="12">
        <f si="31" t="shared"/>
        <v>0</v>
      </c>
      <c r="AA55" s="12">
        <f si="31" t="shared"/>
        <v>0</v>
      </c>
      <c r="AB55" s="12">
        <f si="32" t="shared"/>
        <v>0</v>
      </c>
      <c r="AC55" s="12">
        <f si="33" t="shared"/>
        <v>0</v>
      </c>
    </row>
    <row ht="13.15" r="56" spans="1:29" thickBot="1" x14ac:dyDescent="0.4">
      <c r="A56" s="21" t="s">
        <v>223</v>
      </c>
      <c r="B56" s="17">
        <f ref="B56:I56" si="41" t="shared">B42/B$12</f>
        <v>1</v>
      </c>
      <c r="C56" s="17">
        <f si="41" t="shared"/>
        <v>1</v>
      </c>
      <c r="D56" s="17">
        <f si="41" t="shared"/>
        <v>1</v>
      </c>
      <c r="E56" s="17">
        <f si="41" t="shared"/>
        <v>1</v>
      </c>
      <c r="F56" s="17">
        <f si="41" t="shared"/>
        <v>1</v>
      </c>
      <c r="G56" s="17">
        <f si="41" t="shared"/>
        <v>1</v>
      </c>
      <c r="H56" s="17">
        <f si="41" t="shared"/>
        <v>1</v>
      </c>
      <c r="I56" s="17">
        <f si="41" t="shared"/>
        <v>1</v>
      </c>
      <c r="K56" s="21" t="s">
        <v>223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223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ht="13.15" r="61" spans="1:29" x14ac:dyDescent="0.4">
      <c r="A61" s="2" t="s">
        <v>175</v>
      </c>
      <c r="K61" s="2" t="s">
        <v>175</v>
      </c>
      <c r="U61" s="2" t="s">
        <v>175</v>
      </c>
    </row>
    <row ht="13.15" r="62" spans="1:29" x14ac:dyDescent="0.4">
      <c r="A62" s="2" t="s">
        <v>106</v>
      </c>
      <c r="K62" s="2" t="s">
        <v>291</v>
      </c>
      <c r="U62" s="2" t="s">
        <v>239</v>
      </c>
    </row>
    <row ht="13.15" r="63" spans="1:29" thickBot="1" x14ac:dyDescent="0.4"/>
    <row ht="13.15" r="64" spans="1:29" x14ac:dyDescent="0.4">
      <c r="A64" s="5" t="s">
        <v>250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223</v>
      </c>
      <c r="K64" s="5" t="s">
        <v>250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223</v>
      </c>
      <c r="U64" s="5" t="s">
        <v>250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223</v>
      </c>
    </row>
    <row r="65" spans="1:29" x14ac:dyDescent="0.35">
      <c r="A65" s="18">
        <v>0</v>
      </c>
      <c r="B65" s="7">
        <f>output_NHTS!B168</f>
        <v>1063000</v>
      </c>
      <c r="C65" s="7">
        <f>output_NHTS!C168</f>
        <v>561000</v>
      </c>
      <c r="D65" s="7">
        <f>output_NHTS!D168</f>
        <v>459000</v>
      </c>
      <c r="E65" s="7">
        <f>output_NHTS!E168</f>
        <v>393000</v>
      </c>
      <c r="F65" s="7">
        <f>output_NHTS!F168</f>
        <v>196000</v>
      </c>
      <c r="G65" s="7">
        <f>output_NHTS!G168</f>
        <v>371000</v>
      </c>
      <c r="H65" s="7">
        <f>output_NHTS!H168</f>
        <v>743000</v>
      </c>
      <c r="I65" s="7">
        <f>output_NHTS!I168</f>
        <v>3786000</v>
      </c>
      <c r="K65" s="18">
        <v>0</v>
      </c>
      <c r="L65" s="7">
        <f>output!B168</f>
        <v>1063000</v>
      </c>
      <c r="M65" s="7">
        <f>output!C168</f>
        <v>561000</v>
      </c>
      <c r="N65" s="7">
        <f>output!D168</f>
        <v>459000</v>
      </c>
      <c r="O65" s="7">
        <f>output!E168</f>
        <v>393000</v>
      </c>
      <c r="P65" s="7">
        <f>output!F168</f>
        <v>196000</v>
      </c>
      <c r="Q65" s="7">
        <f>output!G168</f>
        <v>371000</v>
      </c>
      <c r="R65" s="7">
        <f>output!H168</f>
        <v>743000</v>
      </c>
      <c r="S65" s="7">
        <f>output!I168</f>
        <v>3786000</v>
      </c>
      <c r="U65" s="18">
        <v>0</v>
      </c>
      <c r="V65" s="7">
        <f ref="V65:AA72" si="43" t="shared">L65-B65</f>
        <v>0</v>
      </c>
      <c r="W65" s="7">
        <f si="43" t="shared"/>
        <v>0</v>
      </c>
      <c r="X65" s="7">
        <f si="43" t="shared"/>
        <v>0</v>
      </c>
      <c r="Y65" s="7">
        <f si="43" t="shared"/>
        <v>0</v>
      </c>
      <c r="Z65" s="7">
        <f si="43" t="shared"/>
        <v>0</v>
      </c>
      <c r="AA65" s="7">
        <f si="43" t="shared"/>
        <v>0</v>
      </c>
      <c r="AB65" s="7">
        <f ref="AB65:AB72" si="44" t="shared">R65-H65</f>
        <v>0</v>
      </c>
      <c r="AC65" s="7">
        <f ref="AC65:AC72" si="45" t="shared">S65-I65</f>
        <v>0</v>
      </c>
    </row>
    <row r="66" spans="1:29" x14ac:dyDescent="0.35">
      <c r="A66" s="18">
        <v>1</v>
      </c>
      <c r="B66" s="7">
        <f>output_NHTS!B169</f>
        <v>197000</v>
      </c>
      <c r="C66" s="7">
        <f>output_NHTS!C169</f>
        <v>99000</v>
      </c>
      <c r="D66" s="7">
        <f>output_NHTS!D169</f>
        <v>47000</v>
      </c>
      <c r="E66" s="7">
        <f>output_NHTS!E169</f>
        <v>34000</v>
      </c>
      <c r="F66" s="7">
        <f>output_NHTS!F169</f>
        <v>20000</v>
      </c>
      <c r="G66" s="7">
        <f>output_NHTS!G169</f>
        <v>19000</v>
      </c>
      <c r="H66" s="7">
        <f>output_NHTS!H169</f>
        <v>52000</v>
      </c>
      <c r="I66" s="7">
        <f>output_NHTS!I169</f>
        <v>468000</v>
      </c>
      <c r="K66" s="18">
        <v>1</v>
      </c>
      <c r="L66" s="7">
        <f>output!B169</f>
        <v>197000</v>
      </c>
      <c r="M66" s="7">
        <f>output!C169</f>
        <v>99000</v>
      </c>
      <c r="N66" s="7">
        <f>output!D169</f>
        <v>47000</v>
      </c>
      <c r="O66" s="7">
        <f>output!E169</f>
        <v>34000</v>
      </c>
      <c r="P66" s="7">
        <f>output!F169</f>
        <v>20000</v>
      </c>
      <c r="Q66" s="7">
        <f>output!G169</f>
        <v>19000</v>
      </c>
      <c r="R66" s="7">
        <f>output!H169</f>
        <v>52000</v>
      </c>
      <c r="S66" s="7">
        <f>output!I169</f>
        <v>468000</v>
      </c>
      <c r="U66" s="18">
        <v>1</v>
      </c>
      <c r="V66" s="7">
        <f si="43" t="shared"/>
        <v>0</v>
      </c>
      <c r="W66" s="7">
        <f si="43" t="shared"/>
        <v>0</v>
      </c>
      <c r="X66" s="7">
        <f si="43" t="shared"/>
        <v>0</v>
      </c>
      <c r="Y66" s="7">
        <f si="43" t="shared"/>
        <v>0</v>
      </c>
      <c r="Z66" s="7">
        <f si="43" t="shared"/>
        <v>0</v>
      </c>
      <c r="AA66" s="7">
        <f si="43" t="shared"/>
        <v>0</v>
      </c>
      <c r="AB66" s="7">
        <f si="44" t="shared"/>
        <v>0</v>
      </c>
      <c r="AC66" s="7">
        <f si="45" t="shared"/>
        <v>0</v>
      </c>
    </row>
    <row r="67" spans="1:29" x14ac:dyDescent="0.35">
      <c r="A67" s="19">
        <v>2</v>
      </c>
      <c r="B67" s="7">
        <f>output_NHTS!B170</f>
        <v>104000</v>
      </c>
      <c r="C67" s="7">
        <f>output_NHTS!C170</f>
        <v>64000</v>
      </c>
      <c r="D67" s="7">
        <f>output_NHTS!D170</f>
        <v>27000</v>
      </c>
      <c r="E67" s="7">
        <f>output_NHTS!E170</f>
        <v>18000</v>
      </c>
      <c r="F67" s="7">
        <f>output_NHTS!F170</f>
        <v>6000</v>
      </c>
      <c r="G67" s="7">
        <f>output_NHTS!G170</f>
        <v>5000</v>
      </c>
      <c r="H67" s="7">
        <f>output_NHTS!H170</f>
        <v>13000</v>
      </c>
      <c r="I67" s="7">
        <f>output_NHTS!I170</f>
        <v>237000</v>
      </c>
      <c r="K67" s="19">
        <v>2</v>
      </c>
      <c r="L67" s="7">
        <f>output!B170</f>
        <v>104000</v>
      </c>
      <c r="M67" s="7">
        <f>output!C170</f>
        <v>64000</v>
      </c>
      <c r="N67" s="7">
        <f>output!D170</f>
        <v>27000</v>
      </c>
      <c r="O67" s="7">
        <f>output!E170</f>
        <v>18000</v>
      </c>
      <c r="P67" s="7">
        <f>output!F170</f>
        <v>6000</v>
      </c>
      <c r="Q67" s="7">
        <f>output!G170</f>
        <v>5000</v>
      </c>
      <c r="R67" s="7">
        <f>output!H170</f>
        <v>13000</v>
      </c>
      <c r="S67" s="7">
        <f>output!I170</f>
        <v>237000</v>
      </c>
      <c r="U67" s="19">
        <v>2</v>
      </c>
      <c r="V67" s="7">
        <f si="43" t="shared"/>
        <v>0</v>
      </c>
      <c r="W67" s="7">
        <f si="43" t="shared"/>
        <v>0</v>
      </c>
      <c r="X67" s="7">
        <f si="43" t="shared"/>
        <v>0</v>
      </c>
      <c r="Y67" s="7">
        <f si="43" t="shared"/>
        <v>0</v>
      </c>
      <c r="Z67" s="7">
        <f si="43" t="shared"/>
        <v>0</v>
      </c>
      <c r="AA67" s="7">
        <f si="43" t="shared"/>
        <v>0</v>
      </c>
      <c r="AB67" s="7">
        <f si="44" t="shared"/>
        <v>0</v>
      </c>
      <c r="AC67" s="7">
        <f si="45" t="shared"/>
        <v>0</v>
      </c>
    </row>
    <row r="68" spans="1:29" x14ac:dyDescent="0.35">
      <c r="A68" s="20">
        <v>3</v>
      </c>
      <c r="B68" s="7">
        <f>output_NHTS!B171</f>
        <v>79000</v>
      </c>
      <c r="C68" s="7">
        <f>output_NHTS!C171</f>
        <v>46000</v>
      </c>
      <c r="D68" s="7">
        <f>output_NHTS!D171</f>
        <v>41000</v>
      </c>
      <c r="E68" s="7">
        <f>output_NHTS!E171</f>
        <v>21000</v>
      </c>
      <c r="F68" s="7">
        <f>output_NHTS!F171</f>
        <v>2000</v>
      </c>
      <c r="G68" s="7">
        <f>output_NHTS!G171</f>
        <v>5000</v>
      </c>
      <c r="H68" s="7">
        <f>output_NHTS!H171</f>
        <v>10000</v>
      </c>
      <c r="I68" s="7">
        <f>output_NHTS!I171</f>
        <v>204000</v>
      </c>
      <c r="K68" s="20">
        <v>3</v>
      </c>
      <c r="L68" s="7">
        <f>output!B171</f>
        <v>79000</v>
      </c>
      <c r="M68" s="7">
        <f>output!C171</f>
        <v>46000</v>
      </c>
      <c r="N68" s="7">
        <f>output!D171</f>
        <v>41000</v>
      </c>
      <c r="O68" s="7">
        <f>output!E171</f>
        <v>21000</v>
      </c>
      <c r="P68" s="7">
        <f>output!F171</f>
        <v>2000</v>
      </c>
      <c r="Q68" s="7">
        <f>output!G171</f>
        <v>5000</v>
      </c>
      <c r="R68" s="7">
        <f>output!H171</f>
        <v>10000</v>
      </c>
      <c r="S68" s="7">
        <f>output!I171</f>
        <v>204000</v>
      </c>
      <c r="U68" s="20">
        <v>3</v>
      </c>
      <c r="V68" s="7">
        <f si="43" t="shared"/>
        <v>0</v>
      </c>
      <c r="W68" s="7">
        <f si="43" t="shared"/>
        <v>0</v>
      </c>
      <c r="X68" s="7">
        <f si="43" t="shared"/>
        <v>0</v>
      </c>
      <c r="Y68" s="7">
        <f si="43" t="shared"/>
        <v>0</v>
      </c>
      <c r="Z68" s="7">
        <f si="43" t="shared"/>
        <v>0</v>
      </c>
      <c r="AA68" s="7">
        <f si="43" t="shared"/>
        <v>0</v>
      </c>
      <c r="AB68" s="7">
        <f si="44" t="shared"/>
        <v>0</v>
      </c>
      <c r="AC68" s="7">
        <f si="45" t="shared"/>
        <v>0</v>
      </c>
    </row>
    <row r="69" spans="1:29" x14ac:dyDescent="0.35">
      <c r="A69" s="20">
        <v>4</v>
      </c>
      <c r="B69" s="7">
        <f>output_NHTS!B172</f>
        <v>17000</v>
      </c>
      <c r="C69" s="7">
        <f>output_NHTS!C172</f>
        <v>11000</v>
      </c>
      <c r="D69" s="7">
        <f>output_NHTS!D172</f>
        <v>24000</v>
      </c>
      <c r="E69" s="7">
        <f>output_NHTS!E172</f>
        <v>2000</v>
      </c>
      <c r="F69" s="7">
        <f>output_NHTS!F172</f>
        <v>1000</v>
      </c>
      <c r="G69" s="7">
        <f>output_NHTS!G172</f>
        <v>1000</v>
      </c>
      <c r="H69" s="7">
        <f>output_NHTS!H172</f>
        <v>0</v>
      </c>
      <c r="I69" s="7">
        <f>output_NHTS!I172</f>
        <v>56000</v>
      </c>
      <c r="K69" s="20">
        <v>4</v>
      </c>
      <c r="L69" s="7">
        <f>output!B172</f>
        <v>17000</v>
      </c>
      <c r="M69" s="7">
        <f>output!C172</f>
        <v>11000</v>
      </c>
      <c r="N69" s="7">
        <f>output!D172</f>
        <v>24000</v>
      </c>
      <c r="O69" s="7">
        <f>output!E172</f>
        <v>2000</v>
      </c>
      <c r="P69" s="7">
        <f>output!F172</f>
        <v>1000</v>
      </c>
      <c r="Q69" s="7">
        <f>output!G172</f>
        <v>1000</v>
      </c>
      <c r="R69" s="7">
        <f>output!H172</f>
        <v>0</v>
      </c>
      <c r="S69" s="7">
        <f>output!I172</f>
        <v>56000</v>
      </c>
      <c r="U69" s="20">
        <v>4</v>
      </c>
      <c r="V69" s="7">
        <f si="43" t="shared"/>
        <v>0</v>
      </c>
      <c r="W69" s="7">
        <f si="43" t="shared"/>
        <v>0</v>
      </c>
      <c r="X69" s="7">
        <f si="43" t="shared"/>
        <v>0</v>
      </c>
      <c r="Y69" s="7">
        <f si="43" t="shared"/>
        <v>0</v>
      </c>
      <c r="Z69" s="7">
        <f si="43" t="shared"/>
        <v>0</v>
      </c>
      <c r="AA69" s="7">
        <f si="43" t="shared"/>
        <v>0</v>
      </c>
      <c r="AB69" s="7">
        <f si="44" t="shared"/>
        <v>0</v>
      </c>
      <c r="AC69" s="7">
        <f si="45" t="shared"/>
        <v>0</v>
      </c>
    </row>
    <row r="70" spans="1:29" x14ac:dyDescent="0.35">
      <c r="A70" s="20">
        <v>5</v>
      </c>
      <c r="B70" s="7">
        <f>output_NHTS!B173</f>
        <v>0</v>
      </c>
      <c r="C70" s="7">
        <f>output_NHTS!C173</f>
        <v>0</v>
      </c>
      <c r="D70" s="7">
        <f>output_NHTS!D173</f>
        <v>0</v>
      </c>
      <c r="E70" s="7">
        <f>output_NHTS!E173</f>
        <v>0</v>
      </c>
      <c r="F70" s="7">
        <f>output_NHTS!F173</f>
        <v>0</v>
      </c>
      <c r="G70" s="7">
        <f>output_NHTS!G173</f>
        <v>0</v>
      </c>
      <c r="H70" s="7">
        <f>output_NHTS!H173</f>
        <v>0</v>
      </c>
      <c r="I70" s="7">
        <f>output_NHTS!I173</f>
        <v>0</v>
      </c>
      <c r="K70" s="20">
        <v>5</v>
      </c>
      <c r="L70" s="7">
        <f>output!B173</f>
        <v>0</v>
      </c>
      <c r="M70" s="7">
        <f>output!C173</f>
        <v>0</v>
      </c>
      <c r="N70" s="7">
        <f>output!D173</f>
        <v>0</v>
      </c>
      <c r="O70" s="7">
        <f>output!E173</f>
        <v>0</v>
      </c>
      <c r="P70" s="7">
        <f>output!F173</f>
        <v>0</v>
      </c>
      <c r="Q70" s="7">
        <f>output!G173</f>
        <v>0</v>
      </c>
      <c r="R70" s="7">
        <f>output!H173</f>
        <v>0</v>
      </c>
      <c r="S70" s="7">
        <f>output!I173</f>
        <v>0</v>
      </c>
      <c r="U70" s="20">
        <v>5</v>
      </c>
      <c r="V70" s="7">
        <f si="43" t="shared"/>
        <v>0</v>
      </c>
      <c r="W70" s="7">
        <f si="43" t="shared"/>
        <v>0</v>
      </c>
      <c r="X70" s="7">
        <f si="43" t="shared"/>
        <v>0</v>
      </c>
      <c r="Y70" s="7">
        <f si="43" t="shared"/>
        <v>0</v>
      </c>
      <c r="Z70" s="7">
        <f si="43" t="shared"/>
        <v>0</v>
      </c>
      <c r="AA70" s="7">
        <f si="43" t="shared"/>
        <v>0</v>
      </c>
      <c r="AB70" s="7">
        <f si="44" t="shared"/>
        <v>0</v>
      </c>
      <c r="AC70" s="7">
        <f si="45" t="shared"/>
        <v>0</v>
      </c>
    </row>
    <row r="71" spans="1:29" x14ac:dyDescent="0.35">
      <c r="A71" s="3" t="s">
        <v>210</v>
      </c>
      <c r="B71" s="9">
        <f>output_NHTS!B174</f>
        <v>2000</v>
      </c>
      <c r="C71" s="9">
        <f>output_NHTS!C174</f>
        <v>0</v>
      </c>
      <c r="D71" s="9">
        <f>output_NHTS!D174</f>
        <v>6000</v>
      </c>
      <c r="E71" s="9">
        <f>output_NHTS!E174</f>
        <v>1000</v>
      </c>
      <c r="F71" s="9">
        <f>output_NHTS!F174</f>
        <v>0</v>
      </c>
      <c r="G71" s="9">
        <f>output_NHTS!G174</f>
        <v>0</v>
      </c>
      <c r="H71" s="9">
        <f>output_NHTS!H174</f>
        <v>0</v>
      </c>
      <c r="I71" s="9">
        <f>output_NHTS!I174</f>
        <v>9000</v>
      </c>
      <c r="K71" s="3" t="s">
        <v>210</v>
      </c>
      <c r="L71" s="9">
        <f>output!B174</f>
        <v>2000</v>
      </c>
      <c r="M71" s="9">
        <f>output!C174</f>
        <v>0</v>
      </c>
      <c r="N71" s="9">
        <f>output!D174</f>
        <v>6000</v>
      </c>
      <c r="O71" s="9">
        <f>output!E174</f>
        <v>1000</v>
      </c>
      <c r="P71" s="9">
        <f>output!F174</f>
        <v>0</v>
      </c>
      <c r="Q71" s="9">
        <f>output!G174</f>
        <v>0</v>
      </c>
      <c r="R71" s="9">
        <f>output!H174</f>
        <v>0</v>
      </c>
      <c r="S71" s="9">
        <f>output!I174</f>
        <v>9000</v>
      </c>
      <c r="U71" s="3" t="s">
        <v>210</v>
      </c>
      <c r="V71" s="9">
        <f si="43" t="shared"/>
        <v>0</v>
      </c>
      <c r="W71" s="9">
        <f si="43" t="shared"/>
        <v>0</v>
      </c>
      <c r="X71" s="9">
        <f si="43" t="shared"/>
        <v>0</v>
      </c>
      <c r="Y71" s="9">
        <f si="43" t="shared"/>
        <v>0</v>
      </c>
      <c r="Z71" s="9">
        <f si="43" t="shared"/>
        <v>0</v>
      </c>
      <c r="AA71" s="9">
        <f si="43" t="shared"/>
        <v>0</v>
      </c>
      <c r="AB71" s="9">
        <f si="44" t="shared"/>
        <v>0</v>
      </c>
      <c r="AC71" s="9">
        <f si="45" t="shared"/>
        <v>0</v>
      </c>
    </row>
    <row ht="13.15" r="72" spans="1:29" thickBot="1" x14ac:dyDescent="0.4">
      <c r="A72" s="21" t="s">
        <v>223</v>
      </c>
      <c r="B72" s="22">
        <f ref="B72:I72" si="46" t="shared">SUM(B65:B71)</f>
        <v>1462000</v>
      </c>
      <c r="C72" s="22">
        <f si="46" t="shared"/>
        <v>781000</v>
      </c>
      <c r="D72" s="22">
        <f si="46" t="shared"/>
        <v>604000</v>
      </c>
      <c r="E72" s="22">
        <f si="46" t="shared"/>
        <v>469000</v>
      </c>
      <c r="F72" s="22">
        <f si="46" t="shared"/>
        <v>225000</v>
      </c>
      <c r="G72" s="22">
        <f si="46" t="shared"/>
        <v>401000</v>
      </c>
      <c r="H72" s="22">
        <f si="46" t="shared"/>
        <v>818000</v>
      </c>
      <c r="I72" s="22">
        <f si="46" t="shared"/>
        <v>4760000</v>
      </c>
      <c r="K72" s="21" t="s">
        <v>223</v>
      </c>
      <c r="L72" s="22">
        <f>SUM(L65:L71)</f>
        <v>1462000</v>
      </c>
      <c r="M72" s="22">
        <f ref="M72:S72" si="47" t="shared">SUM(M65:M71)</f>
        <v>781000</v>
      </c>
      <c r="N72" s="22">
        <f si="47" t="shared"/>
        <v>604000</v>
      </c>
      <c r="O72" s="22">
        <f si="47" t="shared"/>
        <v>469000</v>
      </c>
      <c r="P72" s="22">
        <f si="47" t="shared"/>
        <v>225000</v>
      </c>
      <c r="Q72" s="22">
        <f si="47" t="shared"/>
        <v>401000</v>
      </c>
      <c r="R72" s="22">
        <f si="47" t="shared"/>
        <v>818000</v>
      </c>
      <c r="S72" s="22">
        <f si="47" t="shared"/>
        <v>4760000</v>
      </c>
      <c r="U72" s="21" t="s">
        <v>223</v>
      </c>
      <c r="V72" s="22">
        <f si="43" t="shared"/>
        <v>0</v>
      </c>
      <c r="W72" s="22">
        <f si="43" t="shared"/>
        <v>0</v>
      </c>
      <c r="X72" s="22">
        <f si="43" t="shared"/>
        <v>0</v>
      </c>
      <c r="Y72" s="22">
        <f si="43" t="shared"/>
        <v>0</v>
      </c>
      <c r="Z72" s="22">
        <f si="43" t="shared"/>
        <v>0</v>
      </c>
      <c r="AA72" s="22">
        <f si="43" t="shared"/>
        <v>0</v>
      </c>
      <c r="AB72" s="22">
        <f si="44" t="shared"/>
        <v>0</v>
      </c>
      <c r="AC72" s="22">
        <f si="45" t="shared"/>
        <v>0</v>
      </c>
    </row>
    <row r="74" spans="1:29" x14ac:dyDescent="0.35">
      <c r="B74" s="7">
        <f>SUM(B66:B71)</f>
        <v>399000</v>
      </c>
      <c r="C74" s="7">
        <f ref="C74:H74" si="48" t="shared">SUM(C66:C71)</f>
        <v>220000</v>
      </c>
      <c r="D74" s="7">
        <f si="48" t="shared"/>
        <v>145000</v>
      </c>
      <c r="E74" s="7">
        <f si="48" t="shared"/>
        <v>76000</v>
      </c>
      <c r="F74" s="7">
        <f si="48" t="shared"/>
        <v>29000</v>
      </c>
      <c r="G74" s="7">
        <f si="48" t="shared"/>
        <v>30000</v>
      </c>
      <c r="H74" s="7">
        <f si="48" t="shared"/>
        <v>75000</v>
      </c>
    </row>
    <row ht="13.15" r="75" spans="1:29" x14ac:dyDescent="0.4">
      <c r="A75" s="2" t="s">
        <v>175</v>
      </c>
      <c r="K75" s="2" t="s">
        <v>175</v>
      </c>
      <c r="U75" s="2" t="s">
        <v>175</v>
      </c>
    </row>
    <row ht="13.15" r="76" spans="1:29" x14ac:dyDescent="0.4">
      <c r="A76" s="2" t="s">
        <v>216</v>
      </c>
      <c r="K76" s="2" t="s">
        <v>195</v>
      </c>
      <c r="U76" s="2" t="s">
        <v>265</v>
      </c>
    </row>
    <row ht="13.15" r="77" spans="1:29" thickBot="1" x14ac:dyDescent="0.4"/>
    <row ht="13.15" r="78" spans="1:29" x14ac:dyDescent="0.4">
      <c r="A78" s="5" t="s">
        <v>250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223</v>
      </c>
      <c r="K78" s="5" t="s">
        <v>250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223</v>
      </c>
      <c r="U78" s="5" t="s">
        <v>250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223</v>
      </c>
    </row>
    <row r="79" spans="1:29" x14ac:dyDescent="0.35">
      <c r="A79" s="18">
        <v>0</v>
      </c>
      <c r="B79" s="12">
        <f ref="B79:I79" si="49" t="shared">B65/B$12</f>
        <v>0.72708618331053354</v>
      </c>
      <c r="C79" s="12">
        <f si="49" t="shared"/>
        <v>0.71830985915492962</v>
      </c>
      <c r="D79" s="12">
        <f si="49" t="shared"/>
        <v>0.75993377483443714</v>
      </c>
      <c r="E79" s="12">
        <f si="49" t="shared"/>
        <v>0.83795309168443499</v>
      </c>
      <c r="F79" s="12">
        <f si="49" t="shared"/>
        <v>0.87111111111111106</v>
      </c>
      <c r="G79" s="12">
        <f si="49" t="shared"/>
        <v>0.92518703241895262</v>
      </c>
      <c r="H79" s="12">
        <f si="49" t="shared"/>
        <v>0.90831295843520787</v>
      </c>
      <c r="I79" s="12">
        <f si="49" t="shared"/>
        <v>0.79537815126050415</v>
      </c>
      <c r="K79" s="18">
        <v>0</v>
      </c>
      <c r="L79" s="12">
        <f ref="L79:S84" si="50" t="shared">L65/L$72</f>
        <v>0.72708618331053354</v>
      </c>
      <c r="M79" s="12">
        <f si="50" t="shared"/>
        <v>0.71830985915492962</v>
      </c>
      <c r="N79" s="12">
        <f si="50" t="shared"/>
        <v>0.75993377483443714</v>
      </c>
      <c r="O79" s="12">
        <f si="50" t="shared"/>
        <v>0.83795309168443499</v>
      </c>
      <c r="P79" s="12">
        <f si="50" t="shared"/>
        <v>0.87111111111111106</v>
      </c>
      <c r="Q79" s="12">
        <f si="50" t="shared"/>
        <v>0.92518703241895262</v>
      </c>
      <c r="R79" s="12">
        <f si="50" t="shared"/>
        <v>0.90831295843520787</v>
      </c>
      <c r="S79" s="12">
        <f si="50" t="shared"/>
        <v>0.79537815126050415</v>
      </c>
      <c r="U79" s="18">
        <v>0</v>
      </c>
      <c r="V79" s="12">
        <f ref="V79:AA86" si="51" t="shared">L79-B79</f>
        <v>0</v>
      </c>
      <c r="W79" s="12">
        <f si="51" t="shared"/>
        <v>0</v>
      </c>
      <c r="X79" s="12">
        <f si="51" t="shared"/>
        <v>0</v>
      </c>
      <c r="Y79" s="12">
        <f si="51" t="shared"/>
        <v>0</v>
      </c>
      <c r="Z79" s="12">
        <f si="51" t="shared"/>
        <v>0</v>
      </c>
      <c r="AA79" s="12">
        <f si="51" t="shared"/>
        <v>0</v>
      </c>
      <c r="AB79" s="12">
        <f ref="AB79:AB86" si="52" t="shared">R79-H79</f>
        <v>0</v>
      </c>
      <c r="AC79" s="12">
        <f ref="AC79:AC86" si="53" t="shared">S79-I79</f>
        <v>0</v>
      </c>
    </row>
    <row r="80" spans="1:29" x14ac:dyDescent="0.35">
      <c r="A80" s="18">
        <v>1</v>
      </c>
      <c r="B80" s="12">
        <f ref="B80:I80" si="54" t="shared">B66/B$12</f>
        <v>0.13474692202462379</v>
      </c>
      <c r="C80" s="12">
        <f si="54" t="shared"/>
        <v>0.12676056338028169</v>
      </c>
      <c r="D80" s="12">
        <f si="54" t="shared"/>
        <v>7.7814569536423836E-2</v>
      </c>
      <c r="E80" s="12">
        <f si="54" t="shared"/>
        <v>7.2494669509594878E-2</v>
      </c>
      <c r="F80" s="12">
        <f si="54" t="shared"/>
        <v>8.8888888888888892E-2</v>
      </c>
      <c r="G80" s="12">
        <f si="54" t="shared"/>
        <v>4.738154613466334E-2</v>
      </c>
      <c r="H80" s="12">
        <f si="54" t="shared"/>
        <v>6.3569682151589244E-2</v>
      </c>
      <c r="I80" s="12">
        <f si="54" t="shared"/>
        <v>9.8319327731092435E-2</v>
      </c>
      <c r="K80" s="18">
        <v>1</v>
      </c>
      <c r="L80" s="12">
        <f si="50" t="shared"/>
        <v>0.13474692202462379</v>
      </c>
      <c r="M80" s="12">
        <f si="50" t="shared"/>
        <v>0.12676056338028169</v>
      </c>
      <c r="N80" s="12">
        <f si="50" t="shared"/>
        <v>7.7814569536423836E-2</v>
      </c>
      <c r="O80" s="12">
        <f si="50" t="shared"/>
        <v>7.2494669509594878E-2</v>
      </c>
      <c r="P80" s="12">
        <f si="50" t="shared"/>
        <v>8.8888888888888892E-2</v>
      </c>
      <c r="Q80" s="12">
        <f si="50" t="shared"/>
        <v>4.738154613466334E-2</v>
      </c>
      <c r="R80" s="12">
        <f si="50" t="shared"/>
        <v>6.3569682151589244E-2</v>
      </c>
      <c r="S80" s="12">
        <f si="50" t="shared"/>
        <v>9.8319327731092435E-2</v>
      </c>
      <c r="U80" s="18">
        <v>1</v>
      </c>
      <c r="V80" s="12">
        <f si="51" t="shared"/>
        <v>0</v>
      </c>
      <c r="W80" s="12">
        <f si="51" t="shared"/>
        <v>0</v>
      </c>
      <c r="X80" s="12">
        <f si="51" t="shared"/>
        <v>0</v>
      </c>
      <c r="Y80" s="12">
        <f si="51" t="shared"/>
        <v>0</v>
      </c>
      <c r="Z80" s="12">
        <f si="51" t="shared"/>
        <v>0</v>
      </c>
      <c r="AA80" s="12">
        <f si="51" t="shared"/>
        <v>0</v>
      </c>
      <c r="AB80" s="12">
        <f si="52" t="shared"/>
        <v>0</v>
      </c>
      <c r="AC80" s="12">
        <f si="53" t="shared"/>
        <v>0</v>
      </c>
    </row>
    <row r="81" spans="1:29" x14ac:dyDescent="0.35">
      <c r="A81" s="19">
        <v>2</v>
      </c>
      <c r="B81" s="12">
        <f ref="B81:I81" si="55" t="shared">B67/B$12</f>
        <v>7.1135430916552667E-2</v>
      </c>
      <c r="C81" s="12">
        <f si="55" t="shared"/>
        <v>8.1946222791293211E-2</v>
      </c>
      <c r="D81" s="12">
        <f si="55" t="shared"/>
        <v>4.4701986754966887E-2</v>
      </c>
      <c r="E81" s="12">
        <f si="55" t="shared"/>
        <v>3.8379530916844352E-2</v>
      </c>
      <c r="F81" s="12">
        <f si="55" t="shared"/>
        <v>2.6666666666666668E-2</v>
      </c>
      <c r="G81" s="12">
        <f si="55" t="shared"/>
        <v>1.2468827930174564E-2</v>
      </c>
      <c r="H81" s="12">
        <f si="55" t="shared"/>
        <v>1.5892420537897311E-2</v>
      </c>
      <c r="I81" s="12">
        <f si="55" t="shared"/>
        <v>4.9789915966386551E-2</v>
      </c>
      <c r="K81" s="19">
        <v>2</v>
      </c>
      <c r="L81" s="12">
        <f si="50" t="shared"/>
        <v>7.1135430916552667E-2</v>
      </c>
      <c r="M81" s="12">
        <f si="50" t="shared"/>
        <v>8.1946222791293211E-2</v>
      </c>
      <c r="N81" s="12">
        <f si="50" t="shared"/>
        <v>4.4701986754966887E-2</v>
      </c>
      <c r="O81" s="12">
        <f si="50" t="shared"/>
        <v>3.8379530916844352E-2</v>
      </c>
      <c r="P81" s="12">
        <f si="50" t="shared"/>
        <v>2.6666666666666668E-2</v>
      </c>
      <c r="Q81" s="12">
        <f si="50" t="shared"/>
        <v>1.2468827930174564E-2</v>
      </c>
      <c r="R81" s="12">
        <f si="50" t="shared"/>
        <v>1.5892420537897311E-2</v>
      </c>
      <c r="S81" s="12">
        <f si="50" t="shared"/>
        <v>4.9789915966386551E-2</v>
      </c>
      <c r="U81" s="19">
        <v>2</v>
      </c>
      <c r="V81" s="12">
        <f si="51" t="shared"/>
        <v>0</v>
      </c>
      <c r="W81" s="12">
        <f si="51" t="shared"/>
        <v>0</v>
      </c>
      <c r="X81" s="12">
        <f si="51" t="shared"/>
        <v>0</v>
      </c>
      <c r="Y81" s="12">
        <f si="51" t="shared"/>
        <v>0</v>
      </c>
      <c r="Z81" s="12">
        <f si="51" t="shared"/>
        <v>0</v>
      </c>
      <c r="AA81" s="12">
        <f si="51" t="shared"/>
        <v>0</v>
      </c>
      <c r="AB81" s="12">
        <f si="52" t="shared"/>
        <v>0</v>
      </c>
      <c r="AC81" s="12">
        <f si="53" t="shared"/>
        <v>0</v>
      </c>
    </row>
    <row r="82" spans="1:29" x14ac:dyDescent="0.35">
      <c r="A82" s="20">
        <v>3</v>
      </c>
      <c r="B82" s="12">
        <f ref="B82:I82" si="56" t="shared">B68/B$12</f>
        <v>5.4035567715458276E-2</v>
      </c>
      <c r="C82" s="12">
        <f si="56" t="shared"/>
        <v>5.8898847631242E-2</v>
      </c>
      <c r="D82" s="12">
        <f si="56" t="shared"/>
        <v>6.7880794701986755E-2</v>
      </c>
      <c r="E82" s="12">
        <f si="56" t="shared"/>
        <v>4.4776119402985072E-2</v>
      </c>
      <c r="F82" s="12">
        <f si="56" t="shared"/>
        <v>8.8888888888888889E-3</v>
      </c>
      <c r="G82" s="12">
        <f si="56" t="shared"/>
        <v>1.2468827930174564E-2</v>
      </c>
      <c r="H82" s="12">
        <f si="56" t="shared"/>
        <v>1.2224938875305624E-2</v>
      </c>
      <c r="I82" s="12">
        <f si="56" t="shared"/>
        <v>4.2857142857142858E-2</v>
      </c>
      <c r="K82" s="20">
        <v>3</v>
      </c>
      <c r="L82" s="12">
        <f si="50" t="shared"/>
        <v>5.4035567715458276E-2</v>
      </c>
      <c r="M82" s="12">
        <f si="50" t="shared"/>
        <v>5.8898847631242E-2</v>
      </c>
      <c r="N82" s="12">
        <f si="50" t="shared"/>
        <v>6.7880794701986755E-2</v>
      </c>
      <c r="O82" s="12">
        <f si="50" t="shared"/>
        <v>4.4776119402985072E-2</v>
      </c>
      <c r="P82" s="12">
        <f si="50" t="shared"/>
        <v>8.8888888888888889E-3</v>
      </c>
      <c r="Q82" s="12">
        <f si="50" t="shared"/>
        <v>1.2468827930174564E-2</v>
      </c>
      <c r="R82" s="12">
        <f si="50" t="shared"/>
        <v>1.2224938875305624E-2</v>
      </c>
      <c r="S82" s="12">
        <f si="50" t="shared"/>
        <v>4.2857142857142858E-2</v>
      </c>
      <c r="U82" s="20">
        <v>3</v>
      </c>
      <c r="V82" s="12">
        <f si="51" t="shared"/>
        <v>0</v>
      </c>
      <c r="W82" s="12">
        <f si="51" t="shared"/>
        <v>0</v>
      </c>
      <c r="X82" s="12">
        <f si="51" t="shared"/>
        <v>0</v>
      </c>
      <c r="Y82" s="12">
        <f si="51" t="shared"/>
        <v>0</v>
      </c>
      <c r="Z82" s="12">
        <f si="51" t="shared"/>
        <v>0</v>
      </c>
      <c r="AA82" s="12">
        <f si="51" t="shared"/>
        <v>0</v>
      </c>
      <c r="AB82" s="12">
        <f si="52" t="shared"/>
        <v>0</v>
      </c>
      <c r="AC82" s="12">
        <f si="53" t="shared"/>
        <v>0</v>
      </c>
    </row>
    <row r="83" spans="1:29" x14ac:dyDescent="0.35">
      <c r="A83" s="20">
        <v>4</v>
      </c>
      <c r="B83" s="12">
        <f ref="B83:I83" si="57" t="shared">B69/B$12</f>
        <v>1.1627906976744186E-2</v>
      </c>
      <c r="C83" s="12">
        <f si="57" t="shared"/>
        <v>1.4084507042253521E-2</v>
      </c>
      <c r="D83" s="12">
        <f si="57" t="shared"/>
        <v>3.9735099337748346E-2</v>
      </c>
      <c r="E83" s="12">
        <f si="57" t="shared"/>
        <v>4.2643923240938165E-3</v>
      </c>
      <c r="F83" s="12">
        <f si="57" t="shared"/>
        <v>4.4444444444444444E-3</v>
      </c>
      <c r="G83" s="12">
        <f si="57" t="shared"/>
        <v>2.4937655860349127E-3</v>
      </c>
      <c r="H83" s="12">
        <f si="57" t="shared"/>
        <v>0</v>
      </c>
      <c r="I83" s="12">
        <f si="57" t="shared"/>
        <v>1.1764705882352941E-2</v>
      </c>
      <c r="K83" s="20">
        <v>4</v>
      </c>
      <c r="L83" s="12">
        <f si="50" t="shared"/>
        <v>1.1627906976744186E-2</v>
      </c>
      <c r="M83" s="12">
        <f si="50" t="shared"/>
        <v>1.4084507042253521E-2</v>
      </c>
      <c r="N83" s="12">
        <f si="50" t="shared"/>
        <v>3.9735099337748346E-2</v>
      </c>
      <c r="O83" s="12">
        <f si="50" t="shared"/>
        <v>4.2643923240938165E-3</v>
      </c>
      <c r="P83" s="12">
        <f si="50" t="shared"/>
        <v>4.4444444444444444E-3</v>
      </c>
      <c r="Q83" s="12">
        <f si="50" t="shared"/>
        <v>2.4937655860349127E-3</v>
      </c>
      <c r="R83" s="12">
        <f si="50" t="shared"/>
        <v>0</v>
      </c>
      <c r="S83" s="12">
        <f si="50" t="shared"/>
        <v>1.1764705882352941E-2</v>
      </c>
      <c r="U83" s="20">
        <v>4</v>
      </c>
      <c r="V83" s="12">
        <f si="51" t="shared"/>
        <v>0</v>
      </c>
      <c r="W83" s="12">
        <f si="51" t="shared"/>
        <v>0</v>
      </c>
      <c r="X83" s="12">
        <f si="51" t="shared"/>
        <v>0</v>
      </c>
      <c r="Y83" s="12">
        <f si="51" t="shared"/>
        <v>0</v>
      </c>
      <c r="Z83" s="12">
        <f si="51" t="shared"/>
        <v>0</v>
      </c>
      <c r="AA83" s="12">
        <f si="51" t="shared"/>
        <v>0</v>
      </c>
      <c r="AB83" s="12">
        <f si="52" t="shared"/>
        <v>0</v>
      </c>
      <c r="AC83" s="12">
        <f si="53" t="shared"/>
        <v>0</v>
      </c>
    </row>
    <row r="84" spans="1:29" x14ac:dyDescent="0.35">
      <c r="A84" s="20">
        <v>5</v>
      </c>
      <c r="B84" s="12">
        <f ref="B84:I84" si="58" t="shared">B70/B$12</f>
        <v>0</v>
      </c>
      <c r="C84" s="12">
        <f si="58" t="shared"/>
        <v>0</v>
      </c>
      <c r="D84" s="12">
        <f si="58" t="shared"/>
        <v>0</v>
      </c>
      <c r="E84" s="12">
        <f si="58" t="shared"/>
        <v>0</v>
      </c>
      <c r="F84" s="12">
        <f si="58" t="shared"/>
        <v>0</v>
      </c>
      <c r="G84" s="12">
        <f si="58" t="shared"/>
        <v>0</v>
      </c>
      <c r="H84" s="12">
        <f si="58" t="shared"/>
        <v>0</v>
      </c>
      <c r="I84" s="12">
        <f si="58" t="shared"/>
        <v>0</v>
      </c>
      <c r="K84" s="20">
        <v>5</v>
      </c>
      <c r="L84" s="12">
        <f si="50" t="shared"/>
        <v>0</v>
      </c>
      <c r="M84" s="12">
        <f si="50" t="shared"/>
        <v>0</v>
      </c>
      <c r="N84" s="12">
        <f si="50" t="shared"/>
        <v>0</v>
      </c>
      <c r="O84" s="12">
        <f si="50" t="shared"/>
        <v>0</v>
      </c>
      <c r="P84" s="12">
        <f si="50" t="shared"/>
        <v>0</v>
      </c>
      <c r="Q84" s="12">
        <f si="50" t="shared"/>
        <v>0</v>
      </c>
      <c r="R84" s="12">
        <f si="50" t="shared"/>
        <v>0</v>
      </c>
      <c r="S84" s="12">
        <f si="50" t="shared"/>
        <v>0</v>
      </c>
      <c r="U84" s="20">
        <v>5</v>
      </c>
      <c r="V84" s="12">
        <f si="51" t="shared"/>
        <v>0</v>
      </c>
      <c r="W84" s="12">
        <f si="51" t="shared"/>
        <v>0</v>
      </c>
      <c r="X84" s="12">
        <f si="51" t="shared"/>
        <v>0</v>
      </c>
      <c r="Y84" s="12">
        <f si="51" t="shared"/>
        <v>0</v>
      </c>
      <c r="Z84" s="12">
        <f si="51" t="shared"/>
        <v>0</v>
      </c>
      <c r="AA84" s="12">
        <f si="51" t="shared"/>
        <v>0</v>
      </c>
      <c r="AB84" s="12">
        <f si="52" t="shared"/>
        <v>0</v>
      </c>
      <c r="AC84" s="12">
        <f si="53" t="shared"/>
        <v>0</v>
      </c>
    </row>
    <row r="85" spans="1:29" x14ac:dyDescent="0.35">
      <c r="A85" s="3" t="s">
        <v>210</v>
      </c>
      <c r="B85" s="13">
        <f ref="B85:I85" si="59" t="shared">B71/B$12</f>
        <v>1.3679890560875513E-3</v>
      </c>
      <c r="C85" s="13">
        <f si="59" t="shared"/>
        <v>0</v>
      </c>
      <c r="D85" s="13">
        <f si="59" t="shared"/>
        <v>9.9337748344370865E-3</v>
      </c>
      <c r="E85" s="13">
        <f si="59" t="shared"/>
        <v>2.1321961620469083E-3</v>
      </c>
      <c r="F85" s="13">
        <f si="59" t="shared"/>
        <v>0</v>
      </c>
      <c r="G85" s="13">
        <f si="59" t="shared"/>
        <v>0</v>
      </c>
      <c r="H85" s="13">
        <f si="59" t="shared"/>
        <v>0</v>
      </c>
      <c r="I85" s="13">
        <f si="59" t="shared"/>
        <v>1.8907563025210084E-3</v>
      </c>
      <c r="K85" s="3" t="s">
        <v>210</v>
      </c>
      <c r="L85" s="13">
        <f ref="L85:S85" si="60" t="shared">L71/L$72</f>
        <v>1.3679890560875513E-3</v>
      </c>
      <c r="M85" s="13">
        <f si="60" t="shared"/>
        <v>0</v>
      </c>
      <c r="N85" s="13">
        <f si="60" t="shared"/>
        <v>9.9337748344370865E-3</v>
      </c>
      <c r="O85" s="13">
        <f si="60" t="shared"/>
        <v>2.1321961620469083E-3</v>
      </c>
      <c r="P85" s="13">
        <f si="60" t="shared"/>
        <v>0</v>
      </c>
      <c r="Q85" s="13">
        <f si="60" t="shared"/>
        <v>0</v>
      </c>
      <c r="R85" s="13">
        <f si="60" t="shared"/>
        <v>0</v>
      </c>
      <c r="S85" s="13">
        <f si="60" t="shared"/>
        <v>1.8907563025210084E-3</v>
      </c>
      <c r="U85" s="3" t="s">
        <v>210</v>
      </c>
      <c r="V85" s="12">
        <f si="51" t="shared"/>
        <v>0</v>
      </c>
      <c r="W85" s="12">
        <f si="51" t="shared"/>
        <v>0</v>
      </c>
      <c r="X85" s="12">
        <f si="51" t="shared"/>
        <v>0</v>
      </c>
      <c r="Y85" s="12">
        <f si="51" t="shared"/>
        <v>0</v>
      </c>
      <c r="Z85" s="12">
        <f si="51" t="shared"/>
        <v>0</v>
      </c>
      <c r="AA85" s="12">
        <f si="51" t="shared"/>
        <v>0</v>
      </c>
      <c r="AB85" s="12">
        <f si="52" t="shared"/>
        <v>0</v>
      </c>
      <c r="AC85" s="12">
        <f si="53" t="shared"/>
        <v>0</v>
      </c>
    </row>
    <row ht="13.15" r="86" spans="1:29" thickBot="1" x14ac:dyDescent="0.4">
      <c r="A86" s="21" t="s">
        <v>223</v>
      </c>
      <c r="B86" s="17">
        <f ref="B86:I86" si="61" t="shared">B72/B$12</f>
        <v>1</v>
      </c>
      <c r="C86" s="17">
        <f si="61" t="shared"/>
        <v>1</v>
      </c>
      <c r="D86" s="17">
        <f si="61" t="shared"/>
        <v>1</v>
      </c>
      <c r="E86" s="17">
        <f si="61" t="shared"/>
        <v>1</v>
      </c>
      <c r="F86" s="17">
        <f si="61" t="shared"/>
        <v>1</v>
      </c>
      <c r="G86" s="17">
        <f si="61" t="shared"/>
        <v>1</v>
      </c>
      <c r="H86" s="17">
        <f si="61" t="shared"/>
        <v>1</v>
      </c>
      <c r="I86" s="17">
        <f si="61" t="shared"/>
        <v>1</v>
      </c>
      <c r="K86" s="21" t="s">
        <v>223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223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4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O138"/>
  <sheetViews>
    <sheetView workbookViewId="0">
      <selection activeCell="B13" sqref="B13:J13"/>
    </sheetView>
  </sheetViews>
  <sheetFormatPr defaultColWidth="10.76171875" defaultRowHeight="12.75" x14ac:dyDescent="0.35"/>
  <cols>
    <col min="1" max="13" style="3" width="10.76171875" collapsed="true"/>
    <col min="14" max="23" style="39" width="10.76171875" collapsed="true"/>
    <col min="24" max="35" style="3" width="10.76171875" collapsed="true"/>
    <col min="36" max="36" customWidth="true" style="3" width="2.1171875" collapsed="true"/>
    <col min="37" max="37" style="3" width="10.76171875" collapsed="true"/>
    <col min="38" max="38" customWidth="true" style="3" width="2.234375" collapsed="true"/>
    <col min="39" max="16384" style="3" width="10.76171875" collapsed="true"/>
  </cols>
  <sheetData>
    <row ht="13.15" r="1" spans="1:39" x14ac:dyDescent="0.4">
      <c r="A1" s="2" t="s">
        <v>175</v>
      </c>
      <c r="L1"/>
      <c r="M1" s="2" t="s">
        <v>175</v>
      </c>
      <c r="Y1" s="2" t="s">
        <v>175</v>
      </c>
    </row>
    <row ht="13.15" r="2" spans="1:39" x14ac:dyDescent="0.4">
      <c r="A2" s="2" t="s">
        <v>158</v>
      </c>
      <c r="L2"/>
      <c r="M2" s="2" t="s">
        <v>259</v>
      </c>
      <c r="Y2" s="2" t="s">
        <v>84</v>
      </c>
    </row>
    <row ht="13.5" r="3" spans="1:39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ht="13.15" r="4" spans="1:39" x14ac:dyDescent="0.4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245</v>
      </c>
      <c r="R4" s="41" t="s">
        <v>246</v>
      </c>
      <c r="S4" s="41" t="s">
        <v>247</v>
      </c>
      <c r="T4" s="41"/>
      <c r="U4" s="41" t="s">
        <v>248</v>
      </c>
      <c r="V4" s="41" t="s">
        <v>170</v>
      </c>
      <c r="W4" s="41" t="s">
        <v>223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  <c r="AM4" s="3" t="s">
        <v>81</v>
      </c>
    </row>
    <row r="5" spans="1:39" x14ac:dyDescent="0.35">
      <c r="A5" s="3" t="s">
        <v>211</v>
      </c>
      <c r="B5" s="7">
        <f>output_NHTS!B178</f>
        <v>1062000</v>
      </c>
      <c r="C5" s="7">
        <f>output_NHTS!C178</f>
        <v>259000</v>
      </c>
      <c r="D5" s="7">
        <f>output_NHTS!D178</f>
        <v>0</v>
      </c>
      <c r="E5" s="7">
        <f>output_NHTS!E178</f>
        <v>0</v>
      </c>
      <c r="F5" s="7">
        <f>output_NHTS!F178</f>
        <v>27000</v>
      </c>
      <c r="G5" s="7">
        <f>output_NHTS!G178</f>
        <v>14000</v>
      </c>
      <c r="H5" s="7"/>
      <c r="I5" s="7">
        <f>output_NHTS!H178</f>
        <v>0</v>
      </c>
      <c r="J5" s="7">
        <f>output_NHTS!I178</f>
        <v>0</v>
      </c>
      <c r="K5" s="7">
        <f>output_NHTS!J178</f>
        <v>1362000</v>
      </c>
      <c r="L5"/>
      <c r="M5" s="3" t="s">
        <v>211</v>
      </c>
      <c r="N5" s="53">
        <f>output!B178</f>
        <v>1062000</v>
      </c>
      <c r="O5" s="53">
        <f>output!C178</f>
        <v>259000</v>
      </c>
      <c r="P5" s="53">
        <f>output!D178</f>
        <v>0</v>
      </c>
      <c r="Q5" s="53">
        <f>output!E178</f>
        <v>0</v>
      </c>
      <c r="R5" s="53">
        <f>output!F178</f>
        <v>27000</v>
      </c>
      <c r="S5" s="53">
        <f>output!G178</f>
        <v>14000</v>
      </c>
      <c r="T5" s="53"/>
      <c r="U5" s="53">
        <f>output!H178</f>
        <v>0</v>
      </c>
      <c r="V5" s="53">
        <f>output!I178</f>
        <v>0</v>
      </c>
      <c r="W5" s="53">
        <f>output!J178</f>
        <v>1362000</v>
      </c>
      <c r="Y5" s="3" t="s">
        <v>211</v>
      </c>
      <c r="Z5" s="7">
        <f ref="Z5:Z13" si="0" t="shared">N5-B5</f>
        <v>0</v>
      </c>
      <c r="AA5" s="7">
        <f ref="AA5:AA13" si="1" t="shared">O5-C5</f>
        <v>0</v>
      </c>
      <c r="AB5" s="7">
        <f ref="AB5:AB13" si="2" t="shared">P5-D5</f>
        <v>0</v>
      </c>
      <c r="AC5" s="7">
        <f ref="AC5:AC13" si="3" t="shared">Q5-E5</f>
        <v>0</v>
      </c>
      <c r="AD5" s="7">
        <f ref="AD5:AD13" si="4" t="shared">R5-F5</f>
        <v>0</v>
      </c>
      <c r="AE5" s="7">
        <f ref="AE5:AE13" si="5" t="shared">S5-G5</f>
        <v>0</v>
      </c>
      <c r="AF5" s="7"/>
      <c r="AG5" s="7">
        <f ref="AG5:AG13" si="6" t="shared">U5-I5</f>
        <v>0</v>
      </c>
      <c r="AH5" s="7">
        <f ref="AH5:AH13" si="7" t="shared">V5-J5</f>
        <v>0</v>
      </c>
      <c r="AI5" s="7">
        <f ref="AI5:AI13" si="8" t="shared">W5-K5</f>
        <v>0</v>
      </c>
      <c r="AK5" s="3">
        <v>1424330</v>
      </c>
      <c r="AM5" s="7">
        <f>W5-AK5</f>
        <v>-62330</v>
      </c>
    </row>
    <row r="6" spans="1:39" x14ac:dyDescent="0.35">
      <c r="A6" s="3" t="s">
        <v>212</v>
      </c>
      <c r="B6" s="7">
        <f>output_NHTS!B179</f>
        <v>0</v>
      </c>
      <c r="C6" s="7">
        <f>output_NHTS!C179</f>
        <v>0</v>
      </c>
      <c r="D6" s="7">
        <f>output_NHTS!D179</f>
        <v>0</v>
      </c>
      <c r="E6" s="7">
        <f>output_NHTS!E179</f>
        <v>0</v>
      </c>
      <c r="F6" s="7">
        <f>output_NHTS!F179</f>
        <v>97000</v>
      </c>
      <c r="G6" s="7">
        <f>output_NHTS!G179</f>
        <v>173000</v>
      </c>
      <c r="H6" s="7"/>
      <c r="I6" s="7">
        <f>output_NHTS!H179</f>
        <v>508000</v>
      </c>
      <c r="J6" s="7">
        <f>output_NHTS!I179</f>
        <v>0</v>
      </c>
      <c r="K6" s="7">
        <f>output_NHTS!J179</f>
        <v>778000</v>
      </c>
      <c r="L6"/>
      <c r="M6" s="3" t="s">
        <v>212</v>
      </c>
      <c r="N6" s="53">
        <f>output!B179</f>
        <v>0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97000</v>
      </c>
      <c r="S6" s="53">
        <f>output!G179</f>
        <v>173000</v>
      </c>
      <c r="T6" s="53"/>
      <c r="U6" s="53">
        <f>output!H179</f>
        <v>508000</v>
      </c>
      <c r="V6" s="53">
        <f>output!I179</f>
        <v>0</v>
      </c>
      <c r="W6" s="53">
        <f>output!J179</f>
        <v>778000</v>
      </c>
      <c r="Y6" s="3" t="s">
        <v>212</v>
      </c>
      <c r="Z6" s="7">
        <f si="0" t="shared"/>
        <v>0</v>
      </c>
      <c r="AA6" s="7">
        <f si="1" t="shared"/>
        <v>0</v>
      </c>
      <c r="AB6" s="7">
        <f si="2" t="shared"/>
        <v>0</v>
      </c>
      <c r="AC6" s="7">
        <f si="3" t="shared"/>
        <v>0</v>
      </c>
      <c r="AD6" s="7">
        <f si="4" t="shared"/>
        <v>0</v>
      </c>
      <c r="AE6" s="7">
        <f si="5" t="shared"/>
        <v>0</v>
      </c>
      <c r="AF6" s="7"/>
      <c r="AG6" s="7">
        <f si="6" t="shared"/>
        <v>0</v>
      </c>
      <c r="AH6" s="7">
        <f si="7" t="shared"/>
        <v>0</v>
      </c>
      <c r="AI6" s="7">
        <f si="8" t="shared"/>
        <v>0</v>
      </c>
      <c r="AK6" s="3">
        <v>741310</v>
      </c>
      <c r="AM6" s="7">
        <f ref="AM6:AM13" si="9" t="shared">W6-AK6</f>
        <v>36690</v>
      </c>
    </row>
    <row r="7" spans="1:39" x14ac:dyDescent="0.35">
      <c r="A7" s="3" t="s">
        <v>213</v>
      </c>
      <c r="B7" s="7">
        <f>output_NHTS!B180</f>
        <v>129000</v>
      </c>
      <c r="C7" s="7">
        <f>output_NHTS!C180</f>
        <v>70000</v>
      </c>
      <c r="D7" s="7">
        <f>output_NHTS!D180</f>
        <v>50000</v>
      </c>
      <c r="E7" s="7">
        <f>output_NHTS!E180</f>
        <v>247000</v>
      </c>
      <c r="F7" s="7">
        <f>output_NHTS!F180</f>
        <v>18000</v>
      </c>
      <c r="G7" s="7">
        <f>output_NHTS!G180</f>
        <v>13000</v>
      </c>
      <c r="H7" s="7"/>
      <c r="I7" s="7">
        <f>output_NHTS!H180</f>
        <v>50000</v>
      </c>
      <c r="J7" s="7">
        <f>output_NHTS!I180</f>
        <v>0</v>
      </c>
      <c r="K7" s="7">
        <f>output_NHTS!J180</f>
        <v>692400</v>
      </c>
      <c r="L7"/>
      <c r="M7" s="3" t="s">
        <v>213</v>
      </c>
      <c r="N7" s="53">
        <f>output!B180</f>
        <v>129000</v>
      </c>
      <c r="O7" s="53">
        <f>output!C180</f>
        <v>70000</v>
      </c>
      <c r="P7" s="53">
        <f>output!D180</f>
        <v>50000</v>
      </c>
      <c r="Q7" s="53">
        <f>output!E180</f>
        <v>247000</v>
      </c>
      <c r="R7" s="53">
        <f>output!F180</f>
        <v>18000</v>
      </c>
      <c r="S7" s="53">
        <f>output!G180</f>
        <v>13000</v>
      </c>
      <c r="T7" s="53"/>
      <c r="U7" s="53">
        <f>output!H180</f>
        <v>50000</v>
      </c>
      <c r="V7" s="53">
        <f>output!I180</f>
        <v>0</v>
      </c>
      <c r="W7" s="53">
        <f>output!J180</f>
        <v>577000</v>
      </c>
      <c r="Y7" s="3" t="s">
        <v>213</v>
      </c>
      <c r="Z7" s="7">
        <f si="0" t="shared"/>
        <v>0</v>
      </c>
      <c r="AA7" s="7">
        <f si="1" t="shared"/>
        <v>0</v>
      </c>
      <c r="AB7" s="7">
        <f si="2" t="shared"/>
        <v>0</v>
      </c>
      <c r="AC7" s="7">
        <f si="3" t="shared"/>
        <v>0</v>
      </c>
      <c r="AD7" s="7">
        <f si="4" t="shared"/>
        <v>0</v>
      </c>
      <c r="AE7" s="7">
        <f si="5" t="shared"/>
        <v>0</v>
      </c>
      <c r="AF7" s="7"/>
      <c r="AG7" s="7">
        <f si="6" t="shared"/>
        <v>0</v>
      </c>
      <c r="AH7" s="7">
        <f si="7" t="shared"/>
        <v>0</v>
      </c>
      <c r="AI7" s="7">
        <f si="8" t="shared"/>
        <v>-115400</v>
      </c>
      <c r="AK7" s="3">
        <v>924620</v>
      </c>
      <c r="AM7" s="7">
        <f si="9" t="shared"/>
        <v>-347620</v>
      </c>
    </row>
    <row r="8" spans="1:39" x14ac:dyDescent="0.35">
      <c r="A8" s="3" t="s">
        <v>214</v>
      </c>
      <c r="B8" s="7">
        <f>output_NHTS!B181</f>
        <v>152000</v>
      </c>
      <c r="C8" s="7">
        <f>output_NHTS!C181</f>
        <v>56000</v>
      </c>
      <c r="D8" s="7">
        <f>output_NHTS!D181</f>
        <v>49000</v>
      </c>
      <c r="E8" s="7">
        <f>output_NHTS!E181</f>
        <v>74000</v>
      </c>
      <c r="F8" s="7">
        <f>output_NHTS!F181</f>
        <v>19000</v>
      </c>
      <c r="G8" s="7">
        <f>output_NHTS!G181</f>
        <v>30000</v>
      </c>
      <c r="H8" s="7"/>
      <c r="I8" s="7">
        <f>output_NHTS!H181</f>
        <v>39000</v>
      </c>
      <c r="J8" s="7">
        <f>output_NHTS!I181</f>
        <v>0</v>
      </c>
      <c r="K8" s="7">
        <f>output_NHTS!J181</f>
        <v>502800</v>
      </c>
      <c r="L8"/>
      <c r="M8" s="3" t="s">
        <v>214</v>
      </c>
      <c r="N8" s="53">
        <f>output!B181</f>
        <v>152000</v>
      </c>
      <c r="O8" s="53">
        <f>output!C181</f>
        <v>56000</v>
      </c>
      <c r="P8" s="53">
        <f>output!D181</f>
        <v>49000</v>
      </c>
      <c r="Q8" s="53">
        <f>output!E181</f>
        <v>74000</v>
      </c>
      <c r="R8" s="53">
        <f>output!F181</f>
        <v>19000</v>
      </c>
      <c r="S8" s="53">
        <f>output!G181</f>
        <v>30000</v>
      </c>
      <c r="T8" s="53"/>
      <c r="U8" s="53">
        <f>output!H181</f>
        <v>39000</v>
      </c>
      <c r="V8" s="53">
        <f>output!I181</f>
        <v>0</v>
      </c>
      <c r="W8" s="53">
        <f>output!J181</f>
        <v>419000</v>
      </c>
      <c r="Y8" s="3" t="s">
        <v>214</v>
      </c>
      <c r="Z8" s="7">
        <f si="0" t="shared"/>
        <v>0</v>
      </c>
      <c r="AA8" s="7">
        <f si="1" t="shared"/>
        <v>0</v>
      </c>
      <c r="AB8" s="7">
        <f si="2" t="shared"/>
        <v>0</v>
      </c>
      <c r="AC8" s="7">
        <f si="3" t="shared"/>
        <v>0</v>
      </c>
      <c r="AD8" s="7">
        <f si="4" t="shared"/>
        <v>0</v>
      </c>
      <c r="AE8" s="7">
        <f si="5" t="shared"/>
        <v>0</v>
      </c>
      <c r="AF8" s="7"/>
      <c r="AG8" s="7">
        <f si="6" t="shared"/>
        <v>0</v>
      </c>
      <c r="AH8" s="7">
        <f si="7" t="shared"/>
        <v>0</v>
      </c>
      <c r="AI8" s="7">
        <f si="8" t="shared"/>
        <v>-83800</v>
      </c>
      <c r="AK8" s="3">
        <v>541880</v>
      </c>
      <c r="AM8" s="7">
        <f si="9" t="shared"/>
        <v>-122880</v>
      </c>
    </row>
    <row r="9" spans="1:39" x14ac:dyDescent="0.35">
      <c r="A9" s="3" t="s">
        <v>215</v>
      </c>
      <c r="B9" s="7">
        <f>output_NHTS!B182</f>
        <v>34000</v>
      </c>
      <c r="C9" s="7">
        <f>output_NHTS!C182</f>
        <v>13000</v>
      </c>
      <c r="D9" s="7">
        <f>output_NHTS!D182</f>
        <v>31000</v>
      </c>
      <c r="E9" s="7">
        <f>output_NHTS!E182</f>
        <v>47000</v>
      </c>
      <c r="F9" s="7">
        <f>output_NHTS!F182</f>
        <v>3000</v>
      </c>
      <c r="G9" s="7">
        <f>output_NHTS!G182</f>
        <v>3000</v>
      </c>
      <c r="H9" s="7"/>
      <c r="I9" s="7">
        <f>output_NHTS!H182</f>
        <v>6000</v>
      </c>
      <c r="J9" s="7">
        <f>output_NHTS!I182</f>
        <v>0</v>
      </c>
      <c r="K9" s="7">
        <f>output_NHTS!J182</f>
        <v>164400</v>
      </c>
      <c r="L9"/>
      <c r="M9" s="3" t="s">
        <v>215</v>
      </c>
      <c r="N9" s="53">
        <f>output!B182</f>
        <v>34000</v>
      </c>
      <c r="O9" s="53">
        <f>output!C182</f>
        <v>13000</v>
      </c>
      <c r="P9" s="53">
        <f>output!D182</f>
        <v>31000</v>
      </c>
      <c r="Q9" s="53">
        <f>output!E182</f>
        <v>47000</v>
      </c>
      <c r="R9" s="53">
        <f>output!F182</f>
        <v>3000</v>
      </c>
      <c r="S9" s="53">
        <f>output!G182</f>
        <v>3000</v>
      </c>
      <c r="T9" s="53"/>
      <c r="U9" s="53">
        <f>output!H182</f>
        <v>6000</v>
      </c>
      <c r="V9" s="53">
        <f>output!I182</f>
        <v>0</v>
      </c>
      <c r="W9" s="53">
        <f>output!J182</f>
        <v>137000</v>
      </c>
      <c r="Y9" s="3" t="s">
        <v>215</v>
      </c>
      <c r="Z9" s="7">
        <f si="0" t="shared"/>
        <v>0</v>
      </c>
      <c r="AA9" s="7">
        <f si="1" t="shared"/>
        <v>0</v>
      </c>
      <c r="AB9" s="7">
        <f si="2" t="shared"/>
        <v>0</v>
      </c>
      <c r="AC9" s="7">
        <f si="3" t="shared"/>
        <v>0</v>
      </c>
      <c r="AD9" s="7">
        <f si="4" t="shared"/>
        <v>0</v>
      </c>
      <c r="AE9" s="7">
        <f si="5" t="shared"/>
        <v>0</v>
      </c>
      <c r="AF9" s="7"/>
      <c r="AG9" s="7">
        <f si="6" t="shared"/>
        <v>0</v>
      </c>
      <c r="AH9" s="7">
        <f si="7" t="shared"/>
        <v>0</v>
      </c>
      <c r="AI9" s="7">
        <f si="8" t="shared"/>
        <v>-27400</v>
      </c>
      <c r="AK9" s="3">
        <v>394190</v>
      </c>
      <c r="AM9" s="7">
        <f si="9" t="shared"/>
        <v>-257190</v>
      </c>
    </row>
    <row r="10" spans="1:39" x14ac:dyDescent="0.35">
      <c r="A10" s="3" t="s">
        <v>129</v>
      </c>
      <c r="B10" s="7">
        <f>output_NHTS!B183</f>
        <v>109000</v>
      </c>
      <c r="C10" s="7">
        <f>output_NHTS!C183</f>
        <v>31000</v>
      </c>
      <c r="D10" s="7">
        <f>output_NHTS!D183</f>
        <v>43000</v>
      </c>
      <c r="E10" s="7">
        <f>output_NHTS!E183</f>
        <v>61000</v>
      </c>
      <c r="F10" s="7">
        <f>output_NHTS!F183</f>
        <v>9000</v>
      </c>
      <c r="G10" s="7">
        <f>output_NHTS!G183</f>
        <v>17000</v>
      </c>
      <c r="H10" s="7"/>
      <c r="I10" s="7">
        <f>output_NHTS!H183</f>
        <v>20000</v>
      </c>
      <c r="J10" s="7">
        <f>output_NHTS!I183</f>
        <v>0</v>
      </c>
      <c r="K10" s="7">
        <f>output_NHTS!J183</f>
        <v>348000</v>
      </c>
      <c r="L10"/>
      <c r="M10" s="3" t="s">
        <v>129</v>
      </c>
      <c r="N10" s="53">
        <f>output!B183</f>
        <v>109000</v>
      </c>
      <c r="O10" s="53">
        <f>output!C183</f>
        <v>31000</v>
      </c>
      <c r="P10" s="53">
        <f>output!D183</f>
        <v>43000</v>
      </c>
      <c r="Q10" s="53">
        <f>output!E183</f>
        <v>61000</v>
      </c>
      <c r="R10" s="53">
        <f>output!F183</f>
        <v>9000</v>
      </c>
      <c r="S10" s="53">
        <f>output!G183</f>
        <v>17000</v>
      </c>
      <c r="T10" s="53"/>
      <c r="U10" s="53">
        <f>output!H183</f>
        <v>20000</v>
      </c>
      <c r="V10" s="53">
        <f>output!I183</f>
        <v>0</v>
      </c>
      <c r="W10" s="53">
        <f>output!J183</f>
        <v>290000</v>
      </c>
      <c r="Y10" s="3" t="s">
        <v>129</v>
      </c>
      <c r="Z10" s="7">
        <f si="0" t="shared"/>
        <v>0</v>
      </c>
      <c r="AA10" s="7">
        <f si="1" t="shared"/>
        <v>0</v>
      </c>
      <c r="AB10" s="7">
        <f si="2" t="shared"/>
        <v>0</v>
      </c>
      <c r="AC10" s="7">
        <f si="3" t="shared"/>
        <v>0</v>
      </c>
      <c r="AD10" s="7">
        <f si="4" t="shared"/>
        <v>0</v>
      </c>
      <c r="AE10" s="7">
        <f si="5" t="shared"/>
        <v>0</v>
      </c>
      <c r="AF10" s="7"/>
      <c r="AG10" s="7">
        <f si="6" t="shared"/>
        <v>0</v>
      </c>
      <c r="AH10" s="7">
        <f si="7" t="shared"/>
        <v>0</v>
      </c>
      <c r="AI10" s="7">
        <f si="8" t="shared"/>
        <v>-58000</v>
      </c>
      <c r="AK10" s="3">
        <v>166390</v>
      </c>
      <c r="AM10" s="7">
        <f si="9" t="shared"/>
        <v>123610</v>
      </c>
    </row>
    <row r="11" spans="1:39" x14ac:dyDescent="0.35">
      <c r="A11" s="25" t="s">
        <v>130</v>
      </c>
      <c r="B11" s="7">
        <f>output_NHTS!B184</f>
        <v>281000</v>
      </c>
      <c r="C11" s="7">
        <f>output_NHTS!C184</f>
        <v>90000</v>
      </c>
      <c r="D11" s="7">
        <f>output_NHTS!D184</f>
        <v>98000</v>
      </c>
      <c r="E11" s="7">
        <f>output_NHTS!E184</f>
        <v>145000</v>
      </c>
      <c r="F11" s="7">
        <f>output_NHTS!F184</f>
        <v>37000</v>
      </c>
      <c r="G11" s="7">
        <f>output_NHTS!G184</f>
        <v>40000</v>
      </c>
      <c r="H11" s="7"/>
      <c r="I11" s="7">
        <f>output_NHTS!H184</f>
        <v>112000</v>
      </c>
      <c r="J11" s="7">
        <f>output_NHTS!I184</f>
        <v>0</v>
      </c>
      <c r="K11" s="7">
        <f>output_NHTS!J184</f>
        <v>963600</v>
      </c>
      <c r="L11"/>
      <c r="M11" s="25" t="s">
        <v>130</v>
      </c>
      <c r="N11" s="54">
        <f>output!B184</f>
        <v>281000</v>
      </c>
      <c r="O11" s="54">
        <f>output!C184</f>
        <v>90000</v>
      </c>
      <c r="P11" s="54">
        <f>output!D184</f>
        <v>98000</v>
      </c>
      <c r="Q11" s="54">
        <f>output!E184</f>
        <v>145000</v>
      </c>
      <c r="R11" s="54">
        <f>output!F184</f>
        <v>37000</v>
      </c>
      <c r="S11" s="54">
        <f>output!G184</f>
        <v>40000</v>
      </c>
      <c r="T11" s="53"/>
      <c r="U11" s="54">
        <f>output!H184</f>
        <v>112000</v>
      </c>
      <c r="V11" s="54">
        <f>output!I184</f>
        <v>0</v>
      </c>
      <c r="W11" s="54">
        <f>output!J184</f>
        <v>803000</v>
      </c>
      <c r="Y11" s="25" t="s">
        <v>130</v>
      </c>
      <c r="Z11" s="33">
        <f si="0" t="shared"/>
        <v>0</v>
      </c>
      <c r="AA11" s="33">
        <f si="1" t="shared"/>
        <v>0</v>
      </c>
      <c r="AB11" s="33">
        <f si="2" t="shared"/>
        <v>0</v>
      </c>
      <c r="AC11" s="33">
        <f si="3" t="shared"/>
        <v>0</v>
      </c>
      <c r="AD11" s="33">
        <f si="4" t="shared"/>
        <v>0</v>
      </c>
      <c r="AE11" s="33">
        <f si="5" t="shared"/>
        <v>0</v>
      </c>
      <c r="AF11" s="33"/>
      <c r="AG11" s="33">
        <f si="6" t="shared"/>
        <v>0</v>
      </c>
      <c r="AH11" s="33">
        <f si="7" t="shared"/>
        <v>0</v>
      </c>
      <c r="AI11" s="33">
        <f si="8" t="shared"/>
        <v>-160600</v>
      </c>
      <c r="AK11" s="3">
        <v>630330</v>
      </c>
      <c r="AM11" s="7">
        <f si="9" t="shared"/>
        <v>172670</v>
      </c>
    </row>
    <row r="12" spans="1:39" x14ac:dyDescent="0.35">
      <c r="A12" s="25" t="s">
        <v>249</v>
      </c>
      <c r="B12" s="7">
        <f>output_NHTS!B185</f>
        <v>314000</v>
      </c>
      <c r="C12" s="7">
        <f>output_NHTS!C185</f>
        <v>64000</v>
      </c>
      <c r="D12" s="7">
        <f>output_NHTS!D185</f>
        <v>0</v>
      </c>
      <c r="E12" s="7">
        <f>output_NHTS!E185</f>
        <v>0</v>
      </c>
      <c r="F12" s="7">
        <f>output_NHTS!F185</f>
        <v>12000</v>
      </c>
      <c r="G12" s="7">
        <f>output_NHTS!G185</f>
        <v>4000</v>
      </c>
      <c r="H12" s="7"/>
      <c r="I12" s="7">
        <f>output_NHTS!H185</f>
        <v>0</v>
      </c>
      <c r="J12" s="7">
        <f>output_NHTS!I185</f>
        <v>0</v>
      </c>
      <c r="K12" s="7">
        <f>output_NHTS!J185</f>
        <v>394000</v>
      </c>
      <c r="L12"/>
      <c r="M12" s="25" t="s">
        <v>249</v>
      </c>
      <c r="N12" s="54">
        <f>output!B185</f>
        <v>314000</v>
      </c>
      <c r="O12" s="54">
        <f>output!C185</f>
        <v>64000</v>
      </c>
      <c r="P12" s="54">
        <f>output!D185</f>
        <v>0</v>
      </c>
      <c r="Q12" s="54">
        <f>output!E185</f>
        <v>0</v>
      </c>
      <c r="R12" s="54">
        <f>output!F185</f>
        <v>12000</v>
      </c>
      <c r="S12" s="54">
        <f>output!G185</f>
        <v>4000</v>
      </c>
      <c r="T12" s="53"/>
      <c r="U12" s="54">
        <f>output!H185</f>
        <v>0</v>
      </c>
      <c r="V12" s="54">
        <f>output!I185</f>
        <v>0</v>
      </c>
      <c r="W12" s="54">
        <f>output!J185</f>
        <v>394000</v>
      </c>
      <c r="Y12" s="25" t="s">
        <v>249</v>
      </c>
      <c r="Z12" s="33">
        <f si="0" t="shared"/>
        <v>0</v>
      </c>
      <c r="AA12" s="33">
        <f si="1" t="shared"/>
        <v>0</v>
      </c>
      <c r="AB12" s="33">
        <f si="2" t="shared"/>
        <v>0</v>
      </c>
      <c r="AC12" s="33">
        <f si="3" t="shared"/>
        <v>0</v>
      </c>
      <c r="AD12" s="33">
        <f si="4" t="shared"/>
        <v>0</v>
      </c>
      <c r="AE12" s="33">
        <f si="5" t="shared"/>
        <v>0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0</v>
      </c>
      <c r="AK12" s="3">
        <v>147120</v>
      </c>
      <c r="AM12" s="7">
        <f si="9" t="shared"/>
        <v>246880</v>
      </c>
    </row>
    <row ht="13.15" r="13" spans="1:39" thickBot="1" x14ac:dyDescent="0.4">
      <c r="A13" s="10" t="s">
        <v>223</v>
      </c>
      <c r="B13" s="55">
        <f>SUM(B5:B12)</f>
        <v>2081000</v>
      </c>
      <c r="C13" s="55">
        <f ref="C13:K13" si="10" t="shared">SUM(C5:C12)</f>
        <v>583000</v>
      </c>
      <c r="D13" s="55">
        <f si="10" t="shared"/>
        <v>271000</v>
      </c>
      <c r="E13" s="55">
        <f si="10" t="shared"/>
        <v>574000</v>
      </c>
      <c r="F13" s="55">
        <f si="10" t="shared"/>
        <v>222000</v>
      </c>
      <c r="G13" s="55">
        <f si="10" t="shared"/>
        <v>294000</v>
      </c>
      <c r="H13" s="55"/>
      <c r="I13" s="55">
        <f si="10" t="shared"/>
        <v>735000</v>
      </c>
      <c r="J13" s="55">
        <f si="10" t="shared"/>
        <v>0</v>
      </c>
      <c r="K13" s="55">
        <f si="10" t="shared"/>
        <v>5205200</v>
      </c>
      <c r="L13"/>
      <c r="M13" s="10" t="s">
        <v>223</v>
      </c>
      <c r="N13" s="55">
        <f>SUM(N5:N12)</f>
        <v>2081000</v>
      </c>
      <c r="O13" s="55">
        <f ref="O13:W13" si="11" t="shared">SUM(O5:O12)</f>
        <v>583000</v>
      </c>
      <c r="P13" s="55">
        <f si="11" t="shared"/>
        <v>271000</v>
      </c>
      <c r="Q13" s="55">
        <f si="11" t="shared"/>
        <v>574000</v>
      </c>
      <c r="R13" s="55">
        <f si="11" t="shared"/>
        <v>222000</v>
      </c>
      <c r="S13" s="55">
        <f si="11" t="shared"/>
        <v>294000</v>
      </c>
      <c r="T13" s="55"/>
      <c r="U13" s="55">
        <f si="11" t="shared"/>
        <v>735000</v>
      </c>
      <c r="V13" s="55">
        <f si="11" t="shared"/>
        <v>0</v>
      </c>
      <c r="W13" s="55">
        <f si="11" t="shared"/>
        <v>4760000</v>
      </c>
      <c r="Y13" s="10" t="s">
        <v>223</v>
      </c>
      <c r="Z13" s="11">
        <f si="0" t="shared"/>
        <v>0</v>
      </c>
      <c r="AA13" s="11">
        <f si="1" t="shared"/>
        <v>0</v>
      </c>
      <c r="AB13" s="11">
        <f si="2" t="shared"/>
        <v>0</v>
      </c>
      <c r="AC13" s="11">
        <f si="3" t="shared"/>
        <v>0</v>
      </c>
      <c r="AD13" s="11">
        <f si="4" t="shared"/>
        <v>0</v>
      </c>
      <c r="AE13" s="11">
        <f si="5" t="shared"/>
        <v>0</v>
      </c>
      <c r="AF13" s="11"/>
      <c r="AG13" s="11">
        <f si="6" t="shared"/>
        <v>0</v>
      </c>
      <c r="AH13" s="11">
        <f si="7" t="shared"/>
        <v>0</v>
      </c>
      <c r="AI13" s="11">
        <f si="8" t="shared"/>
        <v>-445200</v>
      </c>
      <c r="AK13" s="3">
        <v>4970170</v>
      </c>
      <c r="AM13" s="7">
        <f si="9" t="shared"/>
        <v>-210170</v>
      </c>
    </row>
    <row r="14" spans="1:39" x14ac:dyDescent="0.35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35">
      <c r="A15" s="25" t="s">
        <v>88</v>
      </c>
      <c r="B15" s="33">
        <f>output_NHTS!B306</f>
        <v>1234000</v>
      </c>
      <c r="C15" s="33">
        <f>output_NHTS!B307</f>
        <v>345000</v>
      </c>
      <c r="D15" s="33">
        <f>output_NHTS!B308</f>
        <v>314000</v>
      </c>
      <c r="E15" s="33">
        <f>output_NHTS!B309</f>
        <v>461000</v>
      </c>
      <c r="F15" s="33">
        <f>output_NHTS!B310</f>
        <v>145000</v>
      </c>
      <c r="G15" s="33">
        <f>output_NHTS!B311</f>
        <v>193000</v>
      </c>
      <c r="H15" s="33"/>
      <c r="I15" s="33">
        <f>output_NHTS!B312</f>
        <v>589000</v>
      </c>
      <c r="J15" s="33">
        <f>output_NHTS!B313</f>
        <v>0</v>
      </c>
      <c r="K15" s="33">
        <f>SUM(B15:J15)</f>
        <v>3281000</v>
      </c>
      <c r="L15"/>
      <c r="M15" s="25" t="s">
        <v>88</v>
      </c>
      <c r="N15" s="33">
        <f>output!B306</f>
        <v>1234000</v>
      </c>
      <c r="O15" s="33">
        <f>output!B307</f>
        <v>345000</v>
      </c>
      <c r="P15" s="33">
        <f>output!B308</f>
        <v>314000</v>
      </c>
      <c r="Q15" s="33">
        <f>output!B309</f>
        <v>461000</v>
      </c>
      <c r="R15" s="33">
        <f>output!B310</f>
        <v>145000</v>
      </c>
      <c r="S15" s="33">
        <f>output!B311</f>
        <v>193000</v>
      </c>
      <c r="T15" s="33"/>
      <c r="U15" s="33">
        <f>output!B312</f>
        <v>589000</v>
      </c>
      <c r="V15" s="33">
        <f>output!B313</f>
        <v>0</v>
      </c>
      <c r="W15" s="33">
        <f>SUM(N15:V15)</f>
        <v>3281000</v>
      </c>
      <c r="Y15" s="25" t="s">
        <v>88</v>
      </c>
      <c r="Z15" s="33">
        <f ref="Z15:AE16" si="12" t="shared">N15-B15</f>
        <v>0</v>
      </c>
      <c r="AA15" s="33">
        <f si="12" t="shared"/>
        <v>0</v>
      </c>
      <c r="AB15" s="33">
        <f si="12" t="shared"/>
        <v>0</v>
      </c>
      <c r="AC15" s="33">
        <f si="12" t="shared"/>
        <v>0</v>
      </c>
      <c r="AD15" s="33">
        <f si="12" t="shared"/>
        <v>0</v>
      </c>
      <c r="AE15" s="33">
        <f si="12" t="shared"/>
        <v>0</v>
      </c>
      <c r="AF15" s="33"/>
      <c r="AG15" s="33">
        <f ref="AG15:AI16" si="13" t="shared">U15-I15</f>
        <v>0</v>
      </c>
      <c r="AH15" s="33">
        <f si="13" t="shared"/>
        <v>0</v>
      </c>
      <c r="AI15" s="33">
        <f si="13" t="shared"/>
        <v>0</v>
      </c>
    </row>
    <row r="16" spans="1:39" x14ac:dyDescent="0.35">
      <c r="A16" s="25" t="s">
        <v>89</v>
      </c>
      <c r="B16" s="37">
        <f>B13/B15</f>
        <v>1.6863857374392219</v>
      </c>
      <c r="C16" s="37">
        <f ref="C16:K16" si="14" t="shared">C13/C15</f>
        <v>1.6898550724637682</v>
      </c>
      <c r="D16" s="37">
        <f si="14" t="shared"/>
        <v>0.86305732484076436</v>
      </c>
      <c r="E16" s="37">
        <f si="14" t="shared"/>
        <v>1.2451193058568331</v>
      </c>
      <c r="F16" s="37">
        <f si="14" t="shared"/>
        <v>1.5310344827586206</v>
      </c>
      <c r="G16" s="37">
        <f si="14" t="shared"/>
        <v>1.5233160621761659</v>
      </c>
      <c r="H16" s="37"/>
      <c r="I16" s="37">
        <f si="14" t="shared"/>
        <v>1.2478777589134125</v>
      </c>
      <c r="J16" s="37" t="e">
        <f si="14" t="shared"/>
        <v>#DIV/0!</v>
      </c>
      <c r="K16" s="37">
        <f si="14" t="shared"/>
        <v>1.5864675403840292</v>
      </c>
      <c r="L16"/>
      <c r="M16" s="25" t="s">
        <v>89</v>
      </c>
      <c r="N16" s="37">
        <f ref="N16:W16" si="15" t="shared">N13/N15</f>
        <v>1.6863857374392219</v>
      </c>
      <c r="O16" s="37">
        <f si="15" t="shared"/>
        <v>1.6898550724637682</v>
      </c>
      <c r="P16" s="37">
        <f si="15" t="shared"/>
        <v>0.86305732484076436</v>
      </c>
      <c r="Q16" s="37">
        <f si="15" t="shared"/>
        <v>1.2451193058568331</v>
      </c>
      <c r="R16" s="37">
        <f si="15" t="shared"/>
        <v>1.5310344827586206</v>
      </c>
      <c r="S16" s="37">
        <f si="15" t="shared"/>
        <v>1.5233160621761659</v>
      </c>
      <c r="T16" s="37"/>
      <c r="U16" s="37">
        <f si="15" t="shared"/>
        <v>1.2478777589134125</v>
      </c>
      <c r="V16" s="37" t="e">
        <f si="15" t="shared"/>
        <v>#DIV/0!</v>
      </c>
      <c r="W16" s="37">
        <f si="15" t="shared"/>
        <v>1.4507772020725389</v>
      </c>
      <c r="Y16" s="25" t="s">
        <v>89</v>
      </c>
      <c r="Z16" s="37">
        <f si="12" t="shared"/>
        <v>0</v>
      </c>
      <c r="AA16" s="37">
        <f si="12" t="shared"/>
        <v>0</v>
      </c>
      <c r="AB16" s="37">
        <f si="12" t="shared"/>
        <v>0</v>
      </c>
      <c r="AC16" s="37">
        <f si="12" t="shared"/>
        <v>0</v>
      </c>
      <c r="AD16" s="37">
        <f si="12" t="shared"/>
        <v>0</v>
      </c>
      <c r="AE16" s="37">
        <f si="12" t="shared"/>
        <v>0</v>
      </c>
      <c r="AF16" s="37"/>
      <c r="AG16" s="37">
        <f si="13" t="shared"/>
        <v>0</v>
      </c>
      <c r="AH16" s="37" t="e">
        <f si="13" t="shared"/>
        <v>#DIV/0!</v>
      </c>
      <c r="AI16" s="37">
        <f si="13" t="shared"/>
        <v>-0.13569033831149024</v>
      </c>
    </row>
    <row r="17" spans="1:35" x14ac:dyDescent="0.35">
      <c r="L17"/>
    </row>
    <row r="18" spans="1:35" x14ac:dyDescent="0.35">
      <c r="L18"/>
    </row>
    <row ht="13.15" r="19" spans="1:35" x14ac:dyDescent="0.4">
      <c r="A19" s="2" t="s">
        <v>175</v>
      </c>
      <c r="L19"/>
      <c r="M19" s="2" t="s">
        <v>175</v>
      </c>
      <c r="Y19" s="2" t="s">
        <v>175</v>
      </c>
    </row>
    <row ht="13.15" r="20" spans="1:35" x14ac:dyDescent="0.4">
      <c r="A20" s="2" t="s">
        <v>217</v>
      </c>
      <c r="L20"/>
      <c r="M20" s="2" t="s">
        <v>267</v>
      </c>
      <c r="Y20" s="2" t="s">
        <v>261</v>
      </c>
    </row>
    <row ht="13.5" r="21" spans="1:35" thickBot="1" x14ac:dyDescent="0.4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ht="13.15" r="22" spans="1:35" x14ac:dyDescent="0.4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245</v>
      </c>
      <c r="F22" s="6" t="s">
        <v>246</v>
      </c>
      <c r="G22" s="6" t="s">
        <v>247</v>
      </c>
      <c r="H22" s="6"/>
      <c r="I22" s="6" t="s">
        <v>248</v>
      </c>
      <c r="J22" s="6" t="s">
        <v>170</v>
      </c>
      <c r="K22" s="6" t="s">
        <v>223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245</v>
      </c>
      <c r="R22" s="41" t="s">
        <v>246</v>
      </c>
      <c r="S22" s="41" t="s">
        <v>247</v>
      </c>
      <c r="T22" s="41"/>
      <c r="U22" s="41" t="s">
        <v>248</v>
      </c>
      <c r="V22" s="41" t="s">
        <v>170</v>
      </c>
      <c r="W22" s="41" t="s">
        <v>223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245</v>
      </c>
      <c r="AD22" s="6" t="s">
        <v>246</v>
      </c>
      <c r="AE22" s="6" t="s">
        <v>247</v>
      </c>
      <c r="AF22" s="6"/>
      <c r="AG22" s="6" t="s">
        <v>248</v>
      </c>
      <c r="AH22" s="6" t="s">
        <v>170</v>
      </c>
      <c r="AI22" s="6" t="s">
        <v>223</v>
      </c>
    </row>
    <row r="23" spans="1:35" x14ac:dyDescent="0.35">
      <c r="A23" s="3" t="s">
        <v>211</v>
      </c>
      <c r="B23" s="12">
        <f ref="B23:J23" si="16" t="shared">B5/B$13</f>
        <v>0.51033157135992313</v>
      </c>
      <c r="C23" s="12">
        <f si="16" t="shared"/>
        <v>0.444253859348199</v>
      </c>
      <c r="D23" s="12">
        <f si="16" t="shared"/>
        <v>0</v>
      </c>
      <c r="E23" s="12">
        <f si="16" t="shared"/>
        <v>0</v>
      </c>
      <c r="F23" s="12">
        <f si="16" t="shared"/>
        <v>0.12162162162162163</v>
      </c>
      <c r="G23" s="12">
        <f si="16" t="shared"/>
        <v>4.7619047619047616E-2</v>
      </c>
      <c r="H23" s="12"/>
      <c r="I23" s="12">
        <f si="16" t="shared"/>
        <v>0</v>
      </c>
      <c r="J23" s="12" t="e">
        <f si="16" t="shared"/>
        <v>#DIV/0!</v>
      </c>
      <c r="K23" s="12">
        <f>K5/K$13</f>
        <v>0.26166141550756933</v>
      </c>
      <c r="L23"/>
      <c r="M23" s="3" t="s">
        <v>211</v>
      </c>
      <c r="N23" s="42">
        <f ref="N23:V23" si="17" t="shared">N5/N$13</f>
        <v>0.51033157135992313</v>
      </c>
      <c r="O23" s="42">
        <f si="17" t="shared"/>
        <v>0.444253859348199</v>
      </c>
      <c r="P23" s="42">
        <f si="17" t="shared"/>
        <v>0</v>
      </c>
      <c r="Q23" s="42">
        <f si="17" t="shared"/>
        <v>0</v>
      </c>
      <c r="R23" s="42">
        <f si="17" t="shared"/>
        <v>0.12162162162162163</v>
      </c>
      <c r="S23" s="42">
        <f si="17" t="shared"/>
        <v>4.7619047619047616E-2</v>
      </c>
      <c r="T23" s="42"/>
      <c r="U23" s="42">
        <f si="17" t="shared"/>
        <v>0</v>
      </c>
      <c r="V23" s="42" t="e">
        <f si="17" t="shared"/>
        <v>#DIV/0!</v>
      </c>
      <c r="W23" s="42">
        <f>W5/W$13</f>
        <v>0.28613445378151259</v>
      </c>
      <c r="Y23" s="3" t="s">
        <v>211</v>
      </c>
      <c r="Z23" s="12">
        <f ref="Z23:Z31" si="18" t="shared">N23-B23</f>
        <v>0</v>
      </c>
      <c r="AA23" s="12">
        <f ref="AA23:AA31" si="19" t="shared">O23-C23</f>
        <v>0</v>
      </c>
      <c r="AB23" s="12">
        <f ref="AB23:AB31" si="20" t="shared">P23-D23</f>
        <v>0</v>
      </c>
      <c r="AC23" s="12">
        <f ref="AC23:AC31" si="21" t="shared">Q23-E23</f>
        <v>0</v>
      </c>
      <c r="AD23" s="12">
        <f ref="AD23:AD31" si="22" t="shared">R23-F23</f>
        <v>0</v>
      </c>
      <c r="AE23" s="12">
        <f ref="AE23:AE31" si="23" t="shared">S23-G23</f>
        <v>0</v>
      </c>
      <c r="AF23" s="12"/>
      <c r="AG23" s="12">
        <f ref="AG23:AG31" si="24" t="shared">U23-I23</f>
        <v>0</v>
      </c>
      <c r="AH23" s="12" t="e">
        <f ref="AH23:AH31" si="25" t="shared">V23-J23</f>
        <v>#DIV/0!</v>
      </c>
      <c r="AI23" s="12">
        <f ref="AI23:AI31" si="26" t="shared">W23-K23</f>
        <v>2.4473038273943259E-2</v>
      </c>
    </row>
    <row r="24" spans="1:35" x14ac:dyDescent="0.35">
      <c r="A24" s="3" t="s">
        <v>212</v>
      </c>
      <c r="B24" s="12">
        <f ref="B24:K24" si="27" t="shared">B6/B$13</f>
        <v>0</v>
      </c>
      <c r="C24" s="12">
        <f si="27" t="shared"/>
        <v>0</v>
      </c>
      <c r="D24" s="12">
        <f si="27" t="shared"/>
        <v>0</v>
      </c>
      <c r="E24" s="12">
        <f si="27" t="shared"/>
        <v>0</v>
      </c>
      <c r="F24" s="12">
        <f si="27" t="shared"/>
        <v>0.43693693693693691</v>
      </c>
      <c r="G24" s="12">
        <f si="27" t="shared"/>
        <v>0.58843537414965985</v>
      </c>
      <c r="H24" s="12"/>
      <c r="I24" s="12">
        <f si="27" t="shared"/>
        <v>0.69115646258503405</v>
      </c>
      <c r="J24" s="12" t="e">
        <f si="27" t="shared"/>
        <v>#DIV/0!</v>
      </c>
      <c r="K24" s="12">
        <f si="27" t="shared"/>
        <v>0.14946591869668793</v>
      </c>
      <c r="L24"/>
      <c r="M24" s="3" t="s">
        <v>212</v>
      </c>
      <c r="N24" s="42">
        <f ref="N24:W24" si="28" t="shared">N6/N$13</f>
        <v>0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0.43693693693693691</v>
      </c>
      <c r="S24" s="42">
        <f si="28" t="shared"/>
        <v>0.58843537414965985</v>
      </c>
      <c r="T24" s="42"/>
      <c r="U24" s="42">
        <f si="28" t="shared"/>
        <v>0.69115646258503405</v>
      </c>
      <c r="V24" s="42" t="e">
        <f si="28" t="shared"/>
        <v>#DIV/0!</v>
      </c>
      <c r="W24" s="42">
        <f si="28" t="shared"/>
        <v>0.16344537815126051</v>
      </c>
      <c r="Y24" s="3" t="s">
        <v>212</v>
      </c>
      <c r="Z24" s="12">
        <f si="18" t="shared"/>
        <v>0</v>
      </c>
      <c r="AA24" s="12">
        <f si="19" t="shared"/>
        <v>0</v>
      </c>
      <c r="AB24" s="12">
        <f si="20" t="shared"/>
        <v>0</v>
      </c>
      <c r="AC24" s="12">
        <f si="21" t="shared"/>
        <v>0</v>
      </c>
      <c r="AD24" s="12">
        <f si="22" t="shared"/>
        <v>0</v>
      </c>
      <c r="AE24" s="12">
        <f si="23" t="shared"/>
        <v>0</v>
      </c>
      <c r="AF24" s="12"/>
      <c r="AG24" s="12">
        <f si="24" t="shared"/>
        <v>0</v>
      </c>
      <c r="AH24" s="12" t="e">
        <f si="25" t="shared"/>
        <v>#DIV/0!</v>
      </c>
      <c r="AI24" s="12">
        <f si="26" t="shared"/>
        <v>1.3979459454572574E-2</v>
      </c>
    </row>
    <row r="25" spans="1:35" x14ac:dyDescent="0.35">
      <c r="A25" s="3" t="s">
        <v>213</v>
      </c>
      <c r="B25" s="12">
        <f ref="B25:K25" si="29" t="shared">B7/B$13</f>
        <v>6.198942815953868E-2</v>
      </c>
      <c r="C25" s="12">
        <f si="29" t="shared"/>
        <v>0.12006861063464837</v>
      </c>
      <c r="D25" s="12">
        <f si="29" t="shared"/>
        <v>0.18450184501845018</v>
      </c>
      <c r="E25" s="12">
        <f si="29" t="shared"/>
        <v>0.43031358885017423</v>
      </c>
      <c r="F25" s="12">
        <f si="29" t="shared"/>
        <v>8.1081081081081086E-2</v>
      </c>
      <c r="G25" s="12">
        <f si="29" t="shared"/>
        <v>4.4217687074829932E-2</v>
      </c>
      <c r="H25" s="12"/>
      <c r="I25" s="12">
        <f si="29" t="shared"/>
        <v>6.8027210884353748E-2</v>
      </c>
      <c r="J25" s="12" t="e">
        <f si="29" t="shared"/>
        <v>#DIV/0!</v>
      </c>
      <c r="K25" s="12">
        <f si="29" t="shared"/>
        <v>0.13302082532851764</v>
      </c>
      <c r="L25"/>
      <c r="M25" s="3" t="s">
        <v>213</v>
      </c>
      <c r="N25" s="42">
        <f ref="N25:W25" si="30" t="shared">N7/N$13</f>
        <v>6.198942815953868E-2</v>
      </c>
      <c r="O25" s="42">
        <f si="30" t="shared"/>
        <v>0.12006861063464837</v>
      </c>
      <c r="P25" s="42">
        <f si="30" t="shared"/>
        <v>0.18450184501845018</v>
      </c>
      <c r="Q25" s="42">
        <f si="30" t="shared"/>
        <v>0.43031358885017423</v>
      </c>
      <c r="R25" s="42">
        <f si="30" t="shared"/>
        <v>8.1081081081081086E-2</v>
      </c>
      <c r="S25" s="42">
        <f si="30" t="shared"/>
        <v>4.4217687074829932E-2</v>
      </c>
      <c r="T25" s="42"/>
      <c r="U25" s="42">
        <f si="30" t="shared"/>
        <v>6.8027210884353748E-2</v>
      </c>
      <c r="V25" s="42" t="e">
        <f si="30" t="shared"/>
        <v>#DIV/0!</v>
      </c>
      <c r="W25" s="42">
        <f si="30" t="shared"/>
        <v>0.12121848739495798</v>
      </c>
      <c r="Y25" s="3" t="s">
        <v>213</v>
      </c>
      <c r="Z25" s="12">
        <f si="18" t="shared"/>
        <v>0</v>
      </c>
      <c r="AA25" s="12">
        <f si="19" t="shared"/>
        <v>0</v>
      </c>
      <c r="AB25" s="12">
        <f si="20" t="shared"/>
        <v>0</v>
      </c>
      <c r="AC25" s="12">
        <f si="21" t="shared"/>
        <v>0</v>
      </c>
      <c r="AD25" s="12">
        <f si="22" t="shared"/>
        <v>0</v>
      </c>
      <c r="AE25" s="12">
        <f si="23" t="shared"/>
        <v>0</v>
      </c>
      <c r="AF25" s="12"/>
      <c r="AG25" s="12">
        <f si="24" t="shared"/>
        <v>0</v>
      </c>
      <c r="AH25" s="12" t="e">
        <f si="25" t="shared"/>
        <v>#DIV/0!</v>
      </c>
      <c r="AI25" s="12">
        <f si="26" t="shared"/>
        <v>-1.1802337933559656E-2</v>
      </c>
    </row>
    <row r="26" spans="1:35" x14ac:dyDescent="0.35">
      <c r="A26" s="3" t="s">
        <v>214</v>
      </c>
      <c r="B26" s="12">
        <f ref="B26:K26" si="31" t="shared">B8/B$13</f>
        <v>7.3041806823642474E-2</v>
      </c>
      <c r="C26" s="12">
        <f si="31" t="shared"/>
        <v>9.6054888507718691E-2</v>
      </c>
      <c r="D26" s="12">
        <f si="31" t="shared"/>
        <v>0.18081180811808117</v>
      </c>
      <c r="E26" s="12">
        <f si="31" t="shared"/>
        <v>0.1289198606271777</v>
      </c>
      <c r="F26" s="12">
        <f si="31" t="shared"/>
        <v>8.5585585585585586E-2</v>
      </c>
      <c r="G26" s="12">
        <f si="31" t="shared"/>
        <v>0.10204081632653061</v>
      </c>
      <c r="H26" s="12"/>
      <c r="I26" s="12">
        <f si="31" t="shared"/>
        <v>5.3061224489795916E-2</v>
      </c>
      <c r="J26" s="12" t="e">
        <f si="31" t="shared"/>
        <v>#DIV/0!</v>
      </c>
      <c r="K26" s="12">
        <f si="31" t="shared"/>
        <v>9.6595711980327362E-2</v>
      </c>
      <c r="L26"/>
      <c r="M26" s="3" t="s">
        <v>214</v>
      </c>
      <c r="N26" s="42">
        <f ref="N26:W26" si="32" t="shared">N8/N$13</f>
        <v>7.3041806823642474E-2</v>
      </c>
      <c r="O26" s="42">
        <f si="32" t="shared"/>
        <v>9.6054888507718691E-2</v>
      </c>
      <c r="P26" s="42">
        <f si="32" t="shared"/>
        <v>0.18081180811808117</v>
      </c>
      <c r="Q26" s="42">
        <f si="32" t="shared"/>
        <v>0.1289198606271777</v>
      </c>
      <c r="R26" s="42">
        <f si="32" t="shared"/>
        <v>8.5585585585585586E-2</v>
      </c>
      <c r="S26" s="42">
        <f si="32" t="shared"/>
        <v>0.10204081632653061</v>
      </c>
      <c r="T26" s="42"/>
      <c r="U26" s="42">
        <f si="32" t="shared"/>
        <v>5.3061224489795916E-2</v>
      </c>
      <c r="V26" s="42" t="e">
        <f si="32" t="shared"/>
        <v>#DIV/0!</v>
      </c>
      <c r="W26" s="42">
        <f si="32" t="shared"/>
        <v>8.802521008403362E-2</v>
      </c>
      <c r="Y26" s="3" t="s">
        <v>214</v>
      </c>
      <c r="Z26" s="12">
        <f si="18" t="shared"/>
        <v>0</v>
      </c>
      <c r="AA26" s="12">
        <f si="19" t="shared"/>
        <v>0</v>
      </c>
      <c r="AB26" s="12">
        <f si="20" t="shared"/>
        <v>0</v>
      </c>
      <c r="AC26" s="12">
        <f si="21" t="shared"/>
        <v>0</v>
      </c>
      <c r="AD26" s="12">
        <f si="22" t="shared"/>
        <v>0</v>
      </c>
      <c r="AE26" s="12">
        <f si="23" t="shared"/>
        <v>0</v>
      </c>
      <c r="AF26" s="12"/>
      <c r="AG26" s="12">
        <f si="24" t="shared"/>
        <v>0</v>
      </c>
      <c r="AH26" s="12" t="e">
        <f si="25" t="shared"/>
        <v>#DIV/0!</v>
      </c>
      <c r="AI26" s="12">
        <f si="26" t="shared"/>
        <v>-8.5705018962937418E-3</v>
      </c>
    </row>
    <row r="27" spans="1:35" x14ac:dyDescent="0.35">
      <c r="A27" s="3" t="s">
        <v>215</v>
      </c>
      <c r="B27" s="12">
        <f ref="B27:K27" si="33" t="shared">B9/B$13</f>
        <v>1.6338298894762134E-2</v>
      </c>
      <c r="C27" s="12">
        <f si="33" t="shared"/>
        <v>2.2298456260720412E-2</v>
      </c>
      <c r="D27" s="12">
        <f si="33" t="shared"/>
        <v>0.11439114391143912</v>
      </c>
      <c r="E27" s="12">
        <f si="33" t="shared"/>
        <v>8.188153310104529E-2</v>
      </c>
      <c r="F27" s="12">
        <f si="33" t="shared"/>
        <v>1.3513513513513514E-2</v>
      </c>
      <c r="G27" s="12">
        <f si="33" t="shared"/>
        <v>1.020408163265306E-2</v>
      </c>
      <c r="H27" s="12"/>
      <c r="I27" s="12">
        <f si="33" t="shared"/>
        <v>8.1632653061224497E-3</v>
      </c>
      <c r="J27" s="12" t="e">
        <f si="33" t="shared"/>
        <v>#DIV/0!</v>
      </c>
      <c r="K27" s="12">
        <f si="33" t="shared"/>
        <v>3.1583800814570046E-2</v>
      </c>
      <c r="L27"/>
      <c r="M27" s="3" t="s">
        <v>215</v>
      </c>
      <c r="N27" s="42">
        <f ref="N27:W27" si="34" t="shared">N9/N$13</f>
        <v>1.6338298894762134E-2</v>
      </c>
      <c r="O27" s="42">
        <f si="34" t="shared"/>
        <v>2.2298456260720412E-2</v>
      </c>
      <c r="P27" s="42">
        <f si="34" t="shared"/>
        <v>0.11439114391143912</v>
      </c>
      <c r="Q27" s="42">
        <f si="34" t="shared"/>
        <v>8.188153310104529E-2</v>
      </c>
      <c r="R27" s="42">
        <f si="34" t="shared"/>
        <v>1.3513513513513514E-2</v>
      </c>
      <c r="S27" s="42">
        <f si="34" t="shared"/>
        <v>1.020408163265306E-2</v>
      </c>
      <c r="T27" s="42"/>
      <c r="U27" s="42">
        <f si="34" t="shared"/>
        <v>8.1632653061224497E-3</v>
      </c>
      <c r="V27" s="42" t="e">
        <f si="34" t="shared"/>
        <v>#DIV/0!</v>
      </c>
      <c r="W27" s="42">
        <f si="34" t="shared"/>
        <v>2.8781512605042015E-2</v>
      </c>
      <c r="Y27" s="3" t="s">
        <v>215</v>
      </c>
      <c r="Z27" s="12">
        <f si="18" t="shared"/>
        <v>0</v>
      </c>
      <c r="AA27" s="12">
        <f si="19" t="shared"/>
        <v>0</v>
      </c>
      <c r="AB27" s="12">
        <f si="20" t="shared"/>
        <v>0</v>
      </c>
      <c r="AC27" s="12">
        <f si="21" t="shared"/>
        <v>0</v>
      </c>
      <c r="AD27" s="12">
        <f si="22" t="shared"/>
        <v>0</v>
      </c>
      <c r="AE27" s="12">
        <f si="23" t="shared"/>
        <v>0</v>
      </c>
      <c r="AF27" s="12"/>
      <c r="AG27" s="12">
        <f si="24" t="shared"/>
        <v>0</v>
      </c>
      <c r="AH27" s="12" t="e">
        <f si="25" t="shared"/>
        <v>#DIV/0!</v>
      </c>
      <c r="AI27" s="12">
        <f si="26" t="shared"/>
        <v>-2.8022882095280303E-3</v>
      </c>
    </row>
    <row r="28" spans="1:35" x14ac:dyDescent="0.35">
      <c r="A28" s="3" t="s">
        <v>129</v>
      </c>
      <c r="B28" s="12">
        <f ref="B28:K28" si="35" t="shared">B10/B$13</f>
        <v>5.2378664103796255E-2</v>
      </c>
      <c r="C28" s="12">
        <f si="35" t="shared"/>
        <v>5.3173241852487133E-2</v>
      </c>
      <c r="D28" s="12">
        <f si="35" t="shared"/>
        <v>0.15867158671586715</v>
      </c>
      <c r="E28" s="12">
        <f si="35" t="shared"/>
        <v>0.10627177700348432</v>
      </c>
      <c r="F28" s="12">
        <f si="35" t="shared"/>
        <v>4.0540540540540543E-2</v>
      </c>
      <c r="G28" s="12">
        <f si="35" t="shared"/>
        <v>5.7823129251700682E-2</v>
      </c>
      <c r="H28" s="12"/>
      <c r="I28" s="12">
        <f si="35" t="shared"/>
        <v>2.7210884353741496E-2</v>
      </c>
      <c r="J28" s="12" t="e">
        <f si="35" t="shared"/>
        <v>#DIV/0!</v>
      </c>
      <c r="K28" s="12">
        <f si="35" t="shared"/>
        <v>6.6856220702374555E-2</v>
      </c>
      <c r="L28"/>
      <c r="M28" s="3" t="s">
        <v>129</v>
      </c>
      <c r="N28" s="42">
        <f ref="N28:W28" si="36" t="shared">N10/N$13</f>
        <v>5.2378664103796255E-2</v>
      </c>
      <c r="O28" s="42">
        <f si="36" t="shared"/>
        <v>5.3173241852487133E-2</v>
      </c>
      <c r="P28" s="42">
        <f si="36" t="shared"/>
        <v>0.15867158671586715</v>
      </c>
      <c r="Q28" s="42">
        <f si="36" t="shared"/>
        <v>0.10627177700348432</v>
      </c>
      <c r="R28" s="42">
        <f si="36" t="shared"/>
        <v>4.0540540540540543E-2</v>
      </c>
      <c r="S28" s="42">
        <f si="36" t="shared"/>
        <v>5.7823129251700682E-2</v>
      </c>
      <c r="T28" s="42"/>
      <c r="U28" s="42">
        <f si="36" t="shared"/>
        <v>2.7210884353741496E-2</v>
      </c>
      <c r="V28" s="42" t="e">
        <f si="36" t="shared"/>
        <v>#DIV/0!</v>
      </c>
      <c r="W28" s="42">
        <f si="36" t="shared"/>
        <v>6.0924369747899158E-2</v>
      </c>
      <c r="Y28" s="3" t="s">
        <v>129</v>
      </c>
      <c r="Z28" s="12">
        <f si="18" t="shared"/>
        <v>0</v>
      </c>
      <c r="AA28" s="12">
        <f si="19" t="shared"/>
        <v>0</v>
      </c>
      <c r="AB28" s="12">
        <f si="20" t="shared"/>
        <v>0</v>
      </c>
      <c r="AC28" s="12">
        <f si="21" t="shared"/>
        <v>0</v>
      </c>
      <c r="AD28" s="12">
        <f si="22" t="shared"/>
        <v>0</v>
      </c>
      <c r="AE28" s="12">
        <f si="23" t="shared"/>
        <v>0</v>
      </c>
      <c r="AF28" s="12"/>
      <c r="AG28" s="12">
        <f si="24" t="shared"/>
        <v>0</v>
      </c>
      <c r="AH28" s="12" t="e">
        <f si="25" t="shared"/>
        <v>#DIV/0!</v>
      </c>
      <c r="AI28" s="12">
        <f si="26" t="shared"/>
        <v>-5.931850954475397E-3</v>
      </c>
    </row>
    <row r="29" spans="1:35" x14ac:dyDescent="0.35">
      <c r="A29" s="25" t="s">
        <v>130</v>
      </c>
      <c r="B29" s="34">
        <f ref="B29:K30" si="37" t="shared">B11/B$13</f>
        <v>0.13503123498318118</v>
      </c>
      <c r="C29" s="34">
        <f si="37" t="shared"/>
        <v>0.15437392795883362</v>
      </c>
      <c r="D29" s="34">
        <f si="37" t="shared"/>
        <v>0.36162361623616235</v>
      </c>
      <c r="E29" s="34">
        <f si="37" t="shared"/>
        <v>0.25261324041811845</v>
      </c>
      <c r="F29" s="34">
        <f si="37" t="shared"/>
        <v>0.16666666666666666</v>
      </c>
      <c r="G29" s="34">
        <f si="37" t="shared"/>
        <v>0.1360544217687075</v>
      </c>
      <c r="H29" s="34"/>
      <c r="I29" s="34">
        <f si="37" t="shared"/>
        <v>0.15238095238095239</v>
      </c>
      <c r="J29" s="34" t="e">
        <f si="37" t="shared"/>
        <v>#DIV/0!</v>
      </c>
      <c r="K29" s="34">
        <f si="37" t="shared"/>
        <v>0.18512256973795435</v>
      </c>
      <c r="L29"/>
      <c r="M29" s="25" t="s">
        <v>130</v>
      </c>
      <c r="N29" s="56">
        <f ref="N29:W29" si="38" t="shared">N11/N$13</f>
        <v>0.13503123498318118</v>
      </c>
      <c r="O29" s="56">
        <f si="38" t="shared"/>
        <v>0.15437392795883362</v>
      </c>
      <c r="P29" s="56">
        <f si="38" t="shared"/>
        <v>0.36162361623616235</v>
      </c>
      <c r="Q29" s="56">
        <f si="38" t="shared"/>
        <v>0.25261324041811845</v>
      </c>
      <c r="R29" s="56">
        <f si="38" t="shared"/>
        <v>0.16666666666666666</v>
      </c>
      <c r="S29" s="56">
        <f si="38" t="shared"/>
        <v>0.1360544217687075</v>
      </c>
      <c r="T29" s="56"/>
      <c r="U29" s="56">
        <f si="38" t="shared"/>
        <v>0.15238095238095239</v>
      </c>
      <c r="V29" s="56" t="e">
        <f si="38" t="shared"/>
        <v>#DIV/0!</v>
      </c>
      <c r="W29" s="56">
        <f si="38" t="shared"/>
        <v>0.16869747899159665</v>
      </c>
      <c r="Y29" s="25" t="s">
        <v>130</v>
      </c>
      <c r="Z29" s="12">
        <f si="18" t="shared"/>
        <v>0</v>
      </c>
      <c r="AA29" s="12">
        <f si="19" t="shared"/>
        <v>0</v>
      </c>
      <c r="AB29" s="12">
        <f si="20" t="shared"/>
        <v>0</v>
      </c>
      <c r="AC29" s="12">
        <f si="21" t="shared"/>
        <v>0</v>
      </c>
      <c r="AD29" s="12">
        <f si="22" t="shared"/>
        <v>0</v>
      </c>
      <c r="AE29" s="12">
        <f si="23" t="shared"/>
        <v>0</v>
      </c>
      <c r="AF29" s="12"/>
      <c r="AG29" s="12">
        <f si="24" t="shared"/>
        <v>0</v>
      </c>
      <c r="AH29" s="12" t="e">
        <f si="25" t="shared"/>
        <v>#DIV/0!</v>
      </c>
      <c r="AI29" s="12">
        <f si="26" t="shared"/>
        <v>-1.6425090746357701E-2</v>
      </c>
    </row>
    <row r="30" spans="1:35" x14ac:dyDescent="0.35">
      <c r="A30" s="25" t="s">
        <v>249</v>
      </c>
      <c r="B30" s="13">
        <f si="37" t="shared"/>
        <v>0.15088899567515618</v>
      </c>
      <c r="C30" s="13">
        <f si="37" t="shared"/>
        <v>0.10977701543739279</v>
      </c>
      <c r="D30" s="13">
        <f si="37" t="shared"/>
        <v>0</v>
      </c>
      <c r="E30" s="13">
        <f si="37" t="shared"/>
        <v>0</v>
      </c>
      <c r="F30" s="13">
        <f si="37" t="shared"/>
        <v>5.4054054054054057E-2</v>
      </c>
      <c r="G30" s="13">
        <f si="37" t="shared"/>
        <v>1.3605442176870748E-2</v>
      </c>
      <c r="H30" s="13"/>
      <c r="I30" s="13">
        <f si="37" t="shared"/>
        <v>0</v>
      </c>
      <c r="J30" s="13" t="e">
        <f si="37" t="shared"/>
        <v>#DIV/0!</v>
      </c>
      <c r="K30" s="13">
        <f si="37" t="shared"/>
        <v>7.5693537231998773E-2</v>
      </c>
      <c r="L30"/>
      <c r="M30" s="25" t="s">
        <v>249</v>
      </c>
      <c r="N30" s="43">
        <f ref="N30:W30" si="39" t="shared">N12/N$13</f>
        <v>0.15088899567515618</v>
      </c>
      <c r="O30" s="43">
        <f si="39" t="shared"/>
        <v>0.10977701543739279</v>
      </c>
      <c r="P30" s="43">
        <f si="39" t="shared"/>
        <v>0</v>
      </c>
      <c r="Q30" s="43">
        <f si="39" t="shared"/>
        <v>0</v>
      </c>
      <c r="R30" s="43">
        <f si="39" t="shared"/>
        <v>5.4054054054054057E-2</v>
      </c>
      <c r="S30" s="43">
        <f si="39" t="shared"/>
        <v>1.3605442176870748E-2</v>
      </c>
      <c r="T30" s="43"/>
      <c r="U30" s="43">
        <f si="39" t="shared"/>
        <v>0</v>
      </c>
      <c r="V30" s="43" t="e">
        <f si="39" t="shared"/>
        <v>#DIV/0!</v>
      </c>
      <c r="W30" s="43">
        <f si="39" t="shared"/>
        <v>8.2773109243697476E-2</v>
      </c>
      <c r="Y30" s="25" t="s">
        <v>249</v>
      </c>
      <c r="Z30" s="12">
        <f si="18" t="shared"/>
        <v>0</v>
      </c>
      <c r="AA30" s="12">
        <f si="19" t="shared"/>
        <v>0</v>
      </c>
      <c r="AB30" s="12">
        <f si="20" t="shared"/>
        <v>0</v>
      </c>
      <c r="AC30" s="12">
        <f si="21" t="shared"/>
        <v>0</v>
      </c>
      <c r="AD30" s="12">
        <f si="22" t="shared"/>
        <v>0</v>
      </c>
      <c r="AE30" s="12">
        <f si="23" t="shared"/>
        <v>0</v>
      </c>
      <c r="AF30" s="12"/>
      <c r="AG30" s="12">
        <f si="24" t="shared"/>
        <v>0</v>
      </c>
      <c r="AH30" s="12" t="e">
        <f si="25" t="shared"/>
        <v>#DIV/0!</v>
      </c>
      <c r="AI30" s="12">
        <f si="26" t="shared"/>
        <v>7.0795720116987038E-3</v>
      </c>
    </row>
    <row ht="13.15" r="31" spans="1:35" thickBot="1" x14ac:dyDescent="0.4">
      <c r="A31" s="10" t="s">
        <v>223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 t="e">
        <f si="40" t="shared"/>
        <v>#DIV/0!</v>
      </c>
      <c r="K31" s="17">
        <f si="40" t="shared"/>
        <v>1</v>
      </c>
      <c r="L31"/>
      <c r="M31" s="10" t="s">
        <v>223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 t="e">
        <f si="41" t="shared"/>
        <v>#DIV/0!</v>
      </c>
      <c r="W31" s="44">
        <f si="41" t="shared"/>
        <v>1</v>
      </c>
      <c r="Y31" s="10" t="s">
        <v>223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 t="e">
        <f si="25" t="shared"/>
        <v>#DIV/0!</v>
      </c>
      <c r="AI31" s="14">
        <f si="26" t="shared"/>
        <v>0</v>
      </c>
    </row>
    <row r="32" spans="1:35" x14ac:dyDescent="0.35">
      <c r="L32"/>
    </row>
    <row r="33" spans="1:35" x14ac:dyDescent="0.35">
      <c r="L33"/>
    </row>
    <row r="34" spans="1:35" x14ac:dyDescent="0.35">
      <c r="L34"/>
    </row>
    <row r="35" spans="1:35" x14ac:dyDescent="0.35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ht="13.15" r="36" spans="1:35" x14ac:dyDescent="0.4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ht="13.15" r="37" spans="1:35" x14ac:dyDescent="0.4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240</v>
      </c>
      <c r="Z37"/>
      <c r="AA37"/>
      <c r="AB37"/>
      <c r="AC37"/>
      <c r="AD37"/>
      <c r="AE37"/>
      <c r="AF37"/>
      <c r="AG37"/>
      <c r="AH37"/>
      <c r="AI37"/>
    </row>
    <row ht="13.15" r="38" spans="1:35" thickBot="1" x14ac:dyDescent="0.4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ht="13.15" r="39" spans="1:35" x14ac:dyDescent="0.4">
      <c r="A39" s="5" t="s">
        <v>159</v>
      </c>
      <c r="B39" s="6" t="s">
        <v>298</v>
      </c>
      <c r="C39" s="6" t="s">
        <v>299</v>
      </c>
      <c r="D39" s="6" t="s">
        <v>300</v>
      </c>
      <c r="E39" s="6" t="s">
        <v>303</v>
      </c>
      <c r="F39" s="6" t="s">
        <v>172</v>
      </c>
      <c r="G39" s="6" t="s">
        <v>223</v>
      </c>
      <c r="H39" s="89"/>
      <c r="I39"/>
      <c r="K39"/>
      <c r="L39"/>
      <c r="M39" s="5" t="s">
        <v>159</v>
      </c>
      <c r="N39" s="6" t="s">
        <v>298</v>
      </c>
      <c r="O39" s="6" t="s">
        <v>299</v>
      </c>
      <c r="P39" s="6" t="s">
        <v>300</v>
      </c>
      <c r="Q39" s="6" t="s">
        <v>303</v>
      </c>
      <c r="R39" s="41" t="s">
        <v>172</v>
      </c>
      <c r="S39" s="41" t="s">
        <v>223</v>
      </c>
      <c r="T39" s="101"/>
      <c r="W39" s="57"/>
      <c r="Y39" s="5" t="s">
        <v>159</v>
      </c>
      <c r="Z39" s="6" t="s">
        <v>298</v>
      </c>
      <c r="AA39" s="6" t="s">
        <v>299</v>
      </c>
      <c r="AB39" s="6" t="s">
        <v>300</v>
      </c>
      <c r="AC39" s="6" t="s">
        <v>303</v>
      </c>
      <c r="AD39" s="41" t="s">
        <v>172</v>
      </c>
      <c r="AE39" s="41" t="s">
        <v>223</v>
      </c>
      <c r="AF39" s="101"/>
      <c r="AG39"/>
    </row>
    <row r="40" spans="1:35" x14ac:dyDescent="0.35">
      <c r="A40" s="3" t="s">
        <v>211</v>
      </c>
      <c r="B40" s="7">
        <f>output_NHTS!B189</f>
        <v>35000</v>
      </c>
      <c r="C40" s="7">
        <f>output_NHTS!C189</f>
        <v>309000</v>
      </c>
      <c r="D40" s="7">
        <f>output_NHTS!D189</f>
        <v>291000</v>
      </c>
      <c r="E40" s="7">
        <f>output_NHTS!E189</f>
        <v>727000</v>
      </c>
      <c r="F40" s="7"/>
      <c r="G40" s="53">
        <f>SUM(B40:E40)</f>
        <v>1362000</v>
      </c>
      <c r="H40" s="53"/>
      <c r="I40"/>
      <c r="K40"/>
      <c r="L40"/>
      <c r="M40" s="3" t="s">
        <v>211</v>
      </c>
      <c r="N40" s="53">
        <f>output!B189</f>
        <v>35000</v>
      </c>
      <c r="O40" s="53">
        <f>output!C189</f>
        <v>309000</v>
      </c>
      <c r="P40" s="53">
        <f>output!D189</f>
        <v>291000</v>
      </c>
      <c r="Q40" s="53">
        <f>output!E189</f>
        <v>727000</v>
      </c>
      <c r="R40" s="53"/>
      <c r="S40" s="53">
        <f>SUM(N40:Q40)</f>
        <v>1362000</v>
      </c>
      <c r="T40" s="53"/>
      <c r="W40" s="57"/>
      <c r="Y40" s="3" t="s">
        <v>211</v>
      </c>
      <c r="Z40" s="7">
        <f ref="Z40:Z48" si="42" t="shared">N40-B40</f>
        <v>0</v>
      </c>
      <c r="AA40" s="7">
        <f ref="AA40:AA48" si="43" t="shared">O40-C40</f>
        <v>0</v>
      </c>
      <c r="AB40" s="7">
        <f ref="AB40:AB48" si="44" t="shared">P40-D40</f>
        <v>0</v>
      </c>
      <c r="AC40" s="7">
        <f ref="AC40:AC48" si="45" t="shared">Q40-E40</f>
        <v>0</v>
      </c>
      <c r="AD40" s="7">
        <f ref="AD40:AD48" si="46" t="shared">R40-F40</f>
        <v>0</v>
      </c>
      <c r="AE40" s="7">
        <f ref="AE40:AE48" si="47" t="shared">S40-G40</f>
        <v>0</v>
      </c>
      <c r="AF40" s="7"/>
      <c r="AG40"/>
    </row>
    <row r="41" spans="1:35" x14ac:dyDescent="0.35">
      <c r="A41" s="3" t="s">
        <v>212</v>
      </c>
      <c r="B41" s="7">
        <f>output_NHTS!B190</f>
        <v>46000</v>
      </c>
      <c r="C41" s="7">
        <f>output_NHTS!C190</f>
        <v>176000</v>
      </c>
      <c r="D41" s="7">
        <f>output_NHTS!D190</f>
        <v>179000</v>
      </c>
      <c r="E41" s="7">
        <f>output_NHTS!E190</f>
        <v>377000</v>
      </c>
      <c r="F41" s="7"/>
      <c r="G41" s="53">
        <f ref="G41:G47" si="48" t="shared">SUM(B41:E41)</f>
        <v>778000</v>
      </c>
      <c r="H41" s="53"/>
      <c r="I41"/>
      <c r="K41"/>
      <c r="L41"/>
      <c r="M41" s="3" t="s">
        <v>212</v>
      </c>
      <c r="N41" s="53">
        <f>output!B190</f>
        <v>46000</v>
      </c>
      <c r="O41" s="53">
        <f>output!C190</f>
        <v>176000</v>
      </c>
      <c r="P41" s="53">
        <f>output!D190</f>
        <v>179000</v>
      </c>
      <c r="Q41" s="53">
        <f>output!E190</f>
        <v>377000</v>
      </c>
      <c r="R41" s="53"/>
      <c r="S41" s="53">
        <f ref="S41:S50" si="49" t="shared">SUM(N41:Q41)</f>
        <v>778000</v>
      </c>
      <c r="T41" s="53"/>
      <c r="W41" s="57"/>
      <c r="Y41" s="3" t="s">
        <v>212</v>
      </c>
      <c r="Z41" s="7">
        <f si="42" t="shared"/>
        <v>0</v>
      </c>
      <c r="AA41" s="7">
        <f si="43" t="shared"/>
        <v>0</v>
      </c>
      <c r="AB41" s="7">
        <f si="44" t="shared"/>
        <v>0</v>
      </c>
      <c r="AC41" s="7">
        <f si="45" t="shared"/>
        <v>0</v>
      </c>
      <c r="AD41" s="7">
        <f si="46" t="shared"/>
        <v>0</v>
      </c>
      <c r="AE41" s="7">
        <f si="47" t="shared"/>
        <v>0</v>
      </c>
      <c r="AF41" s="7"/>
      <c r="AG41"/>
    </row>
    <row r="42" spans="1:35" x14ac:dyDescent="0.35">
      <c r="A42" s="3" t="s">
        <v>213</v>
      </c>
      <c r="B42" s="7">
        <f>output_NHTS!B191</f>
        <v>31000</v>
      </c>
      <c r="C42" s="7">
        <f>output_NHTS!C191</f>
        <v>144000</v>
      </c>
      <c r="D42" s="7">
        <f>output_NHTS!D191</f>
        <v>129000</v>
      </c>
      <c r="E42" s="7">
        <f>output_NHTS!E191</f>
        <v>273000</v>
      </c>
      <c r="F42" s="7"/>
      <c r="G42" s="53">
        <f si="48" t="shared"/>
        <v>577000</v>
      </c>
      <c r="H42" s="53"/>
      <c r="I42"/>
      <c r="K42"/>
      <c r="L42"/>
      <c r="M42" s="3" t="s">
        <v>213</v>
      </c>
      <c r="N42" s="53">
        <f>output!B191</f>
        <v>31000</v>
      </c>
      <c r="O42" s="53">
        <f>output!C191</f>
        <v>144000</v>
      </c>
      <c r="P42" s="53">
        <f>output!D191</f>
        <v>129000</v>
      </c>
      <c r="Q42" s="53">
        <f>output!E191</f>
        <v>273000</v>
      </c>
      <c r="R42" s="53"/>
      <c r="S42" s="53">
        <f si="49" t="shared"/>
        <v>577000</v>
      </c>
      <c r="T42" s="53"/>
      <c r="W42" s="57"/>
      <c r="Y42" s="3" t="s">
        <v>213</v>
      </c>
      <c r="Z42" s="7">
        <f si="42" t="shared"/>
        <v>0</v>
      </c>
      <c r="AA42" s="7">
        <f si="43" t="shared"/>
        <v>0</v>
      </c>
      <c r="AB42" s="7">
        <f si="44" t="shared"/>
        <v>0</v>
      </c>
      <c r="AC42" s="7">
        <f si="45" t="shared"/>
        <v>0</v>
      </c>
      <c r="AD42" s="7">
        <f si="46" t="shared"/>
        <v>0</v>
      </c>
      <c r="AE42" s="7">
        <f si="47" t="shared"/>
        <v>0</v>
      </c>
      <c r="AF42" s="7"/>
      <c r="AG42"/>
    </row>
    <row r="43" spans="1:35" x14ac:dyDescent="0.35">
      <c r="A43" s="3" t="s">
        <v>214</v>
      </c>
      <c r="B43" s="7">
        <f>output_NHTS!B192</f>
        <v>23000</v>
      </c>
      <c r="C43" s="7">
        <f>output_NHTS!C192</f>
        <v>93000</v>
      </c>
      <c r="D43" s="7">
        <f>output_NHTS!D192</f>
        <v>103000</v>
      </c>
      <c r="E43" s="7">
        <f>output_NHTS!E192</f>
        <v>200000</v>
      </c>
      <c r="F43" s="7"/>
      <c r="G43" s="53">
        <f si="48" t="shared"/>
        <v>419000</v>
      </c>
      <c r="H43" s="53"/>
      <c r="I43"/>
      <c r="K43"/>
      <c r="L43"/>
      <c r="M43" s="3" t="s">
        <v>214</v>
      </c>
      <c r="N43" s="53">
        <f>output!B192</f>
        <v>23000</v>
      </c>
      <c r="O43" s="53">
        <f>output!C192</f>
        <v>93000</v>
      </c>
      <c r="P43" s="53">
        <f>output!D192</f>
        <v>103000</v>
      </c>
      <c r="Q43" s="53">
        <f>output!E192</f>
        <v>200000</v>
      </c>
      <c r="R43" s="53"/>
      <c r="S43" s="53">
        <f si="49" t="shared"/>
        <v>419000</v>
      </c>
      <c r="T43" s="53"/>
      <c r="W43" s="57"/>
      <c r="Y43" s="3" t="s">
        <v>214</v>
      </c>
      <c r="Z43" s="7">
        <f si="42" t="shared"/>
        <v>0</v>
      </c>
      <c r="AA43" s="7">
        <f si="43" t="shared"/>
        <v>0</v>
      </c>
      <c r="AB43" s="7">
        <f si="44" t="shared"/>
        <v>0</v>
      </c>
      <c r="AC43" s="7">
        <f si="45" t="shared"/>
        <v>0</v>
      </c>
      <c r="AD43" s="7">
        <f si="46" t="shared"/>
        <v>0</v>
      </c>
      <c r="AE43" s="7">
        <f si="47" t="shared"/>
        <v>0</v>
      </c>
      <c r="AF43" s="7"/>
      <c r="AG43"/>
    </row>
    <row r="44" spans="1:35" x14ac:dyDescent="0.35">
      <c r="A44" s="3" t="s">
        <v>215</v>
      </c>
      <c r="B44" s="7">
        <f>output_NHTS!B193</f>
        <v>13000</v>
      </c>
      <c r="C44" s="7">
        <f>output_NHTS!C193</f>
        <v>49000</v>
      </c>
      <c r="D44" s="7">
        <f>output_NHTS!D193</f>
        <v>27000</v>
      </c>
      <c r="E44" s="7">
        <f>output_NHTS!E193</f>
        <v>48000</v>
      </c>
      <c r="F44" s="7"/>
      <c r="G44" s="53">
        <f si="48" t="shared"/>
        <v>137000</v>
      </c>
      <c r="H44" s="53"/>
      <c r="I44"/>
      <c r="K44"/>
      <c r="L44"/>
      <c r="M44" s="3" t="s">
        <v>215</v>
      </c>
      <c r="N44" s="53">
        <f>output!B193</f>
        <v>13000</v>
      </c>
      <c r="O44" s="53">
        <f>output!C193</f>
        <v>49000</v>
      </c>
      <c r="P44" s="53">
        <f>output!D193</f>
        <v>27000</v>
      </c>
      <c r="Q44" s="53">
        <f>output!E193</f>
        <v>48000</v>
      </c>
      <c r="R44" s="53"/>
      <c r="S44" s="53">
        <f si="49" t="shared"/>
        <v>137000</v>
      </c>
      <c r="T44" s="53"/>
      <c r="W44" s="57"/>
      <c r="Y44" s="3" t="s">
        <v>215</v>
      </c>
      <c r="Z44" s="7">
        <f si="42" t="shared"/>
        <v>0</v>
      </c>
      <c r="AA44" s="7">
        <f si="43" t="shared"/>
        <v>0</v>
      </c>
      <c r="AB44" s="7">
        <f si="44" t="shared"/>
        <v>0</v>
      </c>
      <c r="AC44" s="7">
        <f si="45" t="shared"/>
        <v>0</v>
      </c>
      <c r="AD44" s="7">
        <f si="46" t="shared"/>
        <v>0</v>
      </c>
      <c r="AE44" s="7">
        <f si="47" t="shared"/>
        <v>0</v>
      </c>
      <c r="AF44" s="7"/>
      <c r="AG44"/>
    </row>
    <row r="45" spans="1:35" x14ac:dyDescent="0.35">
      <c r="A45" s="3" t="s">
        <v>129</v>
      </c>
      <c r="B45" s="7">
        <f>output_NHTS!B194</f>
        <v>17000</v>
      </c>
      <c r="C45" s="7">
        <f>output_NHTS!C194</f>
        <v>74000</v>
      </c>
      <c r="D45" s="7">
        <f>output_NHTS!D194</f>
        <v>62000</v>
      </c>
      <c r="E45" s="7">
        <f>output_NHTS!E194</f>
        <v>137000</v>
      </c>
      <c r="F45" s="7"/>
      <c r="G45" s="53">
        <f si="48" t="shared"/>
        <v>290000</v>
      </c>
      <c r="H45" s="53"/>
      <c r="I45"/>
      <c r="K45"/>
      <c r="L45"/>
      <c r="M45" s="3" t="s">
        <v>129</v>
      </c>
      <c r="N45" s="53">
        <f>output!B194</f>
        <v>17000</v>
      </c>
      <c r="O45" s="53">
        <f>output!C194</f>
        <v>74000</v>
      </c>
      <c r="P45" s="53">
        <f>output!D194</f>
        <v>62000</v>
      </c>
      <c r="Q45" s="53">
        <f>output!E194</f>
        <v>137000</v>
      </c>
      <c r="R45" s="53"/>
      <c r="S45" s="53">
        <f si="49" t="shared"/>
        <v>290000</v>
      </c>
      <c r="T45" s="53"/>
      <c r="W45" s="57"/>
      <c r="Y45" s="3" t="s">
        <v>129</v>
      </c>
      <c r="Z45" s="7">
        <f si="42" t="shared"/>
        <v>0</v>
      </c>
      <c r="AA45" s="7">
        <f si="43" t="shared"/>
        <v>0</v>
      </c>
      <c r="AB45" s="7">
        <f si="44" t="shared"/>
        <v>0</v>
      </c>
      <c r="AC45" s="7">
        <f si="45" t="shared"/>
        <v>0</v>
      </c>
      <c r="AD45" s="7">
        <f si="46" t="shared"/>
        <v>0</v>
      </c>
      <c r="AE45" s="7">
        <f si="47" t="shared"/>
        <v>0</v>
      </c>
      <c r="AF45" s="7"/>
      <c r="AG45"/>
    </row>
    <row r="46" spans="1:35" x14ac:dyDescent="0.35">
      <c r="A46" s="25" t="s">
        <v>130</v>
      </c>
      <c r="B46" s="7">
        <f>output_NHTS!B195</f>
        <v>46000</v>
      </c>
      <c r="C46" s="7">
        <f>output_NHTS!C195</f>
        <v>245000</v>
      </c>
      <c r="D46" s="7">
        <f>output_NHTS!D195</f>
        <v>174000</v>
      </c>
      <c r="E46" s="7">
        <f>output_NHTS!E195</f>
        <v>338000</v>
      </c>
      <c r="F46" s="33"/>
      <c r="G46" s="54">
        <f si="48" t="shared"/>
        <v>803000</v>
      </c>
      <c r="H46" s="54"/>
      <c r="I46"/>
      <c r="K46"/>
      <c r="L46"/>
      <c r="M46" s="25" t="s">
        <v>130</v>
      </c>
      <c r="N46" s="54">
        <f>output!B195</f>
        <v>46000</v>
      </c>
      <c r="O46" s="54">
        <f>output!C195</f>
        <v>245000</v>
      </c>
      <c r="P46" s="54">
        <f>output!D195</f>
        <v>174000</v>
      </c>
      <c r="Q46" s="54">
        <f>output!E195</f>
        <v>338000</v>
      </c>
      <c r="R46" s="54"/>
      <c r="S46" s="54">
        <f si="49" t="shared"/>
        <v>803000</v>
      </c>
      <c r="T46" s="54"/>
      <c r="W46" s="57"/>
      <c r="Y46" s="25" t="s">
        <v>130</v>
      </c>
      <c r="Z46" s="33">
        <f si="42" t="shared"/>
        <v>0</v>
      </c>
      <c r="AA46" s="33">
        <f si="43" t="shared"/>
        <v>0</v>
      </c>
      <c r="AB46" s="33">
        <f si="44" t="shared"/>
        <v>0</v>
      </c>
      <c r="AC46" s="33">
        <f si="45" t="shared"/>
        <v>0</v>
      </c>
      <c r="AD46" s="33">
        <f si="46" t="shared"/>
        <v>0</v>
      </c>
      <c r="AE46" s="33">
        <f si="47" t="shared"/>
        <v>0</v>
      </c>
      <c r="AF46" s="33"/>
      <c r="AG46"/>
    </row>
    <row r="47" spans="1:35" x14ac:dyDescent="0.35">
      <c r="A47" s="25" t="s">
        <v>249</v>
      </c>
      <c r="B47" s="9">
        <f>output_NHTS!B196</f>
        <v>4000</v>
      </c>
      <c r="C47" s="9">
        <f>output_NHTS!C196</f>
        <v>97000</v>
      </c>
      <c r="D47" s="9">
        <f>output_NHTS!D196</f>
        <v>78000</v>
      </c>
      <c r="E47" s="9">
        <f>output_NHTS!E196</f>
        <v>215000</v>
      </c>
      <c r="F47" s="9"/>
      <c r="G47" s="59">
        <f si="48" t="shared"/>
        <v>394000</v>
      </c>
      <c r="H47" s="54"/>
      <c r="I47"/>
      <c r="K47"/>
      <c r="L47"/>
      <c r="M47" s="25" t="s">
        <v>249</v>
      </c>
      <c r="N47" s="59">
        <f>output!B196</f>
        <v>4000</v>
      </c>
      <c r="O47" s="59">
        <f>output!C196</f>
        <v>97000</v>
      </c>
      <c r="P47" s="59">
        <f>output!D196</f>
        <v>78000</v>
      </c>
      <c r="Q47" s="59">
        <f>output!E196</f>
        <v>215000</v>
      </c>
      <c r="R47" s="59"/>
      <c r="S47" s="59">
        <f si="49" t="shared"/>
        <v>394000</v>
      </c>
      <c r="T47" s="54"/>
      <c r="W47" s="57"/>
      <c r="Y47" s="25" t="s">
        <v>249</v>
      </c>
      <c r="Z47" s="9">
        <f si="42" t="shared"/>
        <v>0</v>
      </c>
      <c r="AA47" s="9">
        <f si="43" t="shared"/>
        <v>0</v>
      </c>
      <c r="AB47" s="9">
        <f si="44" t="shared"/>
        <v>0</v>
      </c>
      <c r="AC47" s="9">
        <f si="45" t="shared"/>
        <v>0</v>
      </c>
      <c r="AD47" s="9">
        <f si="46" t="shared"/>
        <v>0</v>
      </c>
      <c r="AE47" s="9">
        <f si="47" t="shared"/>
        <v>0</v>
      </c>
      <c r="AF47" s="33"/>
      <c r="AG47"/>
    </row>
    <row ht="13.15" r="48" spans="1:35" thickBot="1" x14ac:dyDescent="0.4">
      <c r="A48" s="10" t="s">
        <v>223</v>
      </c>
      <c r="B48" s="60">
        <f ref="B48:G48" si="50" t="shared">SUM(B40:B47)</f>
        <v>215000</v>
      </c>
      <c r="C48" s="60">
        <f si="50" t="shared"/>
        <v>1187000</v>
      </c>
      <c r="D48" s="60">
        <f si="50" t="shared"/>
        <v>1043000</v>
      </c>
      <c r="E48" s="60">
        <f si="50" t="shared"/>
        <v>2315000</v>
      </c>
      <c r="F48" s="60">
        <f si="50" t="shared"/>
        <v>0</v>
      </c>
      <c r="G48" s="60">
        <f si="50" t="shared"/>
        <v>4760000</v>
      </c>
      <c r="H48" s="54"/>
      <c r="I48"/>
      <c r="K48"/>
      <c r="L48"/>
      <c r="M48" s="10" t="s">
        <v>223</v>
      </c>
      <c r="N48" s="60">
        <f>SUM(N40:N47)</f>
        <v>215000</v>
      </c>
      <c r="O48" s="60">
        <f>SUM(O40:O47)</f>
        <v>1187000</v>
      </c>
      <c r="P48" s="60">
        <f>SUM(P40:P47)</f>
        <v>1043000</v>
      </c>
      <c r="Q48" s="60">
        <f>SUM(Q40:Q47)</f>
        <v>2315000</v>
      </c>
      <c r="R48" s="60"/>
      <c r="S48" s="60">
        <f>SUM(S40:S47)</f>
        <v>4760000</v>
      </c>
      <c r="T48" s="54"/>
      <c r="W48" s="57"/>
      <c r="Y48" s="10" t="s">
        <v>223</v>
      </c>
      <c r="Z48" s="22">
        <f si="42" t="shared"/>
        <v>0</v>
      </c>
      <c r="AA48" s="22">
        <f si="43" t="shared"/>
        <v>0</v>
      </c>
      <c r="AB48" s="22">
        <f si="44" t="shared"/>
        <v>0</v>
      </c>
      <c r="AC48" s="22">
        <f si="45" t="shared"/>
        <v>0</v>
      </c>
      <c r="AD48" s="22">
        <f si="46" t="shared"/>
        <v>0</v>
      </c>
      <c r="AE48" s="22">
        <f si="47" t="shared"/>
        <v>0</v>
      </c>
      <c r="AF48" s="33"/>
      <c r="AG48"/>
    </row>
    <row r="49" spans="1:35" x14ac:dyDescent="0.35">
      <c r="I49"/>
      <c r="K49"/>
      <c r="L49"/>
      <c r="W49" s="57"/>
      <c r="AG49"/>
    </row>
    <row r="50" spans="1:35" x14ac:dyDescent="0.35">
      <c r="A50" s="25" t="s">
        <v>88</v>
      </c>
      <c r="B50" s="7">
        <f>output_NHTS!B317</f>
        <v>193000</v>
      </c>
      <c r="C50" s="7">
        <f>output_NHTS!B318</f>
        <v>846000</v>
      </c>
      <c r="D50" s="7">
        <f>output_NHTS!B319</f>
        <v>714000</v>
      </c>
      <c r="E50" s="7">
        <f>output_NHTS!B320</f>
        <v>1528000</v>
      </c>
      <c r="F50" s="7"/>
      <c r="G50" s="54">
        <f>SUM(B50:E50)</f>
        <v>3281000</v>
      </c>
      <c r="H50" s="54"/>
      <c r="I50"/>
      <c r="K50"/>
      <c r="L50"/>
      <c r="M50" s="25" t="s">
        <v>88</v>
      </c>
      <c r="N50" s="53">
        <f>output!B317</f>
        <v>193000</v>
      </c>
      <c r="O50" s="53">
        <f>output!B318</f>
        <v>846000</v>
      </c>
      <c r="P50" s="53">
        <f>output!B319</f>
        <v>714000</v>
      </c>
      <c r="Q50" s="53">
        <f>output!B320</f>
        <v>1528000</v>
      </c>
      <c r="R50" s="53"/>
      <c r="S50" s="54">
        <f si="49" t="shared"/>
        <v>3281000</v>
      </c>
      <c r="T50" s="54"/>
      <c r="W50" s="57"/>
      <c r="Y50" s="25" t="s">
        <v>88</v>
      </c>
      <c r="Z50" s="7">
        <f ref="Z50:AE51" si="51" t="shared">N50-B50</f>
        <v>0</v>
      </c>
      <c r="AA50" s="7">
        <f si="51" t="shared"/>
        <v>0</v>
      </c>
      <c r="AB50" s="7">
        <f si="51" t="shared"/>
        <v>0</v>
      </c>
      <c r="AC50" s="7">
        <f si="51" t="shared"/>
        <v>0</v>
      </c>
      <c r="AD50" s="7">
        <f si="51" t="shared"/>
        <v>0</v>
      </c>
      <c r="AE50" s="7">
        <f si="51" t="shared"/>
        <v>0</v>
      </c>
      <c r="AF50" s="7"/>
      <c r="AG50"/>
    </row>
    <row r="51" spans="1:35" x14ac:dyDescent="0.35">
      <c r="A51" s="25" t="s">
        <v>89</v>
      </c>
      <c r="B51" s="37">
        <f ref="B51:G51" si="52" t="shared">B48/B50</f>
        <v>1.1139896373056994</v>
      </c>
      <c r="C51" s="37">
        <f si="52" t="shared"/>
        <v>1.4030732860520094</v>
      </c>
      <c r="D51" s="37">
        <f si="52" t="shared"/>
        <v>1.4607843137254901</v>
      </c>
      <c r="E51" s="37">
        <f si="52" t="shared"/>
        <v>1.5150523560209423</v>
      </c>
      <c r="F51" s="37" t="e">
        <f si="52" t="shared"/>
        <v>#DIV/0!</v>
      </c>
      <c r="G51" s="37">
        <f si="52" t="shared"/>
        <v>1.4507772020725389</v>
      </c>
      <c r="H51" s="37"/>
      <c r="I51"/>
      <c r="K51"/>
      <c r="L51"/>
      <c r="M51" s="25" t="s">
        <v>89</v>
      </c>
      <c r="N51" s="37">
        <f ref="N51:S51" si="53" t="shared">N48/N50</f>
        <v>1.1139896373056994</v>
      </c>
      <c r="O51" s="37">
        <f si="53" t="shared"/>
        <v>1.4030732860520094</v>
      </c>
      <c r="P51" s="37">
        <f si="53" t="shared"/>
        <v>1.4607843137254901</v>
      </c>
      <c r="Q51" s="37">
        <f si="53" t="shared"/>
        <v>1.5150523560209423</v>
      </c>
      <c r="R51" s="37"/>
      <c r="S51" s="37">
        <f si="53" t="shared"/>
        <v>1.4507772020725389</v>
      </c>
      <c r="T51" s="37"/>
      <c r="W51" s="57"/>
      <c r="Y51" s="25" t="s">
        <v>89</v>
      </c>
      <c r="Z51" s="38">
        <f si="51" t="shared"/>
        <v>0</v>
      </c>
      <c r="AA51" s="38">
        <f si="51" t="shared"/>
        <v>0</v>
      </c>
      <c r="AB51" s="38">
        <f si="51" t="shared"/>
        <v>0</v>
      </c>
      <c r="AC51" s="38">
        <f si="51" t="shared"/>
        <v>0</v>
      </c>
      <c r="AD51" s="38" t="e">
        <f si="51" t="shared"/>
        <v>#DIV/0!</v>
      </c>
      <c r="AE51" s="38">
        <f si="51" t="shared"/>
        <v>0</v>
      </c>
      <c r="AF51" s="38"/>
      <c r="AG51"/>
    </row>
    <row r="52" spans="1:35" x14ac:dyDescent="0.35">
      <c r="I52"/>
      <c r="K52"/>
      <c r="L52"/>
      <c r="W52" s="57"/>
      <c r="AG52"/>
      <c r="AI52"/>
    </row>
    <row ht="13.15" r="53" spans="1:35" x14ac:dyDescent="0.4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ht="13.15" r="54" spans="1:35" x14ac:dyDescent="0.4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241</v>
      </c>
      <c r="Z54"/>
      <c r="AA54"/>
      <c r="AB54"/>
      <c r="AC54"/>
      <c r="AD54"/>
      <c r="AE54"/>
      <c r="AF54"/>
      <c r="AG54"/>
      <c r="AI54"/>
    </row>
    <row ht="13.15" r="55" spans="1:35" thickBot="1" x14ac:dyDescent="0.4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ht="13.15" r="56" spans="1:35" x14ac:dyDescent="0.4">
      <c r="A56" s="5" t="s">
        <v>159</v>
      </c>
      <c r="B56" s="6" t="s">
        <v>298</v>
      </c>
      <c r="C56" s="6" t="s">
        <v>299</v>
      </c>
      <c r="D56" s="6" t="s">
        <v>300</v>
      </c>
      <c r="E56" s="6" t="s">
        <v>303</v>
      </c>
      <c r="F56" s="6" t="s">
        <v>172</v>
      </c>
      <c r="G56" s="6" t="s">
        <v>223</v>
      </c>
      <c r="H56" s="89"/>
      <c r="I56"/>
      <c r="L56"/>
      <c r="M56" s="5" t="s">
        <v>159</v>
      </c>
      <c r="N56" s="6" t="s">
        <v>298</v>
      </c>
      <c r="O56" s="6" t="s">
        <v>299</v>
      </c>
      <c r="P56" s="6" t="s">
        <v>300</v>
      </c>
      <c r="Q56" s="6" t="s">
        <v>303</v>
      </c>
      <c r="R56" s="41" t="s">
        <v>172</v>
      </c>
      <c r="S56" s="41" t="s">
        <v>223</v>
      </c>
      <c r="T56" s="101"/>
      <c r="Y56" s="5" t="s">
        <v>159</v>
      </c>
      <c r="Z56" s="6" t="s">
        <v>298</v>
      </c>
      <c r="AA56" s="6" t="s">
        <v>299</v>
      </c>
      <c r="AB56" s="6" t="s">
        <v>300</v>
      </c>
      <c r="AC56" s="6" t="s">
        <v>303</v>
      </c>
      <c r="AD56" s="41" t="s">
        <v>172</v>
      </c>
      <c r="AE56" s="41" t="s">
        <v>223</v>
      </c>
      <c r="AF56" s="101"/>
      <c r="AG56"/>
    </row>
    <row r="57" spans="1:35" x14ac:dyDescent="0.35">
      <c r="A57" s="3" t="s">
        <v>211</v>
      </c>
      <c r="B57" s="42">
        <f ref="B57:F64" si="54" t="shared">B40/B$48</f>
        <v>0.16279069767441862</v>
      </c>
      <c r="C57" s="42">
        <f si="54" t="shared"/>
        <v>0.26032013479359728</v>
      </c>
      <c r="D57" s="42">
        <f si="54" t="shared"/>
        <v>0.27900287631831255</v>
      </c>
      <c r="E57" s="42">
        <f si="54" t="shared"/>
        <v>0.31403887688984883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211</v>
      </c>
      <c r="N57" s="42">
        <f ref="N57:R65" si="55" t="shared">N40/N$48</f>
        <v>0.16279069767441862</v>
      </c>
      <c r="O57" s="42">
        <f si="55" t="shared"/>
        <v>0.26032013479359728</v>
      </c>
      <c r="P57" s="42">
        <f si="55" t="shared"/>
        <v>0.27900287631831255</v>
      </c>
      <c r="Q57" s="42">
        <f si="55" t="shared"/>
        <v>0.31403887688984883</v>
      </c>
      <c r="R57" s="42" t="e">
        <f si="55" t="shared"/>
        <v>#DIV/0!</v>
      </c>
      <c r="S57" s="42">
        <f ref="S57:S65" si="56" t="shared">S40/S$48</f>
        <v>0.28613445378151259</v>
      </c>
      <c r="T57" s="42"/>
      <c r="Y57" s="3" t="s">
        <v>211</v>
      </c>
      <c r="Z57" s="12">
        <f ref="Z57:Z65" si="57" t="shared">N57-B57</f>
        <v>0</v>
      </c>
      <c r="AA57" s="12">
        <f ref="AA57:AA65" si="58" t="shared">O57-C57</f>
        <v>0</v>
      </c>
      <c r="AB57" s="12">
        <f ref="AB57:AB65" si="59" t="shared">P57-D57</f>
        <v>0</v>
      </c>
      <c r="AC57" s="12">
        <f ref="AC57:AC65" si="60" t="shared">Q57-E57</f>
        <v>0</v>
      </c>
      <c r="AD57" s="12" t="e">
        <f ref="AD57:AD65" si="61" t="shared">R57-F57</f>
        <v>#DIV/0!</v>
      </c>
      <c r="AE57" s="12">
        <f ref="AE57:AE65" si="62" t="shared">S57-G57</f>
        <v>-2.3389533137182561E-2</v>
      </c>
      <c r="AF57" s="12"/>
      <c r="AG57"/>
    </row>
    <row r="58" spans="1:35" x14ac:dyDescent="0.35">
      <c r="A58" s="3" t="s">
        <v>212</v>
      </c>
      <c r="B58" s="42">
        <f si="54" t="shared"/>
        <v>0.21395348837209302</v>
      </c>
      <c r="C58" s="42">
        <f si="54" t="shared"/>
        <v>0.14827295703454085</v>
      </c>
      <c r="D58" s="42">
        <f si="54" t="shared"/>
        <v>0.1716203259827421</v>
      </c>
      <c r="E58" s="42">
        <f si="54" t="shared"/>
        <v>0.16285097192224621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212</v>
      </c>
      <c r="N58" s="42">
        <f si="55" t="shared"/>
        <v>0.21395348837209302</v>
      </c>
      <c r="O58" s="42">
        <f si="55" t="shared"/>
        <v>0.14827295703454085</v>
      </c>
      <c r="P58" s="42">
        <f si="55" t="shared"/>
        <v>0.1716203259827421</v>
      </c>
      <c r="Q58" s="42">
        <f si="55" t="shared"/>
        <v>0.16285097192224621</v>
      </c>
      <c r="R58" s="42" t="e">
        <f si="55" t="shared"/>
        <v>#DIV/0!</v>
      </c>
      <c r="S58" s="42">
        <f si="56" t="shared"/>
        <v>0.16344537815126051</v>
      </c>
      <c r="T58" s="42"/>
      <c r="Y58" s="3" t="s">
        <v>212</v>
      </c>
      <c r="Z58" s="12">
        <f si="57" t="shared"/>
        <v>0</v>
      </c>
      <c r="AA58" s="12">
        <f si="58" t="shared"/>
        <v>0</v>
      </c>
      <c r="AB58" s="12">
        <f si="59" t="shared"/>
        <v>0</v>
      </c>
      <c r="AC58" s="12">
        <f si="60" t="shared"/>
        <v>0</v>
      </c>
      <c r="AD58" s="12" t="e">
        <f si="61" t="shared"/>
        <v>#DIV/0!</v>
      </c>
      <c r="AE58" s="12">
        <f si="62" t="shared"/>
        <v>7.4245963060774189E-3</v>
      </c>
      <c r="AF58" s="12"/>
      <c r="AG58"/>
    </row>
    <row r="59" spans="1:35" x14ac:dyDescent="0.35">
      <c r="A59" s="3" t="s">
        <v>213</v>
      </c>
      <c r="B59" s="42">
        <f si="54" t="shared"/>
        <v>0.14418604651162792</v>
      </c>
      <c r="C59" s="42">
        <f si="54" t="shared"/>
        <v>0.12131423757371525</v>
      </c>
      <c r="D59" s="42">
        <f si="54" t="shared"/>
        <v>0.1236816874400767</v>
      </c>
      <c r="E59" s="42">
        <f si="54" t="shared"/>
        <v>0.11792656587473002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213</v>
      </c>
      <c r="N59" s="42">
        <f si="55" t="shared"/>
        <v>0.14418604651162792</v>
      </c>
      <c r="O59" s="42">
        <f si="55" t="shared"/>
        <v>0.12131423757371525</v>
      </c>
      <c r="P59" s="42">
        <f si="55" t="shared"/>
        <v>0.1236816874400767</v>
      </c>
      <c r="Q59" s="42">
        <f si="55" t="shared"/>
        <v>0.11792656587473002</v>
      </c>
      <c r="R59" s="42" t="e">
        <f si="55" t="shared"/>
        <v>#DIV/0!</v>
      </c>
      <c r="S59" s="42">
        <f si="56" t="shared"/>
        <v>0.12121848739495798</v>
      </c>
      <c r="T59" s="42"/>
      <c r="Y59" s="3" t="s">
        <v>213</v>
      </c>
      <c r="Z59" s="12">
        <f si="57" t="shared"/>
        <v>0</v>
      </c>
      <c r="AA59" s="12">
        <f si="58" t="shared"/>
        <v>0</v>
      </c>
      <c r="AB59" s="12">
        <f si="59" t="shared"/>
        <v>0</v>
      </c>
      <c r="AC59" s="12">
        <f si="60" t="shared"/>
        <v>0</v>
      </c>
      <c r="AD59" s="12" t="e">
        <f si="61" t="shared"/>
        <v>#DIV/0!</v>
      </c>
      <c r="AE59" s="12">
        <f si="62" t="shared"/>
        <v>-5.2955044425169503E-2</v>
      </c>
      <c r="AF59" s="12"/>
      <c r="AG59"/>
    </row>
    <row r="60" spans="1:35" x14ac:dyDescent="0.35">
      <c r="A60" s="3" t="s">
        <v>214</v>
      </c>
      <c r="B60" s="42">
        <f si="54" t="shared"/>
        <v>0.10697674418604651</v>
      </c>
      <c r="C60" s="42">
        <f si="54" t="shared"/>
        <v>7.834877843302443E-2</v>
      </c>
      <c r="D60" s="42">
        <f si="54" t="shared"/>
        <v>9.8753595397890706E-2</v>
      </c>
      <c r="E60" s="42">
        <f si="54" t="shared"/>
        <v>8.6393088552915762E-2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214</v>
      </c>
      <c r="N60" s="42">
        <f si="55" t="shared"/>
        <v>0.10697674418604651</v>
      </c>
      <c r="O60" s="42">
        <f si="55" t="shared"/>
        <v>7.834877843302443E-2</v>
      </c>
      <c r="P60" s="42">
        <f si="55" t="shared"/>
        <v>9.8753595397890706E-2</v>
      </c>
      <c r="Q60" s="42">
        <f si="55" t="shared"/>
        <v>8.6393088552915762E-2</v>
      </c>
      <c r="R60" s="42" t="e">
        <f si="55" t="shared"/>
        <v>#DIV/0!</v>
      </c>
      <c r="S60" s="42">
        <f si="56" t="shared"/>
        <v>8.802521008403362E-2</v>
      </c>
      <c r="T60" s="42"/>
      <c r="Y60" s="3" t="s">
        <v>214</v>
      </c>
      <c r="Z60" s="12">
        <f si="57" t="shared"/>
        <v>0</v>
      </c>
      <c r="AA60" s="12">
        <f si="58" t="shared"/>
        <v>0</v>
      </c>
      <c r="AB60" s="12">
        <f si="59" t="shared"/>
        <v>0</v>
      </c>
      <c r="AC60" s="12">
        <f si="60" t="shared"/>
        <v>0</v>
      </c>
      <c r="AD60" s="12" t="e">
        <f si="61" t="shared"/>
        <v>#DIV/0!</v>
      </c>
      <c r="AE60" s="12">
        <f si="62" t="shared"/>
        <v>-1.8209079095289224E-2</v>
      </c>
      <c r="AF60" s="12"/>
      <c r="AG60"/>
    </row>
    <row r="61" spans="1:35" x14ac:dyDescent="0.35">
      <c r="A61" s="3" t="s">
        <v>215</v>
      </c>
      <c r="B61" s="42">
        <f si="54" t="shared"/>
        <v>6.0465116279069767E-2</v>
      </c>
      <c r="C61" s="42">
        <f si="54" t="shared"/>
        <v>4.1280539174389216E-2</v>
      </c>
      <c r="D61" s="42">
        <f si="54" t="shared"/>
        <v>2.5886864813039309E-2</v>
      </c>
      <c r="E61" s="42">
        <f si="54" t="shared"/>
        <v>2.0734341252699785E-2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215</v>
      </c>
      <c r="N61" s="42">
        <f si="55" t="shared"/>
        <v>6.0465116279069767E-2</v>
      </c>
      <c r="O61" s="42">
        <f si="55" t="shared"/>
        <v>4.1280539174389216E-2</v>
      </c>
      <c r="P61" s="42">
        <f si="55" t="shared"/>
        <v>2.5886864813039309E-2</v>
      </c>
      <c r="Q61" s="42">
        <f si="55" t="shared"/>
        <v>2.0734341252699785E-2</v>
      </c>
      <c r="R61" s="42" t="e">
        <f si="55" t="shared"/>
        <v>#DIV/0!</v>
      </c>
      <c r="S61" s="42">
        <f si="56" t="shared"/>
        <v>2.8781512605042015E-2</v>
      </c>
      <c r="T61" s="42"/>
      <c r="Y61" s="3" t="s">
        <v>215</v>
      </c>
      <c r="Z61" s="12">
        <f si="57" t="shared"/>
        <v>0</v>
      </c>
      <c r="AA61" s="12">
        <f si="58" t="shared"/>
        <v>0</v>
      </c>
      <c r="AB61" s="12">
        <f si="59" t="shared"/>
        <v>0</v>
      </c>
      <c r="AC61" s="12">
        <f si="60" t="shared"/>
        <v>0</v>
      </c>
      <c r="AD61" s="12" t="e">
        <f si="61" t="shared"/>
        <v>#DIV/0!</v>
      </c>
      <c r="AE61" s="12">
        <f si="62" t="shared"/>
        <v>-4.8186397243838483E-2</v>
      </c>
      <c r="AF61" s="12"/>
      <c r="AG61"/>
    </row>
    <row r="62" spans="1:35" x14ac:dyDescent="0.35">
      <c r="A62" s="3" t="s">
        <v>129</v>
      </c>
      <c r="B62" s="42">
        <f si="54" t="shared"/>
        <v>7.9069767441860464E-2</v>
      </c>
      <c r="C62" s="42">
        <f si="54" t="shared"/>
        <v>6.2342038753159225E-2</v>
      </c>
      <c r="D62" s="42">
        <f si="54" t="shared"/>
        <v>5.9443911792905084E-2</v>
      </c>
      <c r="E62" s="42">
        <f si="54" t="shared"/>
        <v>5.9179265658747301E-2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7.9069767441860464E-2</v>
      </c>
      <c r="O62" s="42">
        <f si="55" t="shared"/>
        <v>6.2342038753159225E-2</v>
      </c>
      <c r="P62" s="42">
        <f si="55" t="shared"/>
        <v>5.9443911792905084E-2</v>
      </c>
      <c r="Q62" s="42">
        <f si="55" t="shared"/>
        <v>5.9179265658747301E-2</v>
      </c>
      <c r="R62" s="42" t="e">
        <f si="55" t="shared"/>
        <v>#DIV/0!</v>
      </c>
      <c r="S62" s="42">
        <f si="56" t="shared"/>
        <v>6.0924369747899158E-2</v>
      </c>
      <c r="T62" s="42"/>
      <c r="Y62" s="3" t="s">
        <v>129</v>
      </c>
      <c r="Z62" s="12">
        <f si="57" t="shared"/>
        <v>0</v>
      </c>
      <c r="AA62" s="12">
        <f si="58" t="shared"/>
        <v>0</v>
      </c>
      <c r="AB62" s="12">
        <f si="59" t="shared"/>
        <v>0</v>
      </c>
      <c r="AC62" s="12">
        <f si="60" t="shared"/>
        <v>0</v>
      </c>
      <c r="AD62" s="12" t="e">
        <f si="61" t="shared"/>
        <v>#DIV/0!</v>
      </c>
      <c r="AE62" s="12">
        <f si="62" t="shared"/>
        <v>2.4122805028871541E-2</v>
      </c>
      <c r="AF62" s="12"/>
      <c r="AG62"/>
    </row>
    <row r="63" spans="1:35" x14ac:dyDescent="0.35">
      <c r="A63" s="25" t="s">
        <v>130</v>
      </c>
      <c r="B63" s="42">
        <f si="54" t="shared"/>
        <v>0.21395348837209302</v>
      </c>
      <c r="C63" s="42">
        <f si="54" t="shared"/>
        <v>0.2064026958719461</v>
      </c>
      <c r="D63" s="42">
        <f si="54" t="shared"/>
        <v>0.16682646212847554</v>
      </c>
      <c r="E63" s="42">
        <f si="54" t="shared"/>
        <v>0.14600431965442764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0.21395348837209302</v>
      </c>
      <c r="O63" s="56">
        <f si="55" t="shared"/>
        <v>0.2064026958719461</v>
      </c>
      <c r="P63" s="56">
        <f si="55" t="shared"/>
        <v>0.16682646212847554</v>
      </c>
      <c r="Q63" s="56">
        <f si="55" t="shared"/>
        <v>0.14600431965442764</v>
      </c>
      <c r="R63" s="56" t="e">
        <f si="55" t="shared"/>
        <v>#DIV/0!</v>
      </c>
      <c r="S63" s="56">
        <f si="56" t="shared"/>
        <v>0.16869747899159665</v>
      </c>
      <c r="T63" s="56"/>
      <c r="Y63" s="25" t="s">
        <v>130</v>
      </c>
      <c r="Z63" s="12">
        <f si="57" t="shared"/>
        <v>0</v>
      </c>
      <c r="AA63" s="12">
        <f si="58" t="shared"/>
        <v>0</v>
      </c>
      <c r="AB63" s="12">
        <f si="59" t="shared"/>
        <v>0</v>
      </c>
      <c r="AC63" s="12">
        <f si="60" t="shared"/>
        <v>0</v>
      </c>
      <c r="AD63" s="12" t="e">
        <f si="61" t="shared"/>
        <v>#DIV/0!</v>
      </c>
      <c r="AE63" s="12">
        <f si="62" t="shared"/>
        <v>5.2736571010409614E-2</v>
      </c>
      <c r="AF63" s="12"/>
      <c r="AG63"/>
    </row>
    <row r="64" spans="1:35" x14ac:dyDescent="0.35">
      <c r="A64" s="25" t="s">
        <v>249</v>
      </c>
      <c r="B64" s="42">
        <f si="54" t="shared"/>
        <v>1.8604651162790697E-2</v>
      </c>
      <c r="C64" s="42">
        <f si="54" t="shared"/>
        <v>8.1718618365627632E-2</v>
      </c>
      <c r="D64" s="42">
        <f si="54" t="shared"/>
        <v>7.4784276126558011E-2</v>
      </c>
      <c r="E64" s="42">
        <f si="54" t="shared"/>
        <v>9.2872570194384454E-2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249</v>
      </c>
      <c r="N64" s="56">
        <f si="55" t="shared"/>
        <v>1.8604651162790697E-2</v>
      </c>
      <c r="O64" s="56">
        <f si="55" t="shared"/>
        <v>8.1718618365627632E-2</v>
      </c>
      <c r="P64" s="56">
        <f si="55" t="shared"/>
        <v>7.4784276126558011E-2</v>
      </c>
      <c r="Q64" s="56">
        <f si="55" t="shared"/>
        <v>9.2872570194384454E-2</v>
      </c>
      <c r="R64" s="56" t="e">
        <f si="55" t="shared"/>
        <v>#DIV/0!</v>
      </c>
      <c r="S64" s="56">
        <f si="56" t="shared"/>
        <v>8.2773109243697476E-2</v>
      </c>
      <c r="T64" s="56"/>
      <c r="Y64" s="25" t="s">
        <v>249</v>
      </c>
      <c r="Z64" s="12">
        <f si="57" t="shared"/>
        <v>0</v>
      </c>
      <c r="AA64" s="12">
        <f si="58" t="shared"/>
        <v>0</v>
      </c>
      <c r="AB64" s="12">
        <f si="59" t="shared"/>
        <v>0</v>
      </c>
      <c r="AC64" s="12">
        <f si="60" t="shared"/>
        <v>0</v>
      </c>
      <c r="AD64" s="12" t="e">
        <f si="61" t="shared"/>
        <v>#DIV/0!</v>
      </c>
      <c r="AE64" s="12">
        <f si="62" t="shared"/>
        <v>5.8456081556121184E-2</v>
      </c>
      <c r="AF64" s="12"/>
      <c r="AG64"/>
    </row>
    <row ht="13.15" r="65" spans="1:41" thickBot="1" x14ac:dyDescent="0.4">
      <c r="A65" s="10" t="s">
        <v>223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223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223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35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35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35">
      <c r="L68"/>
      <c r="AH68"/>
      <c r="AI68"/>
      <c r="AJ68"/>
      <c r="AK68"/>
      <c r="AL68"/>
      <c r="AM68"/>
      <c r="AN68"/>
      <c r="AO68"/>
    </row>
    <row r="69" spans="1:41" x14ac:dyDescent="0.35">
      <c r="L69"/>
      <c r="AH69"/>
      <c r="AI69"/>
      <c r="AJ69"/>
      <c r="AK69"/>
      <c r="AL69"/>
      <c r="AM69"/>
      <c r="AN69"/>
      <c r="AO69"/>
    </row>
    <row ht="13.15" r="70" spans="1:41" x14ac:dyDescent="0.4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ht="13.15" r="71" spans="1:41" x14ac:dyDescent="0.4">
      <c r="A71" s="2" t="s">
        <v>219</v>
      </c>
      <c r="L71"/>
      <c r="M71" s="2" t="s">
        <v>166</v>
      </c>
      <c r="Y71" s="2" t="s">
        <v>242</v>
      </c>
      <c r="AH71"/>
      <c r="AI71"/>
      <c r="AJ71"/>
      <c r="AK71"/>
      <c r="AL71"/>
      <c r="AM71"/>
      <c r="AN71"/>
      <c r="AO71"/>
    </row>
    <row ht="13.15" r="72" spans="1:41" thickBot="1" x14ac:dyDescent="0.4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ht="13.15" r="73" spans="1:41" x14ac:dyDescent="0.4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223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223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223</v>
      </c>
      <c r="AH73"/>
      <c r="AI73"/>
      <c r="AJ73"/>
      <c r="AK73"/>
      <c r="AL73"/>
      <c r="AM73"/>
      <c r="AN73"/>
      <c r="AO73"/>
    </row>
    <row r="74" spans="1:41" x14ac:dyDescent="0.35">
      <c r="A74" s="3" t="s">
        <v>211</v>
      </c>
      <c r="B74" s="7">
        <f>output_NHTS!B200</f>
        <v>2000</v>
      </c>
      <c r="C74" s="7">
        <f>output_NHTS!C200</f>
        <v>178000</v>
      </c>
      <c r="D74" s="7">
        <f>output_NHTS!D200</f>
        <v>893000</v>
      </c>
      <c r="E74" s="7">
        <f>output_NHTS!E200</f>
        <v>289000</v>
      </c>
      <c r="F74" s="7">
        <f>output_NHTS!F200</f>
        <v>1362000</v>
      </c>
      <c r="L74"/>
      <c r="M74" s="3" t="s">
        <v>211</v>
      </c>
      <c r="N74" s="53">
        <f>output!B200</f>
        <v>2000</v>
      </c>
      <c r="O74" s="53">
        <f>output!C200</f>
        <v>178000</v>
      </c>
      <c r="P74" s="53">
        <f>output!D200</f>
        <v>893000</v>
      </c>
      <c r="Q74" s="53">
        <f>output!E200</f>
        <v>289000</v>
      </c>
      <c r="R74" s="53">
        <f>output!F200</f>
        <v>1362000</v>
      </c>
      <c r="Y74" s="3" t="s">
        <v>211</v>
      </c>
      <c r="Z74" s="7">
        <f ref="Z74:Z82" si="63" t="shared">N74-B74</f>
        <v>0</v>
      </c>
      <c r="AA74" s="7">
        <f ref="AA74:AA82" si="64" t="shared">O74-C74</f>
        <v>0</v>
      </c>
      <c r="AB74" s="7">
        <f ref="AB74:AB82" si="65" t="shared">P74-D74</f>
        <v>0</v>
      </c>
      <c r="AC74" s="7">
        <f ref="AC74:AC82" si="66" t="shared">Q74-E74</f>
        <v>0</v>
      </c>
      <c r="AD74" s="7">
        <f ref="AD74:AD82" si="67" t="shared">R74-F74</f>
        <v>0</v>
      </c>
      <c r="AH74"/>
      <c r="AI74"/>
      <c r="AJ74"/>
      <c r="AK74"/>
      <c r="AL74"/>
      <c r="AM74"/>
      <c r="AN74"/>
      <c r="AO74"/>
    </row>
    <row r="75" spans="1:41" x14ac:dyDescent="0.35">
      <c r="A75" s="3" t="s">
        <v>212</v>
      </c>
      <c r="B75" s="7">
        <f>output_NHTS!B201</f>
        <v>5000</v>
      </c>
      <c r="C75" s="7">
        <f>output_NHTS!C201</f>
        <v>124000</v>
      </c>
      <c r="D75" s="7">
        <f>output_NHTS!D201</f>
        <v>504000</v>
      </c>
      <c r="E75" s="7">
        <f>output_NHTS!E201</f>
        <v>145000</v>
      </c>
      <c r="F75" s="7">
        <f>output_NHTS!F201</f>
        <v>778000</v>
      </c>
      <c r="L75"/>
      <c r="M75" s="3" t="s">
        <v>212</v>
      </c>
      <c r="N75" s="53">
        <f>output!B201</f>
        <v>5000</v>
      </c>
      <c r="O75" s="53">
        <f>output!C201</f>
        <v>124000</v>
      </c>
      <c r="P75" s="53">
        <f>output!D201</f>
        <v>504000</v>
      </c>
      <c r="Q75" s="53">
        <f>output!E201</f>
        <v>145000</v>
      </c>
      <c r="R75" s="53">
        <f>output!F201</f>
        <v>778000</v>
      </c>
      <c r="Y75" s="3" t="s">
        <v>212</v>
      </c>
      <c r="Z75" s="7">
        <f si="63" t="shared"/>
        <v>0</v>
      </c>
      <c r="AA75" s="7">
        <f si="64" t="shared"/>
        <v>0</v>
      </c>
      <c r="AB75" s="7">
        <f si="65" t="shared"/>
        <v>0</v>
      </c>
      <c r="AC75" s="7">
        <f si="66" t="shared"/>
        <v>0</v>
      </c>
      <c r="AD75" s="7">
        <f si="67" t="shared"/>
        <v>0</v>
      </c>
      <c r="AH75"/>
      <c r="AI75"/>
      <c r="AJ75"/>
      <c r="AK75"/>
      <c r="AL75"/>
      <c r="AM75"/>
      <c r="AN75"/>
      <c r="AO75"/>
    </row>
    <row r="76" spans="1:41" x14ac:dyDescent="0.35">
      <c r="A76" s="3" t="s">
        <v>213</v>
      </c>
      <c r="B76" s="7">
        <f>output_NHTS!B202</f>
        <v>6000</v>
      </c>
      <c r="C76" s="7">
        <f>output_NHTS!C202</f>
        <v>103000</v>
      </c>
      <c r="D76" s="7">
        <f>output_NHTS!D202</f>
        <v>361000</v>
      </c>
      <c r="E76" s="7">
        <f>output_NHTS!E202</f>
        <v>107000</v>
      </c>
      <c r="F76" s="7">
        <f>output_NHTS!F202</f>
        <v>577000</v>
      </c>
      <c r="L76"/>
      <c r="M76" s="3" t="s">
        <v>213</v>
      </c>
      <c r="N76" s="53">
        <f>output!B202</f>
        <v>6000</v>
      </c>
      <c r="O76" s="53">
        <f>output!C202</f>
        <v>103000</v>
      </c>
      <c r="P76" s="53">
        <f>output!D202</f>
        <v>361000</v>
      </c>
      <c r="Q76" s="53">
        <f>output!E202</f>
        <v>107000</v>
      </c>
      <c r="R76" s="53">
        <f>output!F202</f>
        <v>577000</v>
      </c>
      <c r="Y76" s="3" t="s">
        <v>213</v>
      </c>
      <c r="Z76" s="7">
        <f si="63" t="shared"/>
        <v>0</v>
      </c>
      <c r="AA76" s="7">
        <f si="64" t="shared"/>
        <v>0</v>
      </c>
      <c r="AB76" s="7">
        <f si="65" t="shared"/>
        <v>0</v>
      </c>
      <c r="AC76" s="7">
        <f si="66" t="shared"/>
        <v>0</v>
      </c>
      <c r="AD76" s="7">
        <f si="67" t="shared"/>
        <v>0</v>
      </c>
      <c r="AH76"/>
      <c r="AI76"/>
      <c r="AJ76"/>
      <c r="AK76"/>
      <c r="AL76"/>
      <c r="AM76"/>
      <c r="AN76"/>
      <c r="AO76"/>
    </row>
    <row r="77" spans="1:41" x14ac:dyDescent="0.35">
      <c r="A77" s="3" t="s">
        <v>214</v>
      </c>
      <c r="B77" s="7">
        <f>output_NHTS!B203</f>
        <v>2000</v>
      </c>
      <c r="C77" s="7">
        <f>output_NHTS!C203</f>
        <v>63000</v>
      </c>
      <c r="D77" s="7">
        <f>output_NHTS!D203</f>
        <v>277000</v>
      </c>
      <c r="E77" s="7">
        <f>output_NHTS!E203</f>
        <v>77000</v>
      </c>
      <c r="F77" s="7">
        <f>output_NHTS!F203</f>
        <v>419000</v>
      </c>
      <c r="L77"/>
      <c r="M77" s="3" t="s">
        <v>214</v>
      </c>
      <c r="N77" s="53">
        <f>output!B203</f>
        <v>2000</v>
      </c>
      <c r="O77" s="53">
        <f>output!C203</f>
        <v>63000</v>
      </c>
      <c r="P77" s="53">
        <f>output!D203</f>
        <v>277000</v>
      </c>
      <c r="Q77" s="53">
        <f>output!E203</f>
        <v>77000</v>
      </c>
      <c r="R77" s="53">
        <f>output!F203</f>
        <v>419000</v>
      </c>
      <c r="Y77" s="3" t="s">
        <v>214</v>
      </c>
      <c r="Z77" s="7">
        <f si="63" t="shared"/>
        <v>0</v>
      </c>
      <c r="AA77" s="7">
        <f si="64" t="shared"/>
        <v>0</v>
      </c>
      <c r="AB77" s="7">
        <f si="65" t="shared"/>
        <v>0</v>
      </c>
      <c r="AC77" s="7">
        <f si="66" t="shared"/>
        <v>0</v>
      </c>
      <c r="AD77" s="7">
        <f si="67" t="shared"/>
        <v>0</v>
      </c>
      <c r="AH77"/>
      <c r="AI77"/>
      <c r="AJ77"/>
      <c r="AK77"/>
      <c r="AL77"/>
      <c r="AM77"/>
      <c r="AN77"/>
      <c r="AO77"/>
    </row>
    <row r="78" spans="1:41" x14ac:dyDescent="0.35">
      <c r="A78" s="3" t="s">
        <v>215</v>
      </c>
      <c r="B78" s="7">
        <f>output_NHTS!B204</f>
        <v>1000</v>
      </c>
      <c r="C78" s="7">
        <f>output_NHTS!C204</f>
        <v>22000</v>
      </c>
      <c r="D78" s="7">
        <f>output_NHTS!D204</f>
        <v>92000</v>
      </c>
      <c r="E78" s="7">
        <f>output_NHTS!E204</f>
        <v>22000</v>
      </c>
      <c r="F78" s="7">
        <f>output_NHTS!F204</f>
        <v>137000</v>
      </c>
      <c r="L78"/>
      <c r="M78" s="3" t="s">
        <v>215</v>
      </c>
      <c r="N78" s="53">
        <f>output!B204</f>
        <v>1000</v>
      </c>
      <c r="O78" s="53">
        <f>output!C204</f>
        <v>22000</v>
      </c>
      <c r="P78" s="53">
        <f>output!D204</f>
        <v>92000</v>
      </c>
      <c r="Q78" s="53">
        <f>output!E204</f>
        <v>22000</v>
      </c>
      <c r="R78" s="53">
        <f>output!F204</f>
        <v>137000</v>
      </c>
      <c r="Y78" s="3" t="s">
        <v>215</v>
      </c>
      <c r="Z78" s="7">
        <f si="63" t="shared"/>
        <v>0</v>
      </c>
      <c r="AA78" s="7">
        <f si="64" t="shared"/>
        <v>0</v>
      </c>
      <c r="AB78" s="7">
        <f si="65" t="shared"/>
        <v>0</v>
      </c>
      <c r="AC78" s="7">
        <f si="66" t="shared"/>
        <v>0</v>
      </c>
      <c r="AD78" s="7">
        <f si="67" t="shared"/>
        <v>0</v>
      </c>
      <c r="AH78"/>
      <c r="AI78"/>
      <c r="AJ78"/>
      <c r="AK78"/>
      <c r="AL78"/>
      <c r="AM78"/>
      <c r="AN78"/>
      <c r="AO78"/>
    </row>
    <row r="79" spans="1:41" x14ac:dyDescent="0.35">
      <c r="A79" s="3" t="s">
        <v>129</v>
      </c>
      <c r="B79" s="7">
        <f>output_NHTS!B205</f>
        <v>4000</v>
      </c>
      <c r="C79" s="7">
        <f>output_NHTS!C205</f>
        <v>36000</v>
      </c>
      <c r="D79" s="7">
        <f>output_NHTS!D205</f>
        <v>183000</v>
      </c>
      <c r="E79" s="7">
        <f>output_NHTS!E205</f>
        <v>67000</v>
      </c>
      <c r="F79" s="7">
        <f>output_NHTS!F205</f>
        <v>290000</v>
      </c>
      <c r="L79"/>
      <c r="M79" s="3" t="s">
        <v>129</v>
      </c>
      <c r="N79" s="53">
        <f>output!B205</f>
        <v>4000</v>
      </c>
      <c r="O79" s="53">
        <f>output!C205</f>
        <v>36000</v>
      </c>
      <c r="P79" s="53">
        <f>output!D205</f>
        <v>183000</v>
      </c>
      <c r="Q79" s="53">
        <f>output!E205</f>
        <v>67000</v>
      </c>
      <c r="R79" s="53">
        <f>output!F205</f>
        <v>290000</v>
      </c>
      <c r="Y79" s="3" t="s">
        <v>129</v>
      </c>
      <c r="Z79" s="7">
        <f si="63" t="shared"/>
        <v>0</v>
      </c>
      <c r="AA79" s="7">
        <f si="64" t="shared"/>
        <v>0</v>
      </c>
      <c r="AB79" s="7">
        <f si="65" t="shared"/>
        <v>0</v>
      </c>
      <c r="AC79" s="7">
        <f si="66" t="shared"/>
        <v>0</v>
      </c>
      <c r="AD79" s="7">
        <f si="67" t="shared"/>
        <v>0</v>
      </c>
      <c r="AH79"/>
      <c r="AI79"/>
      <c r="AJ79"/>
      <c r="AK79"/>
      <c r="AL79"/>
      <c r="AM79"/>
      <c r="AN79"/>
      <c r="AO79"/>
    </row>
    <row r="80" spans="1:41" x14ac:dyDescent="0.35">
      <c r="A80" s="25" t="s">
        <v>130</v>
      </c>
      <c r="B80" s="7">
        <f>output_NHTS!B206</f>
        <v>3000</v>
      </c>
      <c r="C80" s="7">
        <f>output_NHTS!C206</f>
        <v>131000</v>
      </c>
      <c r="D80" s="7">
        <f>output_NHTS!D206</f>
        <v>518000</v>
      </c>
      <c r="E80" s="7">
        <f>output_NHTS!E206</f>
        <v>151000</v>
      </c>
      <c r="F80" s="7">
        <f>output_NHTS!F206</f>
        <v>803000</v>
      </c>
      <c r="L80"/>
      <c r="M80" s="25" t="s">
        <v>130</v>
      </c>
      <c r="N80" s="54">
        <f>output!B206</f>
        <v>3000</v>
      </c>
      <c r="O80" s="54">
        <f>output!C206</f>
        <v>131000</v>
      </c>
      <c r="P80" s="54">
        <f>output!D206</f>
        <v>518000</v>
      </c>
      <c r="Q80" s="54">
        <f>output!E206</f>
        <v>151000</v>
      </c>
      <c r="R80" s="54">
        <f>output!F206</f>
        <v>803000</v>
      </c>
      <c r="Y80" s="25" t="s">
        <v>130</v>
      </c>
      <c r="Z80" s="33">
        <f si="63" t="shared"/>
        <v>0</v>
      </c>
      <c r="AA80" s="33">
        <f si="64" t="shared"/>
        <v>0</v>
      </c>
      <c r="AB80" s="33">
        <f si="65" t="shared"/>
        <v>0</v>
      </c>
      <c r="AC80" s="33">
        <f si="66" t="shared"/>
        <v>0</v>
      </c>
      <c r="AD80" s="33">
        <f si="67" t="shared"/>
        <v>0</v>
      </c>
      <c r="AH80"/>
      <c r="AI80"/>
      <c r="AJ80"/>
      <c r="AK80"/>
      <c r="AL80"/>
      <c r="AM80"/>
      <c r="AN80"/>
      <c r="AO80"/>
    </row>
    <row r="81" spans="1:41" x14ac:dyDescent="0.35">
      <c r="A81" s="25" t="s">
        <v>249</v>
      </c>
      <c r="B81" s="9">
        <f>output_NHTS!B207</f>
        <v>1000</v>
      </c>
      <c r="C81" s="9">
        <f>output_NHTS!C207</f>
        <v>53000</v>
      </c>
      <c r="D81" s="9">
        <f>output_NHTS!D207</f>
        <v>268000</v>
      </c>
      <c r="E81" s="9">
        <f>output_NHTS!E207</f>
        <v>72000</v>
      </c>
      <c r="F81" s="9">
        <f>output_NHTS!F207</f>
        <v>394000</v>
      </c>
      <c r="L81"/>
      <c r="M81" s="25" t="s">
        <v>249</v>
      </c>
      <c r="N81" s="59">
        <f>output!B207</f>
        <v>1000</v>
      </c>
      <c r="O81" s="59">
        <f>output!C207</f>
        <v>53000</v>
      </c>
      <c r="P81" s="59">
        <f>output!D207</f>
        <v>268000</v>
      </c>
      <c r="Q81" s="59">
        <f>output!E207</f>
        <v>72000</v>
      </c>
      <c r="R81" s="59">
        <f>output!F207</f>
        <v>394000</v>
      </c>
      <c r="Y81" s="25" t="s">
        <v>249</v>
      </c>
      <c r="Z81" s="9">
        <f si="63" t="shared"/>
        <v>0</v>
      </c>
      <c r="AA81" s="9">
        <f si="64" t="shared"/>
        <v>0</v>
      </c>
      <c r="AB81" s="9">
        <f si="65" t="shared"/>
        <v>0</v>
      </c>
      <c r="AC81" s="9">
        <f si="66" t="shared"/>
        <v>0</v>
      </c>
      <c r="AD81" s="9">
        <f si="67" t="shared"/>
        <v>0</v>
      </c>
      <c r="AH81"/>
      <c r="AI81"/>
      <c r="AJ81"/>
      <c r="AK81"/>
      <c r="AL81"/>
      <c r="AM81"/>
      <c r="AN81"/>
      <c r="AO81"/>
    </row>
    <row ht="13.15" r="82" spans="1:41" thickBot="1" x14ac:dyDescent="0.4">
      <c r="A82" s="10" t="s">
        <v>223</v>
      </c>
      <c r="B82" s="60">
        <f>SUM(B74:B81)</f>
        <v>24000</v>
      </c>
      <c r="C82" s="60">
        <f>SUM(C74:C81)</f>
        <v>710000</v>
      </c>
      <c r="D82" s="60">
        <f>SUM(D74:D81)</f>
        <v>3096000</v>
      </c>
      <c r="E82" s="60">
        <f>SUM(E74:E81)</f>
        <v>930000</v>
      </c>
      <c r="F82" s="60">
        <f>SUM(F74:F81)</f>
        <v>4760000</v>
      </c>
      <c r="L82"/>
      <c r="M82" s="10" t="s">
        <v>223</v>
      </c>
      <c r="N82" s="60">
        <f>SUM(N74:N81)</f>
        <v>24000</v>
      </c>
      <c r="O82" s="60">
        <f>SUM(O74:O81)</f>
        <v>710000</v>
      </c>
      <c r="P82" s="60">
        <f>SUM(P74:P81)</f>
        <v>3096000</v>
      </c>
      <c r="Q82" s="60">
        <f>SUM(Q74:Q81)</f>
        <v>930000</v>
      </c>
      <c r="R82" s="60">
        <f>SUM(R74:R81)</f>
        <v>4760000</v>
      </c>
      <c r="Y82" s="10" t="s">
        <v>223</v>
      </c>
      <c r="Z82" s="22">
        <f si="63" t="shared"/>
        <v>0</v>
      </c>
      <c r="AA82" s="22">
        <f si="64" t="shared"/>
        <v>0</v>
      </c>
      <c r="AB82" s="22">
        <f si="65" t="shared"/>
        <v>0</v>
      </c>
      <c r="AC82" s="22">
        <f si="66" t="shared"/>
        <v>0</v>
      </c>
      <c r="AD82" s="22">
        <f si="67" t="shared"/>
        <v>0</v>
      </c>
      <c r="AH82"/>
      <c r="AI82"/>
      <c r="AJ82"/>
      <c r="AK82"/>
      <c r="AL82"/>
      <c r="AM82"/>
      <c r="AN82"/>
      <c r="AO82"/>
    </row>
    <row r="83" spans="1:41" x14ac:dyDescent="0.35">
      <c r="L83"/>
      <c r="AH83"/>
      <c r="AI83"/>
      <c r="AJ83"/>
      <c r="AK83"/>
      <c r="AL83"/>
      <c r="AM83"/>
      <c r="AN83"/>
      <c r="AO83"/>
    </row>
    <row r="84" spans="1:41" x14ac:dyDescent="0.35">
      <c r="A84" s="25" t="s">
        <v>88</v>
      </c>
      <c r="B84" s="7">
        <f>output_NHTS!B324</f>
        <v>20000</v>
      </c>
      <c r="C84" s="7">
        <f>output_NHTS!B325</f>
        <v>511000</v>
      </c>
      <c r="D84" s="7">
        <f>output_NHTS!B326</f>
        <v>2128000</v>
      </c>
      <c r="E84" s="7">
        <f>output_NHTS!B327</f>
        <v>622000</v>
      </c>
      <c r="F84" s="53">
        <f>SUM(B84:E84)</f>
        <v>3281000</v>
      </c>
      <c r="L84"/>
      <c r="M84" s="25" t="s">
        <v>88</v>
      </c>
      <c r="N84" s="53">
        <f>output!B324</f>
        <v>20000</v>
      </c>
      <c r="O84" s="53">
        <f>output!B325</f>
        <v>511000</v>
      </c>
      <c r="P84" s="53">
        <f>output!B326</f>
        <v>2128000</v>
      </c>
      <c r="Q84" s="53">
        <f>output!B327</f>
        <v>622000</v>
      </c>
      <c r="R84" s="53">
        <f>SUM(N84:Q84)</f>
        <v>3281000</v>
      </c>
      <c r="Y84" s="25" t="s">
        <v>88</v>
      </c>
      <c r="Z84" s="7">
        <f ref="Z84:AD85" si="68" t="shared">N84-B84</f>
        <v>0</v>
      </c>
      <c r="AA84" s="7">
        <f si="68" t="shared"/>
        <v>0</v>
      </c>
      <c r="AB84" s="7">
        <f si="68" t="shared"/>
        <v>0</v>
      </c>
      <c r="AC84" s="7">
        <f si="68" t="shared"/>
        <v>0</v>
      </c>
      <c r="AD84" s="7">
        <f si="68" t="shared"/>
        <v>0</v>
      </c>
      <c r="AH84"/>
      <c r="AI84"/>
      <c r="AJ84"/>
      <c r="AK84"/>
      <c r="AL84"/>
      <c r="AM84"/>
      <c r="AN84"/>
      <c r="AO84"/>
    </row>
    <row r="85" spans="1:41" x14ac:dyDescent="0.35">
      <c r="A85" s="25" t="s">
        <v>89</v>
      </c>
      <c r="B85" s="37">
        <f>B82/B84</f>
        <v>1.2</v>
      </c>
      <c r="C85" s="37">
        <f>C82/C84</f>
        <v>1.3894324853228963</v>
      </c>
      <c r="D85" s="37">
        <f>D82/D84</f>
        <v>1.4548872180451127</v>
      </c>
      <c r="E85" s="37">
        <f>E82/E84</f>
        <v>1.495176848874598</v>
      </c>
      <c r="F85" s="37">
        <f>F82/F84</f>
        <v>1.4507772020725389</v>
      </c>
      <c r="L85"/>
      <c r="M85" s="25" t="s">
        <v>89</v>
      </c>
      <c r="N85" s="37">
        <f>N82/N84</f>
        <v>1.2</v>
      </c>
      <c r="O85" s="37">
        <f>O82/O84</f>
        <v>1.3894324853228963</v>
      </c>
      <c r="P85" s="37">
        <f>P82/P84</f>
        <v>1.4548872180451127</v>
      </c>
      <c r="Q85" s="37">
        <f>Q82/Q84</f>
        <v>1.495176848874598</v>
      </c>
      <c r="R85" s="37">
        <f>R82/R84</f>
        <v>1.4507772020725389</v>
      </c>
      <c r="Y85" s="25" t="s">
        <v>89</v>
      </c>
      <c r="Z85" s="38">
        <f si="68" t="shared"/>
        <v>0</v>
      </c>
      <c r="AA85" s="38">
        <f si="68" t="shared"/>
        <v>0</v>
      </c>
      <c r="AB85" s="38">
        <f si="68" t="shared"/>
        <v>0</v>
      </c>
      <c r="AC85" s="38">
        <f si="68" t="shared"/>
        <v>0</v>
      </c>
      <c r="AD85" s="38">
        <f si="68" t="shared"/>
        <v>0</v>
      </c>
      <c r="AH85"/>
      <c r="AI85"/>
      <c r="AJ85"/>
      <c r="AK85"/>
      <c r="AL85"/>
      <c r="AM85"/>
      <c r="AN85"/>
      <c r="AO85"/>
    </row>
    <row r="86" spans="1:41" x14ac:dyDescent="0.35">
      <c r="L86"/>
      <c r="AH86"/>
      <c r="AI86"/>
      <c r="AJ86"/>
      <c r="AK86"/>
      <c r="AL86"/>
      <c r="AM86"/>
      <c r="AN86"/>
      <c r="AO86"/>
    </row>
    <row ht="13.15" r="87" spans="1:41" x14ac:dyDescent="0.4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ht="13.15" r="88" spans="1:41" x14ac:dyDescent="0.4">
      <c r="A88" s="2" t="s">
        <v>304</v>
      </c>
      <c r="L88"/>
      <c r="M88" s="2" t="s">
        <v>269</v>
      </c>
      <c r="Y88" s="2" t="s">
        <v>241</v>
      </c>
      <c r="AH88"/>
      <c r="AI88"/>
      <c r="AJ88"/>
      <c r="AK88"/>
      <c r="AL88"/>
      <c r="AM88"/>
      <c r="AN88"/>
      <c r="AO88"/>
    </row>
    <row ht="13.15" r="89" spans="1:41" thickBot="1" x14ac:dyDescent="0.4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ht="13.15" r="90" spans="1:41" x14ac:dyDescent="0.4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223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223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223</v>
      </c>
      <c r="AH90"/>
      <c r="AI90"/>
      <c r="AJ90"/>
      <c r="AK90"/>
      <c r="AL90"/>
      <c r="AM90"/>
      <c r="AN90"/>
      <c r="AO90"/>
    </row>
    <row r="91" spans="1:41" x14ac:dyDescent="0.35">
      <c r="A91" s="3" t="s">
        <v>211</v>
      </c>
      <c r="B91" s="12">
        <f ref="B91:F96" si="69" t="shared">B74/B$82</f>
        <v>8.3333333333333329E-2</v>
      </c>
      <c r="C91" s="12">
        <f si="69" t="shared"/>
        <v>0.25070422535211268</v>
      </c>
      <c r="D91" s="12">
        <f si="69" t="shared"/>
        <v>0.28843669250645992</v>
      </c>
      <c r="E91" s="12">
        <f si="69" t="shared"/>
        <v>0.31075268817204299</v>
      </c>
      <c r="F91" s="12">
        <f si="69" t="shared"/>
        <v>0.28613445378151259</v>
      </c>
      <c r="L91"/>
      <c r="M91" s="3" t="s">
        <v>211</v>
      </c>
      <c r="N91" s="42">
        <f ref="N91:R99" si="70" t="shared">N74/N$82</f>
        <v>8.3333333333333329E-2</v>
      </c>
      <c r="O91" s="42">
        <f si="70" t="shared"/>
        <v>0.25070422535211268</v>
      </c>
      <c r="P91" s="42">
        <f si="70" t="shared"/>
        <v>0.28843669250645992</v>
      </c>
      <c r="Q91" s="42">
        <f si="70" t="shared"/>
        <v>0.31075268817204299</v>
      </c>
      <c r="R91" s="42">
        <f si="70" t="shared"/>
        <v>0.28613445378151259</v>
      </c>
      <c r="Y91" s="3" t="s">
        <v>211</v>
      </c>
      <c r="Z91" s="12">
        <f ref="Z91:Z99" si="71" t="shared">N91-B91</f>
        <v>0</v>
      </c>
      <c r="AA91" s="12">
        <f ref="AA91:AA99" si="72" t="shared">O91-C91</f>
        <v>0</v>
      </c>
      <c r="AB91" s="12">
        <f ref="AB91:AB99" si="73" t="shared">P91-D91</f>
        <v>0</v>
      </c>
      <c r="AC91" s="12">
        <f ref="AC91:AC99" si="74" t="shared">Q91-E91</f>
        <v>0</v>
      </c>
      <c r="AD91" s="12">
        <f ref="AD91:AD99" si="75" t="shared">R91-F91</f>
        <v>0</v>
      </c>
      <c r="AH91"/>
      <c r="AI91"/>
      <c r="AJ91"/>
      <c r="AK91"/>
      <c r="AL91"/>
      <c r="AM91"/>
      <c r="AN91"/>
      <c r="AO91"/>
    </row>
    <row r="92" spans="1:41" x14ac:dyDescent="0.35">
      <c r="A92" s="3" t="s">
        <v>212</v>
      </c>
      <c r="B92" s="12">
        <f si="69" t="shared"/>
        <v>0.20833333333333334</v>
      </c>
      <c r="C92" s="12">
        <f si="69" t="shared"/>
        <v>0.17464788732394365</v>
      </c>
      <c r="D92" s="12">
        <f si="69" t="shared"/>
        <v>0.16279069767441862</v>
      </c>
      <c r="E92" s="12">
        <f si="69" t="shared"/>
        <v>0.15591397849462366</v>
      </c>
      <c r="F92" s="12">
        <f si="69" t="shared"/>
        <v>0.16344537815126051</v>
      </c>
      <c r="L92"/>
      <c r="M92" s="3" t="s">
        <v>212</v>
      </c>
      <c r="N92" s="42">
        <f si="70" t="shared"/>
        <v>0.20833333333333334</v>
      </c>
      <c r="O92" s="42">
        <f si="70" t="shared"/>
        <v>0.17464788732394365</v>
      </c>
      <c r="P92" s="42">
        <f si="70" t="shared"/>
        <v>0.16279069767441862</v>
      </c>
      <c r="Q92" s="42">
        <f si="70" t="shared"/>
        <v>0.15591397849462366</v>
      </c>
      <c r="R92" s="42">
        <f si="70" t="shared"/>
        <v>0.16344537815126051</v>
      </c>
      <c r="Y92" s="3" t="s">
        <v>212</v>
      </c>
      <c r="Z92" s="12">
        <f si="71" t="shared"/>
        <v>0</v>
      </c>
      <c r="AA92" s="12">
        <f si="72" t="shared"/>
        <v>0</v>
      </c>
      <c r="AB92" s="12">
        <f si="73" t="shared"/>
        <v>0</v>
      </c>
      <c r="AC92" s="12">
        <f si="74" t="shared"/>
        <v>0</v>
      </c>
      <c r="AD92" s="12">
        <f si="75" t="shared"/>
        <v>0</v>
      </c>
      <c r="AH92"/>
      <c r="AI92"/>
      <c r="AJ92"/>
      <c r="AK92"/>
      <c r="AL92"/>
      <c r="AM92"/>
      <c r="AN92"/>
      <c r="AO92"/>
    </row>
    <row r="93" spans="1:41" x14ac:dyDescent="0.35">
      <c r="A93" s="3" t="s">
        <v>213</v>
      </c>
      <c r="B93" s="12">
        <f si="69" t="shared"/>
        <v>0.25</v>
      </c>
      <c r="C93" s="12">
        <f si="69" t="shared"/>
        <v>0.14507042253521127</v>
      </c>
      <c r="D93" s="12">
        <f si="69" t="shared"/>
        <v>0.11660206718346253</v>
      </c>
      <c r="E93" s="12">
        <f si="69" t="shared"/>
        <v>0.11505376344086021</v>
      </c>
      <c r="F93" s="12">
        <f si="69" t="shared"/>
        <v>0.12121848739495798</v>
      </c>
      <c r="L93"/>
      <c r="M93" s="3" t="s">
        <v>213</v>
      </c>
      <c r="N93" s="42">
        <f si="70" t="shared"/>
        <v>0.25</v>
      </c>
      <c r="O93" s="42">
        <f si="70" t="shared"/>
        <v>0.14507042253521127</v>
      </c>
      <c r="P93" s="42">
        <f si="70" t="shared"/>
        <v>0.11660206718346253</v>
      </c>
      <c r="Q93" s="42">
        <f si="70" t="shared"/>
        <v>0.11505376344086021</v>
      </c>
      <c r="R93" s="42">
        <f si="70" t="shared"/>
        <v>0.12121848739495798</v>
      </c>
      <c r="Y93" s="3" t="s">
        <v>213</v>
      </c>
      <c r="Z93" s="12">
        <f si="71" t="shared"/>
        <v>0</v>
      </c>
      <c r="AA93" s="12">
        <f si="72" t="shared"/>
        <v>0</v>
      </c>
      <c r="AB93" s="12">
        <f si="73" t="shared"/>
        <v>0</v>
      </c>
      <c r="AC93" s="12">
        <f si="74" t="shared"/>
        <v>0</v>
      </c>
      <c r="AD93" s="12">
        <f si="75" t="shared"/>
        <v>0</v>
      </c>
      <c r="AH93"/>
      <c r="AI93"/>
      <c r="AJ93"/>
      <c r="AK93"/>
      <c r="AL93"/>
      <c r="AM93"/>
      <c r="AN93"/>
      <c r="AO93"/>
    </row>
    <row r="94" spans="1:41" x14ac:dyDescent="0.35">
      <c r="A94" s="3" t="s">
        <v>214</v>
      </c>
      <c r="B94" s="12">
        <f si="69" t="shared"/>
        <v>8.3333333333333329E-2</v>
      </c>
      <c r="C94" s="12">
        <f si="69" t="shared"/>
        <v>8.873239436619719E-2</v>
      </c>
      <c r="D94" s="12">
        <f si="69" t="shared"/>
        <v>8.94702842377261E-2</v>
      </c>
      <c r="E94" s="12">
        <f si="69" t="shared"/>
        <v>8.2795698924731181E-2</v>
      </c>
      <c r="F94" s="12">
        <f si="69" t="shared"/>
        <v>8.802521008403362E-2</v>
      </c>
      <c r="L94"/>
      <c r="M94" s="3" t="s">
        <v>214</v>
      </c>
      <c r="N94" s="42">
        <f si="70" t="shared"/>
        <v>8.3333333333333329E-2</v>
      </c>
      <c r="O94" s="42">
        <f si="70" t="shared"/>
        <v>8.873239436619719E-2</v>
      </c>
      <c r="P94" s="42">
        <f si="70" t="shared"/>
        <v>8.94702842377261E-2</v>
      </c>
      <c r="Q94" s="42">
        <f si="70" t="shared"/>
        <v>8.2795698924731181E-2</v>
      </c>
      <c r="R94" s="42">
        <f si="70" t="shared"/>
        <v>8.802521008403362E-2</v>
      </c>
      <c r="Y94" s="3" t="s">
        <v>214</v>
      </c>
      <c r="Z94" s="12">
        <f si="71" t="shared"/>
        <v>0</v>
      </c>
      <c r="AA94" s="12">
        <f si="72" t="shared"/>
        <v>0</v>
      </c>
      <c r="AB94" s="12">
        <f si="73" t="shared"/>
        <v>0</v>
      </c>
      <c r="AC94" s="12">
        <f si="74" t="shared"/>
        <v>0</v>
      </c>
      <c r="AD94" s="12">
        <f si="75" t="shared"/>
        <v>0</v>
      </c>
      <c r="AH94"/>
      <c r="AI94"/>
      <c r="AJ94"/>
      <c r="AK94"/>
      <c r="AL94"/>
      <c r="AM94"/>
      <c r="AN94"/>
      <c r="AO94"/>
    </row>
    <row r="95" spans="1:41" x14ac:dyDescent="0.35">
      <c r="A95" s="3" t="s">
        <v>215</v>
      </c>
      <c r="B95" s="12">
        <f si="69" t="shared"/>
        <v>4.1666666666666664E-2</v>
      </c>
      <c r="C95" s="12">
        <f si="69" t="shared"/>
        <v>3.0985915492957747E-2</v>
      </c>
      <c r="D95" s="12">
        <f si="69" t="shared"/>
        <v>2.9715762273901807E-2</v>
      </c>
      <c r="E95" s="12">
        <f si="69" t="shared"/>
        <v>2.3655913978494623E-2</v>
      </c>
      <c r="F95" s="12">
        <f si="69" t="shared"/>
        <v>2.8781512605042015E-2</v>
      </c>
      <c r="L95"/>
      <c r="M95" s="3" t="s">
        <v>215</v>
      </c>
      <c r="N95" s="42">
        <f si="70" t="shared"/>
        <v>4.1666666666666664E-2</v>
      </c>
      <c r="O95" s="42">
        <f si="70" t="shared"/>
        <v>3.0985915492957747E-2</v>
      </c>
      <c r="P95" s="42">
        <f si="70" t="shared"/>
        <v>2.9715762273901807E-2</v>
      </c>
      <c r="Q95" s="42">
        <f si="70" t="shared"/>
        <v>2.3655913978494623E-2</v>
      </c>
      <c r="R95" s="42">
        <f si="70" t="shared"/>
        <v>2.8781512605042015E-2</v>
      </c>
      <c r="Y95" s="3" t="s">
        <v>215</v>
      </c>
      <c r="Z95" s="12">
        <f si="71" t="shared"/>
        <v>0</v>
      </c>
      <c r="AA95" s="12">
        <f si="72" t="shared"/>
        <v>0</v>
      </c>
      <c r="AB95" s="12">
        <f si="73" t="shared"/>
        <v>0</v>
      </c>
      <c r="AC95" s="12">
        <f si="74" t="shared"/>
        <v>0</v>
      </c>
      <c r="AD95" s="12">
        <f si="75" t="shared"/>
        <v>0</v>
      </c>
      <c r="AH95"/>
      <c r="AI95"/>
      <c r="AJ95"/>
      <c r="AK95"/>
      <c r="AL95"/>
      <c r="AM95"/>
      <c r="AN95"/>
      <c r="AO95"/>
    </row>
    <row r="96" spans="1:41" x14ac:dyDescent="0.35">
      <c r="A96" s="3" t="s">
        <v>129</v>
      </c>
      <c r="B96" s="12">
        <f si="69" t="shared"/>
        <v>0.16666666666666666</v>
      </c>
      <c r="C96" s="12">
        <f si="69" t="shared"/>
        <v>5.0704225352112678E-2</v>
      </c>
      <c r="D96" s="12">
        <f si="69" t="shared"/>
        <v>5.9108527131782947E-2</v>
      </c>
      <c r="E96" s="12">
        <f si="69" t="shared"/>
        <v>7.2043010752688166E-2</v>
      </c>
      <c r="F96" s="12">
        <f si="69" t="shared"/>
        <v>6.0924369747899158E-2</v>
      </c>
      <c r="L96"/>
      <c r="M96" s="3" t="s">
        <v>129</v>
      </c>
      <c r="N96" s="42">
        <f si="70" t="shared"/>
        <v>0.16666666666666666</v>
      </c>
      <c r="O96" s="42">
        <f si="70" t="shared"/>
        <v>5.0704225352112678E-2</v>
      </c>
      <c r="P96" s="42">
        <f si="70" t="shared"/>
        <v>5.9108527131782947E-2</v>
      </c>
      <c r="Q96" s="42">
        <f si="70" t="shared"/>
        <v>7.2043010752688166E-2</v>
      </c>
      <c r="R96" s="42">
        <f si="70" t="shared"/>
        <v>6.0924369747899158E-2</v>
      </c>
      <c r="Y96" s="3" t="s">
        <v>129</v>
      </c>
      <c r="Z96" s="12">
        <f si="71" t="shared"/>
        <v>0</v>
      </c>
      <c r="AA96" s="12">
        <f si="72" t="shared"/>
        <v>0</v>
      </c>
      <c r="AB96" s="12">
        <f si="73" t="shared"/>
        <v>0</v>
      </c>
      <c r="AC96" s="12">
        <f si="74" t="shared"/>
        <v>0</v>
      </c>
      <c r="AD96" s="12">
        <f si="75" t="shared"/>
        <v>0</v>
      </c>
      <c r="AH96"/>
      <c r="AI96"/>
      <c r="AJ96"/>
      <c r="AK96"/>
      <c r="AL96"/>
      <c r="AM96"/>
      <c r="AN96"/>
      <c r="AO96"/>
    </row>
    <row r="97" spans="1:41" x14ac:dyDescent="0.35">
      <c r="A97" s="25" t="s">
        <v>130</v>
      </c>
      <c r="B97" s="34">
        <f ref="B97:F98" si="76" t="shared">B80/B$82</f>
        <v>0.125</v>
      </c>
      <c r="C97" s="34">
        <f si="76" t="shared"/>
        <v>0.18450704225352113</v>
      </c>
      <c r="D97" s="34">
        <f si="76" t="shared"/>
        <v>0.16731266149870802</v>
      </c>
      <c r="E97" s="34">
        <f si="76" t="shared"/>
        <v>0.16236559139784945</v>
      </c>
      <c r="F97" s="34">
        <f si="76" t="shared"/>
        <v>0.16869747899159665</v>
      </c>
      <c r="L97"/>
      <c r="M97" s="25" t="s">
        <v>130</v>
      </c>
      <c r="N97" s="56">
        <f si="70" t="shared"/>
        <v>0.125</v>
      </c>
      <c r="O97" s="56">
        <f si="70" t="shared"/>
        <v>0.18450704225352113</v>
      </c>
      <c r="P97" s="56">
        <f si="70" t="shared"/>
        <v>0.16731266149870802</v>
      </c>
      <c r="Q97" s="56">
        <f si="70" t="shared"/>
        <v>0.16236559139784945</v>
      </c>
      <c r="R97" s="56">
        <f si="70" t="shared"/>
        <v>0.16869747899159665</v>
      </c>
      <c r="Y97" s="25" t="s">
        <v>130</v>
      </c>
      <c r="Z97" s="12">
        <f si="71" t="shared"/>
        <v>0</v>
      </c>
      <c r="AA97" s="12">
        <f si="72" t="shared"/>
        <v>0</v>
      </c>
      <c r="AB97" s="12">
        <f si="73" t="shared"/>
        <v>0</v>
      </c>
      <c r="AC97" s="12">
        <f si="74" t="shared"/>
        <v>0</v>
      </c>
      <c r="AD97" s="12">
        <f si="75" t="shared"/>
        <v>0</v>
      </c>
      <c r="AH97"/>
      <c r="AI97"/>
      <c r="AJ97"/>
      <c r="AK97"/>
      <c r="AL97"/>
      <c r="AM97"/>
      <c r="AN97"/>
      <c r="AO97"/>
    </row>
    <row r="98" spans="1:41" x14ac:dyDescent="0.35">
      <c r="A98" s="25" t="s">
        <v>249</v>
      </c>
      <c r="B98" s="34">
        <f si="76" t="shared"/>
        <v>4.1666666666666664E-2</v>
      </c>
      <c r="C98" s="34">
        <f si="76" t="shared"/>
        <v>7.464788732394366E-2</v>
      </c>
      <c r="D98" s="34">
        <f si="76" t="shared"/>
        <v>8.6563307493540048E-2</v>
      </c>
      <c r="E98" s="34">
        <f si="76" t="shared"/>
        <v>7.7419354838709681E-2</v>
      </c>
      <c r="F98" s="34">
        <f si="76" t="shared"/>
        <v>8.2773109243697476E-2</v>
      </c>
      <c r="L98"/>
      <c r="M98" s="25" t="s">
        <v>249</v>
      </c>
      <c r="N98" s="56">
        <f si="70" t="shared"/>
        <v>4.1666666666666664E-2</v>
      </c>
      <c r="O98" s="56">
        <f si="70" t="shared"/>
        <v>7.464788732394366E-2</v>
      </c>
      <c r="P98" s="56">
        <f si="70" t="shared"/>
        <v>8.6563307493540048E-2</v>
      </c>
      <c r="Q98" s="56">
        <f si="70" t="shared"/>
        <v>7.7419354838709681E-2</v>
      </c>
      <c r="R98" s="56">
        <f si="70" t="shared"/>
        <v>8.2773109243697476E-2</v>
      </c>
      <c r="Y98" s="25" t="s">
        <v>249</v>
      </c>
      <c r="Z98" s="12">
        <f si="71" t="shared"/>
        <v>0</v>
      </c>
      <c r="AA98" s="12">
        <f si="72" t="shared"/>
        <v>0</v>
      </c>
      <c r="AB98" s="12">
        <f si="73" t="shared"/>
        <v>0</v>
      </c>
      <c r="AC98" s="12">
        <f si="74" t="shared"/>
        <v>0</v>
      </c>
      <c r="AD98" s="12">
        <f si="75" t="shared"/>
        <v>0</v>
      </c>
      <c r="AH98"/>
      <c r="AI98"/>
      <c r="AJ98"/>
      <c r="AK98"/>
      <c r="AL98"/>
      <c r="AM98"/>
      <c r="AN98"/>
      <c r="AO98"/>
    </row>
    <row ht="13.15" r="99" spans="1:41" thickBot="1" x14ac:dyDescent="0.4">
      <c r="A99" s="10" t="s">
        <v>223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223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223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35">
      <c r="L100"/>
      <c r="X100"/>
    </row>
    <row r="101" spans="1:41" x14ac:dyDescent="0.35">
      <c r="L101"/>
      <c r="X101"/>
    </row>
    <row r="102" spans="1:41" x14ac:dyDescent="0.35">
      <c r="L102"/>
      <c r="X102"/>
    </row>
    <row r="103" spans="1:41" x14ac:dyDescent="0.35">
      <c r="L103"/>
      <c r="X103"/>
    </row>
    <row ht="13.15" r="104" spans="1:41" x14ac:dyDescent="0.4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ht="13.15" r="105" spans="1:41" x14ac:dyDescent="0.4">
      <c r="A105" s="2" t="s">
        <v>305</v>
      </c>
      <c r="E105"/>
      <c r="F105" s="99"/>
      <c r="G105" s="99"/>
      <c r="H105" s="99"/>
      <c r="I105" s="99"/>
      <c r="J105" s="99"/>
      <c r="K105"/>
      <c r="L105"/>
      <c r="M105" s="2" t="s">
        <v>308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15" r="106" spans="1:41" thickBot="1" x14ac:dyDescent="0.4">
      <c r="B106" s="15"/>
      <c r="C106" s="15"/>
      <c r="D106" s="15"/>
      <c r="E106" s="1"/>
      <c r="F106" s="1"/>
      <c r="G106" s="99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ht="13.15" r="107" spans="1:41" x14ac:dyDescent="0.4">
      <c r="A107" s="5" t="s">
        <v>159</v>
      </c>
      <c r="B107" s="6" t="s">
        <v>331</v>
      </c>
      <c r="C107" s="6" t="s">
        <v>332</v>
      </c>
      <c r="D107" s="6" t="s">
        <v>333</v>
      </c>
      <c r="E107" s="6" t="s">
        <v>334</v>
      </c>
      <c r="F107" s="6" t="s">
        <v>335</v>
      </c>
      <c r="G107" s="6" t="s">
        <v>336</v>
      </c>
      <c r="H107" s="6" t="s">
        <v>337</v>
      </c>
      <c r="I107" s="6" t="s">
        <v>223</v>
      </c>
      <c r="J107" s="89"/>
      <c r="L107"/>
      <c r="M107" s="5" t="s">
        <v>159</v>
      </c>
      <c r="N107" s="6" t="str">
        <f>B107</f>
        <v>Williamson</v>
      </c>
      <c r="O107" s="6" t="str">
        <f ref="O107:T107" si="77" t="shared">C107</f>
        <v>Rutherford</v>
      </c>
      <c r="P107" s="6" t="str">
        <f si="77" t="shared"/>
        <v>Sumner</v>
      </c>
      <c r="Q107" s="6" t="str">
        <f si="77" t="shared"/>
        <v>Roberston</v>
      </c>
      <c r="R107" s="6" t="str">
        <f si="77" t="shared"/>
        <v>Davidson</v>
      </c>
      <c r="S107" s="6" t="str">
        <f si="77" t="shared"/>
        <v>Maury</v>
      </c>
      <c r="T107" s="6" t="str">
        <f si="77" t="shared"/>
        <v>Wilson</v>
      </c>
      <c r="U107" s="6" t="s">
        <v>223</v>
      </c>
      <c r="V107" s="101"/>
      <c r="X107"/>
      <c r="Y107" s="5" t="s">
        <v>159</v>
      </c>
      <c r="Z107" s="6" t="str">
        <f>B107</f>
        <v>Williamson</v>
      </c>
      <c r="AA107" s="6" t="str">
        <f ref="AA107:AF107" si="78" t="shared">C107</f>
        <v>Rutherford</v>
      </c>
      <c r="AB107" s="6" t="str">
        <f si="78" t="shared"/>
        <v>Sumner</v>
      </c>
      <c r="AC107" s="6" t="str">
        <f si="78" t="shared"/>
        <v>Roberston</v>
      </c>
      <c r="AD107" s="6" t="str">
        <f si="78" t="shared"/>
        <v>Davidson</v>
      </c>
      <c r="AE107" s="6" t="str">
        <f si="78" t="shared"/>
        <v>Maury</v>
      </c>
      <c r="AF107" s="6" t="str">
        <f si="78" t="shared"/>
        <v>Wilson</v>
      </c>
      <c r="AG107" s="6" t="s">
        <v>223</v>
      </c>
      <c r="AH107" s="89"/>
    </row>
    <row r="108" spans="1:41" x14ac:dyDescent="0.35">
      <c r="A108" s="3" t="s">
        <v>211</v>
      </c>
      <c r="B108" s="7">
        <f>output_NHTS!B211</f>
        <v>1362000</v>
      </c>
      <c r="C108" s="7">
        <f>output_NHTS!C211</f>
        <v>0</v>
      </c>
      <c r="D108" s="7">
        <f>output_NHTS!D211</f>
        <v>0</v>
      </c>
      <c r="E108" s="7">
        <f>output_NHTS!E211</f>
        <v>0</v>
      </c>
      <c r="F108" s="7">
        <f>output_NHTS!F211</f>
        <v>0</v>
      </c>
      <c r="G108" s="7">
        <f>output_NHTS!G211</f>
        <v>0</v>
      </c>
      <c r="H108" s="7">
        <f>output_NHTS!H211</f>
        <v>0</v>
      </c>
      <c r="I108" s="7">
        <f>SUM(B108:H108)</f>
        <v>1362000</v>
      </c>
      <c r="J108" s="33"/>
      <c r="L108"/>
      <c r="M108" s="3" t="s">
        <v>211</v>
      </c>
      <c r="N108" s="53">
        <f>output!B211</f>
        <v>1362000</v>
      </c>
      <c r="O108" s="53">
        <f>output!C211</f>
        <v>0</v>
      </c>
      <c r="P108" s="53">
        <f>output!D211</f>
        <v>0</v>
      </c>
      <c r="Q108" s="53">
        <f>output!E211</f>
        <v>0</v>
      </c>
      <c r="R108" s="53">
        <f>output!F211</f>
        <v>0</v>
      </c>
      <c r="S108" s="53">
        <f>output!G211</f>
        <v>0</v>
      </c>
      <c r="T108" s="53">
        <f>output!H211</f>
        <v>0</v>
      </c>
      <c r="U108" s="53">
        <f>SUM(N108:T108)</f>
        <v>1362000</v>
      </c>
      <c r="V108" s="54"/>
      <c r="X108"/>
      <c r="Y108" s="3" t="s">
        <v>211</v>
      </c>
      <c r="Z108" s="7">
        <f ref="Z108:Z116" si="79" t="shared">N108-B108</f>
        <v>0</v>
      </c>
      <c r="AA108" s="7">
        <f ref="AA108:AA116" si="80" t="shared">O108-C108</f>
        <v>0</v>
      </c>
      <c r="AB108" s="7">
        <f ref="AB108:AB116" si="81" t="shared">P108-D108</f>
        <v>0</v>
      </c>
      <c r="AC108" s="7">
        <f ref="AC108:AC116" si="82" t="shared">Q108-E108</f>
        <v>0</v>
      </c>
      <c r="AD108" s="7">
        <f ref="AD108:AD116" si="83" t="shared">R108-F108</f>
        <v>0</v>
      </c>
      <c r="AE108" s="7">
        <f ref="AE108:AF116" si="84" t="shared">S108-G108</f>
        <v>0</v>
      </c>
      <c r="AF108" s="7">
        <f si="84" t="shared"/>
        <v>0</v>
      </c>
      <c r="AG108" s="7">
        <f ref="AG108:AG116" si="85" t="shared">U108-I108</f>
        <v>0</v>
      </c>
      <c r="AH108" s="33"/>
    </row>
    <row r="109" spans="1:41" x14ac:dyDescent="0.35">
      <c r="A109" s="3" t="s">
        <v>212</v>
      </c>
      <c r="B109" s="7">
        <f>output_NHTS!B212</f>
        <v>778000</v>
      </c>
      <c r="C109" s="7">
        <f>output_NHTS!C212</f>
        <v>0</v>
      </c>
      <c r="D109" s="7">
        <f>output_NHTS!D212</f>
        <v>0</v>
      </c>
      <c r="E109" s="7">
        <f>output_NHTS!E212</f>
        <v>0</v>
      </c>
      <c r="F109" s="7">
        <f>output_NHTS!F212</f>
        <v>0</v>
      </c>
      <c r="G109" s="7">
        <f>output_NHTS!G212</f>
        <v>0</v>
      </c>
      <c r="H109" s="7">
        <f>output_NHTS!H212</f>
        <v>0</v>
      </c>
      <c r="I109" s="7">
        <f ref="I109:I115" si="86" t="shared">SUM(B109:H109)</f>
        <v>778000</v>
      </c>
      <c r="J109" s="33"/>
      <c r="L109"/>
      <c r="M109" s="3" t="s">
        <v>212</v>
      </c>
      <c r="N109" s="53">
        <f>output!B212</f>
        <v>778000</v>
      </c>
      <c r="O109" s="53">
        <f>output!C212</f>
        <v>0</v>
      </c>
      <c r="P109" s="53">
        <f>output!D212</f>
        <v>0</v>
      </c>
      <c r="Q109" s="53">
        <f>output!E212</f>
        <v>0</v>
      </c>
      <c r="R109" s="53">
        <f>output!F212</f>
        <v>0</v>
      </c>
      <c r="S109" s="53">
        <f>output!G212</f>
        <v>0</v>
      </c>
      <c r="T109" s="53">
        <f>output!H212</f>
        <v>0</v>
      </c>
      <c r="U109" s="53">
        <f ref="U109:U115" si="87" t="shared">SUM(N109:T109)</f>
        <v>778000</v>
      </c>
      <c r="V109" s="54"/>
      <c r="X109"/>
      <c r="Y109" s="3" t="s">
        <v>212</v>
      </c>
      <c r="Z109" s="7">
        <f si="79" t="shared"/>
        <v>0</v>
      </c>
      <c r="AA109" s="7">
        <f si="80" t="shared"/>
        <v>0</v>
      </c>
      <c r="AB109" s="7">
        <f si="81" t="shared"/>
        <v>0</v>
      </c>
      <c r="AC109" s="7">
        <f si="82" t="shared"/>
        <v>0</v>
      </c>
      <c r="AD109" s="7">
        <f si="83" t="shared"/>
        <v>0</v>
      </c>
      <c r="AE109" s="7">
        <f si="84" t="shared"/>
        <v>0</v>
      </c>
      <c r="AF109" s="7">
        <f si="84" t="shared"/>
        <v>0</v>
      </c>
      <c r="AG109" s="7">
        <f si="85" t="shared"/>
        <v>0</v>
      </c>
      <c r="AH109" s="33"/>
    </row>
    <row r="110" spans="1:41" x14ac:dyDescent="0.35">
      <c r="A110" s="3" t="s">
        <v>213</v>
      </c>
      <c r="B110" s="7">
        <f>output_NHTS!B213</f>
        <v>577000</v>
      </c>
      <c r="C110" s="7">
        <f>output_NHTS!C213</f>
        <v>0</v>
      </c>
      <c r="D110" s="7">
        <f>output_NHTS!D213</f>
        <v>0</v>
      </c>
      <c r="E110" s="7">
        <f>output_NHTS!E213</f>
        <v>0</v>
      </c>
      <c r="F110" s="7">
        <f>output_NHTS!F213</f>
        <v>0</v>
      </c>
      <c r="G110" s="7">
        <f>output_NHTS!G213</f>
        <v>0</v>
      </c>
      <c r="H110" s="7">
        <f>output_NHTS!H213</f>
        <v>0</v>
      </c>
      <c r="I110" s="7">
        <f si="86" t="shared"/>
        <v>577000</v>
      </c>
      <c r="J110" s="33"/>
      <c r="L110"/>
      <c r="M110" s="3" t="s">
        <v>213</v>
      </c>
      <c r="N110" s="53">
        <f>output!B213</f>
        <v>577000</v>
      </c>
      <c r="O110" s="53">
        <f>output!C213</f>
        <v>0</v>
      </c>
      <c r="P110" s="53">
        <f>output!D213</f>
        <v>0</v>
      </c>
      <c r="Q110" s="53">
        <f>output!E213</f>
        <v>0</v>
      </c>
      <c r="R110" s="53">
        <f>output!F213</f>
        <v>0</v>
      </c>
      <c r="S110" s="53">
        <f>output!G213</f>
        <v>0</v>
      </c>
      <c r="T110" s="53">
        <f>output!H213</f>
        <v>0</v>
      </c>
      <c r="U110" s="53">
        <f si="87" t="shared"/>
        <v>577000</v>
      </c>
      <c r="V110" s="54"/>
      <c r="X110"/>
      <c r="Y110" s="3" t="s">
        <v>213</v>
      </c>
      <c r="Z110" s="7">
        <f si="79" t="shared"/>
        <v>0</v>
      </c>
      <c r="AA110" s="7">
        <f si="80" t="shared"/>
        <v>0</v>
      </c>
      <c r="AB110" s="7">
        <f si="81" t="shared"/>
        <v>0</v>
      </c>
      <c r="AC110" s="7">
        <f si="82" t="shared"/>
        <v>0</v>
      </c>
      <c r="AD110" s="7">
        <f si="83" t="shared"/>
        <v>0</v>
      </c>
      <c r="AE110" s="7">
        <f si="84" t="shared"/>
        <v>0</v>
      </c>
      <c r="AF110" s="7">
        <f si="84" t="shared"/>
        <v>0</v>
      </c>
      <c r="AG110" s="7">
        <f si="85" t="shared"/>
        <v>0</v>
      </c>
      <c r="AH110" s="33"/>
    </row>
    <row r="111" spans="1:41" x14ac:dyDescent="0.35">
      <c r="A111" s="3" t="s">
        <v>214</v>
      </c>
      <c r="B111" s="7">
        <f>output_NHTS!B214</f>
        <v>419000</v>
      </c>
      <c r="C111" s="7">
        <f>output_NHTS!C214</f>
        <v>0</v>
      </c>
      <c r="D111" s="7">
        <f>output_NHTS!D214</f>
        <v>0</v>
      </c>
      <c r="E111" s="7">
        <f>output_NHTS!E214</f>
        <v>0</v>
      </c>
      <c r="F111" s="7">
        <f>output_NHTS!F214</f>
        <v>0</v>
      </c>
      <c r="G111" s="7">
        <f>output_NHTS!G214</f>
        <v>0</v>
      </c>
      <c r="H111" s="7">
        <f>output_NHTS!H214</f>
        <v>0</v>
      </c>
      <c r="I111" s="7">
        <f si="86" t="shared"/>
        <v>419000</v>
      </c>
      <c r="J111" s="33"/>
      <c r="L111"/>
      <c r="M111" s="3" t="s">
        <v>214</v>
      </c>
      <c r="N111" s="53">
        <f>output!B214</f>
        <v>419000</v>
      </c>
      <c r="O111" s="53">
        <f>output!C214</f>
        <v>0</v>
      </c>
      <c r="P111" s="53">
        <f>output!D214</f>
        <v>0</v>
      </c>
      <c r="Q111" s="53">
        <f>output!E214</f>
        <v>0</v>
      </c>
      <c r="R111" s="53">
        <f>output!F214</f>
        <v>0</v>
      </c>
      <c r="S111" s="53">
        <f>output!G214</f>
        <v>0</v>
      </c>
      <c r="T111" s="53">
        <f>output!H214</f>
        <v>0</v>
      </c>
      <c r="U111" s="53">
        <f si="87" t="shared"/>
        <v>419000</v>
      </c>
      <c r="V111" s="54"/>
      <c r="X111"/>
      <c r="Y111" s="3" t="s">
        <v>214</v>
      </c>
      <c r="Z111" s="7">
        <f si="79" t="shared"/>
        <v>0</v>
      </c>
      <c r="AA111" s="7">
        <f si="80" t="shared"/>
        <v>0</v>
      </c>
      <c r="AB111" s="7">
        <f si="81" t="shared"/>
        <v>0</v>
      </c>
      <c r="AC111" s="7">
        <f si="82" t="shared"/>
        <v>0</v>
      </c>
      <c r="AD111" s="7">
        <f si="83" t="shared"/>
        <v>0</v>
      </c>
      <c r="AE111" s="7">
        <f si="84" t="shared"/>
        <v>0</v>
      </c>
      <c r="AF111" s="7">
        <f si="84" t="shared"/>
        <v>0</v>
      </c>
      <c r="AG111" s="7">
        <f si="85" t="shared"/>
        <v>0</v>
      </c>
      <c r="AH111" s="33"/>
    </row>
    <row r="112" spans="1:41" x14ac:dyDescent="0.35">
      <c r="A112" s="3" t="s">
        <v>215</v>
      </c>
      <c r="B112" s="7">
        <f>output_NHTS!B215</f>
        <v>137000</v>
      </c>
      <c r="C112" s="7">
        <f>output_NHTS!C215</f>
        <v>0</v>
      </c>
      <c r="D112" s="7">
        <f>output_NHTS!D215</f>
        <v>0</v>
      </c>
      <c r="E112" s="7">
        <f>output_NHTS!E215</f>
        <v>0</v>
      </c>
      <c r="F112" s="7">
        <f>output_NHTS!F215</f>
        <v>0</v>
      </c>
      <c r="G112" s="7">
        <f>output_NHTS!G215</f>
        <v>0</v>
      </c>
      <c r="H112" s="7">
        <f>output_NHTS!H215</f>
        <v>0</v>
      </c>
      <c r="I112" s="7">
        <f si="86" t="shared"/>
        <v>137000</v>
      </c>
      <c r="J112" s="33"/>
      <c r="L112"/>
      <c r="M112" s="3" t="s">
        <v>215</v>
      </c>
      <c r="N112" s="53">
        <f>output!B215</f>
        <v>137000</v>
      </c>
      <c r="O112" s="53">
        <f>output!C215</f>
        <v>0</v>
      </c>
      <c r="P112" s="53">
        <f>output!D215</f>
        <v>0</v>
      </c>
      <c r="Q112" s="53">
        <f>output!E215</f>
        <v>0</v>
      </c>
      <c r="R112" s="53">
        <f>output!F215</f>
        <v>0</v>
      </c>
      <c r="S112" s="53">
        <f>output!G215</f>
        <v>0</v>
      </c>
      <c r="T112" s="53">
        <f>output!H215</f>
        <v>0</v>
      </c>
      <c r="U112" s="53">
        <f si="87" t="shared"/>
        <v>137000</v>
      </c>
      <c r="V112" s="54"/>
      <c r="X112"/>
      <c r="Y112" s="3" t="s">
        <v>215</v>
      </c>
      <c r="Z112" s="7">
        <f si="79" t="shared"/>
        <v>0</v>
      </c>
      <c r="AA112" s="7">
        <f si="80" t="shared"/>
        <v>0</v>
      </c>
      <c r="AB112" s="7">
        <f si="81" t="shared"/>
        <v>0</v>
      </c>
      <c r="AC112" s="7">
        <f si="82" t="shared"/>
        <v>0</v>
      </c>
      <c r="AD112" s="7">
        <f si="83" t="shared"/>
        <v>0</v>
      </c>
      <c r="AE112" s="7">
        <f si="84" t="shared"/>
        <v>0</v>
      </c>
      <c r="AF112" s="7">
        <f si="84" t="shared"/>
        <v>0</v>
      </c>
      <c r="AG112" s="7">
        <f si="85" t="shared"/>
        <v>0</v>
      </c>
      <c r="AH112" s="33"/>
    </row>
    <row r="113" spans="1:34" x14ac:dyDescent="0.35">
      <c r="A113" s="3" t="s">
        <v>129</v>
      </c>
      <c r="B113" s="7">
        <f>output_NHTS!B216</f>
        <v>290000</v>
      </c>
      <c r="C113" s="7">
        <f>output_NHTS!C216</f>
        <v>0</v>
      </c>
      <c r="D113" s="7">
        <f>output_NHTS!D216</f>
        <v>0</v>
      </c>
      <c r="E113" s="7">
        <f>output_NHTS!E216</f>
        <v>0</v>
      </c>
      <c r="F113" s="7">
        <f>output_NHTS!F216</f>
        <v>0</v>
      </c>
      <c r="G113" s="7">
        <f>output_NHTS!G216</f>
        <v>0</v>
      </c>
      <c r="H113" s="7">
        <f>output_NHTS!H216</f>
        <v>0</v>
      </c>
      <c r="I113" s="7">
        <f si="86" t="shared"/>
        <v>290000</v>
      </c>
      <c r="J113" s="33"/>
      <c r="L113"/>
      <c r="M113" s="3" t="s">
        <v>129</v>
      </c>
      <c r="N113" s="53">
        <f>output!B216</f>
        <v>290000</v>
      </c>
      <c r="O113" s="53">
        <f>output!C216</f>
        <v>0</v>
      </c>
      <c r="P113" s="53">
        <f>output!D216</f>
        <v>0</v>
      </c>
      <c r="Q113" s="53">
        <f>output!E216</f>
        <v>0</v>
      </c>
      <c r="R113" s="53">
        <f>output!F216</f>
        <v>0</v>
      </c>
      <c r="S113" s="53">
        <f>output!G216</f>
        <v>0</v>
      </c>
      <c r="T113" s="53">
        <f>output!H216</f>
        <v>0</v>
      </c>
      <c r="U113" s="53">
        <f si="87" t="shared"/>
        <v>290000</v>
      </c>
      <c r="V113" s="54"/>
      <c r="X113"/>
      <c r="Y113" s="3" t="s">
        <v>129</v>
      </c>
      <c r="Z113" s="7">
        <f si="79" t="shared"/>
        <v>0</v>
      </c>
      <c r="AA113" s="7">
        <f si="80" t="shared"/>
        <v>0</v>
      </c>
      <c r="AB113" s="7">
        <f si="81" t="shared"/>
        <v>0</v>
      </c>
      <c r="AC113" s="7">
        <f si="82" t="shared"/>
        <v>0</v>
      </c>
      <c r="AD113" s="7">
        <f si="83" t="shared"/>
        <v>0</v>
      </c>
      <c r="AE113" s="7">
        <f si="84" t="shared"/>
        <v>0</v>
      </c>
      <c r="AF113" s="7">
        <f si="84" t="shared"/>
        <v>0</v>
      </c>
      <c r="AG113" s="7">
        <f si="85" t="shared"/>
        <v>0</v>
      </c>
      <c r="AH113" s="33"/>
    </row>
    <row r="114" spans="1:34" x14ac:dyDescent="0.35">
      <c r="A114" s="25" t="s">
        <v>130</v>
      </c>
      <c r="B114" s="7">
        <f>output_NHTS!B217</f>
        <v>803000</v>
      </c>
      <c r="C114" s="7">
        <f>output_NHTS!C217</f>
        <v>0</v>
      </c>
      <c r="D114" s="7">
        <f>output_NHTS!D217</f>
        <v>0</v>
      </c>
      <c r="E114" s="7">
        <f>output_NHTS!E217</f>
        <v>0</v>
      </c>
      <c r="F114" s="7">
        <f>output_NHTS!F217</f>
        <v>0</v>
      </c>
      <c r="G114" s="7">
        <f>output_NHTS!G217</f>
        <v>0</v>
      </c>
      <c r="H114" s="7">
        <f>output_NHTS!H217</f>
        <v>0</v>
      </c>
      <c r="I114" s="7">
        <f si="86" t="shared"/>
        <v>803000</v>
      </c>
      <c r="J114" s="33"/>
      <c r="L114"/>
      <c r="M114" s="25" t="s">
        <v>130</v>
      </c>
      <c r="N114" s="54">
        <f>output!B217</f>
        <v>803000</v>
      </c>
      <c r="O114" s="54">
        <f>output!C217</f>
        <v>0</v>
      </c>
      <c r="P114" s="54">
        <f>output!D217</f>
        <v>0</v>
      </c>
      <c r="Q114" s="54">
        <f>output!E217</f>
        <v>0</v>
      </c>
      <c r="R114" s="54">
        <f>output!F217</f>
        <v>0</v>
      </c>
      <c r="S114" s="54">
        <f>output!G217</f>
        <v>0</v>
      </c>
      <c r="T114" s="53">
        <f>output!H217</f>
        <v>0</v>
      </c>
      <c r="U114" s="53">
        <f si="87" t="shared"/>
        <v>803000</v>
      </c>
      <c r="V114" s="54"/>
      <c r="X114"/>
      <c r="Y114" s="25" t="s">
        <v>130</v>
      </c>
      <c r="Z114" s="33">
        <f si="79" t="shared"/>
        <v>0</v>
      </c>
      <c r="AA114" s="33">
        <f si="80" t="shared"/>
        <v>0</v>
      </c>
      <c r="AB114" s="33">
        <f si="81" t="shared"/>
        <v>0</v>
      </c>
      <c r="AC114" s="33">
        <f si="82" t="shared"/>
        <v>0</v>
      </c>
      <c r="AD114" s="33">
        <f si="83" t="shared"/>
        <v>0</v>
      </c>
      <c r="AE114" s="33">
        <f si="84" t="shared"/>
        <v>0</v>
      </c>
      <c r="AF114" s="7">
        <f si="84" t="shared"/>
        <v>0</v>
      </c>
      <c r="AG114" s="33">
        <f si="85" t="shared"/>
        <v>0</v>
      </c>
      <c r="AH114" s="33"/>
    </row>
    <row r="115" spans="1:34" x14ac:dyDescent="0.35">
      <c r="A115" s="25" t="s">
        <v>249</v>
      </c>
      <c r="B115" s="9">
        <f>output_NHTS!B218</f>
        <v>394000</v>
      </c>
      <c r="C115" s="9">
        <f>output_NHTS!C218</f>
        <v>0</v>
      </c>
      <c r="D115" s="9">
        <f>output_NHTS!D218</f>
        <v>0</v>
      </c>
      <c r="E115" s="9">
        <f>output_NHTS!E218</f>
        <v>0</v>
      </c>
      <c r="F115" s="9">
        <f>output_NHTS!F218</f>
        <v>0</v>
      </c>
      <c r="G115" s="9">
        <f>output_NHTS!G218</f>
        <v>0</v>
      </c>
      <c r="H115" s="7">
        <f>output_NHTS!H218</f>
        <v>0</v>
      </c>
      <c r="I115" s="7">
        <f si="86" t="shared"/>
        <v>394000</v>
      </c>
      <c r="J115" s="33"/>
      <c r="L115"/>
      <c r="M115" s="25" t="s">
        <v>249</v>
      </c>
      <c r="N115" s="59">
        <f>output!B218</f>
        <v>394000</v>
      </c>
      <c r="O115" s="59">
        <f>output!C218</f>
        <v>0</v>
      </c>
      <c r="P115" s="59">
        <f>output!D218</f>
        <v>0</v>
      </c>
      <c r="Q115" s="59">
        <f>output!E218</f>
        <v>0</v>
      </c>
      <c r="R115" s="59">
        <f>output!F218</f>
        <v>0</v>
      </c>
      <c r="S115" s="59">
        <f>output!G218</f>
        <v>0</v>
      </c>
      <c r="T115" s="53">
        <f>output!H218</f>
        <v>0</v>
      </c>
      <c r="U115" s="53">
        <f si="87" t="shared"/>
        <v>394000</v>
      </c>
      <c r="V115" s="54"/>
      <c r="X115"/>
      <c r="Y115" s="25" t="s">
        <v>249</v>
      </c>
      <c r="Z115" s="9">
        <f si="79" t="shared"/>
        <v>0</v>
      </c>
      <c r="AA115" s="9">
        <f si="80" t="shared"/>
        <v>0</v>
      </c>
      <c r="AB115" s="9">
        <f si="81" t="shared"/>
        <v>0</v>
      </c>
      <c r="AC115" s="9">
        <f si="82" t="shared"/>
        <v>0</v>
      </c>
      <c r="AD115" s="9">
        <f si="83" t="shared"/>
        <v>0</v>
      </c>
      <c r="AE115" s="9">
        <f si="84" t="shared"/>
        <v>0</v>
      </c>
      <c r="AF115" s="7">
        <f si="84" t="shared"/>
        <v>0</v>
      </c>
      <c r="AG115" s="9">
        <f si="85" t="shared"/>
        <v>0</v>
      </c>
      <c r="AH115" s="33"/>
    </row>
    <row ht="13.15" r="116" spans="1:34" thickBot="1" x14ac:dyDescent="0.4">
      <c r="A116" s="10" t="s">
        <v>223</v>
      </c>
      <c r="B116" s="60">
        <f>SUM(B108:B115)</f>
        <v>4760000</v>
      </c>
      <c r="C116" s="60">
        <f>SUM(C108:C115)</f>
        <v>0</v>
      </c>
      <c r="D116" s="60">
        <f>SUM(D108:D115)</f>
        <v>0</v>
      </c>
      <c r="E116" s="60">
        <f>SUM(E108:E115)</f>
        <v>0</v>
      </c>
      <c r="F116" s="60">
        <f ref="F116:H116" si="88" t="shared">SUM(F108:F115)</f>
        <v>0</v>
      </c>
      <c r="G116" s="60">
        <f si="88" t="shared"/>
        <v>0</v>
      </c>
      <c r="H116" s="60">
        <f si="88" t="shared"/>
        <v>0</v>
      </c>
      <c r="I116" s="60">
        <f>SUM(I108:I115)</f>
        <v>4760000</v>
      </c>
      <c r="J116" s="33"/>
      <c r="L116"/>
      <c r="M116" s="10" t="s">
        <v>223</v>
      </c>
      <c r="N116" s="60">
        <f>SUM(N108:N115)</f>
        <v>4760000</v>
      </c>
      <c r="O116" s="60">
        <f>SUM(O108:O115)</f>
        <v>0</v>
      </c>
      <c r="P116" s="60">
        <f>SUM(P108:P115)</f>
        <v>0</v>
      </c>
      <c r="Q116" s="60">
        <f>SUM(Q108:Q115)</f>
        <v>0</v>
      </c>
      <c r="R116" s="60">
        <f ref="R116:T116" si="89" t="shared">SUM(R108:R115)</f>
        <v>0</v>
      </c>
      <c r="S116" s="60">
        <f si="89" t="shared"/>
        <v>0</v>
      </c>
      <c r="T116" s="60">
        <f si="89" t="shared"/>
        <v>0</v>
      </c>
      <c r="U116" s="60">
        <f>SUM(U108:U115)</f>
        <v>4760000</v>
      </c>
      <c r="V116" s="54"/>
      <c r="X116"/>
      <c r="Y116" s="10" t="s">
        <v>223</v>
      </c>
      <c r="Z116" s="22">
        <f si="79" t="shared"/>
        <v>0</v>
      </c>
      <c r="AA116" s="22">
        <f si="80" t="shared"/>
        <v>0</v>
      </c>
      <c r="AB116" s="22">
        <f si="81" t="shared"/>
        <v>0</v>
      </c>
      <c r="AC116" s="22">
        <f si="82" t="shared"/>
        <v>0</v>
      </c>
      <c r="AD116" s="22">
        <f si="83" t="shared"/>
        <v>0</v>
      </c>
      <c r="AE116" s="22">
        <f si="84" t="shared"/>
        <v>0</v>
      </c>
      <c r="AF116" s="22">
        <f si="84" t="shared"/>
        <v>0</v>
      </c>
      <c r="AG116" s="22">
        <f si="85" t="shared"/>
        <v>0</v>
      </c>
      <c r="AH116" s="33"/>
    </row>
    <row r="117" spans="1:34" x14ac:dyDescent="0.35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35">
      <c r="A118" s="25" t="s">
        <v>88</v>
      </c>
      <c r="B118" s="7">
        <f>output_NHTS!B331</f>
        <v>3281000</v>
      </c>
      <c r="C118" s="7">
        <f>output_NHTS!B332</f>
        <v>0</v>
      </c>
      <c r="D118" s="7">
        <f>output_NHTS!B333</f>
        <v>0</v>
      </c>
      <c r="E118" s="7">
        <f>output_NHTS!B334</f>
        <v>0</v>
      </c>
      <c r="F118" s="7">
        <f>output_NHTS!B335</f>
        <v>0</v>
      </c>
      <c r="G118" s="7">
        <f>output_NHTS!B336</f>
        <v>0</v>
      </c>
      <c r="H118" s="7">
        <f>output_NHTS!B337</f>
        <v>0</v>
      </c>
      <c r="I118" s="7">
        <f>SUM(B118:H118)</f>
        <v>3281000</v>
      </c>
      <c r="J118" s="33"/>
      <c r="L118"/>
      <c r="M118" s="25" t="s">
        <v>88</v>
      </c>
      <c r="N118" s="7">
        <f>output!B331</f>
        <v>3281000</v>
      </c>
      <c r="O118" s="7">
        <f>output!B332</f>
        <v>0</v>
      </c>
      <c r="P118" s="7">
        <f>output!B333</f>
        <v>0</v>
      </c>
      <c r="Q118" s="7">
        <f>output!B334</f>
        <v>0</v>
      </c>
      <c r="R118" s="7">
        <f>output!B335</f>
        <v>0</v>
      </c>
      <c r="S118" s="7">
        <f>output!B336</f>
        <v>0</v>
      </c>
      <c r="T118" s="7">
        <f>output!B337</f>
        <v>0</v>
      </c>
      <c r="U118" s="7">
        <f>SUM(N118:T118)</f>
        <v>3281000</v>
      </c>
      <c r="V118" s="54"/>
      <c r="Y118" s="25" t="s">
        <v>88</v>
      </c>
      <c r="Z118" s="7">
        <f ref="Z118:AB119" si="90" t="shared">N118-B118</f>
        <v>0</v>
      </c>
      <c r="AA118" s="7">
        <f si="90" t="shared"/>
        <v>0</v>
      </c>
      <c r="AB118" s="7">
        <f si="90" t="shared"/>
        <v>0</v>
      </c>
      <c r="AC118" s="7">
        <f ref="AC118:AC119" si="91" t="shared">Q118-E118</f>
        <v>0</v>
      </c>
      <c r="AD118" s="7">
        <f ref="AD118:AD119" si="92" t="shared">R118-F118</f>
        <v>0</v>
      </c>
      <c r="AE118" s="7">
        <f ref="AE118:AF119" si="93" t="shared">S118-G118</f>
        <v>0</v>
      </c>
      <c r="AF118" s="7">
        <f si="93" t="shared"/>
        <v>0</v>
      </c>
      <c r="AG118" s="7">
        <f ref="AG118:AG119" si="94" t="shared">U118-I118</f>
        <v>0</v>
      </c>
      <c r="AH118" s="33"/>
    </row>
    <row r="119" spans="1:34" x14ac:dyDescent="0.35">
      <c r="A119" s="25" t="s">
        <v>89</v>
      </c>
      <c r="B119" s="37">
        <f>B116/B118</f>
        <v>1.4507772020725389</v>
      </c>
      <c r="C119" s="37" t="e">
        <f>C116/C118</f>
        <v>#DIV/0!</v>
      </c>
      <c r="D119" s="37" t="e">
        <f>D116/D118</f>
        <v>#DIV/0!</v>
      </c>
      <c r="E119" s="37" t="e">
        <f>E116/E118</f>
        <v>#DIV/0!</v>
      </c>
      <c r="F119" s="37" t="e">
        <f ref="F119:I119" si="95" t="shared">F116/F118</f>
        <v>#DIV/0!</v>
      </c>
      <c r="G119" s="37" t="e">
        <f>G116/G118</f>
        <v>#DIV/0!</v>
      </c>
      <c r="H119" s="37" t="e">
        <f>H116/H118</f>
        <v>#DIV/0!</v>
      </c>
      <c r="I119" s="37">
        <f si="95" t="shared"/>
        <v>1.4507772020725389</v>
      </c>
      <c r="J119" s="37"/>
      <c r="L119"/>
      <c r="M119" s="25" t="s">
        <v>89</v>
      </c>
      <c r="N119" s="37">
        <f>N116/N118</f>
        <v>1.4507772020725389</v>
      </c>
      <c r="O119" s="37" t="e">
        <f>O116/O118</f>
        <v>#DIV/0!</v>
      </c>
      <c r="P119" s="37" t="e">
        <f>P116/P118</f>
        <v>#DIV/0!</v>
      </c>
      <c r="Q119" s="37" t="e">
        <f>Q116/Q118</f>
        <v>#DIV/0!</v>
      </c>
      <c r="R119" s="37" t="e">
        <f ref="R119:U119" si="96" t="shared">R116/R118</f>
        <v>#DIV/0!</v>
      </c>
      <c r="S119" s="37" t="e">
        <f si="96" t="shared"/>
        <v>#DIV/0!</v>
      </c>
      <c r="T119" s="37" t="e">
        <f si="96" t="shared"/>
        <v>#DIV/0!</v>
      </c>
      <c r="U119" s="37">
        <f si="96" t="shared"/>
        <v>1.4507772020725389</v>
      </c>
      <c r="V119" s="37"/>
      <c r="Y119" s="25" t="s">
        <v>89</v>
      </c>
      <c r="Z119" s="38">
        <f si="90" t="shared"/>
        <v>0</v>
      </c>
      <c r="AA119" s="38" t="e">
        <f si="90" t="shared"/>
        <v>#DIV/0!</v>
      </c>
      <c r="AB119" s="38" t="e">
        <f si="90" t="shared"/>
        <v>#DIV/0!</v>
      </c>
      <c r="AC119" s="38" t="e">
        <f si="91" t="shared"/>
        <v>#DIV/0!</v>
      </c>
      <c r="AD119" s="38" t="e">
        <f si="92" t="shared"/>
        <v>#DIV/0!</v>
      </c>
      <c r="AE119" s="38" t="e">
        <f si="93" t="shared"/>
        <v>#DIV/0!</v>
      </c>
      <c r="AF119" s="38" t="e">
        <f si="93" t="shared"/>
        <v>#DIV/0!</v>
      </c>
      <c r="AG119" s="38">
        <f si="94" t="shared"/>
        <v>0</v>
      </c>
      <c r="AH119" s="103"/>
    </row>
    <row r="120" spans="1:34" x14ac:dyDescent="0.35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ht="13.15" r="121" spans="1:34" x14ac:dyDescent="0.4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ht="13.15" r="122" spans="1:34" x14ac:dyDescent="0.4">
      <c r="A122" s="2" t="s">
        <v>306</v>
      </c>
      <c r="E122"/>
      <c r="F122"/>
      <c r="G122" s="99"/>
      <c r="H122" s="99"/>
      <c r="I122" s="99"/>
      <c r="J122" s="99"/>
      <c r="L122"/>
      <c r="M122" s="2" t="s">
        <v>307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15" r="123" spans="1:34" thickBot="1" x14ac:dyDescent="0.4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ht="13.15" r="124" spans="1:34" x14ac:dyDescent="0.4">
      <c r="A124" s="5" t="s">
        <v>159</v>
      </c>
      <c r="B124" s="6" t="str">
        <f>B107</f>
        <v>Williamson</v>
      </c>
      <c r="C124" s="6" t="str">
        <f ref="C124:H124" si="97" t="shared">C107</f>
        <v>Rutherford</v>
      </c>
      <c r="D124" s="6" t="str">
        <f si="97" t="shared"/>
        <v>Sumner</v>
      </c>
      <c r="E124" s="6" t="str">
        <f si="97" t="shared"/>
        <v>Roberston</v>
      </c>
      <c r="F124" s="6" t="str">
        <f si="97" t="shared"/>
        <v>Davidson</v>
      </c>
      <c r="G124" s="6" t="str">
        <f si="97" t="shared"/>
        <v>Maury</v>
      </c>
      <c r="H124" s="6" t="str">
        <f si="97" t="shared"/>
        <v>Wilson</v>
      </c>
      <c r="I124" s="6" t="s">
        <v>223</v>
      </c>
      <c r="J124" s="89"/>
      <c r="L124"/>
      <c r="M124" s="5" t="s">
        <v>159</v>
      </c>
      <c r="N124" s="6" t="str">
        <f>B107</f>
        <v>Williamson</v>
      </c>
      <c r="O124" s="6" t="str">
        <f ref="O124:T124" si="98" t="shared">C107</f>
        <v>Rutherford</v>
      </c>
      <c r="P124" s="6" t="str">
        <f si="98" t="shared"/>
        <v>Sumner</v>
      </c>
      <c r="Q124" s="6" t="str">
        <f si="98" t="shared"/>
        <v>Roberston</v>
      </c>
      <c r="R124" s="6" t="str">
        <f si="98" t="shared"/>
        <v>Davidson</v>
      </c>
      <c r="S124" s="6" t="str">
        <f si="98" t="shared"/>
        <v>Maury</v>
      </c>
      <c r="T124" s="6" t="str">
        <f si="98" t="shared"/>
        <v>Wilson</v>
      </c>
      <c r="U124" s="6" t="s">
        <v>223</v>
      </c>
      <c r="V124" s="101"/>
      <c r="Y124" s="5" t="s">
        <v>159</v>
      </c>
      <c r="Z124" s="6" t="str">
        <f>B107</f>
        <v>Williamson</v>
      </c>
      <c r="AA124" s="6" t="str">
        <f ref="AA124:AF124" si="99" t="shared">C107</f>
        <v>Rutherford</v>
      </c>
      <c r="AB124" s="6" t="str">
        <f si="99" t="shared"/>
        <v>Sumner</v>
      </c>
      <c r="AC124" s="6" t="str">
        <f si="99" t="shared"/>
        <v>Roberston</v>
      </c>
      <c r="AD124" s="6" t="str">
        <f si="99" t="shared"/>
        <v>Davidson</v>
      </c>
      <c r="AE124" s="6" t="str">
        <f si="99" t="shared"/>
        <v>Maury</v>
      </c>
      <c r="AF124" s="6" t="str">
        <f si="99" t="shared"/>
        <v>Wilson</v>
      </c>
      <c r="AG124" s="6" t="s">
        <v>223</v>
      </c>
      <c r="AH124" s="89"/>
    </row>
    <row r="125" spans="1:34" x14ac:dyDescent="0.35">
      <c r="A125" s="3" t="s">
        <v>211</v>
      </c>
      <c r="B125" s="12">
        <f ref="B125:E130" si="100" t="shared">B108/B$116</f>
        <v>0.28613445378151259</v>
      </c>
      <c r="C125" s="12" t="e">
        <f si="100" t="shared"/>
        <v>#DIV/0!</v>
      </c>
      <c r="D125" s="12" t="e">
        <f si="100" t="shared"/>
        <v>#DIV/0!</v>
      </c>
      <c r="E125" s="12" t="e">
        <f si="100" t="shared"/>
        <v>#DIV/0!</v>
      </c>
      <c r="F125" s="12" t="e">
        <f ref="F125:H125" si="101" t="shared">F108/F$116</f>
        <v>#DIV/0!</v>
      </c>
      <c r="G125" s="12" t="e">
        <f si="101" t="shared"/>
        <v>#DIV/0!</v>
      </c>
      <c r="H125" s="12" t="e">
        <f si="101" t="shared"/>
        <v>#DIV/0!</v>
      </c>
      <c r="I125" s="12">
        <f ref="I125:I133" si="102" t="shared">I108/I$116</f>
        <v>0.28613445378151259</v>
      </c>
      <c r="J125" s="34"/>
      <c r="L125"/>
      <c r="M125" s="3" t="s">
        <v>211</v>
      </c>
      <c r="N125" s="42">
        <f ref="N125:Q133" si="103" t="shared">N108/N$116</f>
        <v>0.28613445378151259</v>
      </c>
      <c r="O125" s="42" t="e">
        <f si="103" t="shared"/>
        <v>#DIV/0!</v>
      </c>
      <c r="P125" s="42" t="e">
        <f si="103" t="shared"/>
        <v>#DIV/0!</v>
      </c>
      <c r="Q125" s="42" t="e">
        <f si="103" t="shared"/>
        <v>#DIV/0!</v>
      </c>
      <c r="R125" s="42" t="e">
        <f ref="R125:T125" si="104" t="shared">R108/R$116</f>
        <v>#DIV/0!</v>
      </c>
      <c r="S125" s="42" t="e">
        <f si="104" t="shared"/>
        <v>#DIV/0!</v>
      </c>
      <c r="T125" s="42" t="e">
        <f si="104" t="shared"/>
        <v>#DIV/0!</v>
      </c>
      <c r="U125" s="42">
        <f>U108/U$116</f>
        <v>0.28613445378151259</v>
      </c>
      <c r="V125" s="56"/>
      <c r="Y125" s="3" t="s">
        <v>211</v>
      </c>
      <c r="Z125" s="12">
        <f ref="Z125:Z133" si="105" t="shared">N125-B125</f>
        <v>0</v>
      </c>
      <c r="AA125" s="12" t="e">
        <f ref="AA125:AA133" si="106" t="shared">O125-C125</f>
        <v>#DIV/0!</v>
      </c>
      <c r="AB125" s="12" t="e">
        <f ref="AB125:AB133" si="107" t="shared">P125-D125</f>
        <v>#DIV/0!</v>
      </c>
      <c r="AC125" s="12" t="e">
        <f ref="AC125:AC133" si="108" t="shared">Q125-E125</f>
        <v>#DIV/0!</v>
      </c>
      <c r="AD125" s="12" t="e">
        <f ref="AD125:AD133" si="109" t="shared">R125-F125</f>
        <v>#DIV/0!</v>
      </c>
      <c r="AE125" s="12" t="e">
        <f ref="AE125:AF133" si="110" t="shared">S125-G125</f>
        <v>#DIV/0!</v>
      </c>
      <c r="AF125" s="12" t="e">
        <f si="110" t="shared"/>
        <v>#DIV/0!</v>
      </c>
      <c r="AG125" s="12">
        <f ref="AG125:AG133" si="111" t="shared">U125-I125</f>
        <v>0</v>
      </c>
      <c r="AH125" s="34"/>
    </row>
    <row r="126" spans="1:34" x14ac:dyDescent="0.35">
      <c r="A126" s="3" t="s">
        <v>212</v>
      </c>
      <c r="B126" s="12">
        <f si="100" t="shared"/>
        <v>0.16344537815126051</v>
      </c>
      <c r="C126" s="12" t="e">
        <f si="100" t="shared"/>
        <v>#DIV/0!</v>
      </c>
      <c r="D126" s="12" t="e">
        <f si="100" t="shared"/>
        <v>#DIV/0!</v>
      </c>
      <c r="E126" s="12" t="e">
        <f si="100" t="shared"/>
        <v>#DIV/0!</v>
      </c>
      <c r="F126" s="12" t="e">
        <f ref="F126:H126" si="112" t="shared">F109/F$116</f>
        <v>#DIV/0!</v>
      </c>
      <c r="G126" s="12" t="e">
        <f si="112" t="shared"/>
        <v>#DIV/0!</v>
      </c>
      <c r="H126" s="12" t="e">
        <f si="112" t="shared"/>
        <v>#DIV/0!</v>
      </c>
      <c r="I126" s="12">
        <f si="102" t="shared"/>
        <v>0.16344537815126051</v>
      </c>
      <c r="J126" s="34"/>
      <c r="M126" s="3" t="s">
        <v>212</v>
      </c>
      <c r="N126" s="42">
        <f si="103" t="shared"/>
        <v>0.16344537815126051</v>
      </c>
      <c r="O126" s="42" t="e">
        <f si="103" t="shared"/>
        <v>#DIV/0!</v>
      </c>
      <c r="P126" s="42" t="e">
        <f si="103" t="shared"/>
        <v>#DIV/0!</v>
      </c>
      <c r="Q126" s="42" t="e">
        <f si="103" t="shared"/>
        <v>#DIV/0!</v>
      </c>
      <c r="R126" s="42" t="e">
        <f ref="R126:T126" si="113" t="shared">R109/R$116</f>
        <v>#DIV/0!</v>
      </c>
      <c r="S126" s="42" t="e">
        <f si="113" t="shared"/>
        <v>#DIV/0!</v>
      </c>
      <c r="T126" s="42" t="e">
        <f si="113" t="shared"/>
        <v>#DIV/0!</v>
      </c>
      <c r="U126" s="42">
        <f ref="U126:U133" si="114" t="shared">U109/U$116</f>
        <v>0.16344537815126051</v>
      </c>
      <c r="V126" s="56"/>
      <c r="Y126" s="3" t="s">
        <v>212</v>
      </c>
      <c r="Z126" s="12">
        <f si="105" t="shared"/>
        <v>0</v>
      </c>
      <c r="AA126" s="12" t="e">
        <f si="106" t="shared"/>
        <v>#DIV/0!</v>
      </c>
      <c r="AB126" s="12" t="e">
        <f si="107" t="shared"/>
        <v>#DIV/0!</v>
      </c>
      <c r="AC126" s="12" t="e">
        <f si="108" t="shared"/>
        <v>#DIV/0!</v>
      </c>
      <c r="AD126" s="12" t="e">
        <f si="109" t="shared"/>
        <v>#DIV/0!</v>
      </c>
      <c r="AE126" s="12" t="e">
        <f si="110" t="shared"/>
        <v>#DIV/0!</v>
      </c>
      <c r="AF126" s="12" t="e">
        <f si="110" t="shared"/>
        <v>#DIV/0!</v>
      </c>
      <c r="AG126" s="12">
        <f si="111" t="shared"/>
        <v>0</v>
      </c>
      <c r="AH126" s="34"/>
    </row>
    <row r="127" spans="1:34" x14ac:dyDescent="0.35">
      <c r="A127" s="3" t="s">
        <v>213</v>
      </c>
      <c r="B127" s="12">
        <f si="100" t="shared"/>
        <v>0.12121848739495798</v>
      </c>
      <c r="C127" s="12" t="e">
        <f si="100" t="shared"/>
        <v>#DIV/0!</v>
      </c>
      <c r="D127" s="12" t="e">
        <f si="100" t="shared"/>
        <v>#DIV/0!</v>
      </c>
      <c r="E127" s="12" t="e">
        <f si="100" t="shared"/>
        <v>#DIV/0!</v>
      </c>
      <c r="F127" s="12" t="e">
        <f ref="F127:H127" si="115" t="shared">F110/F$116</f>
        <v>#DIV/0!</v>
      </c>
      <c r="G127" s="12" t="e">
        <f si="115" t="shared"/>
        <v>#DIV/0!</v>
      </c>
      <c r="H127" s="12" t="e">
        <f si="115" t="shared"/>
        <v>#DIV/0!</v>
      </c>
      <c r="I127" s="12">
        <f si="102" t="shared"/>
        <v>0.12121848739495798</v>
      </c>
      <c r="J127" s="34"/>
      <c r="M127" s="3" t="s">
        <v>213</v>
      </c>
      <c r="N127" s="42">
        <f si="103" t="shared"/>
        <v>0.12121848739495798</v>
      </c>
      <c r="O127" s="42" t="e">
        <f si="103" t="shared"/>
        <v>#DIV/0!</v>
      </c>
      <c r="P127" s="42" t="e">
        <f si="103" t="shared"/>
        <v>#DIV/0!</v>
      </c>
      <c r="Q127" s="42" t="e">
        <f si="103" t="shared"/>
        <v>#DIV/0!</v>
      </c>
      <c r="R127" s="42" t="e">
        <f ref="R127:T127" si="116" t="shared">R110/R$116</f>
        <v>#DIV/0!</v>
      </c>
      <c r="S127" s="42" t="e">
        <f si="116" t="shared"/>
        <v>#DIV/0!</v>
      </c>
      <c r="T127" s="42" t="e">
        <f si="116" t="shared"/>
        <v>#DIV/0!</v>
      </c>
      <c r="U127" s="42">
        <f si="114" t="shared"/>
        <v>0.12121848739495798</v>
      </c>
      <c r="V127" s="56"/>
      <c r="Y127" s="3" t="s">
        <v>213</v>
      </c>
      <c r="Z127" s="12">
        <f si="105" t="shared"/>
        <v>0</v>
      </c>
      <c r="AA127" s="12" t="e">
        <f si="106" t="shared"/>
        <v>#DIV/0!</v>
      </c>
      <c r="AB127" s="12" t="e">
        <f si="107" t="shared"/>
        <v>#DIV/0!</v>
      </c>
      <c r="AC127" s="12" t="e">
        <f si="108" t="shared"/>
        <v>#DIV/0!</v>
      </c>
      <c r="AD127" s="12" t="e">
        <f si="109" t="shared"/>
        <v>#DIV/0!</v>
      </c>
      <c r="AE127" s="12" t="e">
        <f si="110" t="shared"/>
        <v>#DIV/0!</v>
      </c>
      <c r="AF127" s="12" t="e">
        <f si="110" t="shared"/>
        <v>#DIV/0!</v>
      </c>
      <c r="AG127" s="12">
        <f si="111" t="shared"/>
        <v>0</v>
      </c>
      <c r="AH127" s="34"/>
    </row>
    <row r="128" spans="1:34" x14ac:dyDescent="0.35">
      <c r="A128" s="3" t="s">
        <v>214</v>
      </c>
      <c r="B128" s="12">
        <f si="100" t="shared"/>
        <v>8.802521008403362E-2</v>
      </c>
      <c r="C128" s="12" t="e">
        <f si="100" t="shared"/>
        <v>#DIV/0!</v>
      </c>
      <c r="D128" s="12" t="e">
        <f si="100" t="shared"/>
        <v>#DIV/0!</v>
      </c>
      <c r="E128" s="12" t="e">
        <f si="100" t="shared"/>
        <v>#DIV/0!</v>
      </c>
      <c r="F128" s="12" t="e">
        <f ref="F128:H128" si="117" t="shared">F111/F$116</f>
        <v>#DIV/0!</v>
      </c>
      <c r="G128" s="12" t="e">
        <f si="117" t="shared"/>
        <v>#DIV/0!</v>
      </c>
      <c r="H128" s="12" t="e">
        <f si="117" t="shared"/>
        <v>#DIV/0!</v>
      </c>
      <c r="I128" s="12">
        <f si="102" t="shared"/>
        <v>8.802521008403362E-2</v>
      </c>
      <c r="J128" s="34"/>
      <c r="M128" s="3" t="s">
        <v>214</v>
      </c>
      <c r="N128" s="42">
        <f si="103" t="shared"/>
        <v>8.802521008403362E-2</v>
      </c>
      <c r="O128" s="42" t="e">
        <f si="103" t="shared"/>
        <v>#DIV/0!</v>
      </c>
      <c r="P128" s="42" t="e">
        <f si="103" t="shared"/>
        <v>#DIV/0!</v>
      </c>
      <c r="Q128" s="42" t="e">
        <f si="103" t="shared"/>
        <v>#DIV/0!</v>
      </c>
      <c r="R128" s="42" t="e">
        <f ref="R128:T128" si="118" t="shared">R111/R$116</f>
        <v>#DIV/0!</v>
      </c>
      <c r="S128" s="42" t="e">
        <f si="118" t="shared"/>
        <v>#DIV/0!</v>
      </c>
      <c r="T128" s="42" t="e">
        <f si="118" t="shared"/>
        <v>#DIV/0!</v>
      </c>
      <c r="U128" s="42">
        <f si="114" t="shared"/>
        <v>8.802521008403362E-2</v>
      </c>
      <c r="V128" s="56"/>
      <c r="Y128" s="3" t="s">
        <v>214</v>
      </c>
      <c r="Z128" s="12">
        <f si="105" t="shared"/>
        <v>0</v>
      </c>
      <c r="AA128" s="12" t="e">
        <f si="106" t="shared"/>
        <v>#DIV/0!</v>
      </c>
      <c r="AB128" s="12" t="e">
        <f si="107" t="shared"/>
        <v>#DIV/0!</v>
      </c>
      <c r="AC128" s="12" t="e">
        <f si="108" t="shared"/>
        <v>#DIV/0!</v>
      </c>
      <c r="AD128" s="12" t="e">
        <f si="109" t="shared"/>
        <v>#DIV/0!</v>
      </c>
      <c r="AE128" s="12" t="e">
        <f si="110" t="shared"/>
        <v>#DIV/0!</v>
      </c>
      <c r="AF128" s="12" t="e">
        <f si="110" t="shared"/>
        <v>#DIV/0!</v>
      </c>
      <c r="AG128" s="12">
        <f si="111" t="shared"/>
        <v>0</v>
      </c>
      <c r="AH128" s="34"/>
    </row>
    <row r="129" spans="1:34" x14ac:dyDescent="0.35">
      <c r="A129" s="3" t="s">
        <v>215</v>
      </c>
      <c r="B129" s="12">
        <f si="100" t="shared"/>
        <v>2.8781512605042015E-2</v>
      </c>
      <c r="C129" s="12" t="e">
        <f si="100" t="shared"/>
        <v>#DIV/0!</v>
      </c>
      <c r="D129" s="12" t="e">
        <f si="100" t="shared"/>
        <v>#DIV/0!</v>
      </c>
      <c r="E129" s="12" t="e">
        <f si="100" t="shared"/>
        <v>#DIV/0!</v>
      </c>
      <c r="F129" s="12" t="e">
        <f ref="F129:H129" si="119" t="shared">F112/F$116</f>
        <v>#DIV/0!</v>
      </c>
      <c r="G129" s="12" t="e">
        <f si="119" t="shared"/>
        <v>#DIV/0!</v>
      </c>
      <c r="H129" s="12" t="e">
        <f si="119" t="shared"/>
        <v>#DIV/0!</v>
      </c>
      <c r="I129" s="12">
        <f si="102" t="shared"/>
        <v>2.8781512605042015E-2</v>
      </c>
      <c r="J129" s="34"/>
      <c r="M129" s="3" t="s">
        <v>215</v>
      </c>
      <c r="N129" s="42">
        <f si="103" t="shared"/>
        <v>2.8781512605042015E-2</v>
      </c>
      <c r="O129" s="42" t="e">
        <f si="103" t="shared"/>
        <v>#DIV/0!</v>
      </c>
      <c r="P129" s="42" t="e">
        <f si="103" t="shared"/>
        <v>#DIV/0!</v>
      </c>
      <c r="Q129" s="42" t="e">
        <f si="103" t="shared"/>
        <v>#DIV/0!</v>
      </c>
      <c r="R129" s="42" t="e">
        <f ref="R129:T129" si="120" t="shared">R112/R$116</f>
        <v>#DIV/0!</v>
      </c>
      <c r="S129" s="42" t="e">
        <f si="120" t="shared"/>
        <v>#DIV/0!</v>
      </c>
      <c r="T129" s="42" t="e">
        <f si="120" t="shared"/>
        <v>#DIV/0!</v>
      </c>
      <c r="U129" s="42">
        <f si="114" t="shared"/>
        <v>2.8781512605042015E-2</v>
      </c>
      <c r="V129" s="56"/>
      <c r="Y129" s="3" t="s">
        <v>215</v>
      </c>
      <c r="Z129" s="12">
        <f si="105" t="shared"/>
        <v>0</v>
      </c>
      <c r="AA129" s="12" t="e">
        <f si="106" t="shared"/>
        <v>#DIV/0!</v>
      </c>
      <c r="AB129" s="12" t="e">
        <f si="107" t="shared"/>
        <v>#DIV/0!</v>
      </c>
      <c r="AC129" s="12" t="e">
        <f si="108" t="shared"/>
        <v>#DIV/0!</v>
      </c>
      <c r="AD129" s="12" t="e">
        <f si="109" t="shared"/>
        <v>#DIV/0!</v>
      </c>
      <c r="AE129" s="12" t="e">
        <f si="110" t="shared"/>
        <v>#DIV/0!</v>
      </c>
      <c r="AF129" s="12" t="e">
        <f si="110" t="shared"/>
        <v>#DIV/0!</v>
      </c>
      <c r="AG129" s="12">
        <f si="111" t="shared"/>
        <v>0</v>
      </c>
      <c r="AH129" s="34"/>
    </row>
    <row r="130" spans="1:34" x14ac:dyDescent="0.35">
      <c r="A130" s="3" t="s">
        <v>129</v>
      </c>
      <c r="B130" s="12">
        <f si="100" t="shared"/>
        <v>6.0924369747899158E-2</v>
      </c>
      <c r="C130" s="12" t="e">
        <f si="100" t="shared"/>
        <v>#DIV/0!</v>
      </c>
      <c r="D130" s="12" t="e">
        <f si="100" t="shared"/>
        <v>#DIV/0!</v>
      </c>
      <c r="E130" s="12" t="e">
        <f si="100" t="shared"/>
        <v>#DIV/0!</v>
      </c>
      <c r="F130" s="12" t="e">
        <f ref="F130:H130" si="121" t="shared">F113/F$116</f>
        <v>#DIV/0!</v>
      </c>
      <c r="G130" s="12" t="e">
        <f si="121" t="shared"/>
        <v>#DIV/0!</v>
      </c>
      <c r="H130" s="12" t="e">
        <f si="121" t="shared"/>
        <v>#DIV/0!</v>
      </c>
      <c r="I130" s="12">
        <f si="102" t="shared"/>
        <v>6.0924369747899158E-2</v>
      </c>
      <c r="J130" s="34"/>
      <c r="M130" s="3" t="s">
        <v>129</v>
      </c>
      <c r="N130" s="42">
        <f si="103" t="shared"/>
        <v>6.0924369747899158E-2</v>
      </c>
      <c r="O130" s="42" t="e">
        <f si="103" t="shared"/>
        <v>#DIV/0!</v>
      </c>
      <c r="P130" s="42" t="e">
        <f si="103" t="shared"/>
        <v>#DIV/0!</v>
      </c>
      <c r="Q130" s="42" t="e">
        <f si="103" t="shared"/>
        <v>#DIV/0!</v>
      </c>
      <c r="R130" s="42" t="e">
        <f ref="R130:T130" si="122" t="shared">R113/R$116</f>
        <v>#DIV/0!</v>
      </c>
      <c r="S130" s="42" t="e">
        <f si="122" t="shared"/>
        <v>#DIV/0!</v>
      </c>
      <c r="T130" s="42" t="e">
        <f si="122" t="shared"/>
        <v>#DIV/0!</v>
      </c>
      <c r="U130" s="42">
        <f si="114" t="shared"/>
        <v>6.0924369747899158E-2</v>
      </c>
      <c r="V130" s="56"/>
      <c r="Y130" s="3" t="s">
        <v>129</v>
      </c>
      <c r="Z130" s="12">
        <f si="105" t="shared"/>
        <v>0</v>
      </c>
      <c r="AA130" s="12" t="e">
        <f si="106" t="shared"/>
        <v>#DIV/0!</v>
      </c>
      <c r="AB130" s="12" t="e">
        <f si="107" t="shared"/>
        <v>#DIV/0!</v>
      </c>
      <c r="AC130" s="12" t="e">
        <f si="108" t="shared"/>
        <v>#DIV/0!</v>
      </c>
      <c r="AD130" s="12" t="e">
        <f si="109" t="shared"/>
        <v>#DIV/0!</v>
      </c>
      <c r="AE130" s="12" t="e">
        <f si="110" t="shared"/>
        <v>#DIV/0!</v>
      </c>
      <c r="AF130" s="12" t="e">
        <f si="110" t="shared"/>
        <v>#DIV/0!</v>
      </c>
      <c r="AG130" s="12">
        <f si="111" t="shared"/>
        <v>0</v>
      </c>
      <c r="AH130" s="34"/>
    </row>
    <row r="131" spans="1:34" x14ac:dyDescent="0.35">
      <c r="A131" s="25" t="s">
        <v>130</v>
      </c>
      <c r="B131" s="34">
        <f ref="B131:E132" si="123" t="shared">B114/B$116</f>
        <v>0.16869747899159665</v>
      </c>
      <c r="C131" s="34" t="e">
        <f si="123" t="shared"/>
        <v>#DIV/0!</v>
      </c>
      <c r="D131" s="34" t="e">
        <f si="123" t="shared"/>
        <v>#DIV/0!</v>
      </c>
      <c r="E131" s="34" t="e">
        <f si="123" t="shared"/>
        <v>#DIV/0!</v>
      </c>
      <c r="F131" s="34" t="e">
        <f ref="F131:H131" si="124" t="shared">F114/F$116</f>
        <v>#DIV/0!</v>
      </c>
      <c r="G131" s="34" t="e">
        <f si="124" t="shared"/>
        <v>#DIV/0!</v>
      </c>
      <c r="H131" s="12" t="e">
        <f si="124" t="shared"/>
        <v>#DIV/0!</v>
      </c>
      <c r="I131" s="34">
        <f si="102" t="shared"/>
        <v>0.16869747899159665</v>
      </c>
      <c r="J131" s="34"/>
      <c r="M131" s="25" t="s">
        <v>130</v>
      </c>
      <c r="N131" s="56">
        <f si="103" t="shared"/>
        <v>0.16869747899159665</v>
      </c>
      <c r="O131" s="56" t="e">
        <f si="103" t="shared"/>
        <v>#DIV/0!</v>
      </c>
      <c r="P131" s="56" t="e">
        <f si="103" t="shared"/>
        <v>#DIV/0!</v>
      </c>
      <c r="Q131" s="56" t="e">
        <f si="103" t="shared"/>
        <v>#DIV/0!</v>
      </c>
      <c r="R131" s="56" t="e">
        <f ref="R131:T131" si="125" t="shared">R114/R$116</f>
        <v>#DIV/0!</v>
      </c>
      <c r="S131" s="56" t="e">
        <f si="125" t="shared"/>
        <v>#DIV/0!</v>
      </c>
      <c r="T131" s="42" t="e">
        <f si="125" t="shared"/>
        <v>#DIV/0!</v>
      </c>
      <c r="U131" s="56">
        <f si="114" t="shared"/>
        <v>0.16869747899159665</v>
      </c>
      <c r="V131" s="56"/>
      <c r="Y131" s="25" t="s">
        <v>130</v>
      </c>
      <c r="Z131" s="12">
        <f si="105" t="shared"/>
        <v>0</v>
      </c>
      <c r="AA131" s="12" t="e">
        <f si="106" t="shared"/>
        <v>#DIV/0!</v>
      </c>
      <c r="AB131" s="12" t="e">
        <f si="107" t="shared"/>
        <v>#DIV/0!</v>
      </c>
      <c r="AC131" s="12" t="e">
        <f si="108" t="shared"/>
        <v>#DIV/0!</v>
      </c>
      <c r="AD131" s="12" t="e">
        <f si="109" t="shared"/>
        <v>#DIV/0!</v>
      </c>
      <c r="AE131" s="12" t="e">
        <f si="110" t="shared"/>
        <v>#DIV/0!</v>
      </c>
      <c r="AF131" s="12" t="e">
        <f si="110" t="shared"/>
        <v>#DIV/0!</v>
      </c>
      <c r="AG131" s="12">
        <f si="111" t="shared"/>
        <v>0</v>
      </c>
      <c r="AH131" s="34"/>
    </row>
    <row r="132" spans="1:34" x14ac:dyDescent="0.35">
      <c r="A132" s="25" t="s">
        <v>249</v>
      </c>
      <c r="B132" s="13">
        <f si="123" t="shared"/>
        <v>8.2773109243697476E-2</v>
      </c>
      <c r="C132" s="13" t="e">
        <f si="123" t="shared"/>
        <v>#DIV/0!</v>
      </c>
      <c r="D132" s="13" t="e">
        <f si="123" t="shared"/>
        <v>#DIV/0!</v>
      </c>
      <c r="E132" s="13" t="e">
        <f si="123" t="shared"/>
        <v>#DIV/0!</v>
      </c>
      <c r="F132" s="13" t="e">
        <f ref="F132:H132" si="126" t="shared">F115/F$116</f>
        <v>#DIV/0!</v>
      </c>
      <c r="G132" s="13" t="e">
        <f si="126" t="shared"/>
        <v>#DIV/0!</v>
      </c>
      <c r="H132" s="12" t="e">
        <f si="126" t="shared"/>
        <v>#DIV/0!</v>
      </c>
      <c r="I132" s="13">
        <f si="102" t="shared"/>
        <v>8.2773109243697476E-2</v>
      </c>
      <c r="J132" s="34"/>
      <c r="M132" s="25" t="s">
        <v>249</v>
      </c>
      <c r="N132" s="43">
        <f si="103" t="shared"/>
        <v>8.2773109243697476E-2</v>
      </c>
      <c r="O132" s="43" t="e">
        <f si="103" t="shared"/>
        <v>#DIV/0!</v>
      </c>
      <c r="P132" s="43" t="e">
        <f si="103" t="shared"/>
        <v>#DIV/0!</v>
      </c>
      <c r="Q132" s="43" t="e">
        <f si="103" t="shared"/>
        <v>#DIV/0!</v>
      </c>
      <c r="R132" s="43" t="e">
        <f ref="R132:T132" si="127" t="shared">R115/R$116</f>
        <v>#DIV/0!</v>
      </c>
      <c r="S132" s="43" t="e">
        <f si="127" t="shared"/>
        <v>#DIV/0!</v>
      </c>
      <c r="T132" s="42" t="e">
        <f si="127" t="shared"/>
        <v>#DIV/0!</v>
      </c>
      <c r="U132" s="43">
        <f si="114" t="shared"/>
        <v>8.2773109243697476E-2</v>
      </c>
      <c r="V132" s="56"/>
      <c r="Y132" s="25" t="s">
        <v>249</v>
      </c>
      <c r="Z132" s="12">
        <f si="105" t="shared"/>
        <v>0</v>
      </c>
      <c r="AA132" s="12" t="e">
        <f si="106" t="shared"/>
        <v>#DIV/0!</v>
      </c>
      <c r="AB132" s="12" t="e">
        <f si="107" t="shared"/>
        <v>#DIV/0!</v>
      </c>
      <c r="AC132" s="12" t="e">
        <f si="108" t="shared"/>
        <v>#DIV/0!</v>
      </c>
      <c r="AD132" s="12" t="e">
        <f si="109" t="shared"/>
        <v>#DIV/0!</v>
      </c>
      <c r="AE132" s="12" t="e">
        <f si="110" t="shared"/>
        <v>#DIV/0!</v>
      </c>
      <c r="AF132" s="12" t="e">
        <f si="110" t="shared"/>
        <v>#DIV/0!</v>
      </c>
      <c r="AG132" s="12">
        <f si="111" t="shared"/>
        <v>0</v>
      </c>
      <c r="AH132" s="34"/>
    </row>
    <row ht="13.15" r="133" spans="1:34" thickBot="1" x14ac:dyDescent="0.4">
      <c r="A133" s="10" t="s">
        <v>223</v>
      </c>
      <c r="B133" s="17">
        <f>B116/B$116</f>
        <v>1</v>
      </c>
      <c r="C133" s="17" t="e">
        <f>C116/C$116</f>
        <v>#DIV/0!</v>
      </c>
      <c r="D133" s="17" t="e">
        <f>D116/D$116</f>
        <v>#DIV/0!</v>
      </c>
      <c r="E133" s="17" t="e">
        <f>E116/E$116</f>
        <v>#DIV/0!</v>
      </c>
      <c r="F133" s="17" t="e">
        <f ref="F133:H133" si="128" t="shared">F116/F$116</f>
        <v>#DIV/0!</v>
      </c>
      <c r="G133" s="17" t="e">
        <f si="128" t="shared"/>
        <v>#DIV/0!</v>
      </c>
      <c r="H133" s="17" t="e">
        <f si="128" t="shared"/>
        <v>#DIV/0!</v>
      </c>
      <c r="I133" s="17">
        <f si="102" t="shared"/>
        <v>1</v>
      </c>
      <c r="J133" s="34"/>
      <c r="M133" s="10" t="s">
        <v>223</v>
      </c>
      <c r="N133" s="44">
        <f si="103" t="shared"/>
        <v>1</v>
      </c>
      <c r="O133" s="44" t="e">
        <f si="103" t="shared"/>
        <v>#DIV/0!</v>
      </c>
      <c r="P133" s="44" t="e">
        <f si="103" t="shared"/>
        <v>#DIV/0!</v>
      </c>
      <c r="Q133" s="44" t="e">
        <f si="103" t="shared"/>
        <v>#DIV/0!</v>
      </c>
      <c r="R133" s="44" t="e">
        <f ref="R133:T133" si="129" t="shared">R116/R$116</f>
        <v>#DIV/0!</v>
      </c>
      <c r="S133" s="44" t="e">
        <f si="129" t="shared"/>
        <v>#DIV/0!</v>
      </c>
      <c r="T133" s="44" t="e">
        <f si="129" t="shared"/>
        <v>#DIV/0!</v>
      </c>
      <c r="U133" s="44">
        <f si="114" t="shared"/>
        <v>1</v>
      </c>
      <c r="V133" s="56"/>
      <c r="Y133" s="10" t="s">
        <v>223</v>
      </c>
      <c r="Z133" s="14">
        <f si="105" t="shared"/>
        <v>0</v>
      </c>
      <c r="AA133" s="14" t="e">
        <f si="106" t="shared"/>
        <v>#DIV/0!</v>
      </c>
      <c r="AB133" s="14" t="e">
        <f si="107" t="shared"/>
        <v>#DIV/0!</v>
      </c>
      <c r="AC133" s="14" t="e">
        <f si="108" t="shared"/>
        <v>#DIV/0!</v>
      </c>
      <c r="AD133" s="14" t="e">
        <f si="109" t="shared"/>
        <v>#DIV/0!</v>
      </c>
      <c r="AE133" s="14" t="e">
        <f si="110" t="shared"/>
        <v>#DIV/0!</v>
      </c>
      <c r="AF133" s="14" t="e">
        <f si="110" t="shared"/>
        <v>#DIV/0!</v>
      </c>
      <c r="AG133" s="14">
        <f si="111" t="shared"/>
        <v>0</v>
      </c>
      <c r="AH133" s="34"/>
    </row>
    <row r="134" spans="1:34" x14ac:dyDescent="0.35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35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35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35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35">
      <c r="F138" s="25"/>
      <c r="G138" s="25"/>
      <c r="H138" s="25"/>
      <c r="I138" s="25"/>
      <c r="J138" s="25"/>
    </row>
  </sheetData>
  <phoneticPr fontId="4" type="noConversion"/>
  <conditionalFormatting sqref="Z23:AI31 Z91:AD99 Z57:AF65 Z125:AC133 AG125:AH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F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O135"/>
  <sheetViews>
    <sheetView topLeftCell="T1" workbookViewId="0">
      <selection activeCell="K7" sqref="K7"/>
    </sheetView>
  </sheetViews>
  <sheetFormatPr defaultColWidth="10.76171875" defaultRowHeight="12.75" x14ac:dyDescent="0.35"/>
  <cols>
    <col min="1" max="13" style="3" width="10.76171875" collapsed="true"/>
    <col min="14" max="14" bestFit="true" customWidth="true" style="3" width="11.76171875" collapsed="true"/>
    <col min="15" max="15" bestFit="true" customWidth="true" style="3" width="12.1171875" collapsed="true"/>
    <col min="16" max="16" bestFit="true" customWidth="true" style="3" width="11.76171875" collapsed="true"/>
    <col min="17" max="35" style="3" width="10.76171875" collapsed="true"/>
    <col min="36" max="36" customWidth="true" style="3" width="3.87890625" collapsed="true"/>
    <col min="37" max="16384" style="3" width="10.76171875" collapsed="true"/>
  </cols>
  <sheetData>
    <row ht="13.15" r="1" spans="1:38" x14ac:dyDescent="0.4">
      <c r="A1" s="2" t="s">
        <v>175</v>
      </c>
      <c r="L1"/>
      <c r="M1" s="2" t="s">
        <v>175</v>
      </c>
      <c r="X1"/>
      <c r="Y1" s="2" t="s">
        <v>175</v>
      </c>
    </row>
    <row ht="13.15" r="2" spans="1:38" x14ac:dyDescent="0.4">
      <c r="A2" s="2" t="s">
        <v>180</v>
      </c>
      <c r="L2"/>
      <c r="M2" s="2" t="s">
        <v>109</v>
      </c>
      <c r="X2"/>
      <c r="Y2" s="2" t="s">
        <v>199</v>
      </c>
    </row>
    <row ht="13.5" r="3" spans="1:38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ht="13.15" r="4" spans="1:38" x14ac:dyDescent="0.4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</row>
    <row r="5" spans="1:38" x14ac:dyDescent="0.35">
      <c r="A5" s="3" t="s">
        <v>211</v>
      </c>
      <c r="B5" s="7">
        <f>output_NHTS!B222</f>
        <v>125000</v>
      </c>
      <c r="C5" s="7">
        <f>output_NHTS!C222</f>
        <v>25000</v>
      </c>
      <c r="D5" s="7">
        <f>output_NHTS!D222</f>
        <v>0</v>
      </c>
      <c r="E5" s="7">
        <f>output_NHTS!E222</f>
        <v>0</v>
      </c>
      <c r="F5" s="7">
        <f>output_NHTS!F222</f>
        <v>5000</v>
      </c>
      <c r="G5" s="7">
        <f>output_NHTS!G222</f>
        <v>1000</v>
      </c>
      <c r="H5" s="7"/>
      <c r="I5" s="7">
        <f>output_NHTS!H222</f>
        <v>0</v>
      </c>
      <c r="J5" s="7">
        <f>output_NHTS!I222</f>
        <v>0</v>
      </c>
      <c r="K5" s="7">
        <f>output_NHTS!J222</f>
        <v>156000</v>
      </c>
      <c r="L5"/>
      <c r="M5" s="3" t="s">
        <v>211</v>
      </c>
      <c r="N5" s="7">
        <f>output!B222</f>
        <v>125000</v>
      </c>
      <c r="O5" s="7">
        <f>output!C222</f>
        <v>25000</v>
      </c>
      <c r="P5" s="7">
        <f>output!D222</f>
        <v>0</v>
      </c>
      <c r="Q5" s="7">
        <f>output!E222</f>
        <v>0</v>
      </c>
      <c r="R5" s="7">
        <f>output!F222</f>
        <v>5000</v>
      </c>
      <c r="S5" s="7">
        <f>output!G222</f>
        <v>1000</v>
      </c>
      <c r="T5" s="7"/>
      <c r="U5" s="7">
        <f>output!H222</f>
        <v>0</v>
      </c>
      <c r="V5" s="7">
        <f>output!I222</f>
        <v>0</v>
      </c>
      <c r="W5" s="7">
        <f>output!J222</f>
        <v>156000</v>
      </c>
      <c r="X5"/>
      <c r="Y5" s="3" t="s">
        <v>211</v>
      </c>
      <c r="Z5" s="7">
        <f ref="Z5:AE12" si="0" t="shared">N5-B5</f>
        <v>0</v>
      </c>
      <c r="AA5" s="7">
        <f si="0" t="shared"/>
        <v>0</v>
      </c>
      <c r="AB5" s="7">
        <f si="0" t="shared"/>
        <v>0</v>
      </c>
      <c r="AC5" s="7">
        <f si="0" t="shared"/>
        <v>0</v>
      </c>
      <c r="AD5" s="7">
        <f si="0" t="shared"/>
        <v>0</v>
      </c>
      <c r="AE5" s="7">
        <f si="0" t="shared"/>
        <v>0</v>
      </c>
      <c r="AF5" s="7"/>
      <c r="AG5" s="7">
        <f ref="AG5:AG12" si="1" t="shared">U5-I5</f>
        <v>0</v>
      </c>
      <c r="AH5" s="7">
        <f ref="AH5:AH12" si="2" t="shared">V5-J5</f>
        <v>0</v>
      </c>
      <c r="AI5" s="7">
        <f ref="AI5:AI12" si="3" t="shared">W5-K5</f>
        <v>0</v>
      </c>
      <c r="AK5" s="3">
        <v>318360</v>
      </c>
      <c r="AL5" s="7">
        <f>W5-AK5</f>
        <v>-162360</v>
      </c>
    </row>
    <row r="6" spans="1:38" x14ac:dyDescent="0.35">
      <c r="A6" s="3" t="s">
        <v>212</v>
      </c>
      <c r="B6" s="7">
        <f>output_NHTS!B223</f>
        <v>0</v>
      </c>
      <c r="C6" s="7">
        <f>output_NHTS!C223</f>
        <v>0</v>
      </c>
      <c r="D6" s="7">
        <f>output_NHTS!D223</f>
        <v>0</v>
      </c>
      <c r="E6" s="7">
        <f>output_NHTS!E223</f>
        <v>0</v>
      </c>
      <c r="F6" s="7">
        <f>output_NHTS!F223</f>
        <v>9000</v>
      </c>
      <c r="G6" s="7">
        <f>output_NHTS!G223</f>
        <v>17000</v>
      </c>
      <c r="H6" s="7"/>
      <c r="I6" s="7">
        <f>output_NHTS!H223</f>
        <v>38000</v>
      </c>
      <c r="J6" s="7">
        <f>output_NHTS!I223</f>
        <v>0</v>
      </c>
      <c r="K6" s="7">
        <f>output_NHTS!J223</f>
        <v>64000</v>
      </c>
      <c r="L6"/>
      <c r="M6" s="3" t="s">
        <v>212</v>
      </c>
      <c r="N6" s="7">
        <f>output!B223</f>
        <v>0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9000</v>
      </c>
      <c r="S6" s="7">
        <f>output!G223</f>
        <v>17000</v>
      </c>
      <c r="T6" s="7"/>
      <c r="U6" s="7">
        <f>output!H223</f>
        <v>38000</v>
      </c>
      <c r="V6" s="7">
        <f>output!I223</f>
        <v>0</v>
      </c>
      <c r="W6" s="7">
        <f>output!J223</f>
        <v>64000</v>
      </c>
      <c r="X6"/>
      <c r="Y6" s="3" t="s">
        <v>212</v>
      </c>
      <c r="Z6" s="7">
        <f si="0" t="shared"/>
        <v>0</v>
      </c>
      <c r="AA6" s="7">
        <f si="0" t="shared"/>
        <v>0</v>
      </c>
      <c r="AB6" s="7">
        <f si="0" t="shared"/>
        <v>0</v>
      </c>
      <c r="AC6" s="7">
        <f si="0" t="shared"/>
        <v>0</v>
      </c>
      <c r="AD6" s="7">
        <f si="0" t="shared"/>
        <v>0</v>
      </c>
      <c r="AE6" s="7">
        <f si="0" t="shared"/>
        <v>0</v>
      </c>
      <c r="AF6" s="7"/>
      <c r="AG6" s="7">
        <f si="1" t="shared"/>
        <v>0</v>
      </c>
      <c r="AH6" s="7">
        <f si="2" t="shared"/>
        <v>0</v>
      </c>
      <c r="AI6" s="7">
        <f si="3" t="shared"/>
        <v>0</v>
      </c>
      <c r="AK6" s="3">
        <v>19520</v>
      </c>
      <c r="AL6" s="7">
        <f ref="AL6:AL12" si="4" t="shared">W6-AK6</f>
        <v>44480</v>
      </c>
    </row>
    <row r="7" spans="1:38" x14ac:dyDescent="0.35">
      <c r="A7" s="3" t="s">
        <v>213</v>
      </c>
      <c r="B7" s="7">
        <f>output_NHTS!B224</f>
        <v>56000</v>
      </c>
      <c r="C7" s="7">
        <f>output_NHTS!C224</f>
        <v>19000</v>
      </c>
      <c r="D7" s="7">
        <f>output_NHTS!D224</f>
        <v>5000</v>
      </c>
      <c r="E7" s="7">
        <f>output_NHTS!E224</f>
        <v>31000</v>
      </c>
      <c r="F7" s="7">
        <f>output_NHTS!F224</f>
        <v>10000</v>
      </c>
      <c r="G7" s="7">
        <f>output_NHTS!G224</f>
        <v>11000</v>
      </c>
      <c r="H7" s="7"/>
      <c r="I7" s="7">
        <f>output_NHTS!H224</f>
        <v>27000</v>
      </c>
      <c r="J7" s="7">
        <f>output_NHTS!I224</f>
        <v>0</v>
      </c>
      <c r="K7" s="7">
        <f>output_NHTS!J224</f>
        <v>159000</v>
      </c>
      <c r="L7"/>
      <c r="M7" s="3" t="s">
        <v>213</v>
      </c>
      <c r="N7" s="7">
        <f>output!B224</f>
        <v>56000</v>
      </c>
      <c r="O7" s="7">
        <f>output!C224</f>
        <v>19000</v>
      </c>
      <c r="P7" s="7">
        <f>output!D224</f>
        <v>5000</v>
      </c>
      <c r="Q7" s="7">
        <f>output!E224</f>
        <v>31000</v>
      </c>
      <c r="R7" s="7">
        <f>output!F224</f>
        <v>10000</v>
      </c>
      <c r="S7" s="7">
        <f>output!G224</f>
        <v>11000</v>
      </c>
      <c r="T7" s="7"/>
      <c r="U7" s="7">
        <f>output!H224</f>
        <v>27000</v>
      </c>
      <c r="V7" s="7">
        <f>output!I224</f>
        <v>0</v>
      </c>
      <c r="W7" s="7">
        <f>output!J224</f>
        <v>159000</v>
      </c>
      <c r="X7"/>
      <c r="Y7" s="3" t="s">
        <v>213</v>
      </c>
      <c r="Z7" s="7">
        <f si="0" t="shared"/>
        <v>0</v>
      </c>
      <c r="AA7" s="7">
        <f si="0" t="shared"/>
        <v>0</v>
      </c>
      <c r="AB7" s="7">
        <f si="0" t="shared"/>
        <v>0</v>
      </c>
      <c r="AC7" s="7">
        <f si="0" t="shared"/>
        <v>0</v>
      </c>
      <c r="AD7" s="7">
        <f si="0" t="shared"/>
        <v>0</v>
      </c>
      <c r="AE7" s="7">
        <f si="0" t="shared"/>
        <v>0</v>
      </c>
      <c r="AF7" s="7"/>
      <c r="AG7" s="7">
        <f si="1" t="shared"/>
        <v>0</v>
      </c>
      <c r="AH7" s="7">
        <f si="2" t="shared"/>
        <v>0</v>
      </c>
      <c r="AI7" s="7">
        <f si="3" t="shared"/>
        <v>0</v>
      </c>
      <c r="AK7" s="3">
        <v>946110</v>
      </c>
      <c r="AL7" s="7">
        <f si="4" t="shared"/>
        <v>-787110</v>
      </c>
    </row>
    <row r="8" spans="1:38" x14ac:dyDescent="0.35">
      <c r="A8" s="3" t="s">
        <v>214</v>
      </c>
      <c r="B8" s="7">
        <f>output_NHTS!B225</f>
        <v>146000</v>
      </c>
      <c r="C8" s="7">
        <f>output_NHTS!C225</f>
        <v>47000</v>
      </c>
      <c r="D8" s="7">
        <f>output_NHTS!D225</f>
        <v>45000</v>
      </c>
      <c r="E8" s="7">
        <f>output_NHTS!E225</f>
        <v>78000</v>
      </c>
      <c r="F8" s="7">
        <f>output_NHTS!F225</f>
        <v>14000</v>
      </c>
      <c r="G8" s="7">
        <f>output_NHTS!G225</f>
        <v>27000</v>
      </c>
      <c r="H8" s="7"/>
      <c r="I8" s="7">
        <f>output_NHTS!H225</f>
        <v>54000</v>
      </c>
      <c r="J8" s="7">
        <f>output_NHTS!I225</f>
        <v>0</v>
      </c>
      <c r="K8" s="7">
        <f>output_NHTS!J225</f>
        <v>411000</v>
      </c>
      <c r="L8"/>
      <c r="M8" s="3" t="s">
        <v>214</v>
      </c>
      <c r="N8" s="7">
        <f>output!B225</f>
        <v>146000</v>
      </c>
      <c r="O8" s="7">
        <f>output!C225</f>
        <v>47000</v>
      </c>
      <c r="P8" s="7">
        <f>output!D225</f>
        <v>45000</v>
      </c>
      <c r="Q8" s="7">
        <f>output!E225</f>
        <v>78000</v>
      </c>
      <c r="R8" s="7">
        <f>output!F225</f>
        <v>14000</v>
      </c>
      <c r="S8" s="7">
        <f>output!G225</f>
        <v>27000</v>
      </c>
      <c r="T8" s="7"/>
      <c r="U8" s="7">
        <f>output!H225</f>
        <v>54000</v>
      </c>
      <c r="V8" s="7">
        <f>output!I225</f>
        <v>0</v>
      </c>
      <c r="W8" s="7">
        <f>output!J225</f>
        <v>411000</v>
      </c>
      <c r="X8"/>
      <c r="Y8" s="3" t="s">
        <v>214</v>
      </c>
      <c r="Z8" s="7">
        <f si="0" t="shared"/>
        <v>0</v>
      </c>
      <c r="AA8" s="7">
        <f si="0" t="shared"/>
        <v>0</v>
      </c>
      <c r="AB8" s="7">
        <f si="0" t="shared"/>
        <v>0</v>
      </c>
      <c r="AC8" s="7">
        <f si="0" t="shared"/>
        <v>0</v>
      </c>
      <c r="AD8" s="7">
        <f si="0" t="shared"/>
        <v>0</v>
      </c>
      <c r="AE8" s="7">
        <f si="0" t="shared"/>
        <v>0</v>
      </c>
      <c r="AF8" s="7"/>
      <c r="AG8" s="7">
        <f si="1" t="shared"/>
        <v>0</v>
      </c>
      <c r="AH8" s="7">
        <f si="2" t="shared"/>
        <v>0</v>
      </c>
      <c r="AI8" s="7">
        <f si="3" t="shared"/>
        <v>0</v>
      </c>
      <c r="AK8" s="3">
        <v>895490</v>
      </c>
      <c r="AL8" s="7">
        <f si="4" t="shared"/>
        <v>-484490</v>
      </c>
    </row>
    <row r="9" spans="1:38" x14ac:dyDescent="0.35">
      <c r="A9" s="3" t="s">
        <v>215</v>
      </c>
      <c r="B9" s="7">
        <f>output_NHTS!B226</f>
        <v>211000</v>
      </c>
      <c r="C9" s="7">
        <f>output_NHTS!C226</f>
        <v>86000</v>
      </c>
      <c r="D9" s="7">
        <f>output_NHTS!D226</f>
        <v>62000</v>
      </c>
      <c r="E9" s="7">
        <f>output_NHTS!E226</f>
        <v>99000</v>
      </c>
      <c r="F9" s="7">
        <f>output_NHTS!F226</f>
        <v>32000</v>
      </c>
      <c r="G9" s="7">
        <f>output_NHTS!G226</f>
        <v>30000</v>
      </c>
      <c r="H9" s="7"/>
      <c r="I9" s="7">
        <f>output_NHTS!H226</f>
        <v>103000</v>
      </c>
      <c r="J9" s="7">
        <f>output_NHTS!I226</f>
        <v>0</v>
      </c>
      <c r="K9" s="7">
        <f>output_NHTS!J226</f>
        <v>623000</v>
      </c>
      <c r="L9"/>
      <c r="M9" s="3" t="s">
        <v>215</v>
      </c>
      <c r="N9" s="7">
        <f>output!B226</f>
        <v>211000</v>
      </c>
      <c r="O9" s="7">
        <f>output!C226</f>
        <v>86000</v>
      </c>
      <c r="P9" s="7">
        <f>output!D226</f>
        <v>62000</v>
      </c>
      <c r="Q9" s="7">
        <f>output!E226</f>
        <v>99000</v>
      </c>
      <c r="R9" s="7">
        <f>output!F226</f>
        <v>32000</v>
      </c>
      <c r="S9" s="7">
        <f>output!G226</f>
        <v>30000</v>
      </c>
      <c r="T9" s="7"/>
      <c r="U9" s="7">
        <f>output!H226</f>
        <v>103000</v>
      </c>
      <c r="V9" s="7">
        <f>output!I226</f>
        <v>0</v>
      </c>
      <c r="W9" s="7">
        <f>output!J226</f>
        <v>623000</v>
      </c>
      <c r="X9"/>
      <c r="Y9" s="3" t="s">
        <v>215</v>
      </c>
      <c r="Z9" s="7">
        <f si="0" t="shared"/>
        <v>0</v>
      </c>
      <c r="AA9" s="7">
        <f si="0" t="shared"/>
        <v>0</v>
      </c>
      <c r="AB9" s="7">
        <f si="0" t="shared"/>
        <v>0</v>
      </c>
      <c r="AC9" s="7">
        <f si="0" t="shared"/>
        <v>0</v>
      </c>
      <c r="AD9" s="7">
        <f si="0" t="shared"/>
        <v>0</v>
      </c>
      <c r="AE9" s="7">
        <f si="0" t="shared"/>
        <v>0</v>
      </c>
      <c r="AF9" s="7"/>
      <c r="AG9" s="7">
        <f si="1" t="shared"/>
        <v>0</v>
      </c>
      <c r="AH9" s="7">
        <f si="2" t="shared"/>
        <v>0</v>
      </c>
      <c r="AI9" s="7">
        <f si="3" t="shared"/>
        <v>0</v>
      </c>
      <c r="AK9" s="3">
        <v>935110</v>
      </c>
      <c r="AL9" s="7">
        <f si="4" t="shared"/>
        <v>-312110</v>
      </c>
    </row>
    <row r="10" spans="1:38" x14ac:dyDescent="0.35">
      <c r="A10" s="3" t="s">
        <v>129</v>
      </c>
      <c r="B10" s="7">
        <f>output_NHTS!B227</f>
        <v>203000</v>
      </c>
      <c r="C10" s="7">
        <f>output_NHTS!C227</f>
        <v>66000</v>
      </c>
      <c r="D10" s="7">
        <f>output_NHTS!D227</f>
        <v>48000</v>
      </c>
      <c r="E10" s="7">
        <f>output_NHTS!E227</f>
        <v>63000</v>
      </c>
      <c r="F10" s="7">
        <f>output_NHTS!F227</f>
        <v>37000</v>
      </c>
      <c r="G10" s="7">
        <f>output_NHTS!G227</f>
        <v>45000</v>
      </c>
      <c r="H10" s="7"/>
      <c r="I10" s="7">
        <f>output_NHTS!H227</f>
        <v>93000</v>
      </c>
      <c r="J10" s="7">
        <f>output_NHTS!I227</f>
        <v>0</v>
      </c>
      <c r="K10" s="7">
        <f>output_NHTS!J227</f>
        <v>555000</v>
      </c>
      <c r="L10"/>
      <c r="M10" s="3" t="s">
        <v>129</v>
      </c>
      <c r="N10" s="7">
        <f>output!B227</f>
        <v>203000</v>
      </c>
      <c r="O10" s="7">
        <f>output!C227</f>
        <v>66000</v>
      </c>
      <c r="P10" s="7">
        <f>output!D227</f>
        <v>48000</v>
      </c>
      <c r="Q10" s="7">
        <f>output!E227</f>
        <v>63000</v>
      </c>
      <c r="R10" s="7">
        <f>output!F227</f>
        <v>37000</v>
      </c>
      <c r="S10" s="7">
        <f>output!G227</f>
        <v>45000</v>
      </c>
      <c r="T10" s="7"/>
      <c r="U10" s="7">
        <f>output!H227</f>
        <v>93000</v>
      </c>
      <c r="V10" s="7">
        <f>output!I227</f>
        <v>0</v>
      </c>
      <c r="W10" s="7">
        <f>output!J227</f>
        <v>555000</v>
      </c>
      <c r="X10"/>
      <c r="Y10" s="3" t="s">
        <v>129</v>
      </c>
      <c r="Z10" s="7">
        <f si="0" t="shared"/>
        <v>0</v>
      </c>
      <c r="AA10" s="7">
        <f si="0" t="shared"/>
        <v>0</v>
      </c>
      <c r="AB10" s="7">
        <f si="0" t="shared"/>
        <v>0</v>
      </c>
      <c r="AC10" s="7">
        <f si="0" t="shared"/>
        <v>0</v>
      </c>
      <c r="AD10" s="7">
        <f si="0" t="shared"/>
        <v>0</v>
      </c>
      <c r="AE10" s="7">
        <f si="0" t="shared"/>
        <v>0</v>
      </c>
      <c r="AF10" s="7"/>
      <c r="AG10" s="7">
        <f si="1" t="shared"/>
        <v>0</v>
      </c>
      <c r="AH10" s="7">
        <f si="2" t="shared"/>
        <v>0</v>
      </c>
      <c r="AI10" s="7">
        <f si="3" t="shared"/>
        <v>0</v>
      </c>
      <c r="AK10" s="3">
        <v>426400</v>
      </c>
      <c r="AL10" s="7">
        <f si="4" t="shared"/>
        <v>128600</v>
      </c>
    </row>
    <row r="11" spans="1:38" x14ac:dyDescent="0.35">
      <c r="A11" s="3" t="s">
        <v>130</v>
      </c>
      <c r="B11" s="7">
        <f>output_NHTS!B228</f>
        <v>29000</v>
      </c>
      <c r="C11" s="7">
        <f>output_NHTS!C228</f>
        <v>11000</v>
      </c>
      <c r="D11" s="7">
        <f>output_NHTS!D228</f>
        <v>9000</v>
      </c>
      <c r="E11" s="7">
        <f>output_NHTS!E228</f>
        <v>21000</v>
      </c>
      <c r="F11" s="7">
        <f>output_NHTS!F228</f>
        <v>5000</v>
      </c>
      <c r="G11" s="7">
        <f>output_NHTS!G228</f>
        <v>4000</v>
      </c>
      <c r="H11" s="7"/>
      <c r="I11" s="7">
        <f>output_NHTS!H228</f>
        <v>14000</v>
      </c>
      <c r="J11" s="7">
        <f>output_NHTS!I228</f>
        <v>0</v>
      </c>
      <c r="K11" s="7">
        <f>output_NHTS!J228</f>
        <v>93000</v>
      </c>
      <c r="L11"/>
      <c r="M11" s="3" t="s">
        <v>130</v>
      </c>
      <c r="N11" s="7">
        <f>output!B228</f>
        <v>29000</v>
      </c>
      <c r="O11" s="7">
        <f>output!C228</f>
        <v>11000</v>
      </c>
      <c r="P11" s="7">
        <f>output!D228</f>
        <v>9000</v>
      </c>
      <c r="Q11" s="7">
        <f>output!E228</f>
        <v>21000</v>
      </c>
      <c r="R11" s="7">
        <f>output!F228</f>
        <v>5000</v>
      </c>
      <c r="S11" s="7">
        <f>output!G228</f>
        <v>4000</v>
      </c>
      <c r="T11" s="7"/>
      <c r="U11" s="7">
        <f>output!H228</f>
        <v>14000</v>
      </c>
      <c r="V11" s="7">
        <f>output!I228</f>
        <v>0</v>
      </c>
      <c r="W11" s="7">
        <f>output!J228</f>
        <v>93000</v>
      </c>
      <c r="X11"/>
      <c r="Y11" s="3" t="s">
        <v>130</v>
      </c>
      <c r="Z11" s="7">
        <f si="0" t="shared"/>
        <v>0</v>
      </c>
      <c r="AA11" s="7">
        <f si="0" t="shared"/>
        <v>0</v>
      </c>
      <c r="AB11" s="7">
        <f si="0" t="shared"/>
        <v>0</v>
      </c>
      <c r="AC11" s="7">
        <f si="0" t="shared"/>
        <v>0</v>
      </c>
      <c r="AD11" s="7">
        <f si="0" t="shared"/>
        <v>0</v>
      </c>
      <c r="AE11" s="7">
        <f si="0" t="shared"/>
        <v>0</v>
      </c>
      <c r="AF11" s="7"/>
      <c r="AG11" s="7">
        <f si="1" t="shared"/>
        <v>0</v>
      </c>
      <c r="AH11" s="7">
        <f si="2" t="shared"/>
        <v>0</v>
      </c>
      <c r="AI11" s="7">
        <f si="3" t="shared"/>
        <v>0</v>
      </c>
      <c r="AK11" s="3">
        <v>481730</v>
      </c>
      <c r="AL11" s="7">
        <f si="4" t="shared"/>
        <v>-388730</v>
      </c>
    </row>
    <row ht="13.15" r="12" spans="1:38" thickBot="1" x14ac:dyDescent="0.4">
      <c r="A12" s="10" t="s">
        <v>223</v>
      </c>
      <c r="B12" s="11">
        <f>SUM(B5:B11)</f>
        <v>770000</v>
      </c>
      <c r="C12" s="11">
        <f ref="C12:K12" si="5" t="shared">SUM(C5:C11)</f>
        <v>254000</v>
      </c>
      <c r="D12" s="11">
        <f si="5" t="shared"/>
        <v>169000</v>
      </c>
      <c r="E12" s="11">
        <f si="5" t="shared"/>
        <v>292000</v>
      </c>
      <c r="F12" s="11">
        <f si="5" t="shared"/>
        <v>112000</v>
      </c>
      <c r="G12" s="11">
        <f si="5" t="shared"/>
        <v>135000</v>
      </c>
      <c r="H12" s="11"/>
      <c r="I12" s="11">
        <f si="5" t="shared"/>
        <v>329000</v>
      </c>
      <c r="J12" s="11">
        <f si="5" t="shared"/>
        <v>0</v>
      </c>
      <c r="K12" s="11">
        <f si="5" t="shared"/>
        <v>2061000</v>
      </c>
      <c r="L12"/>
      <c r="M12" s="10" t="s">
        <v>223</v>
      </c>
      <c r="N12" s="11">
        <f>SUM(N5:N11)</f>
        <v>770000</v>
      </c>
      <c r="O12" s="11">
        <f ref="O12:W12" si="6" t="shared">SUM(O5:O11)</f>
        <v>254000</v>
      </c>
      <c r="P12" s="11">
        <f si="6" t="shared"/>
        <v>169000</v>
      </c>
      <c r="Q12" s="11">
        <f si="6" t="shared"/>
        <v>292000</v>
      </c>
      <c r="R12" s="11">
        <f si="6" t="shared"/>
        <v>112000</v>
      </c>
      <c r="S12" s="11">
        <f si="6" t="shared"/>
        <v>135000</v>
      </c>
      <c r="T12" s="11"/>
      <c r="U12" s="11">
        <f si="6" t="shared"/>
        <v>329000</v>
      </c>
      <c r="V12" s="11">
        <f si="6" t="shared"/>
        <v>0</v>
      </c>
      <c r="W12" s="11">
        <f si="6" t="shared"/>
        <v>2061000</v>
      </c>
      <c r="X12"/>
      <c r="Y12" s="10" t="s">
        <v>223</v>
      </c>
      <c r="Z12" s="11">
        <f si="0" t="shared"/>
        <v>0</v>
      </c>
      <c r="AA12" s="11">
        <f si="0" t="shared"/>
        <v>0</v>
      </c>
      <c r="AB12" s="11">
        <f si="0" t="shared"/>
        <v>0</v>
      </c>
      <c r="AC12" s="11">
        <f si="0" t="shared"/>
        <v>0</v>
      </c>
      <c r="AD12" s="11">
        <f si="0" t="shared"/>
        <v>0</v>
      </c>
      <c r="AE12" s="11">
        <f si="0" t="shared"/>
        <v>0</v>
      </c>
      <c r="AF12" s="11"/>
      <c r="AG12" s="11">
        <f si="1" t="shared"/>
        <v>0</v>
      </c>
      <c r="AH12" s="11">
        <f si="2" t="shared"/>
        <v>0</v>
      </c>
      <c r="AI12" s="11">
        <f si="3" t="shared"/>
        <v>0</v>
      </c>
      <c r="AK12" s="3">
        <v>4022720</v>
      </c>
      <c r="AL12" s="7">
        <f si="4" t="shared"/>
        <v>-1961720</v>
      </c>
    </row>
    <row r="13" spans="1:38" x14ac:dyDescent="0.35">
      <c r="L13"/>
      <c r="X13"/>
    </row>
    <row r="14" spans="1:38" x14ac:dyDescent="0.35">
      <c r="A14" s="25" t="s">
        <v>88</v>
      </c>
      <c r="B14" s="33">
        <f>ToursByTourPurpose!B15</f>
        <v>1234000</v>
      </c>
      <c r="C14" s="33">
        <f>ToursByTourPurpose!C15</f>
        <v>345000</v>
      </c>
      <c r="D14" s="33">
        <f>ToursByTourPurpose!D15</f>
        <v>314000</v>
      </c>
      <c r="E14" s="33">
        <f>ToursByTourPurpose!E15</f>
        <v>461000</v>
      </c>
      <c r="F14" s="33">
        <f>ToursByTourPurpose!F15</f>
        <v>145000</v>
      </c>
      <c r="G14" s="33">
        <f>ToursByTourPurpose!G15</f>
        <v>193000</v>
      </c>
      <c r="H14" s="33"/>
      <c r="I14" s="33">
        <f>ToursByTourPurpose!I15</f>
        <v>589000</v>
      </c>
      <c r="J14" s="33">
        <f>ToursByTourPurpose!J15</f>
        <v>0</v>
      </c>
      <c r="K14" s="33">
        <f>ToursByTourPurpose!K15</f>
        <v>3281000</v>
      </c>
      <c r="L14"/>
      <c r="M14" s="25" t="s">
        <v>88</v>
      </c>
      <c r="N14" s="33">
        <f>ToursByTourPurpose!N15</f>
        <v>1234000</v>
      </c>
      <c r="O14" s="33">
        <f>ToursByTourPurpose!O15</f>
        <v>345000</v>
      </c>
      <c r="P14" s="33">
        <f>ToursByTourPurpose!P15</f>
        <v>314000</v>
      </c>
      <c r="Q14" s="33">
        <f>ToursByTourPurpose!Q15</f>
        <v>461000</v>
      </c>
      <c r="R14" s="33">
        <f>ToursByTourPurpose!R15</f>
        <v>145000</v>
      </c>
      <c r="S14" s="33">
        <f>ToursByTourPurpose!S15</f>
        <v>193000</v>
      </c>
      <c r="T14" s="33"/>
      <c r="U14" s="33">
        <f>ToursByTourPurpose!U15</f>
        <v>589000</v>
      </c>
      <c r="V14" s="33">
        <f>ToursByTourPurpose!V15</f>
        <v>0</v>
      </c>
      <c r="W14" s="33">
        <f>ToursByTourPurpose!W15</f>
        <v>3281000</v>
      </c>
      <c r="X14"/>
      <c r="Y14" s="25" t="s">
        <v>88</v>
      </c>
      <c r="Z14" s="33">
        <f ref="Z14:AE15" si="7" t="shared">N14-B14</f>
        <v>0</v>
      </c>
      <c r="AA14" s="33">
        <f si="7" t="shared"/>
        <v>0</v>
      </c>
      <c r="AB14" s="33">
        <f si="7" t="shared"/>
        <v>0</v>
      </c>
      <c r="AC14" s="33">
        <f si="7" t="shared"/>
        <v>0</v>
      </c>
      <c r="AD14" s="33">
        <f si="7" t="shared"/>
        <v>0</v>
      </c>
      <c r="AE14" s="33">
        <f si="7" t="shared"/>
        <v>0</v>
      </c>
      <c r="AF14" s="33"/>
      <c r="AG14" s="33">
        <f ref="AG14:AI15" si="8" t="shared">U14-I14</f>
        <v>0</v>
      </c>
      <c r="AH14" s="33">
        <f si="8" t="shared"/>
        <v>0</v>
      </c>
      <c r="AI14" s="33">
        <f si="8" t="shared"/>
        <v>0</v>
      </c>
    </row>
    <row r="15" spans="1:38" x14ac:dyDescent="0.35">
      <c r="A15" s="25" t="s">
        <v>90</v>
      </c>
      <c r="B15" s="38">
        <f>B12/B14</f>
        <v>0.62398703403565636</v>
      </c>
      <c r="C15" s="38">
        <f ref="C15:K15" si="9" t="shared">C12/C14</f>
        <v>0.73623188405797102</v>
      </c>
      <c r="D15" s="38">
        <f si="9" t="shared"/>
        <v>0.53821656050955413</v>
      </c>
      <c r="E15" s="38">
        <f si="9" t="shared"/>
        <v>0.63340563991323207</v>
      </c>
      <c r="F15" s="38">
        <f si="9" t="shared"/>
        <v>0.77241379310344827</v>
      </c>
      <c r="G15" s="38">
        <f si="9" t="shared"/>
        <v>0.69948186528497414</v>
      </c>
      <c r="H15" s="38"/>
      <c r="I15" s="38">
        <f si="9" t="shared"/>
        <v>0.5585738539898133</v>
      </c>
      <c r="J15" s="38" t="e">
        <f si="9" t="shared"/>
        <v>#DIV/0!</v>
      </c>
      <c r="K15" s="38">
        <f si="9" t="shared"/>
        <v>0.62816214568729045</v>
      </c>
      <c r="L15"/>
      <c r="M15" s="25" t="s">
        <v>90</v>
      </c>
      <c r="N15" s="38">
        <f ref="N15:W15" si="10" t="shared">N12/N14</f>
        <v>0.62398703403565636</v>
      </c>
      <c r="O15" s="38">
        <f si="10" t="shared"/>
        <v>0.73623188405797102</v>
      </c>
      <c r="P15" s="38">
        <f si="10" t="shared"/>
        <v>0.53821656050955413</v>
      </c>
      <c r="Q15" s="38">
        <f si="10" t="shared"/>
        <v>0.63340563991323207</v>
      </c>
      <c r="R15" s="38">
        <f si="10" t="shared"/>
        <v>0.77241379310344827</v>
      </c>
      <c r="S15" s="38">
        <f si="10" t="shared"/>
        <v>0.69948186528497414</v>
      </c>
      <c r="T15" s="38"/>
      <c r="U15" s="38">
        <f si="10" t="shared"/>
        <v>0.5585738539898133</v>
      </c>
      <c r="V15" s="38" t="e">
        <f si="10" t="shared"/>
        <v>#DIV/0!</v>
      </c>
      <c r="W15" s="38">
        <f si="10" t="shared"/>
        <v>0.62816214568729045</v>
      </c>
      <c r="X15"/>
      <c r="Y15" s="25" t="s">
        <v>90</v>
      </c>
      <c r="Z15" s="38">
        <f si="7" t="shared"/>
        <v>0</v>
      </c>
      <c r="AA15" s="38">
        <f si="7" t="shared"/>
        <v>0</v>
      </c>
      <c r="AB15" s="38">
        <f si="7" t="shared"/>
        <v>0</v>
      </c>
      <c r="AC15" s="38">
        <f si="7" t="shared"/>
        <v>0</v>
      </c>
      <c r="AD15" s="38">
        <f si="7" t="shared"/>
        <v>0</v>
      </c>
      <c r="AE15" s="38">
        <f si="7" t="shared"/>
        <v>0</v>
      </c>
      <c r="AF15" s="38"/>
      <c r="AG15" s="38">
        <f si="8" t="shared"/>
        <v>0</v>
      </c>
      <c r="AH15" s="38" t="e">
        <f si="8" t="shared"/>
        <v>#DIV/0!</v>
      </c>
      <c r="AI15" s="38">
        <f si="8" t="shared"/>
        <v>0</v>
      </c>
    </row>
    <row r="16" spans="1:38" x14ac:dyDescent="0.35">
      <c r="L16"/>
      <c r="X16"/>
    </row>
    <row ht="13.15" r="17" spans="1:35" x14ac:dyDescent="0.4">
      <c r="A17" s="2" t="s">
        <v>175</v>
      </c>
      <c r="L17"/>
      <c r="M17" s="2" t="s">
        <v>175</v>
      </c>
      <c r="X17"/>
      <c r="Y17" s="2" t="s">
        <v>175</v>
      </c>
    </row>
    <row ht="13.15" r="18" spans="1:35" x14ac:dyDescent="0.4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4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ht="13.15" r="20" spans="1:35" x14ac:dyDescent="0.4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245</v>
      </c>
      <c r="F20" s="6" t="s">
        <v>246</v>
      </c>
      <c r="G20" s="6" t="s">
        <v>247</v>
      </c>
      <c r="H20" s="6"/>
      <c r="I20" s="6" t="s">
        <v>248</v>
      </c>
      <c r="J20" s="6" t="s">
        <v>170</v>
      </c>
      <c r="K20" s="6" t="s">
        <v>223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245</v>
      </c>
      <c r="R20" s="6" t="s">
        <v>246</v>
      </c>
      <c r="S20" s="6" t="s">
        <v>247</v>
      </c>
      <c r="T20" s="6"/>
      <c r="U20" s="6" t="s">
        <v>248</v>
      </c>
      <c r="V20" s="6" t="s">
        <v>170</v>
      </c>
      <c r="W20" s="6" t="s">
        <v>223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245</v>
      </c>
      <c r="AD20" s="6" t="s">
        <v>246</v>
      </c>
      <c r="AE20" s="6" t="s">
        <v>247</v>
      </c>
      <c r="AF20" s="6"/>
      <c r="AG20" s="6" t="s">
        <v>248</v>
      </c>
      <c r="AH20" s="6" t="s">
        <v>170</v>
      </c>
      <c r="AI20" s="6" t="s">
        <v>223</v>
      </c>
    </row>
    <row r="21" spans="1:35" x14ac:dyDescent="0.35">
      <c r="A21" s="3" t="s">
        <v>211</v>
      </c>
      <c r="B21" s="12">
        <f ref="B21:K21" si="11" t="shared">B5/B$12</f>
        <v>0.16233766233766234</v>
      </c>
      <c r="C21" s="12">
        <f si="11" t="shared"/>
        <v>9.8425196850393706E-2</v>
      </c>
      <c r="D21" s="12">
        <f si="11" t="shared"/>
        <v>0</v>
      </c>
      <c r="E21" s="12">
        <f si="11" t="shared"/>
        <v>0</v>
      </c>
      <c r="F21" s="12">
        <f si="11" t="shared"/>
        <v>4.4642857142857144E-2</v>
      </c>
      <c r="G21" s="12">
        <f si="11" t="shared"/>
        <v>7.4074074074074077E-3</v>
      </c>
      <c r="H21" s="12"/>
      <c r="I21" s="12">
        <f si="11" t="shared"/>
        <v>0</v>
      </c>
      <c r="J21" s="12" t="e">
        <f si="11" t="shared"/>
        <v>#DIV/0!</v>
      </c>
      <c r="K21" s="12">
        <f si="11" t="shared"/>
        <v>7.5691411935953426E-2</v>
      </c>
      <c r="L21"/>
      <c r="M21" s="3" t="s">
        <v>211</v>
      </c>
      <c r="N21" s="12">
        <f ref="N21:W21" si="12" t="shared">N5/N$12</f>
        <v>0.16233766233766234</v>
      </c>
      <c r="O21" s="12">
        <f si="12" t="shared"/>
        <v>9.8425196850393706E-2</v>
      </c>
      <c r="P21" s="12">
        <f si="12" t="shared"/>
        <v>0</v>
      </c>
      <c r="Q21" s="12">
        <f si="12" t="shared"/>
        <v>0</v>
      </c>
      <c r="R21" s="12">
        <f si="12" t="shared"/>
        <v>4.4642857142857144E-2</v>
      </c>
      <c r="S21" s="12">
        <f si="12" t="shared"/>
        <v>7.4074074074074077E-3</v>
      </c>
      <c r="T21" s="12"/>
      <c r="U21" s="12">
        <f si="12" t="shared"/>
        <v>0</v>
      </c>
      <c r="V21" s="12" t="e">
        <f si="12" t="shared"/>
        <v>#DIV/0!</v>
      </c>
      <c r="W21" s="12">
        <f si="12" t="shared"/>
        <v>7.5691411935953426E-2</v>
      </c>
      <c r="X21"/>
      <c r="Y21" s="3" t="s">
        <v>211</v>
      </c>
      <c r="Z21" s="12">
        <f ref="Z21:AE28" si="13" t="shared">N21-B21</f>
        <v>0</v>
      </c>
      <c r="AA21" s="12">
        <f si="13" t="shared"/>
        <v>0</v>
      </c>
      <c r="AB21" s="12">
        <f si="13" t="shared"/>
        <v>0</v>
      </c>
      <c r="AC21" s="12">
        <f si="13" t="shared"/>
        <v>0</v>
      </c>
      <c r="AD21" s="12">
        <f si="13" t="shared"/>
        <v>0</v>
      </c>
      <c r="AE21" s="12">
        <f si="13" t="shared"/>
        <v>0</v>
      </c>
      <c r="AF21" s="12"/>
      <c r="AG21" s="12">
        <f ref="AG21:AG28" si="14" t="shared">U21-I21</f>
        <v>0</v>
      </c>
      <c r="AH21" s="12" t="e">
        <f ref="AH21:AH28" si="15" t="shared">V21-J21</f>
        <v>#DIV/0!</v>
      </c>
      <c r="AI21" s="12">
        <f ref="AI21:AI28" si="16" t="shared">W21-K21</f>
        <v>0</v>
      </c>
    </row>
    <row r="22" spans="1:35" x14ac:dyDescent="0.35">
      <c r="A22" s="3" t="s">
        <v>212</v>
      </c>
      <c r="B22" s="12">
        <f ref="B22:K22" si="17" t="shared">B6/B$12</f>
        <v>0</v>
      </c>
      <c r="C22" s="12">
        <f si="17" t="shared"/>
        <v>0</v>
      </c>
      <c r="D22" s="12">
        <f si="17" t="shared"/>
        <v>0</v>
      </c>
      <c r="E22" s="12">
        <f si="17" t="shared"/>
        <v>0</v>
      </c>
      <c r="F22" s="12">
        <f si="17" t="shared"/>
        <v>8.0357142857142863E-2</v>
      </c>
      <c r="G22" s="12">
        <f si="17" t="shared"/>
        <v>0.12592592592592591</v>
      </c>
      <c r="H22" s="12"/>
      <c r="I22" s="12">
        <f si="17" t="shared"/>
        <v>0.11550151975683891</v>
      </c>
      <c r="J22" s="12" t="e">
        <f si="17" t="shared"/>
        <v>#DIV/0!</v>
      </c>
      <c r="K22" s="12">
        <f si="17" t="shared"/>
        <v>3.1052886948083454E-2</v>
      </c>
      <c r="L22"/>
      <c r="M22" s="3" t="s">
        <v>212</v>
      </c>
      <c r="N22" s="12">
        <f ref="N22:W22" si="18" t="shared">N6/N$12</f>
        <v>0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8.0357142857142863E-2</v>
      </c>
      <c r="S22" s="12">
        <f si="18" t="shared"/>
        <v>0.12592592592592591</v>
      </c>
      <c r="T22" s="12"/>
      <c r="U22" s="12">
        <f si="18" t="shared"/>
        <v>0.11550151975683891</v>
      </c>
      <c r="V22" s="12" t="e">
        <f si="18" t="shared"/>
        <v>#DIV/0!</v>
      </c>
      <c r="W22" s="12">
        <f si="18" t="shared"/>
        <v>3.1052886948083454E-2</v>
      </c>
      <c r="X22"/>
      <c r="Y22" s="3" t="s">
        <v>212</v>
      </c>
      <c r="Z22" s="12">
        <f si="13" t="shared"/>
        <v>0</v>
      </c>
      <c r="AA22" s="12">
        <f si="13" t="shared"/>
        <v>0</v>
      </c>
      <c r="AB22" s="12">
        <f si="13" t="shared"/>
        <v>0</v>
      </c>
      <c r="AC22" s="12">
        <f si="13" t="shared"/>
        <v>0</v>
      </c>
      <c r="AD22" s="12">
        <f si="13" t="shared"/>
        <v>0</v>
      </c>
      <c r="AE22" s="12">
        <f si="13" t="shared"/>
        <v>0</v>
      </c>
      <c r="AF22" s="12"/>
      <c r="AG22" s="12">
        <f si="14" t="shared"/>
        <v>0</v>
      </c>
      <c r="AH22" s="12" t="e">
        <f si="15" t="shared"/>
        <v>#DIV/0!</v>
      </c>
      <c r="AI22" s="12">
        <f si="16" t="shared"/>
        <v>0</v>
      </c>
    </row>
    <row r="23" spans="1:35" x14ac:dyDescent="0.35">
      <c r="A23" s="3" t="s">
        <v>213</v>
      </c>
      <c r="B23" s="12">
        <f ref="B23:K23" si="19" t="shared">B7/B$12</f>
        <v>7.2727272727272724E-2</v>
      </c>
      <c r="C23" s="12">
        <f si="19" t="shared"/>
        <v>7.4803149606299218E-2</v>
      </c>
      <c r="D23" s="12">
        <f si="19" t="shared"/>
        <v>2.9585798816568046E-2</v>
      </c>
      <c r="E23" s="12">
        <f si="19" t="shared"/>
        <v>0.10616438356164383</v>
      </c>
      <c r="F23" s="12">
        <f si="19" t="shared"/>
        <v>8.9285714285714288E-2</v>
      </c>
      <c r="G23" s="12">
        <f si="19" t="shared"/>
        <v>8.1481481481481488E-2</v>
      </c>
      <c r="H23" s="12"/>
      <c r="I23" s="12">
        <f si="19" t="shared"/>
        <v>8.2066869300911852E-2</v>
      </c>
      <c r="J23" s="12" t="e">
        <f si="19" t="shared"/>
        <v>#DIV/0!</v>
      </c>
      <c r="K23" s="12">
        <f si="19" t="shared"/>
        <v>7.7147016011644837E-2</v>
      </c>
      <c r="L23"/>
      <c r="M23" s="3" t="s">
        <v>213</v>
      </c>
      <c r="N23" s="12">
        <f ref="N23:W23" si="20" t="shared">N7/N$12</f>
        <v>7.2727272727272724E-2</v>
      </c>
      <c r="O23" s="12">
        <f si="20" t="shared"/>
        <v>7.4803149606299218E-2</v>
      </c>
      <c r="P23" s="12">
        <f si="20" t="shared"/>
        <v>2.9585798816568046E-2</v>
      </c>
      <c r="Q23" s="12">
        <f si="20" t="shared"/>
        <v>0.10616438356164383</v>
      </c>
      <c r="R23" s="12">
        <f si="20" t="shared"/>
        <v>8.9285714285714288E-2</v>
      </c>
      <c r="S23" s="12">
        <f si="20" t="shared"/>
        <v>8.1481481481481488E-2</v>
      </c>
      <c r="T23" s="12"/>
      <c r="U23" s="12">
        <f si="20" t="shared"/>
        <v>8.2066869300911852E-2</v>
      </c>
      <c r="V23" s="12" t="e">
        <f si="20" t="shared"/>
        <v>#DIV/0!</v>
      </c>
      <c r="W23" s="12">
        <f si="20" t="shared"/>
        <v>7.7147016011644837E-2</v>
      </c>
      <c r="X23"/>
      <c r="Y23" s="3" t="s">
        <v>213</v>
      </c>
      <c r="Z23" s="12">
        <f si="13" t="shared"/>
        <v>0</v>
      </c>
      <c r="AA23" s="12">
        <f si="13" t="shared"/>
        <v>0</v>
      </c>
      <c r="AB23" s="12">
        <f si="13" t="shared"/>
        <v>0</v>
      </c>
      <c r="AC23" s="12">
        <f si="13" t="shared"/>
        <v>0</v>
      </c>
      <c r="AD23" s="12">
        <f si="13" t="shared"/>
        <v>0</v>
      </c>
      <c r="AE23" s="12">
        <f si="13" t="shared"/>
        <v>0</v>
      </c>
      <c r="AF23" s="12"/>
      <c r="AG23" s="12">
        <f si="14" t="shared"/>
        <v>0</v>
      </c>
      <c r="AH23" s="12" t="e">
        <f si="15" t="shared"/>
        <v>#DIV/0!</v>
      </c>
      <c r="AI23" s="12">
        <f si="16" t="shared"/>
        <v>0</v>
      </c>
    </row>
    <row r="24" spans="1:35" x14ac:dyDescent="0.35">
      <c r="A24" s="3" t="s">
        <v>214</v>
      </c>
      <c r="B24" s="12">
        <f ref="B24:K24" si="21" t="shared">B8/B$12</f>
        <v>0.18961038961038962</v>
      </c>
      <c r="C24" s="12">
        <f si="21" t="shared"/>
        <v>0.18503937007874016</v>
      </c>
      <c r="D24" s="12">
        <f si="21" t="shared"/>
        <v>0.26627218934911245</v>
      </c>
      <c r="E24" s="12">
        <f si="21" t="shared"/>
        <v>0.26712328767123289</v>
      </c>
      <c r="F24" s="12">
        <f si="21" t="shared"/>
        <v>0.125</v>
      </c>
      <c r="G24" s="12">
        <f si="21" t="shared"/>
        <v>0.2</v>
      </c>
      <c r="H24" s="12"/>
      <c r="I24" s="12">
        <f si="21" t="shared"/>
        <v>0.1641337386018237</v>
      </c>
      <c r="J24" s="12" t="e">
        <f si="21" t="shared"/>
        <v>#DIV/0!</v>
      </c>
      <c r="K24" s="12">
        <f si="21" t="shared"/>
        <v>0.19941775836972345</v>
      </c>
      <c r="L24"/>
      <c r="M24" s="3" t="s">
        <v>214</v>
      </c>
      <c r="N24" s="12">
        <f ref="N24:W24" si="22" t="shared">N8/N$12</f>
        <v>0.18961038961038962</v>
      </c>
      <c r="O24" s="12">
        <f si="22" t="shared"/>
        <v>0.18503937007874016</v>
      </c>
      <c r="P24" s="12">
        <f si="22" t="shared"/>
        <v>0.26627218934911245</v>
      </c>
      <c r="Q24" s="12">
        <f si="22" t="shared"/>
        <v>0.26712328767123289</v>
      </c>
      <c r="R24" s="12">
        <f si="22" t="shared"/>
        <v>0.125</v>
      </c>
      <c r="S24" s="12">
        <f si="22" t="shared"/>
        <v>0.2</v>
      </c>
      <c r="T24" s="12"/>
      <c r="U24" s="12">
        <f si="22" t="shared"/>
        <v>0.1641337386018237</v>
      </c>
      <c r="V24" s="12" t="e">
        <f si="22" t="shared"/>
        <v>#DIV/0!</v>
      </c>
      <c r="W24" s="12">
        <f si="22" t="shared"/>
        <v>0.19941775836972345</v>
      </c>
      <c r="X24"/>
      <c r="Y24" s="3" t="s">
        <v>214</v>
      </c>
      <c r="Z24" s="12">
        <f si="13" t="shared"/>
        <v>0</v>
      </c>
      <c r="AA24" s="12">
        <f si="13" t="shared"/>
        <v>0</v>
      </c>
      <c r="AB24" s="12">
        <f si="13" t="shared"/>
        <v>0</v>
      </c>
      <c r="AC24" s="12">
        <f si="13" t="shared"/>
        <v>0</v>
      </c>
      <c r="AD24" s="12">
        <f si="13" t="shared"/>
        <v>0</v>
      </c>
      <c r="AE24" s="12">
        <f si="13" t="shared"/>
        <v>0</v>
      </c>
      <c r="AF24" s="12"/>
      <c r="AG24" s="12">
        <f si="14" t="shared"/>
        <v>0</v>
      </c>
      <c r="AH24" s="12" t="e">
        <f si="15" t="shared"/>
        <v>#DIV/0!</v>
      </c>
      <c r="AI24" s="12">
        <f si="16" t="shared"/>
        <v>0</v>
      </c>
    </row>
    <row r="25" spans="1:35" x14ac:dyDescent="0.35">
      <c r="A25" s="3" t="s">
        <v>215</v>
      </c>
      <c r="B25" s="12">
        <f ref="B25:K25" si="23" t="shared">B9/B$12</f>
        <v>0.27402597402597401</v>
      </c>
      <c r="C25" s="12">
        <f si="23" t="shared"/>
        <v>0.33858267716535434</v>
      </c>
      <c r="D25" s="12">
        <f si="23" t="shared"/>
        <v>0.36686390532544377</v>
      </c>
      <c r="E25" s="12">
        <f si="23" t="shared"/>
        <v>0.33904109589041098</v>
      </c>
      <c r="F25" s="12">
        <f si="23" t="shared"/>
        <v>0.2857142857142857</v>
      </c>
      <c r="G25" s="12">
        <f si="23" t="shared"/>
        <v>0.22222222222222221</v>
      </c>
      <c r="H25" s="12"/>
      <c r="I25" s="12">
        <f si="23" t="shared"/>
        <v>0.31306990881458968</v>
      </c>
      <c r="J25" s="12" t="e">
        <f si="23" t="shared"/>
        <v>#DIV/0!</v>
      </c>
      <c r="K25" s="12">
        <f si="23" t="shared"/>
        <v>0.30228044638524987</v>
      </c>
      <c r="L25"/>
      <c r="M25" s="3" t="s">
        <v>215</v>
      </c>
      <c r="N25" s="12">
        <f ref="N25:W25" si="24" t="shared">N9/N$12</f>
        <v>0.27402597402597401</v>
      </c>
      <c r="O25" s="12">
        <f si="24" t="shared"/>
        <v>0.33858267716535434</v>
      </c>
      <c r="P25" s="12">
        <f si="24" t="shared"/>
        <v>0.36686390532544377</v>
      </c>
      <c r="Q25" s="12">
        <f si="24" t="shared"/>
        <v>0.33904109589041098</v>
      </c>
      <c r="R25" s="12">
        <f si="24" t="shared"/>
        <v>0.2857142857142857</v>
      </c>
      <c r="S25" s="12">
        <f si="24" t="shared"/>
        <v>0.22222222222222221</v>
      </c>
      <c r="T25" s="12"/>
      <c r="U25" s="12">
        <f si="24" t="shared"/>
        <v>0.31306990881458968</v>
      </c>
      <c r="V25" s="12" t="e">
        <f si="24" t="shared"/>
        <v>#DIV/0!</v>
      </c>
      <c r="W25" s="12">
        <f si="24" t="shared"/>
        <v>0.30228044638524987</v>
      </c>
      <c r="X25"/>
      <c r="Y25" s="3" t="s">
        <v>215</v>
      </c>
      <c r="Z25" s="12">
        <f si="13" t="shared"/>
        <v>0</v>
      </c>
      <c r="AA25" s="12">
        <f si="13" t="shared"/>
        <v>0</v>
      </c>
      <c r="AB25" s="12">
        <f si="13" t="shared"/>
        <v>0</v>
      </c>
      <c r="AC25" s="12">
        <f si="13" t="shared"/>
        <v>0</v>
      </c>
      <c r="AD25" s="12">
        <f si="13" t="shared"/>
        <v>0</v>
      </c>
      <c r="AE25" s="12">
        <f si="13" t="shared"/>
        <v>0</v>
      </c>
      <c r="AF25" s="12"/>
      <c r="AG25" s="12">
        <f si="14" t="shared"/>
        <v>0</v>
      </c>
      <c r="AH25" s="12" t="e">
        <f si="15" t="shared"/>
        <v>#DIV/0!</v>
      </c>
      <c r="AI25" s="12">
        <f si="16" t="shared"/>
        <v>0</v>
      </c>
    </row>
    <row r="26" spans="1:35" x14ac:dyDescent="0.35">
      <c r="A26" s="3" t="s">
        <v>129</v>
      </c>
      <c r="B26" s="12">
        <f ref="B26:K26" si="25" t="shared">B10/B$12</f>
        <v>0.26363636363636361</v>
      </c>
      <c r="C26" s="12">
        <f si="25" t="shared"/>
        <v>0.25984251968503935</v>
      </c>
      <c r="D26" s="12">
        <f si="25" t="shared"/>
        <v>0.28402366863905326</v>
      </c>
      <c r="E26" s="12">
        <f si="25" t="shared"/>
        <v>0.21575342465753425</v>
      </c>
      <c r="F26" s="12">
        <f si="25" t="shared"/>
        <v>0.33035714285714285</v>
      </c>
      <c r="G26" s="12">
        <f si="25" t="shared"/>
        <v>0.33333333333333331</v>
      </c>
      <c r="H26" s="12"/>
      <c r="I26" s="12">
        <f si="25" t="shared"/>
        <v>0.28267477203647418</v>
      </c>
      <c r="J26" s="12" t="e">
        <f si="25" t="shared"/>
        <v>#DIV/0!</v>
      </c>
      <c r="K26" s="12">
        <f si="25" t="shared"/>
        <v>0.26928675400291119</v>
      </c>
      <c r="L26"/>
      <c r="M26" s="3" t="s">
        <v>129</v>
      </c>
      <c r="N26" s="12">
        <f ref="N26:W26" si="26" t="shared">N10/N$12</f>
        <v>0.26363636363636361</v>
      </c>
      <c r="O26" s="12">
        <f si="26" t="shared"/>
        <v>0.25984251968503935</v>
      </c>
      <c r="P26" s="12">
        <f si="26" t="shared"/>
        <v>0.28402366863905326</v>
      </c>
      <c r="Q26" s="12">
        <f si="26" t="shared"/>
        <v>0.21575342465753425</v>
      </c>
      <c r="R26" s="12">
        <f si="26" t="shared"/>
        <v>0.33035714285714285</v>
      </c>
      <c r="S26" s="12">
        <f si="26" t="shared"/>
        <v>0.33333333333333331</v>
      </c>
      <c r="T26" s="12"/>
      <c r="U26" s="12">
        <f si="26" t="shared"/>
        <v>0.28267477203647418</v>
      </c>
      <c r="V26" s="12" t="e">
        <f si="26" t="shared"/>
        <v>#DIV/0!</v>
      </c>
      <c r="W26" s="12">
        <f si="26" t="shared"/>
        <v>0.26928675400291119</v>
      </c>
      <c r="X26"/>
      <c r="Y26" s="3" t="s">
        <v>129</v>
      </c>
      <c r="Z26" s="12">
        <f si="13" t="shared"/>
        <v>0</v>
      </c>
      <c r="AA26" s="12">
        <f si="13" t="shared"/>
        <v>0</v>
      </c>
      <c r="AB26" s="12">
        <f si="13" t="shared"/>
        <v>0</v>
      </c>
      <c r="AC26" s="12">
        <f si="13" t="shared"/>
        <v>0</v>
      </c>
      <c r="AD26" s="12">
        <f si="13" t="shared"/>
        <v>0</v>
      </c>
      <c r="AE26" s="12">
        <f si="13" t="shared"/>
        <v>0</v>
      </c>
      <c r="AF26" s="12"/>
      <c r="AG26" s="12">
        <f si="14" t="shared"/>
        <v>0</v>
      </c>
      <c r="AH26" s="12" t="e">
        <f si="15" t="shared"/>
        <v>#DIV/0!</v>
      </c>
      <c r="AI26" s="12">
        <f si="16" t="shared"/>
        <v>0</v>
      </c>
    </row>
    <row r="27" spans="1:35" x14ac:dyDescent="0.35">
      <c r="A27" s="3" t="s">
        <v>130</v>
      </c>
      <c r="B27" s="12">
        <f ref="B27:K27" si="27" t="shared">B11/B$12</f>
        <v>3.7662337662337661E-2</v>
      </c>
      <c r="C27" s="12">
        <f si="27" t="shared"/>
        <v>4.3307086614173228E-2</v>
      </c>
      <c r="D27" s="12">
        <f si="27" t="shared"/>
        <v>5.3254437869822487E-2</v>
      </c>
      <c r="E27" s="12">
        <f si="27" t="shared"/>
        <v>7.1917808219178078E-2</v>
      </c>
      <c r="F27" s="12">
        <f si="27" t="shared"/>
        <v>4.4642857142857144E-2</v>
      </c>
      <c r="G27" s="12">
        <f si="27" t="shared"/>
        <v>2.9629629629629631E-2</v>
      </c>
      <c r="H27" s="12"/>
      <c r="I27" s="12">
        <f si="27" t="shared"/>
        <v>4.2553191489361701E-2</v>
      </c>
      <c r="J27" s="12" t="e">
        <f si="27" t="shared"/>
        <v>#DIV/0!</v>
      </c>
      <c r="K27" s="12">
        <f si="27" t="shared"/>
        <v>4.5123726346433773E-2</v>
      </c>
      <c r="L27"/>
      <c r="M27" s="3" t="s">
        <v>130</v>
      </c>
      <c r="N27" s="12">
        <f ref="N27:W27" si="28" t="shared">N11/N$12</f>
        <v>3.7662337662337661E-2</v>
      </c>
      <c r="O27" s="12">
        <f si="28" t="shared"/>
        <v>4.3307086614173228E-2</v>
      </c>
      <c r="P27" s="12">
        <f si="28" t="shared"/>
        <v>5.3254437869822487E-2</v>
      </c>
      <c r="Q27" s="12">
        <f si="28" t="shared"/>
        <v>7.1917808219178078E-2</v>
      </c>
      <c r="R27" s="12">
        <f si="28" t="shared"/>
        <v>4.4642857142857144E-2</v>
      </c>
      <c r="S27" s="12">
        <f si="28" t="shared"/>
        <v>2.9629629629629631E-2</v>
      </c>
      <c r="T27" s="12"/>
      <c r="U27" s="12">
        <f si="28" t="shared"/>
        <v>4.2553191489361701E-2</v>
      </c>
      <c r="V27" s="12" t="e">
        <f si="28" t="shared"/>
        <v>#DIV/0!</v>
      </c>
      <c r="W27" s="12">
        <f si="28" t="shared"/>
        <v>4.5123726346433773E-2</v>
      </c>
      <c r="X27"/>
      <c r="Y27" s="3" t="s">
        <v>130</v>
      </c>
      <c r="Z27" s="12">
        <f si="13" t="shared"/>
        <v>0</v>
      </c>
      <c r="AA27" s="12">
        <f si="13" t="shared"/>
        <v>0</v>
      </c>
      <c r="AB27" s="12">
        <f si="13" t="shared"/>
        <v>0</v>
      </c>
      <c r="AC27" s="12">
        <f si="13" t="shared"/>
        <v>0</v>
      </c>
      <c r="AD27" s="12">
        <f si="13" t="shared"/>
        <v>0</v>
      </c>
      <c r="AE27" s="12">
        <f si="13" t="shared"/>
        <v>0</v>
      </c>
      <c r="AF27" s="12"/>
      <c r="AG27" s="12">
        <f si="14" t="shared"/>
        <v>0</v>
      </c>
      <c r="AH27" s="12" t="e">
        <f si="15" t="shared"/>
        <v>#DIV/0!</v>
      </c>
      <c r="AI27" s="12">
        <f si="16" t="shared"/>
        <v>0</v>
      </c>
    </row>
    <row ht="13.15" r="28" spans="1:35" thickBot="1" x14ac:dyDescent="0.4">
      <c r="A28" s="10" t="s">
        <v>223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 t="e">
        <f si="29" t="shared"/>
        <v>#DIV/0!</v>
      </c>
      <c r="K28" s="14">
        <f si="29" t="shared"/>
        <v>1</v>
      </c>
      <c r="L28"/>
      <c r="M28" s="10" t="s">
        <v>223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 t="e">
        <f si="30" t="shared"/>
        <v>#DIV/0!</v>
      </c>
      <c r="W28" s="14">
        <f si="30" t="shared"/>
        <v>1</v>
      </c>
      <c r="X28"/>
      <c r="Y28" s="10" t="s">
        <v>223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 t="e">
        <f si="15" t="shared"/>
        <v>#DIV/0!</v>
      </c>
      <c r="AI28" s="14">
        <f si="16" t="shared"/>
        <v>0</v>
      </c>
    </row>
    <row r="29" spans="1:35" x14ac:dyDescent="0.35">
      <c r="L29"/>
      <c r="X29"/>
    </row>
    <row r="30" spans="1:35" x14ac:dyDescent="0.35">
      <c r="L30"/>
      <c r="X30"/>
    </row>
    <row r="31" spans="1:35" x14ac:dyDescent="0.35">
      <c r="L31"/>
      <c r="X31"/>
    </row>
    <row r="32" spans="1:35" x14ac:dyDescent="0.35">
      <c r="L32"/>
      <c r="X32"/>
    </row>
    <row ht="13.15" r="33" spans="1:33" x14ac:dyDescent="0.4">
      <c r="A33" s="2" t="s">
        <v>175</v>
      </c>
      <c r="L33"/>
      <c r="M33" s="2" t="s">
        <v>175</v>
      </c>
      <c r="X33"/>
      <c r="Y33" s="2" t="s">
        <v>175</v>
      </c>
    </row>
    <row ht="13.15" r="34" spans="1:33" x14ac:dyDescent="0.4">
      <c r="A34" s="2" t="s">
        <v>274</v>
      </c>
      <c r="L34"/>
      <c r="M34" s="2" t="s">
        <v>198</v>
      </c>
      <c r="X34"/>
      <c r="Y34" s="2" t="s">
        <v>161</v>
      </c>
    </row>
    <row ht="13.15" r="35" spans="1:33" thickBot="1" x14ac:dyDescent="0.4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ht="13.15" r="36" spans="1:33" x14ac:dyDescent="0.4">
      <c r="A36" s="5" t="s">
        <v>144</v>
      </c>
      <c r="B36" s="6" t="s">
        <v>298</v>
      </c>
      <c r="C36" s="6" t="s">
        <v>299</v>
      </c>
      <c r="D36" s="6" t="s">
        <v>300</v>
      </c>
      <c r="E36" s="6" t="s">
        <v>303</v>
      </c>
      <c r="F36" s="6" t="s">
        <v>172</v>
      </c>
      <c r="G36" s="6" t="s">
        <v>223</v>
      </c>
      <c r="H36" s="89"/>
      <c r="I36"/>
      <c r="L36"/>
      <c r="M36" s="5" t="s">
        <v>144</v>
      </c>
      <c r="N36" s="6" t="s">
        <v>298</v>
      </c>
      <c r="O36" s="6" t="s">
        <v>299</v>
      </c>
      <c r="P36" s="6" t="s">
        <v>300</v>
      </c>
      <c r="Q36" s="6" t="s">
        <v>303</v>
      </c>
      <c r="R36" s="6" t="s">
        <v>172</v>
      </c>
      <c r="S36" s="6" t="s">
        <v>223</v>
      </c>
      <c r="T36" s="89"/>
      <c r="X36"/>
      <c r="Y36" s="5" t="s">
        <v>144</v>
      </c>
      <c r="Z36" s="6" t="s">
        <v>298</v>
      </c>
      <c r="AA36" s="6" t="s">
        <v>299</v>
      </c>
      <c r="AB36" s="6" t="s">
        <v>300</v>
      </c>
      <c r="AC36" s="6" t="s">
        <v>303</v>
      </c>
      <c r="AD36" s="6" t="s">
        <v>172</v>
      </c>
      <c r="AE36" s="6" t="s">
        <v>223</v>
      </c>
      <c r="AF36" s="89"/>
      <c r="AG36"/>
    </row>
    <row r="37" spans="1:33" x14ac:dyDescent="0.35">
      <c r="A37" s="3" t="s">
        <v>211</v>
      </c>
      <c r="B37" s="7">
        <f>output_NHTS!B232</f>
        <v>4000</v>
      </c>
      <c r="C37" s="7">
        <f>output_NHTS!C232</f>
        <v>36000</v>
      </c>
      <c r="D37" s="7">
        <f>output_NHTS!D232</f>
        <v>31000</v>
      </c>
      <c r="E37" s="7">
        <f>output_NHTS!E232</f>
        <v>85000</v>
      </c>
      <c r="F37" s="7"/>
      <c r="G37" s="7">
        <f>SUM(B37:E37)</f>
        <v>156000</v>
      </c>
      <c r="H37" s="7"/>
      <c r="I37"/>
      <c r="L37"/>
      <c r="M37" s="3" t="s">
        <v>211</v>
      </c>
      <c r="N37" s="7">
        <f>output!B232</f>
        <v>4000</v>
      </c>
      <c r="O37" s="7">
        <f>output!C232</f>
        <v>36000</v>
      </c>
      <c r="P37" s="7">
        <f>output!D232</f>
        <v>31000</v>
      </c>
      <c r="Q37" s="7">
        <f>output!E232</f>
        <v>85000</v>
      </c>
      <c r="R37" s="7"/>
      <c r="S37" s="7">
        <f>SUM(N37:Q37)</f>
        <v>156000</v>
      </c>
      <c r="T37" s="7"/>
      <c r="X37"/>
      <c r="Y37" s="3" t="s">
        <v>211</v>
      </c>
      <c r="Z37" s="7">
        <f ref="Z37:AD44" si="31" t="shared">N37-B37</f>
        <v>0</v>
      </c>
      <c r="AA37" s="7">
        <f si="31" t="shared"/>
        <v>0</v>
      </c>
      <c r="AB37" s="7">
        <f si="31" t="shared"/>
        <v>0</v>
      </c>
      <c r="AC37" s="7">
        <f si="31" t="shared"/>
        <v>0</v>
      </c>
      <c r="AD37" s="7">
        <f si="31" t="shared"/>
        <v>0</v>
      </c>
      <c r="AE37" s="7">
        <f ref="AE37:AE44" si="32" t="shared">S37-G37</f>
        <v>0</v>
      </c>
      <c r="AF37" s="7"/>
      <c r="AG37"/>
    </row>
    <row r="38" spans="1:33" x14ac:dyDescent="0.35">
      <c r="A38" s="3" t="s">
        <v>212</v>
      </c>
      <c r="B38" s="7">
        <f>output_NHTS!B233</f>
        <v>5000</v>
      </c>
      <c r="C38" s="7">
        <f>output_NHTS!C233</f>
        <v>15000</v>
      </c>
      <c r="D38" s="7">
        <f>output_NHTS!D233</f>
        <v>14000</v>
      </c>
      <c r="E38" s="7">
        <f>output_NHTS!E233</f>
        <v>30000</v>
      </c>
      <c r="F38" s="7"/>
      <c r="G38" s="7">
        <f ref="G38:G43" si="33" t="shared">SUM(B38:E38)</f>
        <v>64000</v>
      </c>
      <c r="H38" s="7"/>
      <c r="I38"/>
      <c r="L38"/>
      <c r="M38" s="3" t="s">
        <v>212</v>
      </c>
      <c r="N38" s="7">
        <f>output!B233</f>
        <v>5000</v>
      </c>
      <c r="O38" s="7">
        <f>output!C233</f>
        <v>15000</v>
      </c>
      <c r="P38" s="7">
        <f>output!D233</f>
        <v>14000</v>
      </c>
      <c r="Q38" s="7">
        <f>output!E233</f>
        <v>30000</v>
      </c>
      <c r="R38" s="7"/>
      <c r="S38" s="7">
        <f ref="S38:S43" si="34" t="shared">SUM(N38:Q38)</f>
        <v>64000</v>
      </c>
      <c r="T38" s="7"/>
      <c r="X38"/>
      <c r="Y38" s="3" t="s">
        <v>212</v>
      </c>
      <c r="Z38" s="7">
        <f si="31" t="shared"/>
        <v>0</v>
      </c>
      <c r="AA38" s="7">
        <f si="31" t="shared"/>
        <v>0</v>
      </c>
      <c r="AB38" s="7">
        <f si="31" t="shared"/>
        <v>0</v>
      </c>
      <c r="AC38" s="7">
        <f si="31" t="shared"/>
        <v>0</v>
      </c>
      <c r="AD38" s="7">
        <f si="31" t="shared"/>
        <v>0</v>
      </c>
      <c r="AE38" s="7">
        <f si="32" t="shared"/>
        <v>0</v>
      </c>
      <c r="AF38" s="7"/>
      <c r="AG38"/>
    </row>
    <row r="39" spans="1:33" x14ac:dyDescent="0.35">
      <c r="A39" s="3" t="s">
        <v>213</v>
      </c>
      <c r="B39" s="7">
        <f>output_NHTS!B234</f>
        <v>6000</v>
      </c>
      <c r="C39" s="7">
        <f>output_NHTS!C234</f>
        <v>33000</v>
      </c>
      <c r="D39" s="7">
        <f>output_NHTS!D234</f>
        <v>32000</v>
      </c>
      <c r="E39" s="7">
        <f>output_NHTS!E234</f>
        <v>88000</v>
      </c>
      <c r="F39" s="7"/>
      <c r="G39" s="7">
        <f si="33" t="shared"/>
        <v>159000</v>
      </c>
      <c r="H39" s="7"/>
      <c r="I39"/>
      <c r="L39"/>
      <c r="M39" s="3" t="s">
        <v>213</v>
      </c>
      <c r="N39" s="7">
        <f>output!B234</f>
        <v>6000</v>
      </c>
      <c r="O39" s="7">
        <f>output!C234</f>
        <v>33000</v>
      </c>
      <c r="P39" s="7">
        <f>output!D234</f>
        <v>32000</v>
      </c>
      <c r="Q39" s="7">
        <f>output!E234</f>
        <v>88000</v>
      </c>
      <c r="R39" s="7"/>
      <c r="S39" s="7">
        <f si="34" t="shared"/>
        <v>159000</v>
      </c>
      <c r="T39" s="7"/>
      <c r="X39"/>
      <c r="Y39" s="3" t="s">
        <v>213</v>
      </c>
      <c r="Z39" s="7">
        <f si="31" t="shared"/>
        <v>0</v>
      </c>
      <c r="AA39" s="7">
        <f si="31" t="shared"/>
        <v>0</v>
      </c>
      <c r="AB39" s="7">
        <f si="31" t="shared"/>
        <v>0</v>
      </c>
      <c r="AC39" s="7">
        <f si="31" t="shared"/>
        <v>0</v>
      </c>
      <c r="AD39" s="7">
        <f si="31" t="shared"/>
        <v>0</v>
      </c>
      <c r="AE39" s="7">
        <f si="32" t="shared"/>
        <v>0</v>
      </c>
      <c r="AF39" s="7"/>
      <c r="AG39"/>
    </row>
    <row r="40" spans="1:33" x14ac:dyDescent="0.35">
      <c r="A40" s="3" t="s">
        <v>214</v>
      </c>
      <c r="B40" s="7">
        <f>output_NHTS!B235</f>
        <v>12000</v>
      </c>
      <c r="C40" s="7">
        <f>output_NHTS!C235</f>
        <v>85000</v>
      </c>
      <c r="D40" s="7">
        <f>output_NHTS!D235</f>
        <v>92000</v>
      </c>
      <c r="E40" s="7">
        <f>output_NHTS!E235</f>
        <v>222000</v>
      </c>
      <c r="F40" s="7"/>
      <c r="G40" s="7">
        <f si="33" t="shared"/>
        <v>411000</v>
      </c>
      <c r="H40" s="7"/>
      <c r="I40"/>
      <c r="L40"/>
      <c r="M40" s="3" t="s">
        <v>214</v>
      </c>
      <c r="N40" s="7">
        <f>output!B235</f>
        <v>12000</v>
      </c>
      <c r="O40" s="7">
        <f>output!C235</f>
        <v>85000</v>
      </c>
      <c r="P40" s="7">
        <f>output!D235</f>
        <v>92000</v>
      </c>
      <c r="Q40" s="7">
        <f>output!E235</f>
        <v>222000</v>
      </c>
      <c r="R40" s="7"/>
      <c r="S40" s="7">
        <f si="34" t="shared"/>
        <v>411000</v>
      </c>
      <c r="T40" s="7"/>
      <c r="X40"/>
      <c r="Y40" s="3" t="s">
        <v>214</v>
      </c>
      <c r="Z40" s="7">
        <f si="31" t="shared"/>
        <v>0</v>
      </c>
      <c r="AA40" s="7">
        <f si="31" t="shared"/>
        <v>0</v>
      </c>
      <c r="AB40" s="7">
        <f si="31" t="shared"/>
        <v>0</v>
      </c>
      <c r="AC40" s="7">
        <f si="31" t="shared"/>
        <v>0</v>
      </c>
      <c r="AD40" s="7">
        <f si="31" t="shared"/>
        <v>0</v>
      </c>
      <c r="AE40" s="7">
        <f si="32" t="shared"/>
        <v>0</v>
      </c>
      <c r="AF40" s="7"/>
      <c r="AG40"/>
    </row>
    <row r="41" spans="1:33" x14ac:dyDescent="0.35">
      <c r="A41" s="3" t="s">
        <v>215</v>
      </c>
      <c r="B41" s="7">
        <f>output_NHTS!B236</f>
        <v>38000</v>
      </c>
      <c r="C41" s="7">
        <f>output_NHTS!C236</f>
        <v>181000</v>
      </c>
      <c r="D41" s="7">
        <f>output_NHTS!D236</f>
        <v>129000</v>
      </c>
      <c r="E41" s="7">
        <f>output_NHTS!E236</f>
        <v>275000</v>
      </c>
      <c r="F41" s="7"/>
      <c r="G41" s="7">
        <f si="33" t="shared"/>
        <v>623000</v>
      </c>
      <c r="H41" s="7"/>
      <c r="I41"/>
      <c r="L41"/>
      <c r="M41" s="3" t="s">
        <v>215</v>
      </c>
      <c r="N41" s="7">
        <f>output!B236</f>
        <v>38000</v>
      </c>
      <c r="O41" s="7">
        <f>output!C236</f>
        <v>181000</v>
      </c>
      <c r="P41" s="7">
        <f>output!D236</f>
        <v>129000</v>
      </c>
      <c r="Q41" s="7">
        <f>output!E236</f>
        <v>275000</v>
      </c>
      <c r="R41" s="7"/>
      <c r="S41" s="7">
        <f si="34" t="shared"/>
        <v>623000</v>
      </c>
      <c r="T41" s="7"/>
      <c r="X41"/>
      <c r="Y41" s="3" t="s">
        <v>215</v>
      </c>
      <c r="Z41" s="7">
        <f si="31" t="shared"/>
        <v>0</v>
      </c>
      <c r="AA41" s="7">
        <f si="31" t="shared"/>
        <v>0</v>
      </c>
      <c r="AB41" s="7">
        <f si="31" t="shared"/>
        <v>0</v>
      </c>
      <c r="AC41" s="7">
        <f si="31" t="shared"/>
        <v>0</v>
      </c>
      <c r="AD41" s="7">
        <f si="31" t="shared"/>
        <v>0</v>
      </c>
      <c r="AE41" s="7">
        <f si="32" t="shared"/>
        <v>0</v>
      </c>
      <c r="AF41" s="7"/>
      <c r="AG41"/>
    </row>
    <row r="42" spans="1:33" x14ac:dyDescent="0.35">
      <c r="A42" s="3" t="s">
        <v>129</v>
      </c>
      <c r="B42" s="7">
        <f>output_NHTS!B237</f>
        <v>22000</v>
      </c>
      <c r="C42" s="7">
        <f>output_NHTS!C237</f>
        <v>140000</v>
      </c>
      <c r="D42" s="7">
        <f>output_NHTS!D237</f>
        <v>103000</v>
      </c>
      <c r="E42" s="7">
        <f>output_NHTS!E237</f>
        <v>290000</v>
      </c>
      <c r="F42" s="7"/>
      <c r="G42" s="7">
        <f si="33" t="shared"/>
        <v>555000</v>
      </c>
      <c r="H42" s="7"/>
      <c r="I42"/>
      <c r="L42"/>
      <c r="M42" s="3" t="s">
        <v>129</v>
      </c>
      <c r="N42" s="7">
        <f>output!B237</f>
        <v>22000</v>
      </c>
      <c r="O42" s="7">
        <f>output!C237</f>
        <v>140000</v>
      </c>
      <c r="P42" s="7">
        <f>output!D237</f>
        <v>103000</v>
      </c>
      <c r="Q42" s="7">
        <f>output!E237</f>
        <v>290000</v>
      </c>
      <c r="R42" s="7"/>
      <c r="S42" s="7">
        <f si="34" t="shared"/>
        <v>555000</v>
      </c>
      <c r="T42" s="7"/>
      <c r="X42"/>
      <c r="Y42" s="3" t="s">
        <v>129</v>
      </c>
      <c r="Z42" s="7">
        <f si="31" t="shared"/>
        <v>0</v>
      </c>
      <c r="AA42" s="7">
        <f si="31" t="shared"/>
        <v>0</v>
      </c>
      <c r="AB42" s="7">
        <f si="31" t="shared"/>
        <v>0</v>
      </c>
      <c r="AC42" s="7">
        <f si="31" t="shared"/>
        <v>0</v>
      </c>
      <c r="AD42" s="7">
        <f si="31" t="shared"/>
        <v>0</v>
      </c>
      <c r="AE42" s="7">
        <f si="32" t="shared"/>
        <v>0</v>
      </c>
      <c r="AF42" s="7"/>
      <c r="AG42"/>
    </row>
    <row r="43" spans="1:33" x14ac:dyDescent="0.35">
      <c r="A43" s="3" t="s">
        <v>130</v>
      </c>
      <c r="B43" s="7">
        <f>output_NHTS!B238</f>
        <v>5000</v>
      </c>
      <c r="C43" s="7">
        <f>output_NHTS!C238</f>
        <v>28000</v>
      </c>
      <c r="D43" s="7">
        <f>output_NHTS!D238</f>
        <v>18000</v>
      </c>
      <c r="E43" s="7">
        <f>output_NHTS!E238</f>
        <v>42000</v>
      </c>
      <c r="F43" s="9"/>
      <c r="G43" s="7">
        <f si="33" t="shared"/>
        <v>93000</v>
      </c>
      <c r="H43" s="7"/>
      <c r="I43"/>
      <c r="L43"/>
      <c r="M43" s="3" t="s">
        <v>130</v>
      </c>
      <c r="N43" s="9">
        <f>output!B238</f>
        <v>5000</v>
      </c>
      <c r="O43" s="9">
        <f>output!C238</f>
        <v>28000</v>
      </c>
      <c r="P43" s="9">
        <f>output!D238</f>
        <v>18000</v>
      </c>
      <c r="Q43" s="9">
        <f>output!E238</f>
        <v>42000</v>
      </c>
      <c r="R43" s="9"/>
      <c r="S43" s="9">
        <f si="34" t="shared"/>
        <v>93000</v>
      </c>
      <c r="T43" s="33"/>
      <c r="X43"/>
      <c r="Y43" s="3" t="s">
        <v>130</v>
      </c>
      <c r="Z43" s="9">
        <f si="31" t="shared"/>
        <v>0</v>
      </c>
      <c r="AA43" s="9">
        <f si="31" t="shared"/>
        <v>0</v>
      </c>
      <c r="AB43" s="9">
        <f si="31" t="shared"/>
        <v>0</v>
      </c>
      <c r="AC43" s="9">
        <f si="31" t="shared"/>
        <v>0</v>
      </c>
      <c r="AD43" s="9">
        <f si="31" t="shared"/>
        <v>0</v>
      </c>
      <c r="AE43" s="9">
        <f si="32" t="shared"/>
        <v>0</v>
      </c>
      <c r="AF43" s="33"/>
      <c r="AG43"/>
    </row>
    <row ht="13.15" r="44" spans="1:33" thickBot="1" x14ac:dyDescent="0.4">
      <c r="A44" s="10" t="s">
        <v>223</v>
      </c>
      <c r="B44" s="11">
        <f>SUM(B37:B43)</f>
        <v>92000</v>
      </c>
      <c r="C44" s="11">
        <f>SUM(C37:C43)</f>
        <v>518000</v>
      </c>
      <c r="D44" s="11">
        <f>SUM(D37:D43)</f>
        <v>419000</v>
      </c>
      <c r="E44" s="11">
        <f>SUM(E37:E43)</f>
        <v>1032000</v>
      </c>
      <c r="F44" s="11"/>
      <c r="G44" s="11">
        <f>SUM(G37:G43)</f>
        <v>2061000</v>
      </c>
      <c r="H44" s="33"/>
      <c r="I44"/>
      <c r="L44"/>
      <c r="M44" s="10" t="s">
        <v>223</v>
      </c>
      <c r="N44" s="11">
        <f>SUM(N37:N43)</f>
        <v>92000</v>
      </c>
      <c r="O44" s="11">
        <f>SUM(O37:O43)</f>
        <v>518000</v>
      </c>
      <c r="P44" s="11">
        <f>SUM(P37:P43)</f>
        <v>419000</v>
      </c>
      <c r="Q44" s="11">
        <f>SUM(Q37:Q43)</f>
        <v>1032000</v>
      </c>
      <c r="R44" s="11"/>
      <c r="S44" s="11">
        <f>SUM(S37:S43)</f>
        <v>2061000</v>
      </c>
      <c r="T44" s="33"/>
      <c r="X44"/>
      <c r="Y44" s="10" t="s">
        <v>223</v>
      </c>
      <c r="Z44" s="11">
        <f si="31" t="shared"/>
        <v>0</v>
      </c>
      <c r="AA44" s="11">
        <f si="31" t="shared"/>
        <v>0</v>
      </c>
      <c r="AB44" s="11">
        <f si="31" t="shared"/>
        <v>0</v>
      </c>
      <c r="AC44" s="11">
        <f si="31" t="shared"/>
        <v>0</v>
      </c>
      <c r="AD44" s="11">
        <f si="31" t="shared"/>
        <v>0</v>
      </c>
      <c r="AE44" s="11">
        <f si="32" t="shared"/>
        <v>0</v>
      </c>
      <c r="AF44" s="33"/>
      <c r="AG44"/>
    </row>
    <row r="45" spans="1:33" x14ac:dyDescent="0.35">
      <c r="I45"/>
      <c r="L45"/>
      <c r="X45"/>
      <c r="AG45"/>
    </row>
    <row r="46" spans="1:33" x14ac:dyDescent="0.35">
      <c r="A46" s="25" t="s">
        <v>88</v>
      </c>
      <c r="B46" s="33">
        <f>ToursByTourPurpose!B50</f>
        <v>193000</v>
      </c>
      <c r="C46" s="33">
        <f>ToursByTourPurpose!C50</f>
        <v>846000</v>
      </c>
      <c r="D46" s="33">
        <f>ToursByTourPurpose!D50</f>
        <v>714000</v>
      </c>
      <c r="E46" s="33">
        <f>ToursByTourPurpose!E50</f>
        <v>1528000</v>
      </c>
      <c r="F46" s="7"/>
      <c r="G46" s="33">
        <f>ToursByTourPurpose!G50</f>
        <v>3281000</v>
      </c>
      <c r="H46" s="33"/>
      <c r="I46"/>
      <c r="L46"/>
      <c r="M46" s="25" t="s">
        <v>88</v>
      </c>
      <c r="N46" s="33">
        <f>ToursByTourPurpose!N50</f>
        <v>193000</v>
      </c>
      <c r="O46" s="33">
        <f>ToursByTourPurpose!O50</f>
        <v>846000</v>
      </c>
      <c r="P46" s="33">
        <f>ToursByTourPurpose!P50</f>
        <v>714000</v>
      </c>
      <c r="Q46" s="33">
        <f>ToursByTourPurpose!Q50</f>
        <v>1528000</v>
      </c>
      <c r="R46" s="33" t="e">
        <f>ToursByTourPurpose!#REF!</f>
        <v>#REF!</v>
      </c>
      <c r="S46" s="33">
        <f>ToursByTourPurpose!S50</f>
        <v>3281000</v>
      </c>
      <c r="T46" s="33"/>
      <c r="X46"/>
      <c r="Y46" s="25" t="s">
        <v>88</v>
      </c>
      <c r="Z46" s="7">
        <f ref="Z46:AC47" si="35" t="shared">N46-B46</f>
        <v>0</v>
      </c>
      <c r="AA46" s="7">
        <f si="35" t="shared"/>
        <v>0</v>
      </c>
      <c r="AB46" s="7">
        <f si="35" t="shared"/>
        <v>0</v>
      </c>
      <c r="AC46" s="7">
        <f si="35" t="shared"/>
        <v>0</v>
      </c>
      <c r="AD46" s="7"/>
      <c r="AE46" s="7">
        <f>S46-G46</f>
        <v>0</v>
      </c>
      <c r="AF46" s="7"/>
      <c r="AG46"/>
    </row>
    <row r="47" spans="1:33" x14ac:dyDescent="0.35">
      <c r="A47" s="25" t="s">
        <v>90</v>
      </c>
      <c r="B47" s="38">
        <f ref="B47:G47" si="36" t="shared">B44/B46</f>
        <v>0.47668393782383417</v>
      </c>
      <c r="C47" s="38">
        <f si="36" t="shared"/>
        <v>0.61229314420803782</v>
      </c>
      <c r="D47" s="38">
        <f si="36" t="shared"/>
        <v>0.58683473389355745</v>
      </c>
      <c r="E47" s="38">
        <f si="36" t="shared"/>
        <v>0.67539267015706805</v>
      </c>
      <c r="F47" s="38" t="e">
        <f si="36" t="shared"/>
        <v>#DIV/0!</v>
      </c>
      <c r="G47" s="38">
        <f si="36" t="shared"/>
        <v>0.62816214568729045</v>
      </c>
      <c r="H47" s="38"/>
      <c r="I47"/>
      <c r="L47"/>
      <c r="M47" s="25" t="s">
        <v>90</v>
      </c>
      <c r="N47" s="38">
        <f ref="N47:S47" si="37" t="shared">N44/N46</f>
        <v>0.47668393782383417</v>
      </c>
      <c r="O47" s="38">
        <f si="37" t="shared"/>
        <v>0.61229314420803782</v>
      </c>
      <c r="P47" s="38">
        <f si="37" t="shared"/>
        <v>0.58683473389355745</v>
      </c>
      <c r="Q47" s="38">
        <f si="37" t="shared"/>
        <v>0.67539267015706805</v>
      </c>
      <c r="R47" s="38" t="e">
        <f si="37" t="shared"/>
        <v>#REF!</v>
      </c>
      <c r="S47" s="38">
        <f si="37" t="shared"/>
        <v>0.62816214568729045</v>
      </c>
      <c r="T47" s="38"/>
      <c r="X47"/>
      <c r="Y47" s="25" t="s">
        <v>90</v>
      </c>
      <c r="Z47" s="38">
        <f si="35" t="shared"/>
        <v>0</v>
      </c>
      <c r="AA47" s="38">
        <f si="35" t="shared"/>
        <v>0</v>
      </c>
      <c r="AB47" s="38">
        <f si="35" t="shared"/>
        <v>0</v>
      </c>
      <c r="AC47" s="38">
        <f si="35" t="shared"/>
        <v>0</v>
      </c>
      <c r="AD47" s="38"/>
      <c r="AE47" s="38">
        <f>S47-G47</f>
        <v>0</v>
      </c>
      <c r="AF47" s="38"/>
      <c r="AG47"/>
    </row>
    <row r="48" spans="1:33" x14ac:dyDescent="0.35">
      <c r="I48"/>
      <c r="L48"/>
      <c r="X48"/>
      <c r="AG48"/>
    </row>
    <row ht="13.15" r="49" spans="1:41" x14ac:dyDescent="0.4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ht="13.15" r="50" spans="1:41" x14ac:dyDescent="0.4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ht="13.15" r="51" spans="1:41" thickBot="1" x14ac:dyDescent="0.4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ht="13.15" r="52" spans="1:41" x14ac:dyDescent="0.4">
      <c r="A52" s="5" t="s">
        <v>144</v>
      </c>
      <c r="B52" s="6" t="s">
        <v>298</v>
      </c>
      <c r="C52" s="6" t="s">
        <v>299</v>
      </c>
      <c r="D52" s="6" t="s">
        <v>300</v>
      </c>
      <c r="E52" s="6" t="s">
        <v>303</v>
      </c>
      <c r="F52" s="6" t="s">
        <v>172</v>
      </c>
      <c r="G52" s="6" t="s">
        <v>223</v>
      </c>
      <c r="H52" s="89"/>
      <c r="I52"/>
      <c r="L52"/>
      <c r="M52" s="5" t="s">
        <v>144</v>
      </c>
      <c r="N52" s="6" t="s">
        <v>298</v>
      </c>
      <c r="O52" s="6" t="s">
        <v>299</v>
      </c>
      <c r="P52" s="6" t="s">
        <v>300</v>
      </c>
      <c r="Q52" s="6" t="s">
        <v>303</v>
      </c>
      <c r="R52" s="6" t="s">
        <v>172</v>
      </c>
      <c r="S52" s="6" t="s">
        <v>223</v>
      </c>
      <c r="T52" s="89"/>
      <c r="X52"/>
      <c r="Y52" s="5" t="s">
        <v>144</v>
      </c>
      <c r="Z52" s="6" t="s">
        <v>298</v>
      </c>
      <c r="AA52" s="6" t="s">
        <v>299</v>
      </c>
      <c r="AB52" s="6" t="s">
        <v>300</v>
      </c>
      <c r="AC52" s="6" t="s">
        <v>303</v>
      </c>
      <c r="AD52" s="6" t="s">
        <v>172</v>
      </c>
      <c r="AE52" s="6" t="s">
        <v>223</v>
      </c>
      <c r="AF52" s="89"/>
      <c r="AG52"/>
    </row>
    <row r="53" spans="1:41" x14ac:dyDescent="0.35">
      <c r="A53" s="3" t="s">
        <v>211</v>
      </c>
      <c r="B53" s="12">
        <f ref="B53:G60" si="38" t="shared">B37/B$44</f>
        <v>4.3478260869565216E-2</v>
      </c>
      <c r="C53" s="12">
        <f si="38" t="shared"/>
        <v>6.9498069498069498E-2</v>
      </c>
      <c r="D53" s="12">
        <f si="38" t="shared"/>
        <v>7.3985680190930783E-2</v>
      </c>
      <c r="E53" s="12">
        <f si="38" t="shared"/>
        <v>8.2364341085271311E-2</v>
      </c>
      <c r="F53" s="12" t="e">
        <f si="38" t="shared"/>
        <v>#DIV/0!</v>
      </c>
      <c r="G53" s="12">
        <f si="38" t="shared"/>
        <v>7.5691411935953426E-2</v>
      </c>
      <c r="H53" s="12"/>
      <c r="I53"/>
      <c r="L53"/>
      <c r="M53" s="3" t="s">
        <v>211</v>
      </c>
      <c r="N53" s="12">
        <f ref="N53:Q60" si="39" t="shared">N37/N$44</f>
        <v>4.3478260869565216E-2</v>
      </c>
      <c r="O53" s="12">
        <f si="39" t="shared"/>
        <v>6.9498069498069498E-2</v>
      </c>
      <c r="P53" s="12">
        <f si="39" t="shared"/>
        <v>7.3985680190930783E-2</v>
      </c>
      <c r="Q53" s="12">
        <f si="39" t="shared"/>
        <v>8.2364341085271311E-2</v>
      </c>
      <c r="R53" s="12" t="e">
        <f ref="R53:S60" si="40" t="shared">R37/R$44</f>
        <v>#DIV/0!</v>
      </c>
      <c r="S53" s="12">
        <f si="40" t="shared"/>
        <v>7.5691411935953426E-2</v>
      </c>
      <c r="T53" s="12"/>
      <c r="X53"/>
      <c r="Y53" s="3" t="s">
        <v>211</v>
      </c>
      <c r="Z53" s="12">
        <f ref="Z53:AC60" si="41" t="shared">N53-B53</f>
        <v>0</v>
      </c>
      <c r="AA53" s="12">
        <f si="41" t="shared"/>
        <v>0</v>
      </c>
      <c r="AB53" s="12">
        <f si="41" t="shared"/>
        <v>0</v>
      </c>
      <c r="AC53" s="12">
        <f si="41" t="shared"/>
        <v>0</v>
      </c>
      <c r="AD53" s="12"/>
      <c r="AE53" s="12">
        <f ref="AE53:AE60" si="42" t="shared">S53-G53</f>
        <v>0</v>
      </c>
      <c r="AF53" s="12"/>
      <c r="AG53"/>
    </row>
    <row r="54" spans="1:41" x14ac:dyDescent="0.35">
      <c r="A54" s="3" t="s">
        <v>212</v>
      </c>
      <c r="B54" s="12">
        <f si="38" t="shared"/>
        <v>5.434782608695652E-2</v>
      </c>
      <c r="C54" s="12">
        <f si="38" t="shared"/>
        <v>2.8957528957528959E-2</v>
      </c>
      <c r="D54" s="12">
        <f si="38" t="shared"/>
        <v>3.3412887828162291E-2</v>
      </c>
      <c r="E54" s="12">
        <f si="38" t="shared"/>
        <v>2.9069767441860465E-2</v>
      </c>
      <c r="F54" s="12" t="e">
        <f si="38" t="shared"/>
        <v>#DIV/0!</v>
      </c>
      <c r="G54" s="12">
        <f si="38" t="shared"/>
        <v>3.1052886948083454E-2</v>
      </c>
      <c r="H54" s="12"/>
      <c r="I54"/>
      <c r="L54"/>
      <c r="M54" s="3" t="s">
        <v>212</v>
      </c>
      <c r="N54" s="12">
        <f si="39" t="shared"/>
        <v>5.434782608695652E-2</v>
      </c>
      <c r="O54" s="12">
        <f si="39" t="shared"/>
        <v>2.8957528957528959E-2</v>
      </c>
      <c r="P54" s="12">
        <f si="39" t="shared"/>
        <v>3.3412887828162291E-2</v>
      </c>
      <c r="Q54" s="12">
        <f si="39" t="shared"/>
        <v>2.9069767441860465E-2</v>
      </c>
      <c r="R54" s="12" t="e">
        <f si="40" t="shared"/>
        <v>#DIV/0!</v>
      </c>
      <c r="S54" s="12">
        <f si="40" t="shared"/>
        <v>3.1052886948083454E-2</v>
      </c>
      <c r="T54" s="12"/>
      <c r="X54"/>
      <c r="Y54" s="3" t="s">
        <v>212</v>
      </c>
      <c r="Z54" s="12">
        <f si="41" t="shared"/>
        <v>0</v>
      </c>
      <c r="AA54" s="12">
        <f si="41" t="shared"/>
        <v>0</v>
      </c>
      <c r="AB54" s="12">
        <f si="41" t="shared"/>
        <v>0</v>
      </c>
      <c r="AC54" s="12">
        <f si="41" t="shared"/>
        <v>0</v>
      </c>
      <c r="AD54" s="12"/>
      <c r="AE54" s="12">
        <f si="42" t="shared"/>
        <v>0</v>
      </c>
      <c r="AF54" s="12"/>
      <c r="AG54"/>
    </row>
    <row r="55" spans="1:41" x14ac:dyDescent="0.35">
      <c r="A55" s="3" t="s">
        <v>213</v>
      </c>
      <c r="B55" s="12">
        <f si="38" t="shared"/>
        <v>6.5217391304347824E-2</v>
      </c>
      <c r="C55" s="12">
        <f si="38" t="shared"/>
        <v>6.3706563706563704E-2</v>
      </c>
      <c r="D55" s="12">
        <f si="38" t="shared"/>
        <v>7.6372315035799526E-2</v>
      </c>
      <c r="E55" s="12">
        <f si="38" t="shared"/>
        <v>8.5271317829457363E-2</v>
      </c>
      <c r="F55" s="12" t="e">
        <f si="38" t="shared"/>
        <v>#DIV/0!</v>
      </c>
      <c r="G55" s="12">
        <f si="38" t="shared"/>
        <v>7.7147016011644837E-2</v>
      </c>
      <c r="H55" s="12"/>
      <c r="I55"/>
      <c r="L55"/>
      <c r="M55" s="3" t="s">
        <v>213</v>
      </c>
      <c r="N55" s="12">
        <f si="39" t="shared"/>
        <v>6.5217391304347824E-2</v>
      </c>
      <c r="O55" s="12">
        <f si="39" t="shared"/>
        <v>6.3706563706563704E-2</v>
      </c>
      <c r="P55" s="12">
        <f si="39" t="shared"/>
        <v>7.6372315035799526E-2</v>
      </c>
      <c r="Q55" s="12">
        <f si="39" t="shared"/>
        <v>8.5271317829457363E-2</v>
      </c>
      <c r="R55" s="12" t="e">
        <f si="40" t="shared"/>
        <v>#DIV/0!</v>
      </c>
      <c r="S55" s="12">
        <f si="40" t="shared"/>
        <v>7.7147016011644837E-2</v>
      </c>
      <c r="T55" s="12"/>
      <c r="X55"/>
      <c r="Y55" s="3" t="s">
        <v>213</v>
      </c>
      <c r="Z55" s="12">
        <f si="41" t="shared"/>
        <v>0</v>
      </c>
      <c r="AA55" s="12">
        <f si="41" t="shared"/>
        <v>0</v>
      </c>
      <c r="AB55" s="12">
        <f si="41" t="shared"/>
        <v>0</v>
      </c>
      <c r="AC55" s="12">
        <f si="41" t="shared"/>
        <v>0</v>
      </c>
      <c r="AD55" s="12"/>
      <c r="AE55" s="12">
        <f si="42" t="shared"/>
        <v>0</v>
      </c>
      <c r="AF55" s="12"/>
      <c r="AG55"/>
    </row>
    <row r="56" spans="1:41" x14ac:dyDescent="0.35">
      <c r="A56" s="3" t="s">
        <v>214</v>
      </c>
      <c r="B56" s="12">
        <f si="38" t="shared"/>
        <v>0.13043478260869565</v>
      </c>
      <c r="C56" s="12">
        <f si="38" t="shared"/>
        <v>0.1640926640926641</v>
      </c>
      <c r="D56" s="12">
        <f si="38" t="shared"/>
        <v>0.21957040572792363</v>
      </c>
      <c r="E56" s="12">
        <f si="38" t="shared"/>
        <v>0.21511627906976744</v>
      </c>
      <c r="F56" s="12" t="e">
        <f si="38" t="shared"/>
        <v>#DIV/0!</v>
      </c>
      <c r="G56" s="12">
        <f si="38" t="shared"/>
        <v>0.19941775836972345</v>
      </c>
      <c r="H56" s="12"/>
      <c r="I56"/>
      <c r="L56"/>
      <c r="M56" s="3" t="s">
        <v>214</v>
      </c>
      <c r="N56" s="12">
        <f si="39" t="shared"/>
        <v>0.13043478260869565</v>
      </c>
      <c r="O56" s="12">
        <f si="39" t="shared"/>
        <v>0.1640926640926641</v>
      </c>
      <c r="P56" s="12">
        <f si="39" t="shared"/>
        <v>0.21957040572792363</v>
      </c>
      <c r="Q56" s="12">
        <f si="39" t="shared"/>
        <v>0.21511627906976744</v>
      </c>
      <c r="R56" s="12" t="e">
        <f si="40" t="shared"/>
        <v>#DIV/0!</v>
      </c>
      <c r="S56" s="12">
        <f si="40" t="shared"/>
        <v>0.19941775836972345</v>
      </c>
      <c r="T56" s="12"/>
      <c r="X56"/>
      <c r="Y56" s="3" t="s">
        <v>214</v>
      </c>
      <c r="Z56" s="12">
        <f si="41" t="shared"/>
        <v>0</v>
      </c>
      <c r="AA56" s="12">
        <f si="41" t="shared"/>
        <v>0</v>
      </c>
      <c r="AB56" s="12">
        <f si="41" t="shared"/>
        <v>0</v>
      </c>
      <c r="AC56" s="12">
        <f si="41" t="shared"/>
        <v>0</v>
      </c>
      <c r="AD56" s="12"/>
      <c r="AE56" s="12">
        <f si="42" t="shared"/>
        <v>0</v>
      </c>
      <c r="AF56" s="12"/>
      <c r="AG56"/>
    </row>
    <row r="57" spans="1:41" x14ac:dyDescent="0.35">
      <c r="A57" s="3" t="s">
        <v>215</v>
      </c>
      <c r="B57" s="12">
        <f si="38" t="shared"/>
        <v>0.41304347826086957</v>
      </c>
      <c r="C57" s="12">
        <f si="38" t="shared"/>
        <v>0.34942084942084944</v>
      </c>
      <c r="D57" s="12">
        <f si="38" t="shared"/>
        <v>0.30787589498806683</v>
      </c>
      <c r="E57" s="12">
        <f si="38" t="shared"/>
        <v>0.26647286821705424</v>
      </c>
      <c r="F57" s="12" t="e">
        <f si="38" t="shared"/>
        <v>#DIV/0!</v>
      </c>
      <c r="G57" s="12">
        <f si="38" t="shared"/>
        <v>0.30228044638524987</v>
      </c>
      <c r="H57" s="12"/>
      <c r="I57"/>
      <c r="L57"/>
      <c r="M57" s="3" t="s">
        <v>215</v>
      </c>
      <c r="N57" s="12">
        <f si="39" t="shared"/>
        <v>0.41304347826086957</v>
      </c>
      <c r="O57" s="12">
        <f si="39" t="shared"/>
        <v>0.34942084942084944</v>
      </c>
      <c r="P57" s="12">
        <f si="39" t="shared"/>
        <v>0.30787589498806683</v>
      </c>
      <c r="Q57" s="12">
        <f si="39" t="shared"/>
        <v>0.26647286821705424</v>
      </c>
      <c r="R57" s="12" t="e">
        <f si="40" t="shared"/>
        <v>#DIV/0!</v>
      </c>
      <c r="S57" s="12">
        <f si="40" t="shared"/>
        <v>0.30228044638524987</v>
      </c>
      <c r="T57" s="12"/>
      <c r="X57"/>
      <c r="Y57" s="3" t="s">
        <v>215</v>
      </c>
      <c r="Z57" s="12">
        <f si="41" t="shared"/>
        <v>0</v>
      </c>
      <c r="AA57" s="12">
        <f si="41" t="shared"/>
        <v>0</v>
      </c>
      <c r="AB57" s="12">
        <f si="41" t="shared"/>
        <v>0</v>
      </c>
      <c r="AC57" s="12">
        <f si="41" t="shared"/>
        <v>0</v>
      </c>
      <c r="AD57" s="12"/>
      <c r="AE57" s="12">
        <f si="42" t="shared"/>
        <v>0</v>
      </c>
      <c r="AF57" s="12"/>
      <c r="AG57"/>
    </row>
    <row r="58" spans="1:41" x14ac:dyDescent="0.35">
      <c r="A58" s="3" t="s">
        <v>129</v>
      </c>
      <c r="B58" s="12">
        <f si="38" t="shared"/>
        <v>0.2391304347826087</v>
      </c>
      <c r="C58" s="12">
        <f si="38" t="shared"/>
        <v>0.27027027027027029</v>
      </c>
      <c r="D58" s="12">
        <f si="38" t="shared"/>
        <v>0.24582338902147971</v>
      </c>
      <c r="E58" s="12">
        <f si="38" t="shared"/>
        <v>0.2810077519379845</v>
      </c>
      <c r="F58" s="12" t="e">
        <f si="38" t="shared"/>
        <v>#DIV/0!</v>
      </c>
      <c r="G58" s="12">
        <f si="38" t="shared"/>
        <v>0.26928675400291119</v>
      </c>
      <c r="H58" s="12"/>
      <c r="I58"/>
      <c r="L58"/>
      <c r="M58" s="3" t="s">
        <v>129</v>
      </c>
      <c r="N58" s="12">
        <f si="39" t="shared"/>
        <v>0.2391304347826087</v>
      </c>
      <c r="O58" s="12">
        <f si="39" t="shared"/>
        <v>0.27027027027027029</v>
      </c>
      <c r="P58" s="12">
        <f si="39" t="shared"/>
        <v>0.24582338902147971</v>
      </c>
      <c r="Q58" s="12">
        <f si="39" t="shared"/>
        <v>0.2810077519379845</v>
      </c>
      <c r="R58" s="12" t="e">
        <f si="40" t="shared"/>
        <v>#DIV/0!</v>
      </c>
      <c r="S58" s="12">
        <f si="40" t="shared"/>
        <v>0.26928675400291119</v>
      </c>
      <c r="T58" s="12"/>
      <c r="X58"/>
      <c r="Y58" s="3" t="s">
        <v>129</v>
      </c>
      <c r="Z58" s="12">
        <f si="41" t="shared"/>
        <v>0</v>
      </c>
      <c r="AA58" s="12">
        <f si="41" t="shared"/>
        <v>0</v>
      </c>
      <c r="AB58" s="12">
        <f si="41" t="shared"/>
        <v>0</v>
      </c>
      <c r="AC58" s="12">
        <f si="41" t="shared"/>
        <v>0</v>
      </c>
      <c r="AD58" s="12"/>
      <c r="AE58" s="12">
        <f si="42" t="shared"/>
        <v>0</v>
      </c>
      <c r="AF58" s="12"/>
      <c r="AG58"/>
    </row>
    <row r="59" spans="1:41" x14ac:dyDescent="0.35">
      <c r="A59" s="3" t="s">
        <v>130</v>
      </c>
      <c r="B59" s="13">
        <f si="38" t="shared"/>
        <v>5.434782608695652E-2</v>
      </c>
      <c r="C59" s="13">
        <f si="38" t="shared"/>
        <v>5.4054054054054057E-2</v>
      </c>
      <c r="D59" s="13">
        <f si="38" t="shared"/>
        <v>4.2959427207637228E-2</v>
      </c>
      <c r="E59" s="13">
        <f si="38" t="shared"/>
        <v>4.0697674418604654E-2</v>
      </c>
      <c r="F59" s="13" t="e">
        <f si="38" t="shared"/>
        <v>#DIV/0!</v>
      </c>
      <c r="G59" s="13">
        <f si="38" t="shared"/>
        <v>4.5123726346433773E-2</v>
      </c>
      <c r="H59" s="34"/>
      <c r="I59"/>
      <c r="L59"/>
      <c r="M59" s="3" t="s">
        <v>130</v>
      </c>
      <c r="N59" s="13">
        <f si="39" t="shared"/>
        <v>5.434782608695652E-2</v>
      </c>
      <c r="O59" s="13">
        <f si="39" t="shared"/>
        <v>5.4054054054054057E-2</v>
      </c>
      <c r="P59" s="13">
        <f si="39" t="shared"/>
        <v>4.2959427207637228E-2</v>
      </c>
      <c r="Q59" s="13">
        <f si="39" t="shared"/>
        <v>4.0697674418604654E-2</v>
      </c>
      <c r="R59" s="13" t="e">
        <f si="40" t="shared"/>
        <v>#DIV/0!</v>
      </c>
      <c r="S59" s="13">
        <f si="40" t="shared"/>
        <v>4.5123726346433773E-2</v>
      </c>
      <c r="T59" s="34"/>
      <c r="X59"/>
      <c r="Y59" s="3" t="s">
        <v>130</v>
      </c>
      <c r="Z59" s="12">
        <f si="41" t="shared"/>
        <v>0</v>
      </c>
      <c r="AA59" s="12">
        <f si="41" t="shared"/>
        <v>0</v>
      </c>
      <c r="AB59" s="12">
        <f si="41" t="shared"/>
        <v>0</v>
      </c>
      <c r="AC59" s="12">
        <f si="41" t="shared"/>
        <v>0</v>
      </c>
      <c r="AD59" s="12"/>
      <c r="AE59" s="12">
        <f si="42" t="shared"/>
        <v>0</v>
      </c>
      <c r="AF59" s="12"/>
      <c r="AG59"/>
    </row>
    <row ht="13.15" r="60" spans="1:41" thickBot="1" x14ac:dyDescent="0.4">
      <c r="A60" s="10" t="s">
        <v>223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223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223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35">
      <c r="I61"/>
      <c r="L61"/>
      <c r="X61"/>
      <c r="AG61"/>
    </row>
    <row r="62" spans="1:41" x14ac:dyDescent="0.35">
      <c r="L62"/>
      <c r="X62"/>
      <c r="AG62"/>
    </row>
    <row r="63" spans="1:41" x14ac:dyDescent="0.35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35">
      <c r="L64"/>
      <c r="X64"/>
      <c r="AG64"/>
      <c r="AH64"/>
      <c r="AI64"/>
      <c r="AJ64"/>
      <c r="AK64"/>
      <c r="AL64"/>
      <c r="AM64"/>
      <c r="AN64"/>
      <c r="AO64"/>
    </row>
    <row ht="13.15" r="65" spans="1:41" x14ac:dyDescent="0.4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ht="13.15" r="66" spans="1:41" x14ac:dyDescent="0.4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15" r="67" spans="1:41" thickBot="1" x14ac:dyDescent="0.4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ht="13.15" r="68" spans="1:41" x14ac:dyDescent="0.4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223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223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223</v>
      </c>
      <c r="AG68"/>
      <c r="AH68"/>
      <c r="AI68"/>
      <c r="AJ68"/>
      <c r="AK68"/>
      <c r="AL68"/>
      <c r="AM68"/>
      <c r="AN68"/>
      <c r="AO68"/>
    </row>
    <row r="69" spans="1:41" x14ac:dyDescent="0.35">
      <c r="A69" s="3" t="s">
        <v>211</v>
      </c>
      <c r="B69" s="7">
        <f>output_NHTS!B242</f>
        <v>0</v>
      </c>
      <c r="C69" s="7">
        <f>output_NHTS!C242</f>
        <v>19000</v>
      </c>
      <c r="D69" s="7">
        <f>output_NHTS!D242</f>
        <v>106000</v>
      </c>
      <c r="E69" s="7">
        <f>output_NHTS!E242</f>
        <v>31000</v>
      </c>
      <c r="F69" s="7">
        <f>output_NHTS!F242</f>
        <v>156000</v>
      </c>
      <c r="L69"/>
      <c r="M69" s="3" t="s">
        <v>211</v>
      </c>
      <c r="N69" s="7">
        <f>output!B242</f>
        <v>0</v>
      </c>
      <c r="O69" s="7">
        <f>output!C242</f>
        <v>19000</v>
      </c>
      <c r="P69" s="7">
        <f>output!D242</f>
        <v>106000</v>
      </c>
      <c r="Q69" s="7">
        <f>output!E242</f>
        <v>31000</v>
      </c>
      <c r="R69" s="7">
        <f>output!F242</f>
        <v>156000</v>
      </c>
      <c r="X69"/>
      <c r="Y69" s="3" t="s">
        <v>211</v>
      </c>
      <c r="Z69" s="7">
        <f ref="Z69:AB76" si="43" t="shared">N69-B69</f>
        <v>0</v>
      </c>
      <c r="AA69" s="7">
        <f si="43" t="shared"/>
        <v>0</v>
      </c>
      <c r="AB69" s="7">
        <f si="43" t="shared"/>
        <v>0</v>
      </c>
      <c r="AC69" s="7">
        <f ref="AC69:AC76" si="44" t="shared">Q69-E69</f>
        <v>0</v>
      </c>
      <c r="AD69" s="7">
        <f ref="AD69:AD76" si="45" t="shared">R69-F69</f>
        <v>0</v>
      </c>
      <c r="AG69"/>
      <c r="AH69"/>
      <c r="AI69"/>
      <c r="AJ69"/>
      <c r="AK69"/>
      <c r="AL69"/>
      <c r="AM69"/>
      <c r="AN69"/>
      <c r="AO69"/>
    </row>
    <row r="70" spans="1:41" x14ac:dyDescent="0.35">
      <c r="A70" s="3" t="s">
        <v>212</v>
      </c>
      <c r="B70" s="7">
        <f>output_NHTS!B243</f>
        <v>1000</v>
      </c>
      <c r="C70" s="7">
        <f>output_NHTS!C243</f>
        <v>9000</v>
      </c>
      <c r="D70" s="7">
        <f>output_NHTS!D243</f>
        <v>44000</v>
      </c>
      <c r="E70" s="7">
        <f>output_NHTS!E243</f>
        <v>10000</v>
      </c>
      <c r="F70" s="7">
        <f>output_NHTS!F243</f>
        <v>64000</v>
      </c>
      <c r="L70"/>
      <c r="M70" s="3" t="s">
        <v>212</v>
      </c>
      <c r="N70" s="7">
        <f>output!B243</f>
        <v>1000</v>
      </c>
      <c r="O70" s="7">
        <f>output!C243</f>
        <v>9000</v>
      </c>
      <c r="P70" s="7">
        <f>output!D243</f>
        <v>44000</v>
      </c>
      <c r="Q70" s="7">
        <f>output!E243</f>
        <v>10000</v>
      </c>
      <c r="R70" s="7">
        <f>output!F243</f>
        <v>64000</v>
      </c>
      <c r="X70"/>
      <c r="Y70" s="3" t="s">
        <v>212</v>
      </c>
      <c r="Z70" s="7">
        <f si="43" t="shared"/>
        <v>0</v>
      </c>
      <c r="AA70" s="7">
        <f si="43" t="shared"/>
        <v>0</v>
      </c>
      <c r="AB70" s="7">
        <f si="43" t="shared"/>
        <v>0</v>
      </c>
      <c r="AC70" s="7">
        <f si="44" t="shared"/>
        <v>0</v>
      </c>
      <c r="AD70" s="7">
        <f si="45" t="shared"/>
        <v>0</v>
      </c>
      <c r="AG70"/>
      <c r="AH70"/>
      <c r="AI70"/>
      <c r="AJ70"/>
      <c r="AK70"/>
      <c r="AL70"/>
      <c r="AM70"/>
      <c r="AN70"/>
      <c r="AO70"/>
    </row>
    <row r="71" spans="1:41" x14ac:dyDescent="0.35">
      <c r="A71" s="3" t="s">
        <v>213</v>
      </c>
      <c r="B71" s="7">
        <f>output_NHTS!B244</f>
        <v>2000</v>
      </c>
      <c r="C71" s="7">
        <f>output_NHTS!C244</f>
        <v>25000</v>
      </c>
      <c r="D71" s="7">
        <f>output_NHTS!D244</f>
        <v>104000</v>
      </c>
      <c r="E71" s="7">
        <f>output_NHTS!E244</f>
        <v>28000</v>
      </c>
      <c r="F71" s="7">
        <f>output_NHTS!F244</f>
        <v>159000</v>
      </c>
      <c r="L71"/>
      <c r="M71" s="3" t="s">
        <v>213</v>
      </c>
      <c r="N71" s="7">
        <f>output!B244</f>
        <v>2000</v>
      </c>
      <c r="O71" s="7">
        <f>output!C244</f>
        <v>25000</v>
      </c>
      <c r="P71" s="7">
        <f>output!D244</f>
        <v>104000</v>
      </c>
      <c r="Q71" s="7">
        <f>output!E244</f>
        <v>28000</v>
      </c>
      <c r="R71" s="7">
        <f>output!F244</f>
        <v>159000</v>
      </c>
      <c r="X71"/>
      <c r="Y71" s="3" t="s">
        <v>213</v>
      </c>
      <c r="Z71" s="7">
        <f si="43" t="shared"/>
        <v>0</v>
      </c>
      <c r="AA71" s="7">
        <f si="43" t="shared"/>
        <v>0</v>
      </c>
      <c r="AB71" s="7">
        <f si="43" t="shared"/>
        <v>0</v>
      </c>
      <c r="AC71" s="7">
        <f si="44" t="shared"/>
        <v>0</v>
      </c>
      <c r="AD71" s="7">
        <f si="45" t="shared"/>
        <v>0</v>
      </c>
      <c r="AG71"/>
      <c r="AH71"/>
      <c r="AI71"/>
      <c r="AJ71"/>
      <c r="AK71"/>
      <c r="AL71"/>
      <c r="AM71"/>
      <c r="AN71"/>
      <c r="AO71"/>
    </row>
    <row r="72" spans="1:41" x14ac:dyDescent="0.35">
      <c r="A72" s="3" t="s">
        <v>214</v>
      </c>
      <c r="B72" s="7">
        <f>output_NHTS!B245</f>
        <v>1000</v>
      </c>
      <c r="C72" s="7">
        <f>output_NHTS!C245</f>
        <v>69000</v>
      </c>
      <c r="D72" s="7">
        <f>output_NHTS!D245</f>
        <v>267000</v>
      </c>
      <c r="E72" s="7">
        <f>output_NHTS!E245</f>
        <v>74000</v>
      </c>
      <c r="F72" s="7">
        <f>output_NHTS!F245</f>
        <v>411000</v>
      </c>
      <c r="L72"/>
      <c r="M72" s="3" t="s">
        <v>214</v>
      </c>
      <c r="N72" s="7">
        <f>output!B245</f>
        <v>1000</v>
      </c>
      <c r="O72" s="7">
        <f>output!C245</f>
        <v>69000</v>
      </c>
      <c r="P72" s="7">
        <f>output!D245</f>
        <v>267000</v>
      </c>
      <c r="Q72" s="7">
        <f>output!E245</f>
        <v>74000</v>
      </c>
      <c r="R72" s="7">
        <f>output!F245</f>
        <v>411000</v>
      </c>
      <c r="X72"/>
      <c r="Y72" s="3" t="s">
        <v>214</v>
      </c>
      <c r="Z72" s="7">
        <f si="43" t="shared"/>
        <v>0</v>
      </c>
      <c r="AA72" s="7">
        <f si="43" t="shared"/>
        <v>0</v>
      </c>
      <c r="AB72" s="7">
        <f si="43" t="shared"/>
        <v>0</v>
      </c>
      <c r="AC72" s="7">
        <f si="44" t="shared"/>
        <v>0</v>
      </c>
      <c r="AD72" s="7">
        <f si="45" t="shared"/>
        <v>0</v>
      </c>
      <c r="AG72"/>
      <c r="AH72"/>
      <c r="AI72"/>
      <c r="AJ72"/>
      <c r="AK72"/>
      <c r="AL72"/>
      <c r="AM72"/>
      <c r="AN72"/>
      <c r="AO72"/>
    </row>
    <row r="73" spans="1:41" x14ac:dyDescent="0.35">
      <c r="A73" s="3" t="s">
        <v>215</v>
      </c>
      <c r="B73" s="7">
        <f>output_NHTS!B246</f>
        <v>3000</v>
      </c>
      <c r="C73" s="7">
        <f>output_NHTS!C246</f>
        <v>94000</v>
      </c>
      <c r="D73" s="7">
        <f>output_NHTS!D246</f>
        <v>423000</v>
      </c>
      <c r="E73" s="7">
        <f>output_NHTS!E246</f>
        <v>103000</v>
      </c>
      <c r="F73" s="7">
        <f>output_NHTS!F246</f>
        <v>623000</v>
      </c>
      <c r="L73"/>
      <c r="M73" s="3" t="s">
        <v>215</v>
      </c>
      <c r="N73" s="7">
        <f>output!B246</f>
        <v>3000</v>
      </c>
      <c r="O73" s="7">
        <f>output!C246</f>
        <v>94000</v>
      </c>
      <c r="P73" s="7">
        <f>output!D246</f>
        <v>423000</v>
      </c>
      <c r="Q73" s="7">
        <f>output!E246</f>
        <v>103000</v>
      </c>
      <c r="R73" s="7">
        <f>output!F246</f>
        <v>623000</v>
      </c>
      <c r="X73"/>
      <c r="Y73" s="3" t="s">
        <v>215</v>
      </c>
      <c r="Z73" s="7">
        <f si="43" t="shared"/>
        <v>0</v>
      </c>
      <c r="AA73" s="7">
        <f si="43" t="shared"/>
        <v>0</v>
      </c>
      <c r="AB73" s="7">
        <f si="43" t="shared"/>
        <v>0</v>
      </c>
      <c r="AC73" s="7">
        <f si="44" t="shared"/>
        <v>0</v>
      </c>
      <c r="AD73" s="7">
        <f si="45" t="shared"/>
        <v>0</v>
      </c>
      <c r="AG73"/>
      <c r="AH73"/>
      <c r="AI73"/>
      <c r="AJ73"/>
      <c r="AK73"/>
      <c r="AL73"/>
      <c r="AM73"/>
      <c r="AN73"/>
      <c r="AO73"/>
    </row>
    <row r="74" spans="1:41" x14ac:dyDescent="0.35">
      <c r="A74" s="3" t="s">
        <v>129</v>
      </c>
      <c r="B74" s="7">
        <f>output_NHTS!B247</f>
        <v>2000</v>
      </c>
      <c r="C74" s="7">
        <f>output_NHTS!C247</f>
        <v>90000</v>
      </c>
      <c r="D74" s="7">
        <f>output_NHTS!D247</f>
        <v>366000</v>
      </c>
      <c r="E74" s="7">
        <f>output_NHTS!E247</f>
        <v>97000</v>
      </c>
      <c r="F74" s="7">
        <f>output_NHTS!F247</f>
        <v>555000</v>
      </c>
      <c r="L74"/>
      <c r="M74" s="3" t="s">
        <v>129</v>
      </c>
      <c r="N74" s="7">
        <f>output!B247</f>
        <v>2000</v>
      </c>
      <c r="O74" s="7">
        <f>output!C247</f>
        <v>90000</v>
      </c>
      <c r="P74" s="7">
        <f>output!D247</f>
        <v>366000</v>
      </c>
      <c r="Q74" s="7">
        <f>output!E247</f>
        <v>97000</v>
      </c>
      <c r="R74" s="7">
        <f>output!F247</f>
        <v>555000</v>
      </c>
      <c r="X74"/>
      <c r="Y74" s="3" t="s">
        <v>129</v>
      </c>
      <c r="Z74" s="7">
        <f si="43" t="shared"/>
        <v>0</v>
      </c>
      <c r="AA74" s="7">
        <f si="43" t="shared"/>
        <v>0</v>
      </c>
      <c r="AB74" s="7">
        <f si="43" t="shared"/>
        <v>0</v>
      </c>
      <c r="AC74" s="7">
        <f si="44" t="shared"/>
        <v>0</v>
      </c>
      <c r="AD74" s="7">
        <f si="45" t="shared"/>
        <v>0</v>
      </c>
      <c r="AG74"/>
      <c r="AH74"/>
      <c r="AI74"/>
      <c r="AJ74"/>
      <c r="AK74"/>
      <c r="AL74"/>
      <c r="AM74"/>
      <c r="AN74"/>
      <c r="AO74"/>
    </row>
    <row r="75" spans="1:41" x14ac:dyDescent="0.35">
      <c r="A75" s="3" t="s">
        <v>130</v>
      </c>
      <c r="B75" s="7">
        <f>output_NHTS!B248</f>
        <v>0</v>
      </c>
      <c r="C75" s="7">
        <f>output_NHTS!C248</f>
        <v>21000</v>
      </c>
      <c r="D75" s="7">
        <f>output_NHTS!D248</f>
        <v>57000</v>
      </c>
      <c r="E75" s="7">
        <f>output_NHTS!E248</f>
        <v>15000</v>
      </c>
      <c r="F75" s="7">
        <f>output_NHTS!F248</f>
        <v>93000</v>
      </c>
      <c r="L75"/>
      <c r="M75" s="3" t="s">
        <v>130</v>
      </c>
      <c r="N75" s="9">
        <f>output!B248</f>
        <v>0</v>
      </c>
      <c r="O75" s="9">
        <f>output!C248</f>
        <v>21000</v>
      </c>
      <c r="P75" s="9">
        <f>output!D248</f>
        <v>57000</v>
      </c>
      <c r="Q75" s="9">
        <f>output!E248</f>
        <v>15000</v>
      </c>
      <c r="R75" s="9">
        <f>output!F248</f>
        <v>93000</v>
      </c>
      <c r="X75"/>
      <c r="Y75" s="3" t="s">
        <v>130</v>
      </c>
      <c r="Z75" s="9">
        <f si="43" t="shared"/>
        <v>0</v>
      </c>
      <c r="AA75" s="9">
        <f si="43" t="shared"/>
        <v>0</v>
      </c>
      <c r="AB75" s="9">
        <f si="43" t="shared"/>
        <v>0</v>
      </c>
      <c r="AC75" s="9">
        <f si="44" t="shared"/>
        <v>0</v>
      </c>
      <c r="AD75" s="9">
        <f si="45" t="shared"/>
        <v>0</v>
      </c>
      <c r="AG75"/>
      <c r="AH75"/>
      <c r="AI75"/>
      <c r="AJ75"/>
      <c r="AK75"/>
      <c r="AL75"/>
      <c r="AM75"/>
      <c r="AN75"/>
      <c r="AO75"/>
    </row>
    <row ht="13.15" r="76" spans="1:41" thickBot="1" x14ac:dyDescent="0.4">
      <c r="A76" s="10" t="s">
        <v>223</v>
      </c>
      <c r="B76" s="11">
        <f>SUM(B69:B75)</f>
        <v>9000</v>
      </c>
      <c r="C76" s="11">
        <f>SUM(C69:C75)</f>
        <v>327000</v>
      </c>
      <c r="D76" s="11">
        <f>SUM(D69:D75)</f>
        <v>1367000</v>
      </c>
      <c r="E76" s="11">
        <f>SUM(E69:E75)</f>
        <v>358000</v>
      </c>
      <c r="F76" s="11">
        <f>SUM(F69:F75)</f>
        <v>2061000</v>
      </c>
      <c r="L76"/>
      <c r="M76" s="10" t="s">
        <v>223</v>
      </c>
      <c r="N76" s="11">
        <f>SUM(N69:N75)</f>
        <v>9000</v>
      </c>
      <c r="O76" s="11">
        <f>SUM(O69:O75)</f>
        <v>327000</v>
      </c>
      <c r="P76" s="11">
        <f>SUM(P69:P75)</f>
        <v>1367000</v>
      </c>
      <c r="Q76" s="11">
        <f>SUM(Q69:Q75)</f>
        <v>358000</v>
      </c>
      <c r="R76" s="11">
        <f>SUM(R69:R75)</f>
        <v>2061000</v>
      </c>
      <c r="X76"/>
      <c r="Y76" s="10" t="s">
        <v>223</v>
      </c>
      <c r="Z76" s="11">
        <f si="43" t="shared"/>
        <v>0</v>
      </c>
      <c r="AA76" s="11">
        <f si="43" t="shared"/>
        <v>0</v>
      </c>
      <c r="AB76" s="11">
        <f si="43" t="shared"/>
        <v>0</v>
      </c>
      <c r="AC76" s="11">
        <f si="44" t="shared"/>
        <v>0</v>
      </c>
      <c r="AD76" s="11">
        <f si="45" t="shared"/>
        <v>0</v>
      </c>
      <c r="AG76"/>
      <c r="AH76"/>
      <c r="AI76"/>
      <c r="AJ76"/>
      <c r="AK76"/>
      <c r="AL76"/>
      <c r="AM76"/>
      <c r="AN76"/>
      <c r="AO76"/>
    </row>
    <row r="77" spans="1:41" x14ac:dyDescent="0.35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35">
      <c r="A78" s="25" t="s">
        <v>88</v>
      </c>
      <c r="B78" s="7">
        <f>ToursByTourPurpose!B84</f>
        <v>20000</v>
      </c>
      <c r="C78" s="7">
        <f>ToursByTourPurpose!C84</f>
        <v>511000</v>
      </c>
      <c r="D78" s="7">
        <f>ToursByTourPurpose!D84</f>
        <v>2128000</v>
      </c>
      <c r="E78" s="7">
        <f>ToursByTourPurpose!E84</f>
        <v>622000</v>
      </c>
      <c r="F78" s="7">
        <f>ToursByTourPurpose!F84</f>
        <v>3281000</v>
      </c>
      <c r="L78"/>
      <c r="M78" s="25" t="s">
        <v>88</v>
      </c>
      <c r="N78" s="53">
        <f>ToursByTourPurpose!N84</f>
        <v>20000</v>
      </c>
      <c r="O78" s="53">
        <f>ToursByTourPurpose!O84</f>
        <v>511000</v>
      </c>
      <c r="P78" s="53">
        <f>ToursByTourPurpose!P84</f>
        <v>2128000</v>
      </c>
      <c r="Q78" s="53">
        <f>ToursByTourPurpose!Q84</f>
        <v>622000</v>
      </c>
      <c r="R78" s="53">
        <f>ToursByTourPurpose!R84</f>
        <v>3281000</v>
      </c>
      <c r="X78"/>
      <c r="Y78" s="25" t="s">
        <v>88</v>
      </c>
      <c r="Z78" s="7">
        <f ref="Z78:AD79" si="46" t="shared">N78-B78</f>
        <v>0</v>
      </c>
      <c r="AA78" s="7">
        <f si="46" t="shared"/>
        <v>0</v>
      </c>
      <c r="AB78" s="7">
        <f si="46" t="shared"/>
        <v>0</v>
      </c>
      <c r="AC78" s="7">
        <f si="46" t="shared"/>
        <v>0</v>
      </c>
      <c r="AD78" s="7">
        <f si="46" t="shared"/>
        <v>0</v>
      </c>
      <c r="AG78"/>
      <c r="AH78"/>
      <c r="AI78"/>
      <c r="AJ78"/>
      <c r="AK78"/>
      <c r="AL78"/>
      <c r="AM78"/>
      <c r="AN78"/>
      <c r="AO78"/>
    </row>
    <row r="79" spans="1:41" x14ac:dyDescent="0.35">
      <c r="A79" s="25" t="s">
        <v>90</v>
      </c>
      <c r="B79" s="38">
        <f>B76/B78</f>
        <v>0.45</v>
      </c>
      <c r="C79" s="38">
        <f>C76/C78</f>
        <v>0.63992172211350296</v>
      </c>
      <c r="D79" s="38">
        <f>D76/D78</f>
        <v>0.64238721804511278</v>
      </c>
      <c r="E79" s="38">
        <f>E76/E78</f>
        <v>0.57556270096463025</v>
      </c>
      <c r="F79" s="38">
        <f>F76/F78</f>
        <v>0.62816214568729045</v>
      </c>
      <c r="L79"/>
      <c r="M79" s="25" t="s">
        <v>90</v>
      </c>
      <c r="N79" s="38">
        <f>N76/N78</f>
        <v>0.45</v>
      </c>
      <c r="O79" s="38">
        <f>O76/O78</f>
        <v>0.63992172211350296</v>
      </c>
      <c r="P79" s="38">
        <f>P76/P78</f>
        <v>0.64238721804511278</v>
      </c>
      <c r="Q79" s="38">
        <f>Q76/Q78</f>
        <v>0.57556270096463025</v>
      </c>
      <c r="R79" s="38">
        <f>R76/R78</f>
        <v>0.62816214568729045</v>
      </c>
      <c r="X79"/>
      <c r="Y79" s="25" t="s">
        <v>90</v>
      </c>
      <c r="Z79" s="38">
        <f si="46" t="shared"/>
        <v>0</v>
      </c>
      <c r="AA79" s="38">
        <f si="46" t="shared"/>
        <v>0</v>
      </c>
      <c r="AB79" s="38">
        <f si="46" t="shared"/>
        <v>0</v>
      </c>
      <c r="AC79" s="38">
        <f si="46" t="shared"/>
        <v>0</v>
      </c>
      <c r="AD79" s="38">
        <f si="46" t="shared"/>
        <v>0</v>
      </c>
      <c r="AG79"/>
      <c r="AH79"/>
      <c r="AI79"/>
      <c r="AJ79"/>
      <c r="AK79"/>
      <c r="AL79"/>
      <c r="AM79"/>
      <c r="AN79"/>
      <c r="AO79"/>
    </row>
    <row r="80" spans="1:41" x14ac:dyDescent="0.35">
      <c r="L80"/>
      <c r="X80"/>
      <c r="AG80"/>
      <c r="AH80"/>
      <c r="AI80"/>
      <c r="AJ80"/>
      <c r="AK80"/>
      <c r="AL80"/>
      <c r="AM80"/>
      <c r="AN80"/>
      <c r="AO80"/>
    </row>
    <row ht="13.15" r="81" spans="1:41" x14ac:dyDescent="0.4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ht="13.15" r="82" spans="1:41" x14ac:dyDescent="0.4">
      <c r="A82" s="2" t="s">
        <v>111</v>
      </c>
      <c r="L82"/>
      <c r="M82" s="2" t="s">
        <v>260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15" r="83" spans="1:41" thickBot="1" x14ac:dyDescent="0.4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ht="13.15" r="84" spans="1:41" x14ac:dyDescent="0.4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223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223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223</v>
      </c>
      <c r="AG84"/>
      <c r="AH84"/>
      <c r="AI84"/>
      <c r="AJ84"/>
      <c r="AK84"/>
      <c r="AL84"/>
      <c r="AM84"/>
      <c r="AN84"/>
      <c r="AO84"/>
    </row>
    <row r="85" spans="1:41" x14ac:dyDescent="0.35">
      <c r="A85" s="3" t="s">
        <v>211</v>
      </c>
      <c r="B85" s="12">
        <f ref="B85:F90" si="47" t="shared">B69/B$76</f>
        <v>0</v>
      </c>
      <c r="C85" s="12">
        <f si="47" t="shared"/>
        <v>5.8103975535168197E-2</v>
      </c>
      <c r="D85" s="12">
        <f si="47" t="shared"/>
        <v>7.7542062911485007E-2</v>
      </c>
      <c r="E85" s="12">
        <f si="47" t="shared"/>
        <v>8.6592178770949726E-2</v>
      </c>
      <c r="F85" s="12">
        <f si="47" t="shared"/>
        <v>7.5691411935953426E-2</v>
      </c>
      <c r="L85"/>
      <c r="M85" s="3" t="s">
        <v>211</v>
      </c>
      <c r="N85" s="12">
        <f ref="N85:R92" si="48" t="shared">N69/N$76</f>
        <v>0</v>
      </c>
      <c r="O85" s="12">
        <f si="48" t="shared"/>
        <v>5.8103975535168197E-2</v>
      </c>
      <c r="P85" s="12">
        <f si="48" t="shared"/>
        <v>7.7542062911485007E-2</v>
      </c>
      <c r="Q85" s="12">
        <f si="48" t="shared"/>
        <v>8.6592178770949726E-2</v>
      </c>
      <c r="R85" s="12">
        <f si="48" t="shared"/>
        <v>7.5691411935953426E-2</v>
      </c>
      <c r="X85"/>
      <c r="Y85" s="3" t="s">
        <v>211</v>
      </c>
      <c r="Z85" s="12">
        <f ref="Z85:AB92" si="49" t="shared">N85-B85</f>
        <v>0</v>
      </c>
      <c r="AA85" s="12">
        <f si="49" t="shared"/>
        <v>0</v>
      </c>
      <c r="AB85" s="12">
        <f si="49" t="shared"/>
        <v>0</v>
      </c>
      <c r="AC85" s="12">
        <f ref="AC85:AC92" si="50" t="shared">Q85-E85</f>
        <v>0</v>
      </c>
      <c r="AD85" s="12">
        <f ref="AD85:AD92" si="51" t="shared">R85-F85</f>
        <v>0</v>
      </c>
      <c r="AG85"/>
      <c r="AH85"/>
      <c r="AI85"/>
      <c r="AJ85"/>
      <c r="AK85"/>
      <c r="AL85"/>
      <c r="AM85"/>
      <c r="AN85"/>
      <c r="AO85"/>
    </row>
    <row r="86" spans="1:41" x14ac:dyDescent="0.35">
      <c r="A86" s="3" t="s">
        <v>212</v>
      </c>
      <c r="B86" s="12">
        <f si="47" t="shared"/>
        <v>0.1111111111111111</v>
      </c>
      <c r="C86" s="12">
        <f si="47" t="shared"/>
        <v>2.7522935779816515E-2</v>
      </c>
      <c r="D86" s="12">
        <f si="47" t="shared"/>
        <v>3.2187271397220191E-2</v>
      </c>
      <c r="E86" s="12">
        <f si="47" t="shared"/>
        <v>2.7932960893854747E-2</v>
      </c>
      <c r="F86" s="12">
        <f si="47" t="shared"/>
        <v>3.1052886948083454E-2</v>
      </c>
      <c r="L86"/>
      <c r="M86" s="3" t="s">
        <v>212</v>
      </c>
      <c r="N86" s="12">
        <f si="48" t="shared"/>
        <v>0.1111111111111111</v>
      </c>
      <c r="O86" s="12">
        <f si="48" t="shared"/>
        <v>2.7522935779816515E-2</v>
      </c>
      <c r="P86" s="12">
        <f si="48" t="shared"/>
        <v>3.2187271397220191E-2</v>
      </c>
      <c r="Q86" s="12">
        <f si="48" t="shared"/>
        <v>2.7932960893854747E-2</v>
      </c>
      <c r="R86" s="12">
        <f si="48" t="shared"/>
        <v>3.1052886948083454E-2</v>
      </c>
      <c r="X86"/>
      <c r="Y86" s="3" t="s">
        <v>212</v>
      </c>
      <c r="Z86" s="12">
        <f si="49" t="shared"/>
        <v>0</v>
      </c>
      <c r="AA86" s="12">
        <f si="49" t="shared"/>
        <v>0</v>
      </c>
      <c r="AB86" s="12">
        <f si="49" t="shared"/>
        <v>0</v>
      </c>
      <c r="AC86" s="12">
        <f si="50" t="shared"/>
        <v>0</v>
      </c>
      <c r="AD86" s="12">
        <f si="51" t="shared"/>
        <v>0</v>
      </c>
      <c r="AG86"/>
      <c r="AH86"/>
      <c r="AI86"/>
      <c r="AJ86"/>
      <c r="AK86"/>
      <c r="AL86"/>
      <c r="AM86"/>
      <c r="AN86"/>
      <c r="AO86"/>
    </row>
    <row r="87" spans="1:41" x14ac:dyDescent="0.35">
      <c r="A87" s="3" t="s">
        <v>213</v>
      </c>
      <c r="B87" s="12">
        <f si="47" t="shared"/>
        <v>0.22222222222222221</v>
      </c>
      <c r="C87" s="12">
        <f si="47" t="shared"/>
        <v>7.64525993883792E-2</v>
      </c>
      <c r="D87" s="12">
        <f si="47" t="shared"/>
        <v>7.6079005120702273E-2</v>
      </c>
      <c r="E87" s="12">
        <f si="47" t="shared"/>
        <v>7.8212290502793297E-2</v>
      </c>
      <c r="F87" s="12">
        <f si="47" t="shared"/>
        <v>7.7147016011644837E-2</v>
      </c>
      <c r="L87"/>
      <c r="M87" s="3" t="s">
        <v>213</v>
      </c>
      <c r="N87" s="12">
        <f si="48" t="shared"/>
        <v>0.22222222222222221</v>
      </c>
      <c r="O87" s="12">
        <f si="48" t="shared"/>
        <v>7.64525993883792E-2</v>
      </c>
      <c r="P87" s="12">
        <f si="48" t="shared"/>
        <v>7.6079005120702273E-2</v>
      </c>
      <c r="Q87" s="12">
        <f si="48" t="shared"/>
        <v>7.8212290502793297E-2</v>
      </c>
      <c r="R87" s="12">
        <f si="48" t="shared"/>
        <v>7.7147016011644837E-2</v>
      </c>
      <c r="X87"/>
      <c r="Y87" s="3" t="s">
        <v>213</v>
      </c>
      <c r="Z87" s="12">
        <f si="49" t="shared"/>
        <v>0</v>
      </c>
      <c r="AA87" s="12">
        <f si="49" t="shared"/>
        <v>0</v>
      </c>
      <c r="AB87" s="12">
        <f si="49" t="shared"/>
        <v>0</v>
      </c>
      <c r="AC87" s="12">
        <f si="50" t="shared"/>
        <v>0</v>
      </c>
      <c r="AD87" s="12">
        <f si="51" t="shared"/>
        <v>0</v>
      </c>
      <c r="AG87"/>
      <c r="AH87"/>
      <c r="AI87"/>
      <c r="AJ87"/>
      <c r="AK87"/>
      <c r="AL87"/>
      <c r="AM87"/>
      <c r="AN87"/>
      <c r="AO87"/>
    </row>
    <row r="88" spans="1:41" x14ac:dyDescent="0.35">
      <c r="A88" s="3" t="s">
        <v>214</v>
      </c>
      <c r="B88" s="12">
        <f si="47" t="shared"/>
        <v>0.1111111111111111</v>
      </c>
      <c r="C88" s="12">
        <f si="47" t="shared"/>
        <v>0.21100917431192662</v>
      </c>
      <c r="D88" s="12">
        <f si="47" t="shared"/>
        <v>0.19531821506949523</v>
      </c>
      <c r="E88" s="12">
        <f si="47" t="shared"/>
        <v>0.20670391061452514</v>
      </c>
      <c r="F88" s="12">
        <f si="47" t="shared"/>
        <v>0.19941775836972345</v>
      </c>
      <c r="L88"/>
      <c r="M88" s="3" t="s">
        <v>214</v>
      </c>
      <c r="N88" s="12">
        <f si="48" t="shared"/>
        <v>0.1111111111111111</v>
      </c>
      <c r="O88" s="12">
        <f si="48" t="shared"/>
        <v>0.21100917431192662</v>
      </c>
      <c r="P88" s="12">
        <f si="48" t="shared"/>
        <v>0.19531821506949523</v>
      </c>
      <c r="Q88" s="12">
        <f si="48" t="shared"/>
        <v>0.20670391061452514</v>
      </c>
      <c r="R88" s="12">
        <f si="48" t="shared"/>
        <v>0.19941775836972345</v>
      </c>
      <c r="X88"/>
      <c r="Y88" s="3" t="s">
        <v>214</v>
      </c>
      <c r="Z88" s="12">
        <f si="49" t="shared"/>
        <v>0</v>
      </c>
      <c r="AA88" s="12">
        <f si="49" t="shared"/>
        <v>0</v>
      </c>
      <c r="AB88" s="12">
        <f si="49" t="shared"/>
        <v>0</v>
      </c>
      <c r="AC88" s="12">
        <f si="50" t="shared"/>
        <v>0</v>
      </c>
      <c r="AD88" s="12">
        <f si="51" t="shared"/>
        <v>0</v>
      </c>
    </row>
    <row r="89" spans="1:41" x14ac:dyDescent="0.35">
      <c r="A89" s="3" t="s">
        <v>215</v>
      </c>
      <c r="B89" s="12">
        <f si="47" t="shared"/>
        <v>0.33333333333333331</v>
      </c>
      <c r="C89" s="12">
        <f si="47" t="shared"/>
        <v>0.28746177370030579</v>
      </c>
      <c r="D89" s="12">
        <f si="47" t="shared"/>
        <v>0.30943672275054862</v>
      </c>
      <c r="E89" s="12">
        <f si="47" t="shared"/>
        <v>0.28770949720670391</v>
      </c>
      <c r="F89" s="12">
        <f si="47" t="shared"/>
        <v>0.30228044638524987</v>
      </c>
      <c r="L89"/>
      <c r="M89" s="3" t="s">
        <v>215</v>
      </c>
      <c r="N89" s="12">
        <f si="48" t="shared"/>
        <v>0.33333333333333331</v>
      </c>
      <c r="O89" s="12">
        <f si="48" t="shared"/>
        <v>0.28746177370030579</v>
      </c>
      <c r="P89" s="12">
        <f si="48" t="shared"/>
        <v>0.30943672275054862</v>
      </c>
      <c r="Q89" s="12">
        <f si="48" t="shared"/>
        <v>0.28770949720670391</v>
      </c>
      <c r="R89" s="12">
        <f si="48" t="shared"/>
        <v>0.30228044638524987</v>
      </c>
      <c r="X89"/>
      <c r="Y89" s="3" t="s">
        <v>215</v>
      </c>
      <c r="Z89" s="12">
        <f si="49" t="shared"/>
        <v>0</v>
      </c>
      <c r="AA89" s="12">
        <f si="49" t="shared"/>
        <v>0</v>
      </c>
      <c r="AB89" s="12">
        <f si="49" t="shared"/>
        <v>0</v>
      </c>
      <c r="AC89" s="12">
        <f si="50" t="shared"/>
        <v>0</v>
      </c>
      <c r="AD89" s="12">
        <f si="51" t="shared"/>
        <v>0</v>
      </c>
    </row>
    <row r="90" spans="1:41" x14ac:dyDescent="0.35">
      <c r="A90" s="3" t="s">
        <v>129</v>
      </c>
      <c r="B90" s="12">
        <f si="47" t="shared"/>
        <v>0.22222222222222221</v>
      </c>
      <c r="C90" s="12">
        <f si="47" t="shared"/>
        <v>0.27522935779816515</v>
      </c>
      <c r="D90" s="12">
        <f si="47" t="shared"/>
        <v>0.2677395757132407</v>
      </c>
      <c r="E90" s="12">
        <f si="47" t="shared"/>
        <v>0.27094972067039108</v>
      </c>
      <c r="F90" s="12">
        <f si="47" t="shared"/>
        <v>0.26928675400291119</v>
      </c>
      <c r="L90"/>
      <c r="M90" s="3" t="s">
        <v>129</v>
      </c>
      <c r="N90" s="12">
        <f si="48" t="shared"/>
        <v>0.22222222222222221</v>
      </c>
      <c r="O90" s="12">
        <f si="48" t="shared"/>
        <v>0.27522935779816515</v>
      </c>
      <c r="P90" s="12">
        <f si="48" t="shared"/>
        <v>0.2677395757132407</v>
      </c>
      <c r="Q90" s="12">
        <f si="48" t="shared"/>
        <v>0.27094972067039108</v>
      </c>
      <c r="R90" s="12">
        <f si="48" t="shared"/>
        <v>0.26928675400291119</v>
      </c>
      <c r="X90"/>
      <c r="Y90" s="3" t="s">
        <v>129</v>
      </c>
      <c r="Z90" s="12">
        <f si="49" t="shared"/>
        <v>0</v>
      </c>
      <c r="AA90" s="12">
        <f si="49" t="shared"/>
        <v>0</v>
      </c>
      <c r="AB90" s="12">
        <f si="49" t="shared"/>
        <v>0</v>
      </c>
      <c r="AC90" s="12">
        <f si="50" t="shared"/>
        <v>0</v>
      </c>
      <c r="AD90" s="12">
        <f si="51" t="shared"/>
        <v>0</v>
      </c>
    </row>
    <row r="91" spans="1:41" x14ac:dyDescent="0.35">
      <c r="A91" s="3" t="s">
        <v>130</v>
      </c>
      <c r="B91" s="13">
        <f ref="B91:F92" si="52" t="shared">B75/B$76</f>
        <v>0</v>
      </c>
      <c r="C91" s="13">
        <f si="52" t="shared"/>
        <v>6.4220183486238536E-2</v>
      </c>
      <c r="D91" s="13">
        <f si="52" t="shared"/>
        <v>4.1697147037307973E-2</v>
      </c>
      <c r="E91" s="13">
        <f si="52" t="shared"/>
        <v>4.189944134078212E-2</v>
      </c>
      <c r="F91" s="13">
        <f si="52" t="shared"/>
        <v>4.5123726346433773E-2</v>
      </c>
      <c r="L91"/>
      <c r="M91" s="3" t="s">
        <v>130</v>
      </c>
      <c r="N91" s="13">
        <f si="48" t="shared"/>
        <v>0</v>
      </c>
      <c r="O91" s="13">
        <f si="48" t="shared"/>
        <v>6.4220183486238536E-2</v>
      </c>
      <c r="P91" s="13">
        <f si="48" t="shared"/>
        <v>4.1697147037307973E-2</v>
      </c>
      <c r="Q91" s="13">
        <f si="48" t="shared"/>
        <v>4.189944134078212E-2</v>
      </c>
      <c r="R91" s="13">
        <f si="48" t="shared"/>
        <v>4.5123726346433773E-2</v>
      </c>
      <c r="X91"/>
      <c r="Y91" s="3" t="s">
        <v>130</v>
      </c>
      <c r="Z91" s="12">
        <f si="49" t="shared"/>
        <v>0</v>
      </c>
      <c r="AA91" s="12">
        <f si="49" t="shared"/>
        <v>0</v>
      </c>
      <c r="AB91" s="12">
        <f si="49" t="shared"/>
        <v>0</v>
      </c>
      <c r="AC91" s="12">
        <f si="50" t="shared"/>
        <v>0</v>
      </c>
      <c r="AD91" s="12">
        <f si="51" t="shared"/>
        <v>0</v>
      </c>
    </row>
    <row ht="13.15" r="92" spans="1:41" thickBot="1" x14ac:dyDescent="0.4">
      <c r="A92" s="10" t="s">
        <v>223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223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223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35">
      <c r="L93"/>
      <c r="X93"/>
    </row>
    <row r="94" spans="1:41" x14ac:dyDescent="0.35">
      <c r="L94"/>
      <c r="X94"/>
    </row>
    <row r="95" spans="1:41" x14ac:dyDescent="0.35">
      <c r="L95"/>
      <c r="X95"/>
      <c r="AD95" s="25"/>
      <c r="AE95" s="25"/>
      <c r="AF95" s="25"/>
      <c r="AG95" s="25"/>
      <c r="AH95" s="25"/>
    </row>
    <row r="96" spans="1:41" x14ac:dyDescent="0.35">
      <c r="L96"/>
      <c r="X96"/>
      <c r="AD96" s="25"/>
      <c r="AE96" s="25"/>
      <c r="AF96" s="25"/>
      <c r="AG96" s="25"/>
      <c r="AH96" s="25"/>
    </row>
    <row ht="13.15" r="97" spans="1:34" x14ac:dyDescent="0.4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ht="13.15" r="98" spans="1:34" x14ac:dyDescent="0.4">
      <c r="A98" s="2" t="s">
        <v>309</v>
      </c>
      <c r="F98" s="25"/>
      <c r="G98" s="25"/>
      <c r="H98" s="25"/>
      <c r="I98" s="25"/>
      <c r="J98" s="25"/>
      <c r="K98" s="25"/>
      <c r="L98"/>
      <c r="M98" s="2" t="s">
        <v>310</v>
      </c>
      <c r="R98" s="25"/>
      <c r="S98" s="25"/>
      <c r="T98" s="25"/>
      <c r="U98" s="25"/>
      <c r="V98" s="25"/>
      <c r="W98" s="25"/>
      <c r="X98"/>
      <c r="Y98" s="2" t="s">
        <v>311</v>
      </c>
      <c r="AD98" s="25"/>
      <c r="AE98" s="25"/>
      <c r="AF98" s="25"/>
      <c r="AG98" s="25"/>
      <c r="AH98" s="25"/>
    </row>
    <row ht="13.15" r="99" spans="1:34" thickBot="1" x14ac:dyDescent="0.4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ht="13.15" r="100" spans="1:34" x14ac:dyDescent="0.4">
      <c r="A100" s="5" t="s">
        <v>144</v>
      </c>
      <c r="B100" s="6" t="s">
        <v>331</v>
      </c>
      <c r="C100" s="6" t="s">
        <v>332</v>
      </c>
      <c r="D100" s="6" t="s">
        <v>333</v>
      </c>
      <c r="E100" s="6" t="s">
        <v>334</v>
      </c>
      <c r="F100" s="6" t="s">
        <v>335</v>
      </c>
      <c r="G100" s="6" t="s">
        <v>336</v>
      </c>
      <c r="H100" s="6" t="s">
        <v>337</v>
      </c>
      <c r="I100" s="6" t="s">
        <v>223</v>
      </c>
      <c r="J100" s="89"/>
      <c r="K100" s="25"/>
      <c r="L100"/>
      <c r="M100" s="5" t="s">
        <v>144</v>
      </c>
      <c r="N100" s="6" t="str">
        <f>B100</f>
        <v>Williamson</v>
      </c>
      <c r="O100" s="6" t="str">
        <f ref="O100:T100" si="53" t="shared">C100</f>
        <v>Rutherford</v>
      </c>
      <c r="P100" s="6" t="str">
        <f si="53" t="shared"/>
        <v>Sumner</v>
      </c>
      <c r="Q100" s="6" t="str">
        <f si="53" t="shared"/>
        <v>Roberston</v>
      </c>
      <c r="R100" s="6" t="str">
        <f si="53" t="shared"/>
        <v>Davidson</v>
      </c>
      <c r="S100" s="6" t="str">
        <f si="53" t="shared"/>
        <v>Maury</v>
      </c>
      <c r="T100" s="6" t="str">
        <f si="53" t="shared"/>
        <v>Wilson</v>
      </c>
      <c r="U100" s="6" t="s">
        <v>223</v>
      </c>
      <c r="V100" s="89"/>
      <c r="W100" s="25"/>
      <c r="X100"/>
      <c r="Y100" s="5" t="s">
        <v>144</v>
      </c>
      <c r="Z100" s="6" t="str">
        <f>B100</f>
        <v>Williamson</v>
      </c>
      <c r="AA100" s="6" t="str">
        <f ref="AA100:AF100" si="54" t="shared">C100</f>
        <v>Rutherford</v>
      </c>
      <c r="AB100" s="6" t="str">
        <f si="54" t="shared"/>
        <v>Sumner</v>
      </c>
      <c r="AC100" s="6" t="str">
        <f si="54" t="shared"/>
        <v>Roberston</v>
      </c>
      <c r="AD100" s="6" t="str">
        <f si="54" t="shared"/>
        <v>Davidson</v>
      </c>
      <c r="AE100" s="6" t="str">
        <f si="54" t="shared"/>
        <v>Maury</v>
      </c>
      <c r="AF100" s="6" t="str">
        <f si="54" t="shared"/>
        <v>Wilson</v>
      </c>
      <c r="AG100" s="6" t="s">
        <v>223</v>
      </c>
      <c r="AH100" s="89"/>
    </row>
    <row r="101" spans="1:34" x14ac:dyDescent="0.35">
      <c r="A101" s="3" t="s">
        <v>211</v>
      </c>
      <c r="B101" s="7">
        <f>output_NHTS!B252</f>
        <v>156000</v>
      </c>
      <c r="C101" s="7">
        <f>output_NHTS!C252</f>
        <v>0</v>
      </c>
      <c r="D101" s="7">
        <f>output_NHTS!D252</f>
        <v>0</v>
      </c>
      <c r="E101" s="7">
        <f>output_NHTS!E252</f>
        <v>0</v>
      </c>
      <c r="F101" s="7">
        <f>output_NHTS!F252</f>
        <v>0</v>
      </c>
      <c r="G101" s="7">
        <f>output_NHTS!G252</f>
        <v>0</v>
      </c>
      <c r="H101" s="7">
        <f>output_NHTS!H252</f>
        <v>0</v>
      </c>
      <c r="I101" s="7">
        <f>SUM(B101:H101)</f>
        <v>156000</v>
      </c>
      <c r="J101" s="33"/>
      <c r="K101" s="25"/>
      <c r="L101"/>
      <c r="M101" s="3" t="s">
        <v>211</v>
      </c>
      <c r="N101" s="7">
        <f>output!B252</f>
        <v>156000</v>
      </c>
      <c r="O101" s="7">
        <f>output!C252</f>
        <v>0</v>
      </c>
      <c r="P101" s="7">
        <f>output!D252</f>
        <v>0</v>
      </c>
      <c r="Q101" s="7">
        <f>output!E252</f>
        <v>0</v>
      </c>
      <c r="R101" s="7">
        <f>output!F252</f>
        <v>0</v>
      </c>
      <c r="S101" s="7">
        <f>output!G252</f>
        <v>0</v>
      </c>
      <c r="T101" s="7">
        <f>output!H252</f>
        <v>0</v>
      </c>
      <c r="U101" s="7">
        <f>output!H252</f>
        <v>0</v>
      </c>
      <c r="V101" s="33"/>
      <c r="W101" s="25"/>
      <c r="X101"/>
      <c r="Y101" s="3" t="s">
        <v>211</v>
      </c>
      <c r="Z101" s="7">
        <f ref="Z101:AC108" si="55" t="shared">N101-B101</f>
        <v>0</v>
      </c>
      <c r="AA101" s="7">
        <f si="55" t="shared"/>
        <v>0</v>
      </c>
      <c r="AB101" s="7">
        <f si="55" t="shared"/>
        <v>0</v>
      </c>
      <c r="AC101" s="7">
        <f si="55" t="shared"/>
        <v>0</v>
      </c>
      <c r="AD101" s="7">
        <f ref="AD101:AD108" si="56" t="shared">R101-F101</f>
        <v>0</v>
      </c>
      <c r="AE101" s="7">
        <f ref="AE101:AF108" si="57" t="shared">S101-G101</f>
        <v>0</v>
      </c>
      <c r="AF101" s="7">
        <f si="57" t="shared"/>
        <v>0</v>
      </c>
      <c r="AG101" s="7">
        <f ref="AG101:AG108" si="58" t="shared">U101-I101</f>
        <v>-156000</v>
      </c>
      <c r="AH101" s="33"/>
    </row>
    <row r="102" spans="1:34" x14ac:dyDescent="0.35">
      <c r="A102" s="3" t="s">
        <v>212</v>
      </c>
      <c r="B102" s="7">
        <f>output_NHTS!B253</f>
        <v>64000</v>
      </c>
      <c r="C102" s="7">
        <f>output_NHTS!C253</f>
        <v>0</v>
      </c>
      <c r="D102" s="7">
        <f>output_NHTS!D253</f>
        <v>0</v>
      </c>
      <c r="E102" s="7">
        <f>output_NHTS!E253</f>
        <v>0</v>
      </c>
      <c r="F102" s="7">
        <f>output_NHTS!F253</f>
        <v>0</v>
      </c>
      <c r="G102" s="7">
        <f>output_NHTS!G253</f>
        <v>0</v>
      </c>
      <c r="H102" s="7">
        <f>output_NHTS!H253</f>
        <v>0</v>
      </c>
      <c r="I102" s="7">
        <f ref="I102:I107" si="59" t="shared">SUM(B102:H102)</f>
        <v>64000</v>
      </c>
      <c r="J102" s="33"/>
      <c r="K102" s="25"/>
      <c r="L102"/>
      <c r="M102" s="3" t="s">
        <v>212</v>
      </c>
      <c r="N102" s="7">
        <f>output!B253</f>
        <v>64000</v>
      </c>
      <c r="O102" s="7">
        <f>output!C253</f>
        <v>0</v>
      </c>
      <c r="P102" s="7">
        <f>output!D253</f>
        <v>0</v>
      </c>
      <c r="Q102" s="7">
        <f>output!E253</f>
        <v>0</v>
      </c>
      <c r="R102" s="7">
        <f>output!F253</f>
        <v>0</v>
      </c>
      <c r="S102" s="7">
        <f>output!G253</f>
        <v>0</v>
      </c>
      <c r="T102" s="7">
        <f>output!H253</f>
        <v>0</v>
      </c>
      <c r="U102" s="7">
        <f>output!H253</f>
        <v>0</v>
      </c>
      <c r="V102" s="33"/>
      <c r="W102" s="25"/>
      <c r="X102"/>
      <c r="Y102" s="3" t="s">
        <v>212</v>
      </c>
      <c r="Z102" s="7">
        <f si="55" t="shared"/>
        <v>0</v>
      </c>
      <c r="AA102" s="7">
        <f si="55" t="shared"/>
        <v>0</v>
      </c>
      <c r="AB102" s="7">
        <f si="55" t="shared"/>
        <v>0</v>
      </c>
      <c r="AC102" s="7">
        <f si="55" t="shared"/>
        <v>0</v>
      </c>
      <c r="AD102" s="7">
        <f si="56" t="shared"/>
        <v>0</v>
      </c>
      <c r="AE102" s="7">
        <f si="57" t="shared"/>
        <v>0</v>
      </c>
      <c r="AF102" s="7">
        <f si="57" t="shared"/>
        <v>0</v>
      </c>
      <c r="AG102" s="7">
        <f si="58" t="shared"/>
        <v>-64000</v>
      </c>
      <c r="AH102" s="33"/>
    </row>
    <row r="103" spans="1:34" x14ac:dyDescent="0.35">
      <c r="A103" s="3" t="s">
        <v>213</v>
      </c>
      <c r="B103" s="7">
        <f>output_NHTS!B254</f>
        <v>159000</v>
      </c>
      <c r="C103" s="7">
        <f>output_NHTS!C254</f>
        <v>0</v>
      </c>
      <c r="D103" s="7">
        <f>output_NHTS!D254</f>
        <v>0</v>
      </c>
      <c r="E103" s="7">
        <f>output_NHTS!E254</f>
        <v>0</v>
      </c>
      <c r="F103" s="7">
        <f>output_NHTS!F254</f>
        <v>0</v>
      </c>
      <c r="G103" s="7">
        <f>output_NHTS!G254</f>
        <v>0</v>
      </c>
      <c r="H103" s="7">
        <f>output_NHTS!H254</f>
        <v>0</v>
      </c>
      <c r="I103" s="7">
        <f si="59" t="shared"/>
        <v>159000</v>
      </c>
      <c r="J103" s="33"/>
      <c r="K103" s="25"/>
      <c r="L103"/>
      <c r="M103" s="3" t="s">
        <v>213</v>
      </c>
      <c r="N103" s="7">
        <f>output!B254</f>
        <v>159000</v>
      </c>
      <c r="O103" s="7">
        <f>output!C254</f>
        <v>0</v>
      </c>
      <c r="P103" s="7">
        <f>output!D254</f>
        <v>0</v>
      </c>
      <c r="Q103" s="7">
        <f>output!E254</f>
        <v>0</v>
      </c>
      <c r="R103" s="7">
        <f>output!F254</f>
        <v>0</v>
      </c>
      <c r="S103" s="7">
        <f>output!G254</f>
        <v>0</v>
      </c>
      <c r="T103" s="7">
        <f>output!H254</f>
        <v>0</v>
      </c>
      <c r="U103" s="7">
        <f>output!H254</f>
        <v>0</v>
      </c>
      <c r="V103" s="33"/>
      <c r="W103" s="25"/>
      <c r="X103"/>
      <c r="Y103" s="3" t="s">
        <v>213</v>
      </c>
      <c r="Z103" s="7">
        <f si="55" t="shared"/>
        <v>0</v>
      </c>
      <c r="AA103" s="7">
        <f si="55" t="shared"/>
        <v>0</v>
      </c>
      <c r="AB103" s="7">
        <f si="55" t="shared"/>
        <v>0</v>
      </c>
      <c r="AC103" s="7">
        <f si="55" t="shared"/>
        <v>0</v>
      </c>
      <c r="AD103" s="7">
        <f si="56" t="shared"/>
        <v>0</v>
      </c>
      <c r="AE103" s="7">
        <f si="57" t="shared"/>
        <v>0</v>
      </c>
      <c r="AF103" s="7">
        <f si="57" t="shared"/>
        <v>0</v>
      </c>
      <c r="AG103" s="7">
        <f si="58" t="shared"/>
        <v>-159000</v>
      </c>
      <c r="AH103" s="33"/>
    </row>
    <row r="104" spans="1:34" x14ac:dyDescent="0.35">
      <c r="A104" s="3" t="s">
        <v>214</v>
      </c>
      <c r="B104" s="7">
        <f>output_NHTS!B255</f>
        <v>411000</v>
      </c>
      <c r="C104" s="7">
        <f>output_NHTS!C255</f>
        <v>0</v>
      </c>
      <c r="D104" s="7">
        <f>output_NHTS!D255</f>
        <v>0</v>
      </c>
      <c r="E104" s="7">
        <f>output_NHTS!E255</f>
        <v>0</v>
      </c>
      <c r="F104" s="7">
        <f>output_NHTS!F255</f>
        <v>0</v>
      </c>
      <c r="G104" s="7">
        <f>output_NHTS!G255</f>
        <v>0</v>
      </c>
      <c r="H104" s="7">
        <f>output_NHTS!H255</f>
        <v>0</v>
      </c>
      <c r="I104" s="7">
        <f si="59" t="shared"/>
        <v>411000</v>
      </c>
      <c r="J104" s="33"/>
      <c r="K104" s="25"/>
      <c r="L104"/>
      <c r="M104" s="3" t="s">
        <v>214</v>
      </c>
      <c r="N104" s="7">
        <f>output!B255</f>
        <v>411000</v>
      </c>
      <c r="O104" s="7">
        <f>output!C255</f>
        <v>0</v>
      </c>
      <c r="P104" s="7">
        <f>output!D255</f>
        <v>0</v>
      </c>
      <c r="Q104" s="7">
        <f>output!E255</f>
        <v>0</v>
      </c>
      <c r="R104" s="7">
        <f>output!F255</f>
        <v>0</v>
      </c>
      <c r="S104" s="7">
        <f>output!G255</f>
        <v>0</v>
      </c>
      <c r="T104" s="7">
        <f>output!H255</f>
        <v>0</v>
      </c>
      <c r="U104" s="7">
        <f>output!H255</f>
        <v>0</v>
      </c>
      <c r="V104" s="33"/>
      <c r="W104" s="25"/>
      <c r="X104"/>
      <c r="Y104" s="3" t="s">
        <v>214</v>
      </c>
      <c r="Z104" s="7">
        <f si="55" t="shared"/>
        <v>0</v>
      </c>
      <c r="AA104" s="7">
        <f si="55" t="shared"/>
        <v>0</v>
      </c>
      <c r="AB104" s="7">
        <f si="55" t="shared"/>
        <v>0</v>
      </c>
      <c r="AC104" s="7">
        <f si="55" t="shared"/>
        <v>0</v>
      </c>
      <c r="AD104" s="7">
        <f si="56" t="shared"/>
        <v>0</v>
      </c>
      <c r="AE104" s="7">
        <f si="57" t="shared"/>
        <v>0</v>
      </c>
      <c r="AF104" s="7">
        <f si="57" t="shared"/>
        <v>0</v>
      </c>
      <c r="AG104" s="7">
        <f si="58" t="shared"/>
        <v>-411000</v>
      </c>
      <c r="AH104" s="33"/>
    </row>
    <row r="105" spans="1:34" x14ac:dyDescent="0.35">
      <c r="A105" s="3" t="s">
        <v>215</v>
      </c>
      <c r="B105" s="7">
        <f>output_NHTS!B256</f>
        <v>623000</v>
      </c>
      <c r="C105" s="7">
        <f>output_NHTS!C256</f>
        <v>0</v>
      </c>
      <c r="D105" s="7">
        <f>output_NHTS!D256</f>
        <v>0</v>
      </c>
      <c r="E105" s="7">
        <f>output_NHTS!E256</f>
        <v>0</v>
      </c>
      <c r="F105" s="7">
        <f>output_NHTS!F256</f>
        <v>0</v>
      </c>
      <c r="G105" s="7">
        <f>output_NHTS!G256</f>
        <v>0</v>
      </c>
      <c r="H105" s="7">
        <f>output_NHTS!H256</f>
        <v>0</v>
      </c>
      <c r="I105" s="7">
        <f si="59" t="shared"/>
        <v>623000</v>
      </c>
      <c r="J105" s="33"/>
      <c r="K105" s="25"/>
      <c r="L105"/>
      <c r="M105" s="3" t="s">
        <v>215</v>
      </c>
      <c r="N105" s="7">
        <f>output!B256</f>
        <v>623000</v>
      </c>
      <c r="O105" s="7">
        <f>output!C256</f>
        <v>0</v>
      </c>
      <c r="P105" s="7">
        <f>output!D256</f>
        <v>0</v>
      </c>
      <c r="Q105" s="7">
        <f>output!E256</f>
        <v>0</v>
      </c>
      <c r="R105" s="7">
        <f>output!F256</f>
        <v>0</v>
      </c>
      <c r="S105" s="7">
        <f>output!G256</f>
        <v>0</v>
      </c>
      <c r="T105" s="7">
        <f>output!H256</f>
        <v>0</v>
      </c>
      <c r="U105" s="7">
        <f>output!H256</f>
        <v>0</v>
      </c>
      <c r="V105" s="33"/>
      <c r="W105" s="25"/>
      <c r="X105"/>
      <c r="Y105" s="3" t="s">
        <v>215</v>
      </c>
      <c r="Z105" s="7">
        <f si="55" t="shared"/>
        <v>0</v>
      </c>
      <c r="AA105" s="7">
        <f si="55" t="shared"/>
        <v>0</v>
      </c>
      <c r="AB105" s="7">
        <f si="55" t="shared"/>
        <v>0</v>
      </c>
      <c r="AC105" s="7">
        <f si="55" t="shared"/>
        <v>0</v>
      </c>
      <c r="AD105" s="7">
        <f si="56" t="shared"/>
        <v>0</v>
      </c>
      <c r="AE105" s="7">
        <f si="57" t="shared"/>
        <v>0</v>
      </c>
      <c r="AF105" s="7">
        <f si="57" t="shared"/>
        <v>0</v>
      </c>
      <c r="AG105" s="7">
        <f si="58" t="shared"/>
        <v>-623000</v>
      </c>
      <c r="AH105" s="33"/>
    </row>
    <row r="106" spans="1:34" x14ac:dyDescent="0.35">
      <c r="A106" s="3" t="s">
        <v>129</v>
      </c>
      <c r="B106" s="7">
        <f>output_NHTS!B257</f>
        <v>555000</v>
      </c>
      <c r="C106" s="7">
        <f>output_NHTS!C257</f>
        <v>0</v>
      </c>
      <c r="D106" s="7">
        <f>output_NHTS!D257</f>
        <v>0</v>
      </c>
      <c r="E106" s="7">
        <f>output_NHTS!E257</f>
        <v>0</v>
      </c>
      <c r="F106" s="7">
        <f>output_NHTS!F257</f>
        <v>0</v>
      </c>
      <c r="G106" s="7">
        <f>output_NHTS!G257</f>
        <v>0</v>
      </c>
      <c r="H106" s="7">
        <f>output_NHTS!H257</f>
        <v>0</v>
      </c>
      <c r="I106" s="7">
        <f si="59" t="shared"/>
        <v>555000</v>
      </c>
      <c r="J106" s="33"/>
      <c r="K106" s="25"/>
      <c r="L106"/>
      <c r="M106" s="3" t="s">
        <v>129</v>
      </c>
      <c r="N106" s="7">
        <f>output!B257</f>
        <v>555000</v>
      </c>
      <c r="O106" s="7">
        <f>output!C257</f>
        <v>0</v>
      </c>
      <c r="P106" s="7">
        <f>output!D257</f>
        <v>0</v>
      </c>
      <c r="Q106" s="7">
        <f>output!E257</f>
        <v>0</v>
      </c>
      <c r="R106" s="7">
        <f>output!F257</f>
        <v>0</v>
      </c>
      <c r="S106" s="7">
        <f>output!G257</f>
        <v>0</v>
      </c>
      <c r="T106" s="7">
        <f>output!H257</f>
        <v>0</v>
      </c>
      <c r="U106" s="7">
        <f>output!H257</f>
        <v>0</v>
      </c>
      <c r="V106" s="33"/>
      <c r="W106" s="25"/>
      <c r="X106"/>
      <c r="Y106" s="3" t="s">
        <v>129</v>
      </c>
      <c r="Z106" s="7">
        <f si="55" t="shared"/>
        <v>0</v>
      </c>
      <c r="AA106" s="7">
        <f si="55" t="shared"/>
        <v>0</v>
      </c>
      <c r="AB106" s="7">
        <f si="55" t="shared"/>
        <v>0</v>
      </c>
      <c r="AC106" s="7">
        <f si="55" t="shared"/>
        <v>0</v>
      </c>
      <c r="AD106" s="7">
        <f si="56" t="shared"/>
        <v>0</v>
      </c>
      <c r="AE106" s="7">
        <f si="57" t="shared"/>
        <v>0</v>
      </c>
      <c r="AF106" s="7">
        <f si="57" t="shared"/>
        <v>0</v>
      </c>
      <c r="AG106" s="7">
        <f si="58" t="shared"/>
        <v>-555000</v>
      </c>
      <c r="AH106" s="33"/>
    </row>
    <row r="107" spans="1:34" x14ac:dyDescent="0.35">
      <c r="A107" s="3" t="s">
        <v>130</v>
      </c>
      <c r="B107" s="7">
        <f>output_NHTS!B258</f>
        <v>93000</v>
      </c>
      <c r="C107" s="7">
        <f>output_NHTS!C258</f>
        <v>0</v>
      </c>
      <c r="D107" s="7">
        <f>output_NHTS!D258</f>
        <v>0</v>
      </c>
      <c r="E107" s="7">
        <f>output_NHTS!E258</f>
        <v>0</v>
      </c>
      <c r="F107" s="7">
        <f>output_NHTS!F258</f>
        <v>0</v>
      </c>
      <c r="G107" s="7">
        <f>output_NHTS!G258</f>
        <v>0</v>
      </c>
      <c r="H107" s="7">
        <f>output_NHTS!H258</f>
        <v>0</v>
      </c>
      <c r="I107" s="7">
        <f si="59" t="shared"/>
        <v>93000</v>
      </c>
      <c r="J107" s="33"/>
      <c r="K107" s="25"/>
      <c r="L107"/>
      <c r="M107" s="3" t="s">
        <v>130</v>
      </c>
      <c r="N107" s="9">
        <f>output!B258</f>
        <v>93000</v>
      </c>
      <c r="O107" s="9">
        <f>output!C258</f>
        <v>0</v>
      </c>
      <c r="P107" s="9">
        <f>output!D258</f>
        <v>0</v>
      </c>
      <c r="Q107" s="7">
        <f>output!E258</f>
        <v>0</v>
      </c>
      <c r="R107" s="7">
        <f>output!F258</f>
        <v>0</v>
      </c>
      <c r="S107" s="7">
        <f>output!G258</f>
        <v>0</v>
      </c>
      <c r="T107" s="7">
        <f>output!H258</f>
        <v>0</v>
      </c>
      <c r="U107" s="9">
        <f>output!H258</f>
        <v>0</v>
      </c>
      <c r="V107" s="33"/>
      <c r="W107" s="25"/>
      <c r="X107"/>
      <c r="Y107" s="3" t="s">
        <v>130</v>
      </c>
      <c r="Z107" s="9">
        <f si="55" t="shared"/>
        <v>0</v>
      </c>
      <c r="AA107" s="9">
        <f si="55" t="shared"/>
        <v>0</v>
      </c>
      <c r="AB107" s="9">
        <f si="55" t="shared"/>
        <v>0</v>
      </c>
      <c r="AC107" s="9">
        <f si="55" t="shared"/>
        <v>0</v>
      </c>
      <c r="AD107" s="9">
        <f si="56" t="shared"/>
        <v>0</v>
      </c>
      <c r="AE107" s="9">
        <f si="57" t="shared"/>
        <v>0</v>
      </c>
      <c r="AF107" s="7">
        <f si="57" t="shared"/>
        <v>0</v>
      </c>
      <c r="AG107" s="9">
        <f si="58" t="shared"/>
        <v>-93000</v>
      </c>
      <c r="AH107" s="33"/>
    </row>
    <row ht="13.15" r="108" spans="1:34" thickBot="1" x14ac:dyDescent="0.4">
      <c r="A108" s="10" t="s">
        <v>223</v>
      </c>
      <c r="B108" s="11">
        <f>SUM(B101:B107)</f>
        <v>2061000</v>
      </c>
      <c r="C108" s="11">
        <f>SUM(C101:C107)</f>
        <v>0</v>
      </c>
      <c r="D108" s="11">
        <f>SUM(D101:D107)</f>
        <v>0</v>
      </c>
      <c r="E108" s="11">
        <f>SUM(E101:E107)</f>
        <v>0</v>
      </c>
      <c r="F108" s="11">
        <f ref="F108:H108" si="60" t="shared">SUM(F101:F107)</f>
        <v>0</v>
      </c>
      <c r="G108" s="11">
        <f si="60" t="shared"/>
        <v>0</v>
      </c>
      <c r="H108" s="11">
        <f si="60" t="shared"/>
        <v>0</v>
      </c>
      <c r="I108" s="11">
        <f>SUM(I101:I107)</f>
        <v>2061000</v>
      </c>
      <c r="J108" s="33"/>
      <c r="K108" s="25"/>
      <c r="L108"/>
      <c r="M108" s="10" t="s">
        <v>223</v>
      </c>
      <c r="N108" s="11">
        <f>SUM(N101:N107)</f>
        <v>2061000</v>
      </c>
      <c r="O108" s="11">
        <f>SUM(O101:O107)</f>
        <v>0</v>
      </c>
      <c r="P108" s="11">
        <f>SUM(P101:P107)</f>
        <v>0</v>
      </c>
      <c r="Q108" s="11">
        <f>SUM(Q101:Q107)</f>
        <v>0</v>
      </c>
      <c r="R108" s="11">
        <f ref="R108:T108" si="61" t="shared">SUM(R101:R107)</f>
        <v>0</v>
      </c>
      <c r="S108" s="11">
        <f si="61" t="shared"/>
        <v>0</v>
      </c>
      <c r="T108" s="11">
        <f si="61" t="shared"/>
        <v>0</v>
      </c>
      <c r="U108" s="11">
        <f>SUM(U101:U107)</f>
        <v>0</v>
      </c>
      <c r="V108" s="33"/>
      <c r="W108" s="25"/>
      <c r="X108"/>
      <c r="Y108" s="10" t="s">
        <v>223</v>
      </c>
      <c r="Z108" s="11">
        <f si="55" t="shared"/>
        <v>0</v>
      </c>
      <c r="AA108" s="11">
        <f si="55" t="shared"/>
        <v>0</v>
      </c>
      <c r="AB108" s="11">
        <f si="55" t="shared"/>
        <v>0</v>
      </c>
      <c r="AC108" s="11">
        <f si="55" t="shared"/>
        <v>0</v>
      </c>
      <c r="AD108" s="11">
        <f si="56" t="shared"/>
        <v>0</v>
      </c>
      <c r="AE108" s="11">
        <f si="57" t="shared"/>
        <v>0</v>
      </c>
      <c r="AF108" s="11">
        <f si="57" t="shared"/>
        <v>0</v>
      </c>
      <c r="AG108" s="11">
        <f si="58" t="shared"/>
        <v>-2061000</v>
      </c>
      <c r="AH108" s="33"/>
    </row>
    <row r="109" spans="1:34" x14ac:dyDescent="0.35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35">
      <c r="A110" s="25" t="s">
        <v>88</v>
      </c>
      <c r="B110" s="53">
        <f>ToursByTourPurpose!B118</f>
        <v>3281000</v>
      </c>
      <c r="C110" s="53">
        <f>ToursByTourPurpose!C118</f>
        <v>0</v>
      </c>
      <c r="D110" s="53">
        <f>ToursByTourPurpose!D118</f>
        <v>0</v>
      </c>
      <c r="E110" s="53">
        <f>ToursByTourPurpose!E118</f>
        <v>0</v>
      </c>
      <c r="F110" s="53">
        <f>ToursByTourPurpose!F118</f>
        <v>0</v>
      </c>
      <c r="G110" s="53">
        <f>ToursByTourPurpose!G118</f>
        <v>0</v>
      </c>
      <c r="H110" s="53">
        <f>ToursByTourPurpose!H118</f>
        <v>0</v>
      </c>
      <c r="I110" s="53">
        <f>ToursByTourPurpose!I118</f>
        <v>3281000</v>
      </c>
      <c r="J110" s="33"/>
      <c r="K110" s="25"/>
      <c r="L110"/>
      <c r="M110" s="25" t="s">
        <v>88</v>
      </c>
      <c r="N110" s="53">
        <f>ToursByTourPurpose!N118</f>
        <v>3281000</v>
      </c>
      <c r="O110" s="53">
        <f>ToursByTourPurpose!O118</f>
        <v>0</v>
      </c>
      <c r="P110" s="53">
        <f>ToursByTourPurpose!P118</f>
        <v>0</v>
      </c>
      <c r="Q110" s="53">
        <f>ToursByTourPurpose!Q118</f>
        <v>0</v>
      </c>
      <c r="R110" s="53">
        <f>ToursByTourPurpose!R118</f>
        <v>0</v>
      </c>
      <c r="S110" s="53">
        <f>ToursByTourPurpose!S118</f>
        <v>0</v>
      </c>
      <c r="T110" s="53"/>
      <c r="U110" s="53">
        <f>ToursByTourPurpose!U118</f>
        <v>3281000</v>
      </c>
      <c r="V110" s="54"/>
      <c r="W110" s="25"/>
      <c r="X110"/>
      <c r="Y110" s="25" t="s">
        <v>88</v>
      </c>
      <c r="Z110" s="7">
        <f ref="Z110:AB111" si="62" t="shared">N110-B110</f>
        <v>0</v>
      </c>
      <c r="AA110" s="7">
        <f si="62" t="shared"/>
        <v>0</v>
      </c>
      <c r="AB110" s="7">
        <f si="62" t="shared"/>
        <v>0</v>
      </c>
      <c r="AC110" s="7">
        <f ref="AC110:AC111" si="63" t="shared">Q110-E110</f>
        <v>0</v>
      </c>
      <c r="AD110" s="7">
        <f ref="AD110:AD111" si="64" t="shared">R110-F110</f>
        <v>0</v>
      </c>
      <c r="AE110" s="7">
        <f ref="AE110:AE111" si="65" t="shared">S110-G110</f>
        <v>0</v>
      </c>
      <c r="AF110" s="7"/>
      <c r="AG110" s="7">
        <f ref="AG110:AG111" si="66" t="shared">U110-I110</f>
        <v>0</v>
      </c>
      <c r="AH110" s="33"/>
    </row>
    <row r="111" spans="1:34" x14ac:dyDescent="0.35">
      <c r="A111" s="25" t="s">
        <v>90</v>
      </c>
      <c r="B111" s="38">
        <f>B108/B110</f>
        <v>0.62816214568729045</v>
      </c>
      <c r="C111" s="38" t="e">
        <f>C108/C110</f>
        <v>#DIV/0!</v>
      </c>
      <c r="D111" s="38" t="e">
        <f>D108/D110</f>
        <v>#DIV/0!</v>
      </c>
      <c r="E111" s="38" t="e">
        <f>E108/E110</f>
        <v>#DIV/0!</v>
      </c>
      <c r="F111" s="38" t="e">
        <f ref="F111:I111" si="67" t="shared">F108/F110</f>
        <v>#DIV/0!</v>
      </c>
      <c r="G111" s="38" t="e">
        <f si="67" t="shared"/>
        <v>#DIV/0!</v>
      </c>
      <c r="H111" s="38" t="e">
        <f si="67" t="shared"/>
        <v>#DIV/0!</v>
      </c>
      <c r="I111" s="38">
        <f si="67" t="shared"/>
        <v>0.62816214568729045</v>
      </c>
      <c r="J111" s="103"/>
      <c r="K111" s="25"/>
      <c r="L111"/>
      <c r="M111" s="25" t="s">
        <v>90</v>
      </c>
      <c r="N111" s="38">
        <f>N108/N110</f>
        <v>0.62816214568729045</v>
      </c>
      <c r="O111" s="38" t="e">
        <f>O108/O110</f>
        <v>#DIV/0!</v>
      </c>
      <c r="P111" s="38" t="e">
        <f>P108/P110</f>
        <v>#DIV/0!</v>
      </c>
      <c r="Q111" s="38" t="e">
        <f>Q108/Q110</f>
        <v>#DIV/0!</v>
      </c>
      <c r="R111" s="38" t="e">
        <f ref="R111:U111" si="68" t="shared">R108/R110</f>
        <v>#DIV/0!</v>
      </c>
      <c r="S111" s="38" t="e">
        <f si="68" t="shared"/>
        <v>#DIV/0!</v>
      </c>
      <c r="T111" s="38"/>
      <c r="U111" s="38">
        <f si="68" t="shared"/>
        <v>0</v>
      </c>
      <c r="V111" s="103"/>
      <c r="W111" s="25"/>
      <c r="X111"/>
      <c r="Y111" s="25" t="s">
        <v>90</v>
      </c>
      <c r="Z111" s="38">
        <f si="62" t="shared"/>
        <v>0</v>
      </c>
      <c r="AA111" s="38" t="e">
        <f si="62" t="shared"/>
        <v>#DIV/0!</v>
      </c>
      <c r="AB111" s="38" t="e">
        <f si="62" t="shared"/>
        <v>#DIV/0!</v>
      </c>
      <c r="AC111" s="38" t="e">
        <f si="63" t="shared"/>
        <v>#DIV/0!</v>
      </c>
      <c r="AD111" s="38" t="e">
        <f si="64" t="shared"/>
        <v>#DIV/0!</v>
      </c>
      <c r="AE111" s="38" t="e">
        <f si="65" t="shared"/>
        <v>#DIV/0!</v>
      </c>
      <c r="AF111" s="38"/>
      <c r="AG111" s="38">
        <f si="66" t="shared"/>
        <v>-0.62816214568729045</v>
      </c>
      <c r="AH111" s="103"/>
    </row>
    <row r="112" spans="1:34" x14ac:dyDescent="0.35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ht="13.15" r="113" spans="1:34" x14ac:dyDescent="0.4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ht="13.15" r="114" spans="1:34" x14ac:dyDescent="0.4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ht="13.15" r="115" spans="1:34" thickBot="1" x14ac:dyDescent="0.4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ht="13.15" r="116" spans="1:34" x14ac:dyDescent="0.4">
      <c r="A116" s="5" t="s">
        <v>144</v>
      </c>
      <c r="B116" s="6" t="str">
        <f>B100</f>
        <v>Williamson</v>
      </c>
      <c r="C116" s="6" t="str">
        <f ref="C116:H116" si="69" t="shared">C100</f>
        <v>Rutherford</v>
      </c>
      <c r="D116" s="6" t="str">
        <f si="69" t="shared"/>
        <v>Sumner</v>
      </c>
      <c r="E116" s="6" t="str">
        <f si="69" t="shared"/>
        <v>Roberston</v>
      </c>
      <c r="F116" s="6" t="str">
        <f si="69" t="shared"/>
        <v>Davidson</v>
      </c>
      <c r="G116" s="6" t="str">
        <f si="69" t="shared"/>
        <v>Maury</v>
      </c>
      <c r="H116" s="6" t="str">
        <f si="69" t="shared"/>
        <v>Wilson</v>
      </c>
      <c r="I116" s="6" t="s">
        <v>223</v>
      </c>
      <c r="J116" s="89"/>
      <c r="K116" s="25"/>
      <c r="L116"/>
      <c r="M116" s="5" t="s">
        <v>144</v>
      </c>
      <c r="N116" s="6" t="str">
        <f>B100</f>
        <v>Williamson</v>
      </c>
      <c r="O116" s="6" t="str">
        <f ref="O116:T116" si="70" t="shared">C100</f>
        <v>Rutherford</v>
      </c>
      <c r="P116" s="6" t="str">
        <f si="70" t="shared"/>
        <v>Sumner</v>
      </c>
      <c r="Q116" s="6" t="str">
        <f si="70" t="shared"/>
        <v>Roberston</v>
      </c>
      <c r="R116" s="6" t="str">
        <f si="70" t="shared"/>
        <v>Davidson</v>
      </c>
      <c r="S116" s="6" t="str">
        <f si="70" t="shared"/>
        <v>Maury</v>
      </c>
      <c r="T116" s="6" t="str">
        <f si="70" t="shared"/>
        <v>Wilson</v>
      </c>
      <c r="U116" s="6" t="s">
        <v>223</v>
      </c>
      <c r="V116" s="89"/>
      <c r="W116" s="25"/>
      <c r="X116"/>
      <c r="Y116" s="5" t="s">
        <v>144</v>
      </c>
      <c r="Z116" s="6" t="str">
        <f>B100</f>
        <v>Williamson</v>
      </c>
      <c r="AA116" s="6" t="str">
        <f ref="AA116:AF116" si="71" t="shared">C100</f>
        <v>Rutherford</v>
      </c>
      <c r="AB116" s="6" t="str">
        <f si="71" t="shared"/>
        <v>Sumner</v>
      </c>
      <c r="AC116" s="6" t="str">
        <f si="71" t="shared"/>
        <v>Roberston</v>
      </c>
      <c r="AD116" s="6" t="str">
        <f si="71" t="shared"/>
        <v>Davidson</v>
      </c>
      <c r="AE116" s="6" t="str">
        <f si="71" t="shared"/>
        <v>Maury</v>
      </c>
      <c r="AF116" s="6" t="str">
        <f si="71" t="shared"/>
        <v>Wilson</v>
      </c>
      <c r="AG116" s="6" t="s">
        <v>223</v>
      </c>
      <c r="AH116" s="89"/>
    </row>
    <row r="117" spans="1:34" x14ac:dyDescent="0.35">
      <c r="A117" s="3" t="s">
        <v>211</v>
      </c>
      <c r="B117" s="12">
        <f ref="B117:H122" si="72" t="shared">B101/B$108</f>
        <v>7.5691411935953426E-2</v>
      </c>
      <c r="C117" s="12" t="e">
        <f si="72" t="shared"/>
        <v>#DIV/0!</v>
      </c>
      <c r="D117" s="12" t="e">
        <f si="72" t="shared"/>
        <v>#DIV/0!</v>
      </c>
      <c r="E117" s="12" t="e">
        <f si="72" t="shared"/>
        <v>#DIV/0!</v>
      </c>
      <c r="F117" s="12" t="e">
        <f si="72" t="shared"/>
        <v>#DIV/0!</v>
      </c>
      <c r="G117" s="12" t="e">
        <f si="72" t="shared"/>
        <v>#DIV/0!</v>
      </c>
      <c r="H117" s="12" t="e">
        <f si="72" t="shared"/>
        <v>#DIV/0!</v>
      </c>
      <c r="I117" s="12">
        <f ref="I117:I124" si="73" t="shared">I101/I$108</f>
        <v>7.5691411935953426E-2</v>
      </c>
      <c r="J117" s="34"/>
      <c r="K117" s="25"/>
      <c r="L117"/>
      <c r="M117" s="3" t="s">
        <v>211</v>
      </c>
      <c r="N117" s="12">
        <f ref="N117:T124" si="74" t="shared">N101/N$108</f>
        <v>7.5691411935953426E-2</v>
      </c>
      <c r="O117" s="12" t="e">
        <f si="74" t="shared"/>
        <v>#DIV/0!</v>
      </c>
      <c r="P117" s="12" t="e">
        <f si="74" t="shared"/>
        <v>#DIV/0!</v>
      </c>
      <c r="Q117" s="12" t="e">
        <f si="74" t="shared"/>
        <v>#DIV/0!</v>
      </c>
      <c r="R117" s="12" t="e">
        <f si="74" t="shared"/>
        <v>#DIV/0!</v>
      </c>
      <c r="S117" s="12" t="e">
        <f si="74" t="shared"/>
        <v>#DIV/0!</v>
      </c>
      <c r="T117" s="12" t="e">
        <f si="74" t="shared"/>
        <v>#DIV/0!</v>
      </c>
      <c r="U117" s="12" t="e">
        <f ref="U117:U124" si="75" t="shared">U101/U$108</f>
        <v>#DIV/0!</v>
      </c>
      <c r="V117" s="34"/>
      <c r="W117" s="25"/>
      <c r="X117"/>
      <c r="Y117" s="3" t="s">
        <v>211</v>
      </c>
      <c r="Z117" s="12">
        <f ref="Z117:AC124" si="76" t="shared">N117-B117</f>
        <v>0</v>
      </c>
      <c r="AA117" s="12" t="e">
        <f si="76" t="shared"/>
        <v>#DIV/0!</v>
      </c>
      <c r="AB117" s="12" t="e">
        <f si="76" t="shared"/>
        <v>#DIV/0!</v>
      </c>
      <c r="AC117" s="12" t="e">
        <f si="76" t="shared"/>
        <v>#DIV/0!</v>
      </c>
      <c r="AD117" s="12" t="e">
        <f ref="AD117" si="77" t="shared">R117-F117</f>
        <v>#DIV/0!</v>
      </c>
      <c r="AE117" s="12" t="e">
        <f ref="AE117:AF123" si="78" t="shared">S117-G117</f>
        <v>#DIV/0!</v>
      </c>
      <c r="AF117" s="12" t="e">
        <f si="78" t="shared"/>
        <v>#DIV/0!</v>
      </c>
      <c r="AG117" s="12" t="e">
        <f ref="AG117:AG124" si="79" t="shared">U117-I117</f>
        <v>#DIV/0!</v>
      </c>
      <c r="AH117" s="34"/>
    </row>
    <row r="118" spans="1:34" x14ac:dyDescent="0.35">
      <c r="A118" s="3" t="s">
        <v>212</v>
      </c>
      <c r="B118" s="12">
        <f si="72" t="shared"/>
        <v>3.1052886948083454E-2</v>
      </c>
      <c r="C118" s="12" t="e">
        <f si="72" t="shared"/>
        <v>#DIV/0!</v>
      </c>
      <c r="D118" s="12" t="e">
        <f si="72" t="shared"/>
        <v>#DIV/0!</v>
      </c>
      <c r="E118" s="12" t="e">
        <f ref="E118:H118" si="80" t="shared">E102/E$108</f>
        <v>#DIV/0!</v>
      </c>
      <c r="F118" s="12" t="e">
        <f si="80" t="shared"/>
        <v>#DIV/0!</v>
      </c>
      <c r="G118" s="12" t="e">
        <f si="80" t="shared"/>
        <v>#DIV/0!</v>
      </c>
      <c r="H118" s="12" t="e">
        <f si="80" t="shared"/>
        <v>#DIV/0!</v>
      </c>
      <c r="I118" s="12">
        <f si="73" t="shared"/>
        <v>3.1052886948083454E-2</v>
      </c>
      <c r="J118" s="34"/>
      <c r="K118" s="25"/>
      <c r="L118"/>
      <c r="M118" s="3" t="s">
        <v>212</v>
      </c>
      <c r="N118" s="12">
        <f si="74" t="shared"/>
        <v>3.1052886948083454E-2</v>
      </c>
      <c r="O118" s="12" t="e">
        <f si="74" t="shared"/>
        <v>#DIV/0!</v>
      </c>
      <c r="P118" s="12" t="e">
        <f si="74" t="shared"/>
        <v>#DIV/0!</v>
      </c>
      <c r="Q118" s="12" t="e">
        <f ref="Q118:T118" si="81" t="shared">Q102/Q$108</f>
        <v>#DIV/0!</v>
      </c>
      <c r="R118" s="12" t="e">
        <f si="81" t="shared"/>
        <v>#DIV/0!</v>
      </c>
      <c r="S118" s="12" t="e">
        <f si="81" t="shared"/>
        <v>#DIV/0!</v>
      </c>
      <c r="T118" s="12" t="e">
        <f si="81" t="shared"/>
        <v>#DIV/0!</v>
      </c>
      <c r="U118" s="12" t="e">
        <f si="75" t="shared"/>
        <v>#DIV/0!</v>
      </c>
      <c r="V118" s="34"/>
      <c r="W118" s="25"/>
      <c r="X118"/>
      <c r="Y118" s="3" t="s">
        <v>212</v>
      </c>
      <c r="Z118" s="12">
        <f si="76" t="shared"/>
        <v>0</v>
      </c>
      <c r="AA118" s="12" t="e">
        <f si="76" t="shared"/>
        <v>#DIV/0!</v>
      </c>
      <c r="AB118" s="12" t="e">
        <f si="76" t="shared"/>
        <v>#DIV/0!</v>
      </c>
      <c r="AC118" s="12" t="e">
        <f si="76" t="shared"/>
        <v>#DIV/0!</v>
      </c>
      <c r="AD118" s="12" t="e">
        <f ref="AD118:AD124" si="82" t="shared">R118-F118</f>
        <v>#DIV/0!</v>
      </c>
      <c r="AE118" s="12" t="e">
        <f ref="AE118:AF124" si="83" t="shared">S118-G118</f>
        <v>#DIV/0!</v>
      </c>
      <c r="AF118" s="12" t="e">
        <f si="78" t="shared"/>
        <v>#DIV/0!</v>
      </c>
      <c r="AG118" s="12" t="e">
        <f si="79" t="shared"/>
        <v>#DIV/0!</v>
      </c>
      <c r="AH118" s="34"/>
    </row>
    <row r="119" spans="1:34" x14ac:dyDescent="0.35">
      <c r="A119" s="3" t="s">
        <v>213</v>
      </c>
      <c r="B119" s="12">
        <f si="72" t="shared"/>
        <v>7.7147016011644837E-2</v>
      </c>
      <c r="C119" s="12" t="e">
        <f si="72" t="shared"/>
        <v>#DIV/0!</v>
      </c>
      <c r="D119" s="12" t="e">
        <f si="72" t="shared"/>
        <v>#DIV/0!</v>
      </c>
      <c r="E119" s="12" t="e">
        <f ref="E119:H119" si="84" t="shared">E103/E$108</f>
        <v>#DIV/0!</v>
      </c>
      <c r="F119" s="12" t="e">
        <f si="84" t="shared"/>
        <v>#DIV/0!</v>
      </c>
      <c r="G119" s="12" t="e">
        <f si="84" t="shared"/>
        <v>#DIV/0!</v>
      </c>
      <c r="H119" s="12" t="e">
        <f si="84" t="shared"/>
        <v>#DIV/0!</v>
      </c>
      <c r="I119" s="12">
        <f si="73" t="shared"/>
        <v>7.7147016011644837E-2</v>
      </c>
      <c r="J119" s="34"/>
      <c r="K119" s="25"/>
      <c r="L119"/>
      <c r="M119" s="3" t="s">
        <v>213</v>
      </c>
      <c r="N119" s="12">
        <f si="74" t="shared"/>
        <v>7.7147016011644837E-2</v>
      </c>
      <c r="O119" s="12" t="e">
        <f si="74" t="shared"/>
        <v>#DIV/0!</v>
      </c>
      <c r="P119" s="12" t="e">
        <f si="74" t="shared"/>
        <v>#DIV/0!</v>
      </c>
      <c r="Q119" s="12" t="e">
        <f ref="Q119:T119" si="85" t="shared">Q103/Q$108</f>
        <v>#DIV/0!</v>
      </c>
      <c r="R119" s="12" t="e">
        <f si="85" t="shared"/>
        <v>#DIV/0!</v>
      </c>
      <c r="S119" s="12" t="e">
        <f si="85" t="shared"/>
        <v>#DIV/0!</v>
      </c>
      <c r="T119" s="12" t="e">
        <f si="85" t="shared"/>
        <v>#DIV/0!</v>
      </c>
      <c r="U119" s="12" t="e">
        <f si="75" t="shared"/>
        <v>#DIV/0!</v>
      </c>
      <c r="V119" s="34"/>
      <c r="W119" s="25"/>
      <c r="X119"/>
      <c r="Y119" s="3" t="s">
        <v>213</v>
      </c>
      <c r="Z119" s="12">
        <f si="76" t="shared"/>
        <v>0</v>
      </c>
      <c r="AA119" s="12" t="e">
        <f si="76" t="shared"/>
        <v>#DIV/0!</v>
      </c>
      <c r="AB119" s="12" t="e">
        <f si="76" t="shared"/>
        <v>#DIV/0!</v>
      </c>
      <c r="AC119" s="12" t="e">
        <f si="76" t="shared"/>
        <v>#DIV/0!</v>
      </c>
      <c r="AD119" s="12" t="e">
        <f si="82" t="shared"/>
        <v>#DIV/0!</v>
      </c>
      <c r="AE119" s="12" t="e">
        <f si="83" t="shared"/>
        <v>#DIV/0!</v>
      </c>
      <c r="AF119" s="12" t="e">
        <f si="78" t="shared"/>
        <v>#DIV/0!</v>
      </c>
      <c r="AG119" s="12" t="e">
        <f si="79" t="shared"/>
        <v>#DIV/0!</v>
      </c>
      <c r="AH119" s="34"/>
    </row>
    <row r="120" spans="1:34" x14ac:dyDescent="0.35">
      <c r="A120" s="3" t="s">
        <v>214</v>
      </c>
      <c r="B120" s="12">
        <f si="72" t="shared"/>
        <v>0.19941775836972345</v>
      </c>
      <c r="C120" s="12" t="e">
        <f si="72" t="shared"/>
        <v>#DIV/0!</v>
      </c>
      <c r="D120" s="12" t="e">
        <f si="72" t="shared"/>
        <v>#DIV/0!</v>
      </c>
      <c r="E120" s="12" t="e">
        <f ref="E120:H120" si="86" t="shared">E104/E$108</f>
        <v>#DIV/0!</v>
      </c>
      <c r="F120" s="12" t="e">
        <f si="86" t="shared"/>
        <v>#DIV/0!</v>
      </c>
      <c r="G120" s="12" t="e">
        <f si="86" t="shared"/>
        <v>#DIV/0!</v>
      </c>
      <c r="H120" s="12" t="e">
        <f si="86" t="shared"/>
        <v>#DIV/0!</v>
      </c>
      <c r="I120" s="12">
        <f si="73" t="shared"/>
        <v>0.19941775836972345</v>
      </c>
      <c r="J120" s="34"/>
      <c r="K120" s="25"/>
      <c r="L120"/>
      <c r="M120" s="3" t="s">
        <v>214</v>
      </c>
      <c r="N120" s="12">
        <f si="74" t="shared"/>
        <v>0.19941775836972345</v>
      </c>
      <c r="O120" s="12" t="e">
        <f si="74" t="shared"/>
        <v>#DIV/0!</v>
      </c>
      <c r="P120" s="12" t="e">
        <f si="74" t="shared"/>
        <v>#DIV/0!</v>
      </c>
      <c r="Q120" s="12" t="e">
        <f ref="Q120:T120" si="87" t="shared">Q104/Q$108</f>
        <v>#DIV/0!</v>
      </c>
      <c r="R120" s="12" t="e">
        <f si="87" t="shared"/>
        <v>#DIV/0!</v>
      </c>
      <c r="S120" s="12" t="e">
        <f si="87" t="shared"/>
        <v>#DIV/0!</v>
      </c>
      <c r="T120" s="12" t="e">
        <f si="87" t="shared"/>
        <v>#DIV/0!</v>
      </c>
      <c r="U120" s="12" t="e">
        <f si="75" t="shared"/>
        <v>#DIV/0!</v>
      </c>
      <c r="V120" s="34"/>
      <c r="W120" s="25"/>
      <c r="X120"/>
      <c r="Y120" s="3" t="s">
        <v>214</v>
      </c>
      <c r="Z120" s="12">
        <f si="76" t="shared"/>
        <v>0</v>
      </c>
      <c r="AA120" s="12" t="e">
        <f si="76" t="shared"/>
        <v>#DIV/0!</v>
      </c>
      <c r="AB120" s="12" t="e">
        <f si="76" t="shared"/>
        <v>#DIV/0!</v>
      </c>
      <c r="AC120" s="12" t="e">
        <f si="76" t="shared"/>
        <v>#DIV/0!</v>
      </c>
      <c r="AD120" s="12" t="e">
        <f si="82" t="shared"/>
        <v>#DIV/0!</v>
      </c>
      <c r="AE120" s="12" t="e">
        <f si="83" t="shared"/>
        <v>#DIV/0!</v>
      </c>
      <c r="AF120" s="12" t="e">
        <f si="78" t="shared"/>
        <v>#DIV/0!</v>
      </c>
      <c r="AG120" s="12" t="e">
        <f si="79" t="shared"/>
        <v>#DIV/0!</v>
      </c>
      <c r="AH120" s="34"/>
    </row>
    <row r="121" spans="1:34" x14ac:dyDescent="0.35">
      <c r="A121" s="3" t="s">
        <v>215</v>
      </c>
      <c r="B121" s="12">
        <f si="72" t="shared"/>
        <v>0.30228044638524987</v>
      </c>
      <c r="C121" s="12" t="e">
        <f si="72" t="shared"/>
        <v>#DIV/0!</v>
      </c>
      <c r="D121" s="12" t="e">
        <f si="72" t="shared"/>
        <v>#DIV/0!</v>
      </c>
      <c r="E121" s="12" t="e">
        <f ref="E121:H121" si="88" t="shared">E105/E$108</f>
        <v>#DIV/0!</v>
      </c>
      <c r="F121" s="12" t="e">
        <f si="88" t="shared"/>
        <v>#DIV/0!</v>
      </c>
      <c r="G121" s="12" t="e">
        <f si="88" t="shared"/>
        <v>#DIV/0!</v>
      </c>
      <c r="H121" s="12" t="e">
        <f si="88" t="shared"/>
        <v>#DIV/0!</v>
      </c>
      <c r="I121" s="12">
        <f si="73" t="shared"/>
        <v>0.30228044638524987</v>
      </c>
      <c r="J121" s="34"/>
      <c r="K121" s="25"/>
      <c r="L121"/>
      <c r="M121" s="3" t="s">
        <v>215</v>
      </c>
      <c r="N121" s="12">
        <f si="74" t="shared"/>
        <v>0.30228044638524987</v>
      </c>
      <c r="O121" s="12" t="e">
        <f si="74" t="shared"/>
        <v>#DIV/0!</v>
      </c>
      <c r="P121" s="12" t="e">
        <f si="74" t="shared"/>
        <v>#DIV/0!</v>
      </c>
      <c r="Q121" s="12" t="e">
        <f ref="Q121:T121" si="89" t="shared">Q105/Q$108</f>
        <v>#DIV/0!</v>
      </c>
      <c r="R121" s="12" t="e">
        <f si="89" t="shared"/>
        <v>#DIV/0!</v>
      </c>
      <c r="S121" s="12" t="e">
        <f si="89" t="shared"/>
        <v>#DIV/0!</v>
      </c>
      <c r="T121" s="12" t="e">
        <f si="89" t="shared"/>
        <v>#DIV/0!</v>
      </c>
      <c r="U121" s="12" t="e">
        <f si="75" t="shared"/>
        <v>#DIV/0!</v>
      </c>
      <c r="V121" s="34"/>
      <c r="W121" s="25"/>
      <c r="X121"/>
      <c r="Y121" s="3" t="s">
        <v>215</v>
      </c>
      <c r="Z121" s="12">
        <f si="76" t="shared"/>
        <v>0</v>
      </c>
      <c r="AA121" s="12" t="e">
        <f si="76" t="shared"/>
        <v>#DIV/0!</v>
      </c>
      <c r="AB121" s="12" t="e">
        <f si="76" t="shared"/>
        <v>#DIV/0!</v>
      </c>
      <c r="AC121" s="12" t="e">
        <f si="76" t="shared"/>
        <v>#DIV/0!</v>
      </c>
      <c r="AD121" s="12" t="e">
        <f si="82" t="shared"/>
        <v>#DIV/0!</v>
      </c>
      <c r="AE121" s="12" t="e">
        <f si="83" t="shared"/>
        <v>#DIV/0!</v>
      </c>
      <c r="AF121" s="12" t="e">
        <f si="78" t="shared"/>
        <v>#DIV/0!</v>
      </c>
      <c r="AG121" s="12" t="e">
        <f si="79" t="shared"/>
        <v>#DIV/0!</v>
      </c>
      <c r="AH121" s="34"/>
    </row>
    <row r="122" spans="1:34" x14ac:dyDescent="0.35">
      <c r="A122" s="3" t="s">
        <v>129</v>
      </c>
      <c r="B122" s="12">
        <f si="72" t="shared"/>
        <v>0.26928675400291119</v>
      </c>
      <c r="C122" s="12" t="e">
        <f si="72" t="shared"/>
        <v>#DIV/0!</v>
      </c>
      <c r="D122" s="12" t="e">
        <f si="72" t="shared"/>
        <v>#DIV/0!</v>
      </c>
      <c r="E122" s="12" t="e">
        <f ref="E122:H122" si="90" t="shared">E106/E$108</f>
        <v>#DIV/0!</v>
      </c>
      <c r="F122" s="12" t="e">
        <f si="90" t="shared"/>
        <v>#DIV/0!</v>
      </c>
      <c r="G122" s="12" t="e">
        <f si="90" t="shared"/>
        <v>#DIV/0!</v>
      </c>
      <c r="H122" s="12" t="e">
        <f si="90" t="shared"/>
        <v>#DIV/0!</v>
      </c>
      <c r="I122" s="12">
        <f si="73" t="shared"/>
        <v>0.26928675400291119</v>
      </c>
      <c r="J122" s="34"/>
      <c r="K122" s="25"/>
      <c r="L122"/>
      <c r="M122" s="3" t="s">
        <v>129</v>
      </c>
      <c r="N122" s="12">
        <f si="74" t="shared"/>
        <v>0.26928675400291119</v>
      </c>
      <c r="O122" s="12" t="e">
        <f si="74" t="shared"/>
        <v>#DIV/0!</v>
      </c>
      <c r="P122" s="12" t="e">
        <f si="74" t="shared"/>
        <v>#DIV/0!</v>
      </c>
      <c r="Q122" s="12" t="e">
        <f ref="Q122:T122" si="91" t="shared">Q106/Q$108</f>
        <v>#DIV/0!</v>
      </c>
      <c r="R122" s="12" t="e">
        <f si="91" t="shared"/>
        <v>#DIV/0!</v>
      </c>
      <c r="S122" s="12" t="e">
        <f si="91" t="shared"/>
        <v>#DIV/0!</v>
      </c>
      <c r="T122" s="12" t="e">
        <f si="91" t="shared"/>
        <v>#DIV/0!</v>
      </c>
      <c r="U122" s="12" t="e">
        <f si="75" t="shared"/>
        <v>#DIV/0!</v>
      </c>
      <c r="V122" s="34"/>
      <c r="W122" s="25"/>
      <c r="X122"/>
      <c r="Y122" s="3" t="s">
        <v>129</v>
      </c>
      <c r="Z122" s="12">
        <f si="76" t="shared"/>
        <v>0</v>
      </c>
      <c r="AA122" s="12" t="e">
        <f si="76" t="shared"/>
        <v>#DIV/0!</v>
      </c>
      <c r="AB122" s="12" t="e">
        <f si="76" t="shared"/>
        <v>#DIV/0!</v>
      </c>
      <c r="AC122" s="12" t="e">
        <f si="76" t="shared"/>
        <v>#DIV/0!</v>
      </c>
      <c r="AD122" s="12" t="e">
        <f si="82" t="shared"/>
        <v>#DIV/0!</v>
      </c>
      <c r="AE122" s="12" t="e">
        <f si="83" t="shared"/>
        <v>#DIV/0!</v>
      </c>
      <c r="AF122" s="12" t="e">
        <f si="78" t="shared"/>
        <v>#DIV/0!</v>
      </c>
      <c r="AG122" s="12" t="e">
        <f si="79" t="shared"/>
        <v>#DIV/0!</v>
      </c>
      <c r="AH122" s="34"/>
    </row>
    <row r="123" spans="1:34" x14ac:dyDescent="0.35">
      <c r="A123" s="3" t="s">
        <v>130</v>
      </c>
      <c r="B123" s="13">
        <f ref="B123:H124" si="92" t="shared">B107/B$108</f>
        <v>4.5123726346433773E-2</v>
      </c>
      <c r="C123" s="13" t="e">
        <f si="92" t="shared"/>
        <v>#DIV/0!</v>
      </c>
      <c r="D123" s="13" t="e">
        <f si="92" t="shared"/>
        <v>#DIV/0!</v>
      </c>
      <c r="E123" s="13" t="e">
        <f si="92" t="shared"/>
        <v>#DIV/0!</v>
      </c>
      <c r="F123" s="13" t="e">
        <f si="92" t="shared"/>
        <v>#DIV/0!</v>
      </c>
      <c r="G123" s="13" t="e">
        <f si="92" t="shared"/>
        <v>#DIV/0!</v>
      </c>
      <c r="H123" s="12" t="e">
        <f si="92" t="shared"/>
        <v>#DIV/0!</v>
      </c>
      <c r="I123" s="13">
        <f si="73" t="shared"/>
        <v>4.5123726346433773E-2</v>
      </c>
      <c r="J123" s="34"/>
      <c r="K123" s="25"/>
      <c r="L123"/>
      <c r="M123" s="3" t="s">
        <v>130</v>
      </c>
      <c r="N123" s="13">
        <f si="74" t="shared"/>
        <v>4.5123726346433773E-2</v>
      </c>
      <c r="O123" s="13" t="e">
        <f si="74" t="shared"/>
        <v>#DIV/0!</v>
      </c>
      <c r="P123" s="13" t="e">
        <f si="74" t="shared"/>
        <v>#DIV/0!</v>
      </c>
      <c r="Q123" s="13" t="e">
        <f ref="Q123:T123" si="93" t="shared">Q107/Q$108</f>
        <v>#DIV/0!</v>
      </c>
      <c r="R123" s="13" t="e">
        <f si="93" t="shared"/>
        <v>#DIV/0!</v>
      </c>
      <c r="S123" s="13" t="e">
        <f si="93" t="shared"/>
        <v>#DIV/0!</v>
      </c>
      <c r="T123" s="12" t="e">
        <f si="93" t="shared"/>
        <v>#DIV/0!</v>
      </c>
      <c r="U123" s="13" t="e">
        <f si="75" t="shared"/>
        <v>#DIV/0!</v>
      </c>
      <c r="V123" s="34"/>
      <c r="W123" s="25"/>
      <c r="X123"/>
      <c r="Y123" s="3" t="s">
        <v>130</v>
      </c>
      <c r="Z123" s="12">
        <f si="76" t="shared"/>
        <v>0</v>
      </c>
      <c r="AA123" s="12" t="e">
        <f si="76" t="shared"/>
        <v>#DIV/0!</v>
      </c>
      <c r="AB123" s="12" t="e">
        <f si="76" t="shared"/>
        <v>#DIV/0!</v>
      </c>
      <c r="AC123" s="12" t="e">
        <f si="76" t="shared"/>
        <v>#DIV/0!</v>
      </c>
      <c r="AD123" s="12" t="e">
        <f si="82" t="shared"/>
        <v>#DIV/0!</v>
      </c>
      <c r="AE123" s="12" t="e">
        <f si="83" t="shared"/>
        <v>#DIV/0!</v>
      </c>
      <c r="AF123" s="12" t="e">
        <f si="78" t="shared"/>
        <v>#DIV/0!</v>
      </c>
      <c r="AG123" s="12" t="e">
        <f si="79" t="shared"/>
        <v>#DIV/0!</v>
      </c>
      <c r="AH123" s="34"/>
    </row>
    <row ht="13.15" r="124" spans="1:34" thickBot="1" x14ac:dyDescent="0.4">
      <c r="A124" s="10" t="s">
        <v>223</v>
      </c>
      <c r="B124" s="17">
        <f si="92" t="shared"/>
        <v>1</v>
      </c>
      <c r="C124" s="17" t="e">
        <f si="92" t="shared"/>
        <v>#DIV/0!</v>
      </c>
      <c r="D124" s="17" t="e">
        <f si="92" t="shared"/>
        <v>#DIV/0!</v>
      </c>
      <c r="E124" s="17" t="e">
        <f si="92" t="shared"/>
        <v>#DIV/0!</v>
      </c>
      <c r="F124" s="17" t="e">
        <f si="92" t="shared"/>
        <v>#DIV/0!</v>
      </c>
      <c r="G124" s="17" t="e">
        <f si="92" t="shared"/>
        <v>#DIV/0!</v>
      </c>
      <c r="H124" s="17" t="e">
        <f si="92" t="shared"/>
        <v>#DIV/0!</v>
      </c>
      <c r="I124" s="17">
        <f si="73" t="shared"/>
        <v>1</v>
      </c>
      <c r="J124" s="34"/>
      <c r="K124" s="25"/>
      <c r="L124"/>
      <c r="M124" s="10" t="s">
        <v>223</v>
      </c>
      <c r="N124" s="17">
        <f si="74" t="shared"/>
        <v>1</v>
      </c>
      <c r="O124" s="17" t="e">
        <f si="74" t="shared"/>
        <v>#DIV/0!</v>
      </c>
      <c r="P124" s="17" t="e">
        <f si="74" t="shared"/>
        <v>#DIV/0!</v>
      </c>
      <c r="Q124" s="17" t="e">
        <f si="74" t="shared"/>
        <v>#DIV/0!</v>
      </c>
      <c r="R124" s="17" t="e">
        <f si="74" t="shared"/>
        <v>#DIV/0!</v>
      </c>
      <c r="S124" s="17" t="e">
        <f si="74" t="shared"/>
        <v>#DIV/0!</v>
      </c>
      <c r="T124" s="17" t="e">
        <f si="74" t="shared"/>
        <v>#DIV/0!</v>
      </c>
      <c r="U124" s="17" t="e">
        <f si="75" t="shared"/>
        <v>#DIV/0!</v>
      </c>
      <c r="V124" s="34"/>
      <c r="W124" s="25"/>
      <c r="X124"/>
      <c r="Y124" s="10" t="s">
        <v>223</v>
      </c>
      <c r="Z124" s="14">
        <f si="76" t="shared"/>
        <v>0</v>
      </c>
      <c r="AA124" s="14" t="e">
        <f si="76" t="shared"/>
        <v>#DIV/0!</v>
      </c>
      <c r="AB124" s="14" t="e">
        <f si="76" t="shared"/>
        <v>#DIV/0!</v>
      </c>
      <c r="AC124" s="14" t="e">
        <f si="76" t="shared"/>
        <v>#DIV/0!</v>
      </c>
      <c r="AD124" s="14" t="e">
        <f si="82" t="shared"/>
        <v>#DIV/0!</v>
      </c>
      <c r="AE124" s="14" t="e">
        <f si="83" t="shared"/>
        <v>#DIV/0!</v>
      </c>
      <c r="AF124" s="14" t="e">
        <f si="83" t="shared"/>
        <v>#DIV/0!</v>
      </c>
      <c r="AG124" s="14" t="e">
        <f si="79" t="shared"/>
        <v>#DIV/0!</v>
      </c>
      <c r="AH124" s="34"/>
    </row>
    <row r="125" spans="1:34" x14ac:dyDescent="0.35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35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35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35">
      <c r="F128" s="25"/>
      <c r="G128" s="25"/>
      <c r="H128" s="25"/>
      <c r="I128" s="25"/>
      <c r="J128" s="25"/>
      <c r="K128" s="25"/>
    </row>
    <row r="129" spans="6:16" x14ac:dyDescent="0.35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35">
      <c r="N130" s="87"/>
      <c r="O130" s="87"/>
      <c r="P130" s="87"/>
    </row>
    <row r="131" spans="6:16" x14ac:dyDescent="0.35">
      <c r="N131" s="87"/>
      <c r="O131" s="87"/>
      <c r="P131" s="87"/>
    </row>
    <row r="132" spans="6:16" x14ac:dyDescent="0.35">
      <c r="N132" s="87"/>
      <c r="O132" s="87"/>
      <c r="P132" s="87"/>
    </row>
    <row r="133" spans="6:16" x14ac:dyDescent="0.35">
      <c r="N133" s="87"/>
      <c r="O133" s="87"/>
      <c r="P133" s="87"/>
    </row>
    <row r="134" spans="6:16" x14ac:dyDescent="0.35">
      <c r="N134" s="87"/>
      <c r="O134" s="87"/>
      <c r="P134" s="87"/>
    </row>
    <row r="135" spans="6:16" x14ac:dyDescent="0.35">
      <c r="N135" s="87"/>
      <c r="O135" s="87"/>
      <c r="P135" s="87"/>
    </row>
  </sheetData>
  <phoneticPr fontId="4"/>
  <conditionalFormatting sqref="Z21:AI28 Z85:AD92 Z53:AF60 Z117:AC124 AG124:AH124 AD117:AH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F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O138"/>
  <sheetViews>
    <sheetView workbookViewId="0">
      <selection activeCell="B13" sqref="B13:I13"/>
    </sheetView>
  </sheetViews>
  <sheetFormatPr defaultColWidth="10.76171875" defaultRowHeight="12.75" x14ac:dyDescent="0.35"/>
  <cols>
    <col min="1" max="16384" style="3" width="10.76171875" collapsed="true"/>
  </cols>
  <sheetData>
    <row customHeight="1" ht="12.75" r="1" spans="1:35" x14ac:dyDescent="0.4">
      <c r="A1" s="2" t="s">
        <v>175</v>
      </c>
      <c r="M1" s="2" t="s">
        <v>175</v>
      </c>
      <c r="Y1" s="2" t="s">
        <v>175</v>
      </c>
    </row>
    <row customHeight="1" ht="12.75" r="2" spans="1:35" x14ac:dyDescent="0.4">
      <c r="A2" s="2" t="s">
        <v>128</v>
      </c>
      <c r="M2" s="2" t="s">
        <v>163</v>
      </c>
      <c r="Y2" s="1397" t="s">
        <v>78</v>
      </c>
      <c r="Z2" s="1397"/>
      <c r="AA2" s="1397"/>
    </row>
    <row customHeight="1" ht="12.75" r="3" spans="1:35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4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</row>
    <row customHeight="1" ht="12.75" r="5" spans="1:35" x14ac:dyDescent="0.35">
      <c r="A5" s="3" t="s">
        <v>211</v>
      </c>
      <c r="B5" s="7">
        <f>output_NHTS!B262</f>
        <v>1819000</v>
      </c>
      <c r="C5" s="7">
        <f>output_NHTS!C262</f>
        <v>414000</v>
      </c>
      <c r="D5" s="7">
        <f>output_NHTS!D262</f>
        <v>0</v>
      </c>
      <c r="E5" s="7">
        <f>output_NHTS!E262</f>
        <v>0</v>
      </c>
      <c r="F5" s="7">
        <f>output_NHTS!F262</f>
        <v>57000</v>
      </c>
      <c r="G5" s="7">
        <f>output_NHTS!G262</f>
        <v>22000</v>
      </c>
      <c r="H5" s="7"/>
      <c r="I5" s="7">
        <f>output_NHTS!H262</f>
        <v>0</v>
      </c>
      <c r="J5" s="7">
        <f>output_NHTS!I262</f>
        <v>0</v>
      </c>
      <c r="K5" s="7">
        <f>output_NHTS!J262</f>
        <v>2312000</v>
      </c>
      <c r="L5" s="7"/>
      <c r="M5" s="3" t="s">
        <v>211</v>
      </c>
      <c r="N5" s="7">
        <f>output!B262</f>
        <v>1819000</v>
      </c>
      <c r="O5" s="7">
        <f>output!C262</f>
        <v>414000</v>
      </c>
      <c r="P5" s="7">
        <f>output!D262</f>
        <v>0</v>
      </c>
      <c r="Q5" s="7">
        <f>output!E262</f>
        <v>0</v>
      </c>
      <c r="R5" s="7">
        <f>output!F262</f>
        <v>57000</v>
      </c>
      <c r="S5" s="7">
        <f>output!G262</f>
        <v>22000</v>
      </c>
      <c r="T5" s="7"/>
      <c r="U5" s="7">
        <f>output!H262</f>
        <v>0</v>
      </c>
      <c r="V5" s="7">
        <f>output!I262</f>
        <v>0</v>
      </c>
      <c r="W5" s="7">
        <f>output!J262</f>
        <v>2312000</v>
      </c>
      <c r="Y5" s="3" t="s">
        <v>211</v>
      </c>
      <c r="Z5" s="7">
        <f ref="Z5:Z13" si="0" t="shared">N5-B5</f>
        <v>0</v>
      </c>
      <c r="AA5" s="7">
        <f ref="AA5:AA13" si="1" t="shared">O5-C5</f>
        <v>0</v>
      </c>
      <c r="AB5" s="7">
        <f ref="AB5:AB13" si="2" t="shared">P5-D5</f>
        <v>0</v>
      </c>
      <c r="AC5" s="7">
        <f ref="AC5:AC13" si="3" t="shared">Q5-E5</f>
        <v>0</v>
      </c>
      <c r="AD5" s="7">
        <f ref="AD5:AD13" si="4" t="shared">R5-F5</f>
        <v>0</v>
      </c>
      <c r="AE5" s="7">
        <f ref="AE5:AE13" si="5" t="shared">S5-G5</f>
        <v>0</v>
      </c>
      <c r="AF5" s="7"/>
      <c r="AG5" s="7">
        <f ref="AG5:AG13" si="6" t="shared">U5-I5</f>
        <v>0</v>
      </c>
      <c r="AH5" s="7">
        <f ref="AH5:AH13" si="7" t="shared">V5-J5</f>
        <v>0</v>
      </c>
      <c r="AI5" s="7">
        <f ref="AI5:AI13" si="8" t="shared">W5-K5</f>
        <v>0</v>
      </c>
    </row>
    <row customHeight="1" ht="12.75" r="6" spans="1:35" x14ac:dyDescent="0.35">
      <c r="A6" s="3" t="s">
        <v>212</v>
      </c>
      <c r="B6" s="7">
        <f>output_NHTS!B263</f>
        <v>0</v>
      </c>
      <c r="C6" s="7">
        <f>output_NHTS!C263</f>
        <v>0</v>
      </c>
      <c r="D6" s="7">
        <f>output_NHTS!D263</f>
        <v>0</v>
      </c>
      <c r="E6" s="7">
        <f>output_NHTS!E263</f>
        <v>0</v>
      </c>
      <c r="F6" s="7">
        <f>output_NHTS!F263</f>
        <v>119000</v>
      </c>
      <c r="G6" s="7">
        <f>output_NHTS!G263</f>
        <v>212000</v>
      </c>
      <c r="H6" s="7"/>
      <c r="I6" s="7">
        <f>output_NHTS!H263</f>
        <v>591000</v>
      </c>
      <c r="J6" s="7">
        <f>output_NHTS!I263</f>
        <v>0</v>
      </c>
      <c r="K6" s="7">
        <f>output_NHTS!J263</f>
        <v>922000</v>
      </c>
      <c r="L6" s="7"/>
      <c r="M6" s="3" t="s">
        <v>212</v>
      </c>
      <c r="N6" s="7">
        <f>output!B263</f>
        <v>0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119000</v>
      </c>
      <c r="S6" s="7">
        <f>output!G263</f>
        <v>212000</v>
      </c>
      <c r="T6" s="7"/>
      <c r="U6" s="7">
        <f>output!H263</f>
        <v>591000</v>
      </c>
      <c r="V6" s="7">
        <f>output!I263</f>
        <v>0</v>
      </c>
      <c r="W6" s="7">
        <f>output!J263</f>
        <v>922000</v>
      </c>
      <c r="Y6" s="3" t="s">
        <v>212</v>
      </c>
      <c r="Z6" s="7">
        <f si="0" t="shared"/>
        <v>0</v>
      </c>
      <c r="AA6" s="7">
        <f si="1" t="shared"/>
        <v>0</v>
      </c>
      <c r="AB6" s="7">
        <f si="2" t="shared"/>
        <v>0</v>
      </c>
      <c r="AC6" s="7">
        <f si="3" t="shared"/>
        <v>0</v>
      </c>
      <c r="AD6" s="7">
        <f si="4" t="shared"/>
        <v>0</v>
      </c>
      <c r="AE6" s="7">
        <f si="5" t="shared"/>
        <v>0</v>
      </c>
      <c r="AF6" s="7"/>
      <c r="AG6" s="7">
        <f si="6" t="shared"/>
        <v>0</v>
      </c>
      <c r="AH6" s="7">
        <f si="7" t="shared"/>
        <v>0</v>
      </c>
      <c r="AI6" s="7">
        <f si="8" t="shared"/>
        <v>0</v>
      </c>
    </row>
    <row customHeight="1" ht="12.75" r="7" spans="1:35" x14ac:dyDescent="0.35">
      <c r="A7" s="3" t="s">
        <v>213</v>
      </c>
      <c r="B7" s="7">
        <f>output_NHTS!B264</f>
        <v>424000</v>
      </c>
      <c r="C7" s="7">
        <f>output_NHTS!C264</f>
        <v>157000</v>
      </c>
      <c r="D7" s="7">
        <f>output_NHTS!D264</f>
        <v>79000</v>
      </c>
      <c r="E7" s="7">
        <f>output_NHTS!E264</f>
        <v>466000</v>
      </c>
      <c r="F7" s="7">
        <f>output_NHTS!F264</f>
        <v>74000</v>
      </c>
      <c r="G7" s="7">
        <f>output_NHTS!G264</f>
        <v>38000</v>
      </c>
      <c r="H7" s="7"/>
      <c r="I7" s="7">
        <f>output_NHTS!H264</f>
        <v>154000</v>
      </c>
      <c r="J7" s="7">
        <f>output_NHTS!I264</f>
        <v>0</v>
      </c>
      <c r="K7" s="7">
        <f>output_NHTS!J264</f>
        <v>1670400</v>
      </c>
      <c r="L7" s="7"/>
      <c r="M7" s="3" t="s">
        <v>213</v>
      </c>
      <c r="N7" s="7">
        <f>output!B264</f>
        <v>424000</v>
      </c>
      <c r="O7" s="7">
        <f>output!C264</f>
        <v>157000</v>
      </c>
      <c r="P7" s="7">
        <f>output!D264</f>
        <v>79000</v>
      </c>
      <c r="Q7" s="7">
        <f>output!E264</f>
        <v>466000</v>
      </c>
      <c r="R7" s="7">
        <f>output!F264</f>
        <v>74000</v>
      </c>
      <c r="S7" s="7">
        <f>output!G264</f>
        <v>38000</v>
      </c>
      <c r="T7" s="7"/>
      <c r="U7" s="7">
        <f>output!H264</f>
        <v>154000</v>
      </c>
      <c r="V7" s="7">
        <f>output!I264</f>
        <v>0</v>
      </c>
      <c r="W7" s="7">
        <f>output!J264</f>
        <v>1392000</v>
      </c>
      <c r="Y7" s="3" t="s">
        <v>213</v>
      </c>
      <c r="Z7" s="7">
        <f si="0" t="shared"/>
        <v>0</v>
      </c>
      <c r="AA7" s="7">
        <f si="1" t="shared"/>
        <v>0</v>
      </c>
      <c r="AB7" s="7">
        <f si="2" t="shared"/>
        <v>0</v>
      </c>
      <c r="AC7" s="7">
        <f si="3" t="shared"/>
        <v>0</v>
      </c>
      <c r="AD7" s="7">
        <f si="4" t="shared"/>
        <v>0</v>
      </c>
      <c r="AE7" s="7">
        <f si="5" t="shared"/>
        <v>0</v>
      </c>
      <c r="AF7" s="7"/>
      <c r="AG7" s="7">
        <f si="6" t="shared"/>
        <v>0</v>
      </c>
      <c r="AH7" s="7">
        <f si="7" t="shared"/>
        <v>0</v>
      </c>
      <c r="AI7" s="7">
        <f si="8" t="shared"/>
        <v>-278400</v>
      </c>
    </row>
    <row customHeight="1" ht="12.75" r="8" spans="1:35" x14ac:dyDescent="0.35">
      <c r="A8" s="3" t="s">
        <v>214</v>
      </c>
      <c r="B8" s="7">
        <f>output_NHTS!B265</f>
        <v>546000</v>
      </c>
      <c r="C8" s="7">
        <f>output_NHTS!C265</f>
        <v>179000</v>
      </c>
      <c r="D8" s="7">
        <f>output_NHTS!D265</f>
        <v>179000</v>
      </c>
      <c r="E8" s="7">
        <f>output_NHTS!E265</f>
        <v>298000</v>
      </c>
      <c r="F8" s="7">
        <f>output_NHTS!F265</f>
        <v>54000</v>
      </c>
      <c r="G8" s="7">
        <f>output_NHTS!G265</f>
        <v>96000</v>
      </c>
      <c r="H8" s="7"/>
      <c r="I8" s="7">
        <f>output_NHTS!H265</f>
        <v>182000</v>
      </c>
      <c r="J8" s="7">
        <f>output_NHTS!I265</f>
        <v>0</v>
      </c>
      <c r="K8" s="7">
        <f>output_NHTS!J265</f>
        <v>1840800</v>
      </c>
      <c r="L8" s="7"/>
      <c r="M8" s="3" t="s">
        <v>214</v>
      </c>
      <c r="N8" s="7">
        <f>output!B265</f>
        <v>546000</v>
      </c>
      <c r="O8" s="7">
        <f>output!C265</f>
        <v>179000</v>
      </c>
      <c r="P8" s="7">
        <f>output!D265</f>
        <v>179000</v>
      </c>
      <c r="Q8" s="7">
        <f>output!E265</f>
        <v>298000</v>
      </c>
      <c r="R8" s="7">
        <f>output!F265</f>
        <v>54000</v>
      </c>
      <c r="S8" s="7">
        <f>output!G265</f>
        <v>96000</v>
      </c>
      <c r="T8" s="7"/>
      <c r="U8" s="7">
        <f>output!H265</f>
        <v>182000</v>
      </c>
      <c r="V8" s="7">
        <f>output!I265</f>
        <v>0</v>
      </c>
      <c r="W8" s="7">
        <f>output!J265</f>
        <v>1534000</v>
      </c>
      <c r="Y8" s="3" t="s">
        <v>214</v>
      </c>
      <c r="Z8" s="7">
        <f si="0" t="shared"/>
        <v>0</v>
      </c>
      <c r="AA8" s="7">
        <f si="1" t="shared"/>
        <v>0</v>
      </c>
      <c r="AB8" s="7">
        <f si="2" t="shared"/>
        <v>0</v>
      </c>
      <c r="AC8" s="7">
        <f si="3" t="shared"/>
        <v>0</v>
      </c>
      <c r="AD8" s="7">
        <f si="4" t="shared"/>
        <v>0</v>
      </c>
      <c r="AE8" s="7">
        <f si="5" t="shared"/>
        <v>0</v>
      </c>
      <c r="AF8" s="7"/>
      <c r="AG8" s="7">
        <f si="6" t="shared"/>
        <v>0</v>
      </c>
      <c r="AH8" s="7">
        <f si="7" t="shared"/>
        <v>0</v>
      </c>
      <c r="AI8" s="7">
        <f si="8" t="shared"/>
        <v>-306800</v>
      </c>
    </row>
    <row customHeight="1" ht="12.75" r="9" spans="1:35" x14ac:dyDescent="0.35">
      <c r="A9" s="3" t="s">
        <v>215</v>
      </c>
      <c r="B9" s="7">
        <f>output_NHTS!B266</f>
        <v>248000</v>
      </c>
      <c r="C9" s="7">
        <f>output_NHTS!C266</f>
        <v>90000</v>
      </c>
      <c r="D9" s="7">
        <f>output_NHTS!D266</f>
        <v>80000</v>
      </c>
      <c r="E9" s="7">
        <f>output_NHTS!E266</f>
        <v>109000</v>
      </c>
      <c r="F9" s="7">
        <f>output_NHTS!F266</f>
        <v>26000</v>
      </c>
      <c r="G9" s="7">
        <f>output_NHTS!G266</f>
        <v>25000</v>
      </c>
      <c r="H9" s="7"/>
      <c r="I9" s="7">
        <f>output_NHTS!H266</f>
        <v>87000</v>
      </c>
      <c r="J9" s="7">
        <f>output_NHTS!I266</f>
        <v>0</v>
      </c>
      <c r="K9" s="7">
        <f>output_NHTS!J266</f>
        <v>798000</v>
      </c>
      <c r="L9" s="7"/>
      <c r="M9" s="3" t="s">
        <v>215</v>
      </c>
      <c r="N9" s="7">
        <f>output!B266</f>
        <v>248000</v>
      </c>
      <c r="O9" s="7">
        <f>output!C266</f>
        <v>90000</v>
      </c>
      <c r="P9" s="7">
        <f>output!D266</f>
        <v>80000</v>
      </c>
      <c r="Q9" s="7">
        <f>output!E266</f>
        <v>109000</v>
      </c>
      <c r="R9" s="7">
        <f>output!F266</f>
        <v>26000</v>
      </c>
      <c r="S9" s="7">
        <f>output!G266</f>
        <v>25000</v>
      </c>
      <c r="T9" s="7"/>
      <c r="U9" s="7">
        <f>output!H266</f>
        <v>87000</v>
      </c>
      <c r="V9" s="7">
        <f>output!I266</f>
        <v>0</v>
      </c>
      <c r="W9" s="7">
        <f>output!J266</f>
        <v>665000</v>
      </c>
      <c r="Y9" s="3" t="s">
        <v>215</v>
      </c>
      <c r="Z9" s="7">
        <f si="0" t="shared"/>
        <v>0</v>
      </c>
      <c r="AA9" s="7">
        <f si="1" t="shared"/>
        <v>0</v>
      </c>
      <c r="AB9" s="7">
        <f si="2" t="shared"/>
        <v>0</v>
      </c>
      <c r="AC9" s="7">
        <f si="3" t="shared"/>
        <v>0</v>
      </c>
      <c r="AD9" s="7">
        <f si="4" t="shared"/>
        <v>0</v>
      </c>
      <c r="AE9" s="7">
        <f si="5" t="shared"/>
        <v>0</v>
      </c>
      <c r="AF9" s="7"/>
      <c r="AG9" s="7">
        <f si="6" t="shared"/>
        <v>0</v>
      </c>
      <c r="AH9" s="7">
        <f si="7" t="shared"/>
        <v>0</v>
      </c>
      <c r="AI9" s="7">
        <f si="8" t="shared"/>
        <v>-133000</v>
      </c>
    </row>
    <row customHeight="1" ht="12.75" r="10" spans="1:35" x14ac:dyDescent="0.35">
      <c r="A10" s="3" t="s">
        <v>129</v>
      </c>
      <c r="B10" s="7">
        <f>output_NHTS!B267</f>
        <v>350000</v>
      </c>
      <c r="C10" s="7">
        <f>output_NHTS!C267</f>
        <v>96000</v>
      </c>
      <c r="D10" s="7">
        <f>output_NHTS!D267</f>
        <v>72000</v>
      </c>
      <c r="E10" s="7">
        <f>output_NHTS!E267</f>
        <v>89000</v>
      </c>
      <c r="F10" s="7">
        <f>output_NHTS!F267</f>
        <v>39000</v>
      </c>
      <c r="G10" s="7">
        <f>output_NHTS!G267</f>
        <v>49000</v>
      </c>
      <c r="H10" s="7"/>
      <c r="I10" s="7">
        <f>output_NHTS!H267</f>
        <v>78000</v>
      </c>
      <c r="J10" s="7">
        <f>output_NHTS!I267</f>
        <v>0</v>
      </c>
      <c r="K10" s="7">
        <f>output_NHTS!J267</f>
        <v>927600</v>
      </c>
      <c r="L10" s="7"/>
      <c r="M10" s="3" t="s">
        <v>129</v>
      </c>
      <c r="N10" s="7">
        <f>output!B267</f>
        <v>350000</v>
      </c>
      <c r="O10" s="7">
        <f>output!C267</f>
        <v>96000</v>
      </c>
      <c r="P10" s="7">
        <f>output!D267</f>
        <v>72000</v>
      </c>
      <c r="Q10" s="7">
        <f>output!E267</f>
        <v>89000</v>
      </c>
      <c r="R10" s="7">
        <f>output!F267</f>
        <v>39000</v>
      </c>
      <c r="S10" s="7">
        <f>output!G267</f>
        <v>49000</v>
      </c>
      <c r="T10" s="7"/>
      <c r="U10" s="7">
        <f>output!H267</f>
        <v>78000</v>
      </c>
      <c r="V10" s="7">
        <f>output!I267</f>
        <v>0</v>
      </c>
      <c r="W10" s="7">
        <f>output!J267</f>
        <v>773000</v>
      </c>
      <c r="Y10" s="3" t="s">
        <v>129</v>
      </c>
      <c r="Z10" s="7">
        <f si="0" t="shared"/>
        <v>0</v>
      </c>
      <c r="AA10" s="7">
        <f si="1" t="shared"/>
        <v>0</v>
      </c>
      <c r="AB10" s="7">
        <f si="2" t="shared"/>
        <v>0</v>
      </c>
      <c r="AC10" s="7">
        <f si="3" t="shared"/>
        <v>0</v>
      </c>
      <c r="AD10" s="7">
        <f si="4" t="shared"/>
        <v>0</v>
      </c>
      <c r="AE10" s="7">
        <f si="5" t="shared"/>
        <v>0</v>
      </c>
      <c r="AF10" s="7"/>
      <c r="AG10" s="7">
        <f si="6" t="shared"/>
        <v>0</v>
      </c>
      <c r="AH10" s="7">
        <f si="7" t="shared"/>
        <v>0</v>
      </c>
      <c r="AI10" s="7">
        <f si="8" t="shared"/>
        <v>-154600</v>
      </c>
    </row>
    <row customHeight="1" ht="12.75" r="11" spans="1:35" x14ac:dyDescent="0.35">
      <c r="A11" s="3" t="s">
        <v>130</v>
      </c>
      <c r="B11" s="7">
        <f>output_NHTS!B268</f>
        <v>384000</v>
      </c>
      <c r="C11" s="7">
        <f>output_NHTS!C268</f>
        <v>128000</v>
      </c>
      <c r="D11" s="7">
        <f>output_NHTS!D268</f>
        <v>132000</v>
      </c>
      <c r="E11" s="7">
        <f>output_NHTS!E268</f>
        <v>218000</v>
      </c>
      <c r="F11" s="7">
        <f>output_NHTS!F268</f>
        <v>53000</v>
      </c>
      <c r="G11" s="7">
        <f>output_NHTS!G268</f>
        <v>52000</v>
      </c>
      <c r="H11" s="7"/>
      <c r="I11" s="7">
        <f>output_NHTS!H268</f>
        <v>153000</v>
      </c>
      <c r="J11" s="7">
        <f>output_NHTS!I268</f>
        <v>0</v>
      </c>
      <c r="K11" s="7">
        <f>output_NHTS!J268</f>
        <v>1344000</v>
      </c>
      <c r="L11" s="7"/>
      <c r="M11" s="3" t="s">
        <v>130</v>
      </c>
      <c r="N11" s="7">
        <f>output!B268</f>
        <v>384000</v>
      </c>
      <c r="O11" s="7">
        <f>output!C268</f>
        <v>128000</v>
      </c>
      <c r="P11" s="7">
        <f>output!D268</f>
        <v>132000</v>
      </c>
      <c r="Q11" s="7">
        <f>output!E268</f>
        <v>218000</v>
      </c>
      <c r="R11" s="7">
        <f>output!F268</f>
        <v>53000</v>
      </c>
      <c r="S11" s="7">
        <f>output!G268</f>
        <v>52000</v>
      </c>
      <c r="T11" s="7"/>
      <c r="U11" s="7">
        <f>output!H268</f>
        <v>153000</v>
      </c>
      <c r="V11" s="7">
        <f>output!I268</f>
        <v>0</v>
      </c>
      <c r="W11" s="7">
        <f>output!J268</f>
        <v>1120000</v>
      </c>
      <c r="Y11" s="3" t="s">
        <v>130</v>
      </c>
      <c r="Z11" s="7">
        <f si="0" t="shared"/>
        <v>0</v>
      </c>
      <c r="AA11" s="7">
        <f si="1" t="shared"/>
        <v>0</v>
      </c>
      <c r="AB11" s="7">
        <f si="2" t="shared"/>
        <v>0</v>
      </c>
      <c r="AC11" s="7">
        <f si="3" t="shared"/>
        <v>0</v>
      </c>
      <c r="AD11" s="7">
        <f si="4" t="shared"/>
        <v>0</v>
      </c>
      <c r="AE11" s="7">
        <f si="5" t="shared"/>
        <v>0</v>
      </c>
      <c r="AF11" s="7"/>
      <c r="AG11" s="7">
        <f si="6" t="shared"/>
        <v>0</v>
      </c>
      <c r="AH11" s="7">
        <f si="7" t="shared"/>
        <v>0</v>
      </c>
      <c r="AI11" s="7">
        <f si="8" t="shared"/>
        <v>-224000</v>
      </c>
    </row>
    <row customHeight="1" ht="12.75" r="12" spans="1:35" x14ac:dyDescent="0.35">
      <c r="A12" s="8" t="s">
        <v>145</v>
      </c>
      <c r="B12" s="7">
        <f>output_NHTS!B269</f>
        <v>1767000</v>
      </c>
      <c r="C12" s="7">
        <f>output_NHTS!C269</f>
        <v>519000</v>
      </c>
      <c r="D12" s="7">
        <f>output_NHTS!D269</f>
        <v>271000</v>
      </c>
      <c r="E12" s="7">
        <f>output_NHTS!E269</f>
        <v>574000</v>
      </c>
      <c r="F12" s="7">
        <f>output_NHTS!F269</f>
        <v>210000</v>
      </c>
      <c r="G12" s="7">
        <f>output_NHTS!G269</f>
        <v>290000</v>
      </c>
      <c r="H12" s="7"/>
      <c r="I12" s="7">
        <f>output_NHTS!H269</f>
        <v>735000</v>
      </c>
      <c r="J12" s="7">
        <f>output_NHTS!I269</f>
        <v>0</v>
      </c>
      <c r="K12" s="7">
        <f>output_NHTS!J269</f>
        <v>4366000</v>
      </c>
      <c r="L12" s="7"/>
      <c r="M12" s="8" t="s">
        <v>145</v>
      </c>
      <c r="N12" s="9">
        <f>output!B269</f>
        <v>1767000</v>
      </c>
      <c r="O12" s="9">
        <f>output!C269</f>
        <v>519000</v>
      </c>
      <c r="P12" s="9">
        <f>output!D269</f>
        <v>271000</v>
      </c>
      <c r="Q12" s="9">
        <f>output!E269</f>
        <v>574000</v>
      </c>
      <c r="R12" s="9">
        <f>output!F269</f>
        <v>210000</v>
      </c>
      <c r="S12" s="9">
        <f>output!G269</f>
        <v>290000</v>
      </c>
      <c r="T12" s="9"/>
      <c r="U12" s="9">
        <f>output!H269</f>
        <v>735000</v>
      </c>
      <c r="V12" s="9">
        <f>output!I269</f>
        <v>0</v>
      </c>
      <c r="W12" s="9">
        <f>output!J269</f>
        <v>4366000</v>
      </c>
      <c r="Y12" s="8" t="s">
        <v>145</v>
      </c>
      <c r="Z12" s="9">
        <f si="0" t="shared"/>
        <v>0</v>
      </c>
      <c r="AA12" s="9">
        <f si="1" t="shared"/>
        <v>0</v>
      </c>
      <c r="AB12" s="9">
        <f si="2" t="shared"/>
        <v>0</v>
      </c>
      <c r="AC12" s="9">
        <f si="3" t="shared"/>
        <v>0</v>
      </c>
      <c r="AD12" s="9">
        <f si="4" t="shared"/>
        <v>0</v>
      </c>
      <c r="AE12" s="9">
        <f si="5" t="shared"/>
        <v>0</v>
      </c>
      <c r="AF12" s="9"/>
      <c r="AG12" s="9">
        <f si="6" t="shared"/>
        <v>0</v>
      </c>
      <c r="AH12" s="9">
        <f si="7" t="shared"/>
        <v>0</v>
      </c>
      <c r="AI12" s="9">
        <f si="8" t="shared"/>
        <v>0</v>
      </c>
    </row>
    <row customHeight="1" ht="12.75" r="13" spans="1:35" thickBot="1" x14ac:dyDescent="0.4">
      <c r="A13" s="10" t="s">
        <v>223</v>
      </c>
      <c r="B13" s="11">
        <f ref="B13:K13" si="9" t="shared">SUM(B5:B12)</f>
        <v>5538000</v>
      </c>
      <c r="C13" s="11">
        <f si="9" t="shared"/>
        <v>1583000</v>
      </c>
      <c r="D13" s="11">
        <f si="9" t="shared"/>
        <v>813000</v>
      </c>
      <c r="E13" s="11">
        <f si="9" t="shared"/>
        <v>1754000</v>
      </c>
      <c r="F13" s="11">
        <f si="9" t="shared"/>
        <v>632000</v>
      </c>
      <c r="G13" s="11">
        <f si="9" t="shared"/>
        <v>784000</v>
      </c>
      <c r="H13" s="11"/>
      <c r="I13" s="11">
        <f si="9" t="shared"/>
        <v>1980000</v>
      </c>
      <c r="J13" s="11">
        <f si="9" t="shared"/>
        <v>0</v>
      </c>
      <c r="K13" s="11">
        <f si="9" t="shared"/>
        <v>14180800</v>
      </c>
      <c r="L13" s="7"/>
      <c r="M13" s="10" t="s">
        <v>223</v>
      </c>
      <c r="N13" s="11">
        <f ref="N13:W13" si="10" t="shared">SUM(N5:N12)</f>
        <v>5538000</v>
      </c>
      <c r="O13" s="11">
        <f si="10" t="shared"/>
        <v>1583000</v>
      </c>
      <c r="P13" s="11">
        <f si="10" t="shared"/>
        <v>813000</v>
      </c>
      <c r="Q13" s="11">
        <f si="10" t="shared"/>
        <v>1754000</v>
      </c>
      <c r="R13" s="11">
        <f si="10" t="shared"/>
        <v>632000</v>
      </c>
      <c r="S13" s="11">
        <f si="10" t="shared"/>
        <v>784000</v>
      </c>
      <c r="T13" s="11"/>
      <c r="U13" s="11">
        <f si="10" t="shared"/>
        <v>1980000</v>
      </c>
      <c r="V13" s="11">
        <f si="10" t="shared"/>
        <v>0</v>
      </c>
      <c r="W13" s="11">
        <f si="10" t="shared"/>
        <v>13084000</v>
      </c>
      <c r="Y13" s="10" t="s">
        <v>223</v>
      </c>
      <c r="Z13" s="11">
        <f si="0" t="shared"/>
        <v>0</v>
      </c>
      <c r="AA13" s="11">
        <f si="1" t="shared"/>
        <v>0</v>
      </c>
      <c r="AB13" s="11">
        <f si="2" t="shared"/>
        <v>0</v>
      </c>
      <c r="AC13" s="11">
        <f si="3" t="shared"/>
        <v>0</v>
      </c>
      <c r="AD13" s="11">
        <f si="4" t="shared"/>
        <v>0</v>
      </c>
      <c r="AE13" s="11">
        <f si="5" t="shared"/>
        <v>0</v>
      </c>
      <c r="AF13" s="11"/>
      <c r="AG13" s="11">
        <f si="6" t="shared"/>
        <v>0</v>
      </c>
      <c r="AH13" s="11">
        <f si="7" t="shared"/>
        <v>0</v>
      </c>
      <c r="AI13" s="11">
        <f si="8" t="shared"/>
        <v>-1096800</v>
      </c>
    </row>
    <row customHeight="1" ht="12.75" r="14" spans="1:35" x14ac:dyDescent="0.35"/>
    <row customHeight="1" ht="12.75" r="15" spans="1:35" x14ac:dyDescent="0.35">
      <c r="A15" s="25" t="s">
        <v>88</v>
      </c>
      <c r="B15" s="33">
        <f>ToursByTourPurpose!B15</f>
        <v>1234000</v>
      </c>
      <c r="C15" s="33">
        <f>ToursByTourPurpose!C15</f>
        <v>345000</v>
      </c>
      <c r="D15" s="33">
        <f>ToursByTourPurpose!D15</f>
        <v>314000</v>
      </c>
      <c r="E15" s="33">
        <f>ToursByTourPurpose!E15</f>
        <v>461000</v>
      </c>
      <c r="F15" s="33">
        <f>ToursByTourPurpose!F15</f>
        <v>145000</v>
      </c>
      <c r="G15" s="33">
        <f>ToursByTourPurpose!G15</f>
        <v>193000</v>
      </c>
      <c r="H15" s="33"/>
      <c r="I15" s="33">
        <f>ToursByTourPurpose!I15</f>
        <v>589000</v>
      </c>
      <c r="J15" s="33">
        <f>ToursByTourPurpose!J15</f>
        <v>0</v>
      </c>
      <c r="K15" s="33">
        <f>ToursByTourPurpose!K15</f>
        <v>3281000</v>
      </c>
      <c r="M15" s="25" t="s">
        <v>88</v>
      </c>
      <c r="N15" s="33">
        <f>ToursByTourPurpose!N15</f>
        <v>1234000</v>
      </c>
      <c r="O15" s="33">
        <f>ToursByTourPurpose!O15</f>
        <v>345000</v>
      </c>
      <c r="P15" s="33">
        <f>ToursByTourPurpose!P15</f>
        <v>314000</v>
      </c>
      <c r="Q15" s="33">
        <f>ToursByTourPurpose!Q15</f>
        <v>461000</v>
      </c>
      <c r="R15" s="33">
        <f>ToursByTourPurpose!R15</f>
        <v>145000</v>
      </c>
      <c r="S15" s="33">
        <f>ToursByTourPurpose!S15</f>
        <v>193000</v>
      </c>
      <c r="T15" s="33"/>
      <c r="U15" s="33">
        <f>ToursByTourPurpose!U15</f>
        <v>589000</v>
      </c>
      <c r="V15" s="33">
        <f>ToursByTourPurpose!V15</f>
        <v>0</v>
      </c>
      <c r="W15" s="33">
        <f>ToursByTourPurpose!W15</f>
        <v>3281000</v>
      </c>
      <c r="Y15" s="3" t="s">
        <v>88</v>
      </c>
      <c r="Z15" s="7">
        <f ref="Z15:AE16" si="11" t="shared">N15-B15</f>
        <v>0</v>
      </c>
      <c r="AA15" s="7">
        <f si="11" t="shared"/>
        <v>0</v>
      </c>
      <c r="AB15" s="7">
        <f si="11" t="shared"/>
        <v>0</v>
      </c>
      <c r="AC15" s="7">
        <f si="11" t="shared"/>
        <v>0</v>
      </c>
      <c r="AD15" s="7">
        <f si="11" t="shared"/>
        <v>0</v>
      </c>
      <c r="AE15" s="7">
        <f si="11" t="shared"/>
        <v>0</v>
      </c>
      <c r="AF15" s="7"/>
      <c r="AG15" s="7">
        <f ref="AG15:AI16" si="12" t="shared">U15-I15</f>
        <v>0</v>
      </c>
      <c r="AH15" s="7">
        <f si="12" t="shared"/>
        <v>0</v>
      </c>
      <c r="AI15" s="7">
        <f si="12" t="shared"/>
        <v>0</v>
      </c>
    </row>
    <row customHeight="1" ht="12.75" r="16" spans="1:35" x14ac:dyDescent="0.35">
      <c r="A16" s="25" t="s">
        <v>91</v>
      </c>
      <c r="B16" s="38">
        <f ref="B16:K16" si="13" t="shared">B13/B15</f>
        <v>4.4878444084278772</v>
      </c>
      <c r="C16" s="38">
        <f si="13" t="shared"/>
        <v>4.5884057971014496</v>
      </c>
      <c r="D16" s="38">
        <f si="13" t="shared"/>
        <v>2.589171974522293</v>
      </c>
      <c r="E16" s="38">
        <f si="13" t="shared"/>
        <v>3.8047722342733188</v>
      </c>
      <c r="F16" s="38">
        <f si="13" t="shared"/>
        <v>4.3586206896551722</v>
      </c>
      <c r="G16" s="38">
        <f si="13" t="shared"/>
        <v>4.062176165803109</v>
      </c>
      <c r="H16" s="38"/>
      <c r="I16" s="38">
        <f si="13" t="shared"/>
        <v>3.3616298811544993</v>
      </c>
      <c r="J16" s="38" t="e">
        <f si="13" t="shared"/>
        <v>#DIV/0!</v>
      </c>
      <c r="K16" s="38">
        <f si="13" t="shared"/>
        <v>4.3220969216702221</v>
      </c>
      <c r="M16" s="25" t="s">
        <v>91</v>
      </c>
      <c r="N16" s="38">
        <f ref="N16:W16" si="14" t="shared">N13/N15</f>
        <v>4.4878444084278772</v>
      </c>
      <c r="O16" s="38">
        <f si="14" t="shared"/>
        <v>4.5884057971014496</v>
      </c>
      <c r="P16" s="38">
        <f si="14" t="shared"/>
        <v>2.589171974522293</v>
      </c>
      <c r="Q16" s="38">
        <f si="14" t="shared"/>
        <v>3.8047722342733188</v>
      </c>
      <c r="R16" s="38">
        <f si="14" t="shared"/>
        <v>4.3586206896551722</v>
      </c>
      <c r="S16" s="38">
        <f si="14" t="shared"/>
        <v>4.062176165803109</v>
      </c>
      <c r="T16" s="38"/>
      <c r="U16" s="38">
        <f si="14" t="shared"/>
        <v>3.3616298811544993</v>
      </c>
      <c r="V16" s="38" t="e">
        <f si="14" t="shared"/>
        <v>#DIV/0!</v>
      </c>
      <c r="W16" s="38">
        <f si="14" t="shared"/>
        <v>3.9878085949405668</v>
      </c>
      <c r="Y16" s="3" t="s">
        <v>91</v>
      </c>
      <c r="Z16" s="38">
        <f si="11" t="shared"/>
        <v>0</v>
      </c>
      <c r="AA16" s="38">
        <f si="11" t="shared"/>
        <v>0</v>
      </c>
      <c r="AB16" s="38">
        <f si="11" t="shared"/>
        <v>0</v>
      </c>
      <c r="AC16" s="38">
        <f si="11" t="shared"/>
        <v>0</v>
      </c>
      <c r="AD16" s="38">
        <f si="11" t="shared"/>
        <v>0</v>
      </c>
      <c r="AE16" s="38">
        <f si="11" t="shared"/>
        <v>0</v>
      </c>
      <c r="AF16" s="38"/>
      <c r="AG16" s="38">
        <f si="12" t="shared"/>
        <v>0</v>
      </c>
      <c r="AH16" s="38" t="e">
        <f si="12" t="shared"/>
        <v>#DIV/0!</v>
      </c>
      <c r="AI16" s="38">
        <f si="12" t="shared"/>
        <v>-0.33428832672965525</v>
      </c>
    </row>
    <row customHeight="1" ht="12.75" r="17" spans="1:35" x14ac:dyDescent="0.35"/>
    <row customHeight="1" ht="12.75" r="18" spans="1:35" x14ac:dyDescent="0.4">
      <c r="A18" s="2" t="s">
        <v>175</v>
      </c>
      <c r="M18" s="2" t="s">
        <v>175</v>
      </c>
      <c r="Y18" s="2" t="s">
        <v>175</v>
      </c>
    </row>
    <row customHeight="1" ht="12.75" r="19" spans="1:35" x14ac:dyDescent="0.4">
      <c r="A19" s="2" t="s">
        <v>157</v>
      </c>
      <c r="M19" s="2" t="s">
        <v>164</v>
      </c>
      <c r="Y19" s="1397" t="s">
        <v>79</v>
      </c>
      <c r="Z19" s="1397"/>
      <c r="AA19" s="1397"/>
    </row>
    <row customHeight="1" ht="12.75" r="20" spans="1:35" thickBot="1" x14ac:dyDescent="0.4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4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245</v>
      </c>
      <c r="F21" s="6" t="s">
        <v>246</v>
      </c>
      <c r="G21" s="6" t="s">
        <v>247</v>
      </c>
      <c r="H21" s="6"/>
      <c r="I21" s="6" t="s">
        <v>248</v>
      </c>
      <c r="J21" s="6" t="s">
        <v>170</v>
      </c>
      <c r="K21" s="6" t="s">
        <v>223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245</v>
      </c>
      <c r="R21" s="6" t="s">
        <v>246</v>
      </c>
      <c r="S21" s="6" t="s">
        <v>247</v>
      </c>
      <c r="T21" s="6"/>
      <c r="U21" s="6" t="s">
        <v>248</v>
      </c>
      <c r="V21" s="6" t="s">
        <v>170</v>
      </c>
      <c r="W21" s="6" t="s">
        <v>223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245</v>
      </c>
      <c r="AD21" s="6" t="s">
        <v>246</v>
      </c>
      <c r="AE21" s="6" t="s">
        <v>247</v>
      </c>
      <c r="AF21" s="6"/>
      <c r="AG21" s="6" t="s">
        <v>248</v>
      </c>
      <c r="AH21" s="6" t="s">
        <v>170</v>
      </c>
      <c r="AI21" s="6" t="s">
        <v>223</v>
      </c>
    </row>
    <row customHeight="1" ht="12.75" r="22" spans="1:35" x14ac:dyDescent="0.35">
      <c r="A22" s="3" t="s">
        <v>211</v>
      </c>
      <c r="B22" s="12">
        <f ref="B22:K22" si="15" t="shared">B5/B$13</f>
        <v>0.32845792704947635</v>
      </c>
      <c r="C22" s="12">
        <f si="15" t="shared"/>
        <v>0.26152874289324068</v>
      </c>
      <c r="D22" s="12">
        <f si="15" t="shared"/>
        <v>0</v>
      </c>
      <c r="E22" s="12">
        <f si="15" t="shared"/>
        <v>0</v>
      </c>
      <c r="F22" s="12">
        <f si="15" t="shared"/>
        <v>9.0189873417721514E-2</v>
      </c>
      <c r="G22" s="12">
        <f si="15" t="shared"/>
        <v>2.8061224489795918E-2</v>
      </c>
      <c r="H22" s="12"/>
      <c r="I22" s="12">
        <f si="15" t="shared"/>
        <v>0</v>
      </c>
      <c r="J22" s="12" t="e">
        <f si="15" t="shared"/>
        <v>#DIV/0!</v>
      </c>
      <c r="K22" s="12">
        <f si="15" t="shared"/>
        <v>0.16303734627101432</v>
      </c>
      <c r="M22" s="3" t="s">
        <v>211</v>
      </c>
      <c r="N22" s="12">
        <f ref="N22:W22" si="16" t="shared">N5/N$13</f>
        <v>0.32845792704947635</v>
      </c>
      <c r="O22" s="12">
        <f si="16" t="shared"/>
        <v>0.26152874289324068</v>
      </c>
      <c r="P22" s="12">
        <f si="16" t="shared"/>
        <v>0</v>
      </c>
      <c r="Q22" s="12">
        <f si="16" t="shared"/>
        <v>0</v>
      </c>
      <c r="R22" s="12">
        <f si="16" t="shared"/>
        <v>9.0189873417721514E-2</v>
      </c>
      <c r="S22" s="12">
        <f si="16" t="shared"/>
        <v>2.8061224489795918E-2</v>
      </c>
      <c r="T22" s="12"/>
      <c r="U22" s="12">
        <f si="16" t="shared"/>
        <v>0</v>
      </c>
      <c r="V22" s="12" t="e">
        <f si="16" t="shared"/>
        <v>#DIV/0!</v>
      </c>
      <c r="W22" s="12">
        <f si="16" t="shared"/>
        <v>0.17670437175175788</v>
      </c>
      <c r="Y22" s="3" t="s">
        <v>211</v>
      </c>
      <c r="Z22" s="12">
        <f ref="Z22:Z30" si="17" t="shared">N22-B22</f>
        <v>0</v>
      </c>
      <c r="AA22" s="12">
        <f ref="AA22:AA30" si="18" t="shared">O22-C22</f>
        <v>0</v>
      </c>
      <c r="AB22" s="12">
        <f ref="AB22:AB30" si="19" t="shared">P22-D22</f>
        <v>0</v>
      </c>
      <c r="AC22" s="12">
        <f ref="AC22:AC30" si="20" t="shared">Q22-E22</f>
        <v>0</v>
      </c>
      <c r="AD22" s="12">
        <f ref="AD22:AD30" si="21" t="shared">R22-F22</f>
        <v>0</v>
      </c>
      <c r="AE22" s="12">
        <f ref="AE22:AE30" si="22" t="shared">S22-G22</f>
        <v>0</v>
      </c>
      <c r="AF22" s="12"/>
      <c r="AG22" s="12">
        <f ref="AG22:AG30" si="23" t="shared">U22-I22</f>
        <v>0</v>
      </c>
      <c r="AH22" s="12" t="e">
        <f ref="AH22:AH30" si="24" t="shared">V22-J22</f>
        <v>#DIV/0!</v>
      </c>
      <c r="AI22" s="12">
        <f ref="AI22:AI30" si="25" t="shared">W22-K22</f>
        <v>1.3667025480743555E-2</v>
      </c>
    </row>
    <row customHeight="1" ht="12.75" r="23" spans="1:35" x14ac:dyDescent="0.35">
      <c r="A23" s="3" t="s">
        <v>212</v>
      </c>
      <c r="B23" s="12">
        <f ref="B23:K23" si="26" t="shared">B6/B$13</f>
        <v>0</v>
      </c>
      <c r="C23" s="12">
        <f si="26" t="shared"/>
        <v>0</v>
      </c>
      <c r="D23" s="12">
        <f si="26" t="shared"/>
        <v>0</v>
      </c>
      <c r="E23" s="12">
        <f si="26" t="shared"/>
        <v>0</v>
      </c>
      <c r="F23" s="12">
        <f si="26" t="shared"/>
        <v>0.18829113924050633</v>
      </c>
      <c r="G23" s="12">
        <f si="26" t="shared"/>
        <v>0.27040816326530615</v>
      </c>
      <c r="H23" s="12"/>
      <c r="I23" s="12">
        <f si="26" t="shared"/>
        <v>0.29848484848484846</v>
      </c>
      <c r="J23" s="12" t="e">
        <f si="26" t="shared"/>
        <v>#DIV/0!</v>
      </c>
      <c r="K23" s="12">
        <f si="26" t="shared"/>
        <v>6.5017488435067133E-2</v>
      </c>
      <c r="M23" s="3" t="s">
        <v>212</v>
      </c>
      <c r="N23" s="12">
        <f ref="N23:W23" si="27" t="shared">N6/N$13</f>
        <v>0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0.18829113924050633</v>
      </c>
      <c r="S23" s="12">
        <f si="27" t="shared"/>
        <v>0.27040816326530615</v>
      </c>
      <c r="T23" s="12"/>
      <c r="U23" s="12">
        <f si="27" t="shared"/>
        <v>0.29848484848484846</v>
      </c>
      <c r="V23" s="12" t="e">
        <f si="27" t="shared"/>
        <v>#DIV/0!</v>
      </c>
      <c r="W23" s="12">
        <f si="27" t="shared"/>
        <v>7.0467746866401712E-2</v>
      </c>
      <c r="Y23" s="3" t="s">
        <v>212</v>
      </c>
      <c r="Z23" s="12">
        <f si="17" t="shared"/>
        <v>0</v>
      </c>
      <c r="AA23" s="12">
        <f si="18" t="shared"/>
        <v>0</v>
      </c>
      <c r="AB23" s="12">
        <f si="19" t="shared"/>
        <v>0</v>
      </c>
      <c r="AC23" s="12">
        <f si="20" t="shared"/>
        <v>0</v>
      </c>
      <c r="AD23" s="12">
        <f si="21" t="shared"/>
        <v>0</v>
      </c>
      <c r="AE23" s="12">
        <f si="22" t="shared"/>
        <v>0</v>
      </c>
      <c r="AF23" s="12"/>
      <c r="AG23" s="12">
        <f si="23" t="shared"/>
        <v>0</v>
      </c>
      <c r="AH23" s="12" t="e">
        <f si="24" t="shared"/>
        <v>#DIV/0!</v>
      </c>
      <c r="AI23" s="12">
        <f si="25" t="shared"/>
        <v>5.4502584313345787E-3</v>
      </c>
    </row>
    <row customHeight="1" ht="12.75" r="24" spans="1:35" x14ac:dyDescent="0.35">
      <c r="A24" s="3" t="s">
        <v>213</v>
      </c>
      <c r="B24" s="12">
        <f ref="B24:K24" si="28" t="shared">B7/B$13</f>
        <v>7.6561935716865301E-2</v>
      </c>
      <c r="C24" s="12">
        <f si="28" t="shared"/>
        <v>9.9178774478837647E-2</v>
      </c>
      <c r="D24" s="12">
        <f si="28" t="shared"/>
        <v>9.7170971709717099E-2</v>
      </c>
      <c r="E24" s="12">
        <f si="28" t="shared"/>
        <v>0.26567844925883694</v>
      </c>
      <c r="F24" s="12">
        <f si="28" t="shared"/>
        <v>0.11708860759493671</v>
      </c>
      <c r="G24" s="12">
        <f si="28" t="shared"/>
        <v>4.8469387755102039E-2</v>
      </c>
      <c r="H24" s="12"/>
      <c r="I24" s="12">
        <f si="28" t="shared"/>
        <v>7.7777777777777779E-2</v>
      </c>
      <c r="J24" s="12" t="e">
        <f si="28" t="shared"/>
        <v>#DIV/0!</v>
      </c>
      <c r="K24" s="12">
        <f si="28" t="shared"/>
        <v>0.11779307232314115</v>
      </c>
      <c r="M24" s="3" t="s">
        <v>213</v>
      </c>
      <c r="N24" s="12">
        <f ref="N24:W24" si="29" t="shared">N7/N$13</f>
        <v>7.6561935716865301E-2</v>
      </c>
      <c r="O24" s="12">
        <f si="29" t="shared"/>
        <v>9.9178774478837647E-2</v>
      </c>
      <c r="P24" s="12">
        <f si="29" t="shared"/>
        <v>9.7170971709717099E-2</v>
      </c>
      <c r="Q24" s="12">
        <f si="29" t="shared"/>
        <v>0.26567844925883694</v>
      </c>
      <c r="R24" s="12">
        <f si="29" t="shared"/>
        <v>0.11708860759493671</v>
      </c>
      <c r="S24" s="12">
        <f si="29" t="shared"/>
        <v>4.8469387755102039E-2</v>
      </c>
      <c r="T24" s="12"/>
      <c r="U24" s="12">
        <f si="29" t="shared"/>
        <v>7.7777777777777779E-2</v>
      </c>
      <c r="V24" s="12" t="e">
        <f si="29" t="shared"/>
        <v>#DIV/0!</v>
      </c>
      <c r="W24" s="12">
        <f si="29" t="shared"/>
        <v>0.10638948333842861</v>
      </c>
      <c r="Y24" s="3" t="s">
        <v>213</v>
      </c>
      <c r="Z24" s="12">
        <f si="17" t="shared"/>
        <v>0</v>
      </c>
      <c r="AA24" s="12">
        <f si="18" t="shared"/>
        <v>0</v>
      </c>
      <c r="AB24" s="12">
        <f si="19" t="shared"/>
        <v>0</v>
      </c>
      <c r="AC24" s="12">
        <f si="20" t="shared"/>
        <v>0</v>
      </c>
      <c r="AD24" s="12">
        <f si="21" t="shared"/>
        <v>0</v>
      </c>
      <c r="AE24" s="12">
        <f si="22" t="shared"/>
        <v>0</v>
      </c>
      <c r="AF24" s="12"/>
      <c r="AG24" s="12">
        <f si="23" t="shared"/>
        <v>0</v>
      </c>
      <c r="AH24" s="12" t="e">
        <f si="24" t="shared"/>
        <v>#DIV/0!</v>
      </c>
      <c r="AI24" s="12">
        <f si="25" t="shared"/>
        <v>-1.140358898471254E-2</v>
      </c>
    </row>
    <row customHeight="1" ht="12.75" r="25" spans="1:35" x14ac:dyDescent="0.35">
      <c r="A25" s="3" t="s">
        <v>214</v>
      </c>
      <c r="B25" s="12">
        <f ref="B25:K25" si="30" t="shared">B8/B$13</f>
        <v>9.8591549295774641E-2</v>
      </c>
      <c r="C25" s="12">
        <f si="30" t="shared"/>
        <v>0.11307643714466203</v>
      </c>
      <c r="D25" s="12">
        <f si="30" t="shared"/>
        <v>0.22017220172201721</v>
      </c>
      <c r="E25" s="12">
        <f si="30" t="shared"/>
        <v>0.16989737742303307</v>
      </c>
      <c r="F25" s="12">
        <f si="30" t="shared"/>
        <v>8.5443037974683542E-2</v>
      </c>
      <c r="G25" s="12">
        <f si="30" t="shared"/>
        <v>0.12244897959183673</v>
      </c>
      <c r="H25" s="12"/>
      <c r="I25" s="12">
        <f si="30" t="shared"/>
        <v>9.1919191919191914E-2</v>
      </c>
      <c r="J25" s="12" t="e">
        <f si="30" t="shared"/>
        <v>#DIV/0!</v>
      </c>
      <c r="K25" s="12">
        <f si="30" t="shared"/>
        <v>0.12980931964346157</v>
      </c>
      <c r="M25" s="3" t="s">
        <v>214</v>
      </c>
      <c r="N25" s="12">
        <f ref="N25:W25" si="31" t="shared">N8/N$13</f>
        <v>9.8591549295774641E-2</v>
      </c>
      <c r="O25" s="12">
        <f si="31" t="shared"/>
        <v>0.11307643714466203</v>
      </c>
      <c r="P25" s="12">
        <f si="31" t="shared"/>
        <v>0.22017220172201721</v>
      </c>
      <c r="Q25" s="12">
        <f si="31" t="shared"/>
        <v>0.16989737742303307</v>
      </c>
      <c r="R25" s="12">
        <f si="31" t="shared"/>
        <v>8.5443037974683542E-2</v>
      </c>
      <c r="S25" s="12">
        <f si="31" t="shared"/>
        <v>0.12244897959183673</v>
      </c>
      <c r="T25" s="12"/>
      <c r="U25" s="12">
        <f si="31" t="shared"/>
        <v>9.1919191919191914E-2</v>
      </c>
      <c r="V25" s="12" t="e">
        <f si="31" t="shared"/>
        <v>#DIV/0!</v>
      </c>
      <c r="W25" s="12">
        <f si="31" t="shared"/>
        <v>0.11724243350657292</v>
      </c>
      <c r="Y25" s="3" t="s">
        <v>214</v>
      </c>
      <c r="Z25" s="12">
        <f si="17" t="shared"/>
        <v>0</v>
      </c>
      <c r="AA25" s="12">
        <f si="18" t="shared"/>
        <v>0</v>
      </c>
      <c r="AB25" s="12">
        <f si="19" t="shared"/>
        <v>0</v>
      </c>
      <c r="AC25" s="12">
        <f si="20" t="shared"/>
        <v>0</v>
      </c>
      <c r="AD25" s="12">
        <f si="21" t="shared"/>
        <v>0</v>
      </c>
      <c r="AE25" s="12">
        <f si="22" t="shared"/>
        <v>0</v>
      </c>
      <c r="AF25" s="12"/>
      <c r="AG25" s="12">
        <f si="23" t="shared"/>
        <v>0</v>
      </c>
      <c r="AH25" s="12" t="e">
        <f si="24" t="shared"/>
        <v>#DIV/0!</v>
      </c>
      <c r="AI25" s="12">
        <f si="25" t="shared"/>
        <v>-1.2566886136888653E-2</v>
      </c>
    </row>
    <row customHeight="1" ht="12.75" r="26" spans="1:35" x14ac:dyDescent="0.35">
      <c r="A26" s="3" t="s">
        <v>215</v>
      </c>
      <c r="B26" s="12">
        <f ref="B26:K26" si="32" t="shared">B9/B$13</f>
        <v>4.4781509570241962E-2</v>
      </c>
      <c r="C26" s="12">
        <f si="32" t="shared"/>
        <v>5.6854074542008845E-2</v>
      </c>
      <c r="D26" s="12">
        <f si="32" t="shared"/>
        <v>9.8400984009840098E-2</v>
      </c>
      <c r="E26" s="12">
        <f si="32" t="shared"/>
        <v>6.2143671607753706E-2</v>
      </c>
      <c r="F26" s="12">
        <f si="32" t="shared"/>
        <v>4.1139240506329111E-2</v>
      </c>
      <c r="G26" s="12">
        <f si="32" t="shared"/>
        <v>3.1887755102040817E-2</v>
      </c>
      <c r="H26" s="12"/>
      <c r="I26" s="12">
        <f si="32" t="shared"/>
        <v>4.3939393939393938E-2</v>
      </c>
      <c r="J26" s="12" t="e">
        <f si="32" t="shared"/>
        <v>#DIV/0!</v>
      </c>
      <c r="K26" s="12">
        <f si="32" t="shared"/>
        <v>5.6273270901500617E-2</v>
      </c>
      <c r="M26" s="3" t="s">
        <v>215</v>
      </c>
      <c r="N26" s="12">
        <f ref="N26:W26" si="33" t="shared">N9/N$13</f>
        <v>4.4781509570241962E-2</v>
      </c>
      <c r="O26" s="12">
        <f si="33" t="shared"/>
        <v>5.6854074542008845E-2</v>
      </c>
      <c r="P26" s="12">
        <f si="33" t="shared"/>
        <v>9.8400984009840098E-2</v>
      </c>
      <c r="Q26" s="12">
        <f si="33" t="shared"/>
        <v>6.2143671607753706E-2</v>
      </c>
      <c r="R26" s="12">
        <f si="33" t="shared"/>
        <v>4.1139240506329111E-2</v>
      </c>
      <c r="S26" s="12">
        <f si="33" t="shared"/>
        <v>3.1887755102040817E-2</v>
      </c>
      <c r="T26" s="12"/>
      <c r="U26" s="12">
        <f si="33" t="shared"/>
        <v>4.3939393939393938E-2</v>
      </c>
      <c r="V26" s="12" t="e">
        <f si="33" t="shared"/>
        <v>#DIV/0!</v>
      </c>
      <c r="W26" s="12">
        <f si="33" t="shared"/>
        <v>5.0825435646591255E-2</v>
      </c>
      <c r="Y26" s="3" t="s">
        <v>215</v>
      </c>
      <c r="Z26" s="12">
        <f si="17" t="shared"/>
        <v>0</v>
      </c>
      <c r="AA26" s="12">
        <f si="18" t="shared"/>
        <v>0</v>
      </c>
      <c r="AB26" s="12">
        <f si="19" t="shared"/>
        <v>0</v>
      </c>
      <c r="AC26" s="12">
        <f si="20" t="shared"/>
        <v>0</v>
      </c>
      <c r="AD26" s="12">
        <f si="21" t="shared"/>
        <v>0</v>
      </c>
      <c r="AE26" s="12">
        <f si="22" t="shared"/>
        <v>0</v>
      </c>
      <c r="AF26" s="12"/>
      <c r="AG26" s="12">
        <f si="23" t="shared"/>
        <v>0</v>
      </c>
      <c r="AH26" s="12" t="e">
        <f si="24" t="shared"/>
        <v>#DIV/0!</v>
      </c>
      <c r="AI26" s="12">
        <f si="25" t="shared"/>
        <v>-5.4478352549093625E-3</v>
      </c>
    </row>
    <row customHeight="1" ht="12.75" r="27" spans="1:35" x14ac:dyDescent="0.35">
      <c r="A27" s="3" t="s">
        <v>129</v>
      </c>
      <c r="B27" s="12">
        <f ref="B27:K27" si="34" t="shared">B10/B$13</f>
        <v>6.3199711087035038E-2</v>
      </c>
      <c r="C27" s="12">
        <f si="34" t="shared"/>
        <v>6.0644346178142766E-2</v>
      </c>
      <c r="D27" s="12">
        <f si="34" t="shared"/>
        <v>8.8560885608856083E-2</v>
      </c>
      <c r="E27" s="12">
        <f si="34" t="shared"/>
        <v>5.0741163055872292E-2</v>
      </c>
      <c r="F27" s="12">
        <f si="34" t="shared"/>
        <v>6.1708860759493674E-2</v>
      </c>
      <c r="G27" s="12">
        <f si="34" t="shared"/>
        <v>6.25E-2</v>
      </c>
      <c r="H27" s="12"/>
      <c r="I27" s="12">
        <f si="34" t="shared"/>
        <v>3.9393939393939391E-2</v>
      </c>
      <c r="J27" s="12" t="e">
        <f si="34" t="shared"/>
        <v>#DIV/0!</v>
      </c>
      <c r="K27" s="12">
        <f si="34" t="shared"/>
        <v>6.5412388581744335E-2</v>
      </c>
      <c r="M27" s="3" t="s">
        <v>129</v>
      </c>
      <c r="N27" s="12">
        <f ref="N27:W27" si="35" t="shared">N10/N$13</f>
        <v>6.3199711087035038E-2</v>
      </c>
      <c r="O27" s="12">
        <f si="35" t="shared"/>
        <v>6.0644346178142766E-2</v>
      </c>
      <c r="P27" s="12">
        <f si="35" t="shared"/>
        <v>8.8560885608856083E-2</v>
      </c>
      <c r="Q27" s="12">
        <f si="35" t="shared"/>
        <v>5.0741163055872292E-2</v>
      </c>
      <c r="R27" s="12">
        <f si="35" t="shared"/>
        <v>6.1708860759493674E-2</v>
      </c>
      <c r="S27" s="12">
        <f si="35" t="shared"/>
        <v>6.25E-2</v>
      </c>
      <c r="T27" s="12"/>
      <c r="U27" s="12">
        <f si="35" t="shared"/>
        <v>3.9393939393939391E-2</v>
      </c>
      <c r="V27" s="12" t="e">
        <f si="35" t="shared"/>
        <v>#DIV/0!</v>
      </c>
      <c r="W27" s="12">
        <f si="35" t="shared"/>
        <v>5.9079792112503825E-2</v>
      </c>
      <c r="Y27" s="3" t="s">
        <v>129</v>
      </c>
      <c r="Z27" s="12">
        <f si="17" t="shared"/>
        <v>0</v>
      </c>
      <c r="AA27" s="12">
        <f si="18" t="shared"/>
        <v>0</v>
      </c>
      <c r="AB27" s="12">
        <f si="19" t="shared"/>
        <v>0</v>
      </c>
      <c r="AC27" s="12">
        <f si="20" t="shared"/>
        <v>0</v>
      </c>
      <c r="AD27" s="12">
        <f si="21" t="shared"/>
        <v>0</v>
      </c>
      <c r="AE27" s="12">
        <f si="22" t="shared"/>
        <v>0</v>
      </c>
      <c r="AF27" s="12"/>
      <c r="AG27" s="12">
        <f si="23" t="shared"/>
        <v>0</v>
      </c>
      <c r="AH27" s="12" t="e">
        <f si="24" t="shared"/>
        <v>#DIV/0!</v>
      </c>
      <c r="AI27" s="12">
        <f si="25" t="shared"/>
        <v>-6.3325964692405104E-3</v>
      </c>
    </row>
    <row customHeight="1" ht="12.75" r="28" spans="1:35" x14ac:dyDescent="0.35">
      <c r="A28" s="3" t="s">
        <v>130</v>
      </c>
      <c r="B28" s="12">
        <f ref="B28:K28" si="36" t="shared">B11/B$13</f>
        <v>6.9339111592632716E-2</v>
      </c>
      <c r="C28" s="12">
        <f si="36" t="shared"/>
        <v>8.0859128237523684E-2</v>
      </c>
      <c r="D28" s="12">
        <f si="36" t="shared"/>
        <v>0.16236162361623616</v>
      </c>
      <c r="E28" s="12">
        <f si="36" t="shared"/>
        <v>0.12428734321550741</v>
      </c>
      <c r="F28" s="12">
        <f si="36" t="shared"/>
        <v>8.3860759493670889E-2</v>
      </c>
      <c r="G28" s="12">
        <f si="36" t="shared"/>
        <v>6.6326530612244902E-2</v>
      </c>
      <c r="H28" s="12"/>
      <c r="I28" s="12">
        <f si="36" t="shared"/>
        <v>7.7272727272727271E-2</v>
      </c>
      <c r="J28" s="12" t="e">
        <f si="36" t="shared"/>
        <v>#DIV/0!</v>
      </c>
      <c r="K28" s="12">
        <f si="36" t="shared"/>
        <v>9.4776035202527364E-2</v>
      </c>
      <c r="M28" s="3" t="s">
        <v>130</v>
      </c>
      <c r="N28" s="12">
        <f ref="N28:W28" si="37" t="shared">N11/N$13</f>
        <v>6.9339111592632716E-2</v>
      </c>
      <c r="O28" s="12">
        <f si="37" t="shared"/>
        <v>8.0859128237523684E-2</v>
      </c>
      <c r="P28" s="12">
        <f si="37" t="shared"/>
        <v>0.16236162361623616</v>
      </c>
      <c r="Q28" s="12">
        <f si="37" t="shared"/>
        <v>0.12428734321550741</v>
      </c>
      <c r="R28" s="12">
        <f si="37" t="shared"/>
        <v>8.3860759493670889E-2</v>
      </c>
      <c r="S28" s="12">
        <f si="37" t="shared"/>
        <v>6.6326530612244902E-2</v>
      </c>
      <c r="T28" s="12"/>
      <c r="U28" s="12">
        <f si="37" t="shared"/>
        <v>7.7272727272727271E-2</v>
      </c>
      <c r="V28" s="12" t="e">
        <f si="37" t="shared"/>
        <v>#DIV/0!</v>
      </c>
      <c r="W28" s="12">
        <f si="37" t="shared"/>
        <v>8.5600733720574751E-2</v>
      </c>
      <c r="Y28" s="3" t="s">
        <v>130</v>
      </c>
      <c r="Z28" s="12">
        <f si="17" t="shared"/>
        <v>0</v>
      </c>
      <c r="AA28" s="12">
        <f si="18" t="shared"/>
        <v>0</v>
      </c>
      <c r="AB28" s="12">
        <f si="19" t="shared"/>
        <v>0</v>
      </c>
      <c r="AC28" s="12">
        <f si="20" t="shared"/>
        <v>0</v>
      </c>
      <c r="AD28" s="12">
        <f si="21" t="shared"/>
        <v>0</v>
      </c>
      <c r="AE28" s="12">
        <f si="22" t="shared"/>
        <v>0</v>
      </c>
      <c r="AF28" s="12"/>
      <c r="AG28" s="12">
        <f si="23" t="shared"/>
        <v>0</v>
      </c>
      <c r="AH28" s="12" t="e">
        <f si="24" t="shared"/>
        <v>#DIV/0!</v>
      </c>
      <c r="AI28" s="12">
        <f si="25" t="shared"/>
        <v>-9.1753014819526135E-3</v>
      </c>
    </row>
    <row customHeight="1" ht="12.75" r="29" spans="1:35" x14ac:dyDescent="0.35">
      <c r="A29" s="8" t="s">
        <v>145</v>
      </c>
      <c r="B29" s="13">
        <f ref="B29:K29" si="38" t="shared">B12/B$13</f>
        <v>0.31906825568797398</v>
      </c>
      <c r="C29" s="13">
        <f si="38" t="shared"/>
        <v>0.32785849652558435</v>
      </c>
      <c r="D29" s="13">
        <f si="38" t="shared"/>
        <v>0.33333333333333331</v>
      </c>
      <c r="E29" s="13">
        <f si="38" t="shared"/>
        <v>0.32725199543899658</v>
      </c>
      <c r="F29" s="13">
        <f si="38" t="shared"/>
        <v>0.33227848101265822</v>
      </c>
      <c r="G29" s="13">
        <f si="38" t="shared"/>
        <v>0.36989795918367346</v>
      </c>
      <c r="H29" s="13"/>
      <c r="I29" s="13">
        <f si="38" t="shared"/>
        <v>0.37121212121212122</v>
      </c>
      <c r="J29" s="13" t="e">
        <f si="38" t="shared"/>
        <v>#DIV/0!</v>
      </c>
      <c r="K29" s="13">
        <f si="38" t="shared"/>
        <v>0.30788107864154352</v>
      </c>
      <c r="M29" s="8" t="s">
        <v>145</v>
      </c>
      <c r="N29" s="13">
        <f ref="N29:W29" si="39" t="shared">N12/N$13</f>
        <v>0.31906825568797398</v>
      </c>
      <c r="O29" s="13">
        <f si="39" t="shared"/>
        <v>0.32785849652558435</v>
      </c>
      <c r="P29" s="13">
        <f si="39" t="shared"/>
        <v>0.33333333333333331</v>
      </c>
      <c r="Q29" s="13">
        <f si="39" t="shared"/>
        <v>0.32725199543899658</v>
      </c>
      <c r="R29" s="13">
        <f si="39" t="shared"/>
        <v>0.33227848101265822</v>
      </c>
      <c r="S29" s="13">
        <f si="39" t="shared"/>
        <v>0.36989795918367346</v>
      </c>
      <c r="T29" s="13"/>
      <c r="U29" s="13">
        <f si="39" t="shared"/>
        <v>0.37121212121212122</v>
      </c>
      <c r="V29" s="13" t="e">
        <f si="39" t="shared"/>
        <v>#DIV/0!</v>
      </c>
      <c r="W29" s="13">
        <f si="39" t="shared"/>
        <v>0.33369000305716906</v>
      </c>
      <c r="Y29" s="8" t="s">
        <v>145</v>
      </c>
      <c r="Z29" s="12">
        <f si="17" t="shared"/>
        <v>0</v>
      </c>
      <c r="AA29" s="12">
        <f si="18" t="shared"/>
        <v>0</v>
      </c>
      <c r="AB29" s="12">
        <f si="19" t="shared"/>
        <v>0</v>
      </c>
      <c r="AC29" s="12">
        <f si="20" t="shared"/>
        <v>0</v>
      </c>
      <c r="AD29" s="12">
        <f si="21" t="shared"/>
        <v>0</v>
      </c>
      <c r="AE29" s="12">
        <f si="22" t="shared"/>
        <v>0</v>
      </c>
      <c r="AF29" s="12"/>
      <c r="AG29" s="12">
        <f si="23" t="shared"/>
        <v>0</v>
      </c>
      <c r="AH29" s="12" t="e">
        <f si="24" t="shared"/>
        <v>#DIV/0!</v>
      </c>
      <c r="AI29" s="12">
        <f si="25" t="shared"/>
        <v>2.5808924415625545E-2</v>
      </c>
    </row>
    <row customHeight="1" ht="12.75" r="30" spans="1:35" thickBot="1" x14ac:dyDescent="0.4">
      <c r="A30" s="10" t="s">
        <v>223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 t="e">
        <f si="40" t="shared"/>
        <v>#DIV/0!</v>
      </c>
      <c r="K30" s="14">
        <f si="40" t="shared"/>
        <v>1</v>
      </c>
      <c r="M30" s="10" t="s">
        <v>223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 t="e">
        <f si="41" t="shared"/>
        <v>#DIV/0!</v>
      </c>
      <c r="W30" s="14">
        <f si="41" t="shared"/>
        <v>1</v>
      </c>
      <c r="Y30" s="10" t="s">
        <v>223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 t="e">
        <f si="24" t="shared"/>
        <v>#DIV/0!</v>
      </c>
      <c r="AI30" s="14">
        <f si="25" t="shared"/>
        <v>0</v>
      </c>
    </row>
    <row customHeight="1" ht="12.75" r="31" spans="1:35" x14ac:dyDescent="0.35"/>
    <row customHeight="1" ht="12.75" r="32" spans="1:35" x14ac:dyDescent="0.35"/>
    <row customHeight="1" ht="12.75" r="33" spans="1:32" x14ac:dyDescent="0.35"/>
    <row customHeight="1" ht="12.75" r="34" spans="1:32" x14ac:dyDescent="0.35"/>
    <row customHeight="1" ht="12.75" r="35" spans="1:32" x14ac:dyDescent="0.4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4">
      <c r="A36" s="2" t="s">
        <v>276</v>
      </c>
      <c r="I36"/>
      <c r="M36" s="2" t="s">
        <v>127</v>
      </c>
      <c r="Y36" s="1397" t="s">
        <v>80</v>
      </c>
      <c r="Z36" s="1397"/>
      <c r="AA36" s="1397"/>
    </row>
    <row customHeight="1" ht="12.75" r="37" spans="1:32" thickBot="1" x14ac:dyDescent="0.4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4">
      <c r="A38" s="5" t="s">
        <v>144</v>
      </c>
      <c r="B38" s="32" t="s">
        <v>298</v>
      </c>
      <c r="C38" s="32" t="s">
        <v>299</v>
      </c>
      <c r="D38" s="32" t="s">
        <v>300</v>
      </c>
      <c r="E38" s="32" t="s">
        <v>303</v>
      </c>
      <c r="F38" s="32" t="s">
        <v>172</v>
      </c>
      <c r="G38" s="32" t="s">
        <v>223</v>
      </c>
      <c r="H38" s="89"/>
      <c r="I38"/>
      <c r="M38" s="5" t="s">
        <v>144</v>
      </c>
      <c r="N38" s="32" t="s">
        <v>298</v>
      </c>
      <c r="O38" s="32" t="s">
        <v>299</v>
      </c>
      <c r="P38" s="32" t="s">
        <v>300</v>
      </c>
      <c r="Q38" s="32" t="s">
        <v>303</v>
      </c>
      <c r="R38" s="32" t="s">
        <v>172</v>
      </c>
      <c r="S38" s="32" t="s">
        <v>223</v>
      </c>
      <c r="T38" s="89"/>
      <c r="Y38" s="5" t="s">
        <v>144</v>
      </c>
      <c r="Z38" s="32" t="s">
        <v>298</v>
      </c>
      <c r="AA38" s="32" t="s">
        <v>299</v>
      </c>
      <c r="AB38" s="32" t="s">
        <v>300</v>
      </c>
      <c r="AC38" s="32" t="s">
        <v>303</v>
      </c>
      <c r="AD38" s="32" t="s">
        <v>172</v>
      </c>
      <c r="AE38" s="32" t="s">
        <v>223</v>
      </c>
      <c r="AF38" s="89"/>
    </row>
    <row customHeight="1" ht="12.75" r="39" spans="1:32" x14ac:dyDescent="0.35">
      <c r="A39" s="3" t="s">
        <v>211</v>
      </c>
      <c r="B39" s="7">
        <f>output_NHTS!B273</f>
        <v>59000</v>
      </c>
      <c r="C39" s="7">
        <f>output_NHTS!C273</f>
        <v>531000</v>
      </c>
      <c r="D39" s="7">
        <f>output_NHTS!D273</f>
        <v>474000</v>
      </c>
      <c r="E39" s="7">
        <f>output_NHTS!E273</f>
        <v>1248000</v>
      </c>
      <c r="F39" s="7"/>
      <c r="G39" s="7">
        <f>SUM(B39:E39)</f>
        <v>2312000</v>
      </c>
      <c r="H39" s="7"/>
      <c r="I39"/>
      <c r="M39" s="3" t="s">
        <v>211</v>
      </c>
      <c r="N39" s="7">
        <f>output!B273</f>
        <v>59000</v>
      </c>
      <c r="O39" s="7">
        <f>output!C273</f>
        <v>531000</v>
      </c>
      <c r="P39" s="7">
        <f>output!D273</f>
        <v>474000</v>
      </c>
      <c r="Q39" s="7">
        <f>output!E273</f>
        <v>1248000</v>
      </c>
      <c r="R39" s="7"/>
      <c r="S39" s="7">
        <f>SUM(N39:Q39)</f>
        <v>2312000</v>
      </c>
      <c r="T39" s="7"/>
      <c r="Y39" s="3" t="s">
        <v>211</v>
      </c>
      <c r="Z39" s="7">
        <f ref="Z39:Z47" si="42" t="shared">N39-B39</f>
        <v>0</v>
      </c>
      <c r="AA39" s="7">
        <f ref="AA39:AA47" si="43" t="shared">O39-C39</f>
        <v>0</v>
      </c>
      <c r="AB39" s="7">
        <f ref="AB39:AB47" si="44" t="shared">P39-D39</f>
        <v>0</v>
      </c>
      <c r="AC39" s="7">
        <f ref="AC39:AC47" si="45" t="shared">Q39-E39</f>
        <v>0</v>
      </c>
      <c r="AD39" s="7">
        <f ref="AD39:AD47" si="46" t="shared">R39-F39</f>
        <v>0</v>
      </c>
      <c r="AE39" s="7">
        <f ref="AE39:AE47" si="47" t="shared">S39-G39</f>
        <v>0</v>
      </c>
      <c r="AF39" s="7"/>
    </row>
    <row customHeight="1" ht="12.75" r="40" spans="1:32" x14ac:dyDescent="0.35">
      <c r="A40" s="3" t="s">
        <v>212</v>
      </c>
      <c r="B40" s="7">
        <f>output_NHTS!B274</f>
        <v>57000</v>
      </c>
      <c r="C40" s="7">
        <f>output_NHTS!C274</f>
        <v>209000</v>
      </c>
      <c r="D40" s="7">
        <f>output_NHTS!D274</f>
        <v>209000</v>
      </c>
      <c r="E40" s="7">
        <f>output_NHTS!E274</f>
        <v>447000</v>
      </c>
      <c r="F40" s="7"/>
      <c r="G40" s="7">
        <f ref="G40:G47" si="48" t="shared">SUM(B40:E40)</f>
        <v>922000</v>
      </c>
      <c r="H40" s="7"/>
      <c r="I40"/>
      <c r="M40" s="3" t="s">
        <v>212</v>
      </c>
      <c r="N40" s="7">
        <f>output!B274</f>
        <v>57000</v>
      </c>
      <c r="O40" s="7">
        <f>output!C274</f>
        <v>209000</v>
      </c>
      <c r="P40" s="7">
        <f>output!D274</f>
        <v>209000</v>
      </c>
      <c r="Q40" s="7">
        <f>output!E274</f>
        <v>447000</v>
      </c>
      <c r="R40" s="7"/>
      <c r="S40" s="7">
        <f ref="S40:S47" si="49" t="shared">SUM(N40:Q40)</f>
        <v>922000</v>
      </c>
      <c r="T40" s="7"/>
      <c r="Y40" s="3" t="s">
        <v>212</v>
      </c>
      <c r="Z40" s="7">
        <f si="42" t="shared"/>
        <v>0</v>
      </c>
      <c r="AA40" s="7">
        <f si="43" t="shared"/>
        <v>0</v>
      </c>
      <c r="AB40" s="7">
        <f si="44" t="shared"/>
        <v>0</v>
      </c>
      <c r="AC40" s="7">
        <f si="45" t="shared"/>
        <v>0</v>
      </c>
      <c r="AD40" s="7">
        <f si="46" t="shared"/>
        <v>0</v>
      </c>
      <c r="AE40" s="7">
        <f si="47" t="shared"/>
        <v>0</v>
      </c>
      <c r="AF40" s="7"/>
    </row>
    <row customHeight="1" ht="12.75" r="41" spans="1:32" x14ac:dyDescent="0.35">
      <c r="A41" s="3" t="s">
        <v>213</v>
      </c>
      <c r="B41" s="7">
        <f>output_NHTS!B275</f>
        <v>67000</v>
      </c>
      <c r="C41" s="7">
        <f>output_NHTS!C275</f>
        <v>310000</v>
      </c>
      <c r="D41" s="7">
        <f>output_NHTS!D275</f>
        <v>313000</v>
      </c>
      <c r="E41" s="7">
        <f>output_NHTS!E275</f>
        <v>702000</v>
      </c>
      <c r="F41" s="7"/>
      <c r="G41" s="7">
        <f si="48" t="shared"/>
        <v>1392000</v>
      </c>
      <c r="H41" s="7"/>
      <c r="I41"/>
      <c r="M41" s="3" t="s">
        <v>213</v>
      </c>
      <c r="N41" s="7">
        <f>output!B275</f>
        <v>67000</v>
      </c>
      <c r="O41" s="7">
        <f>output!C275</f>
        <v>310000</v>
      </c>
      <c r="P41" s="7">
        <f>output!D275</f>
        <v>313000</v>
      </c>
      <c r="Q41" s="7">
        <f>output!E275</f>
        <v>702000</v>
      </c>
      <c r="R41" s="7"/>
      <c r="S41" s="7">
        <f si="49" t="shared"/>
        <v>1392000</v>
      </c>
      <c r="T41" s="7"/>
      <c r="Y41" s="3" t="s">
        <v>213</v>
      </c>
      <c r="Z41" s="7">
        <f si="42" t="shared"/>
        <v>0</v>
      </c>
      <c r="AA41" s="7">
        <f si="43" t="shared"/>
        <v>0</v>
      </c>
      <c r="AB41" s="7">
        <f si="44" t="shared"/>
        <v>0</v>
      </c>
      <c r="AC41" s="7">
        <f si="45" t="shared"/>
        <v>0</v>
      </c>
      <c r="AD41" s="7">
        <f si="46" t="shared"/>
        <v>0</v>
      </c>
      <c r="AE41" s="7">
        <f si="47" t="shared"/>
        <v>0</v>
      </c>
      <c r="AF41" s="7"/>
    </row>
    <row customHeight="1" ht="12.75" r="42" spans="1:32" x14ac:dyDescent="0.35">
      <c r="A42" s="3" t="s">
        <v>214</v>
      </c>
      <c r="B42" s="7">
        <f>output_NHTS!B276</f>
        <v>57000</v>
      </c>
      <c r="C42" s="7">
        <f>output_NHTS!C276</f>
        <v>308000</v>
      </c>
      <c r="D42" s="7">
        <f>output_NHTS!D276</f>
        <v>382000</v>
      </c>
      <c r="E42" s="7">
        <f>output_NHTS!E276</f>
        <v>787000</v>
      </c>
      <c r="F42" s="7"/>
      <c r="G42" s="7">
        <f si="48" t="shared"/>
        <v>1534000</v>
      </c>
      <c r="H42" s="7"/>
      <c r="I42"/>
      <c r="M42" s="3" t="s">
        <v>214</v>
      </c>
      <c r="N42" s="7">
        <f>output!B276</f>
        <v>57000</v>
      </c>
      <c r="O42" s="7">
        <f>output!C276</f>
        <v>308000</v>
      </c>
      <c r="P42" s="7">
        <f>output!D276</f>
        <v>382000</v>
      </c>
      <c r="Q42" s="7">
        <f>output!E276</f>
        <v>787000</v>
      </c>
      <c r="R42" s="7"/>
      <c r="S42" s="7">
        <f si="49" t="shared"/>
        <v>1534000</v>
      </c>
      <c r="T42" s="7"/>
      <c r="Y42" s="3" t="s">
        <v>214</v>
      </c>
      <c r="Z42" s="7">
        <f si="42" t="shared"/>
        <v>0</v>
      </c>
      <c r="AA42" s="7">
        <f si="43" t="shared"/>
        <v>0</v>
      </c>
      <c r="AB42" s="7">
        <f si="44" t="shared"/>
        <v>0</v>
      </c>
      <c r="AC42" s="7">
        <f si="45" t="shared"/>
        <v>0</v>
      </c>
      <c r="AD42" s="7">
        <f si="46" t="shared"/>
        <v>0</v>
      </c>
      <c r="AE42" s="7">
        <f si="47" t="shared"/>
        <v>0</v>
      </c>
      <c r="AF42" s="7"/>
    </row>
    <row customHeight="1" ht="12.75" r="43" spans="1:32" x14ac:dyDescent="0.35">
      <c r="A43" s="3" t="s">
        <v>215</v>
      </c>
      <c r="B43" s="7">
        <f>output_NHTS!B277</f>
        <v>39000</v>
      </c>
      <c r="C43" s="7">
        <f>output_NHTS!C277</f>
        <v>206000</v>
      </c>
      <c r="D43" s="7">
        <f>output_NHTS!D277</f>
        <v>142000</v>
      </c>
      <c r="E43" s="7">
        <f>output_NHTS!E277</f>
        <v>278000</v>
      </c>
      <c r="F43" s="7"/>
      <c r="G43" s="7">
        <f si="48" t="shared"/>
        <v>665000</v>
      </c>
      <c r="H43" s="7"/>
      <c r="I43"/>
      <c r="M43" s="3" t="s">
        <v>215</v>
      </c>
      <c r="N43" s="7">
        <f>output!B277</f>
        <v>39000</v>
      </c>
      <c r="O43" s="7">
        <f>output!C277</f>
        <v>206000</v>
      </c>
      <c r="P43" s="7">
        <f>output!D277</f>
        <v>142000</v>
      </c>
      <c r="Q43" s="7">
        <f>output!E277</f>
        <v>278000</v>
      </c>
      <c r="R43" s="7"/>
      <c r="S43" s="7">
        <f si="49" t="shared"/>
        <v>665000</v>
      </c>
      <c r="T43" s="7"/>
      <c r="Y43" s="3" t="s">
        <v>215</v>
      </c>
      <c r="Z43" s="7">
        <f si="42" t="shared"/>
        <v>0</v>
      </c>
      <c r="AA43" s="7">
        <f si="43" t="shared"/>
        <v>0</v>
      </c>
      <c r="AB43" s="7">
        <f si="44" t="shared"/>
        <v>0</v>
      </c>
      <c r="AC43" s="7">
        <f si="45" t="shared"/>
        <v>0</v>
      </c>
      <c r="AD43" s="7">
        <f si="46" t="shared"/>
        <v>0</v>
      </c>
      <c r="AE43" s="7">
        <f si="47" t="shared"/>
        <v>0</v>
      </c>
      <c r="AF43" s="7"/>
    </row>
    <row customHeight="1" ht="12.75" r="44" spans="1:32" x14ac:dyDescent="0.35">
      <c r="A44" s="3" t="s">
        <v>129</v>
      </c>
      <c r="B44" s="7">
        <f>output_NHTS!B278</f>
        <v>32000</v>
      </c>
      <c r="C44" s="7">
        <f>output_NHTS!C278</f>
        <v>189000</v>
      </c>
      <c r="D44" s="7">
        <f>output_NHTS!D278</f>
        <v>150000</v>
      </c>
      <c r="E44" s="7">
        <f>output_NHTS!E278</f>
        <v>402000</v>
      </c>
      <c r="F44" s="7"/>
      <c r="G44" s="7">
        <f si="48" t="shared"/>
        <v>773000</v>
      </c>
      <c r="H44" s="7"/>
      <c r="I44"/>
      <c r="M44" s="3" t="s">
        <v>129</v>
      </c>
      <c r="N44" s="7">
        <f>output!B278</f>
        <v>32000</v>
      </c>
      <c r="O44" s="7">
        <f>output!C278</f>
        <v>189000</v>
      </c>
      <c r="P44" s="7">
        <f>output!D278</f>
        <v>150000</v>
      </c>
      <c r="Q44" s="7">
        <f>output!E278</f>
        <v>402000</v>
      </c>
      <c r="R44" s="7"/>
      <c r="S44" s="7">
        <f si="49" t="shared"/>
        <v>773000</v>
      </c>
      <c r="T44" s="7"/>
      <c r="Y44" s="3" t="s">
        <v>129</v>
      </c>
      <c r="Z44" s="7">
        <f si="42" t="shared"/>
        <v>0</v>
      </c>
      <c r="AA44" s="7">
        <f si="43" t="shared"/>
        <v>0</v>
      </c>
      <c r="AB44" s="7">
        <f si="44" t="shared"/>
        <v>0</v>
      </c>
      <c r="AC44" s="7">
        <f si="45" t="shared"/>
        <v>0</v>
      </c>
      <c r="AD44" s="7">
        <f si="46" t="shared"/>
        <v>0</v>
      </c>
      <c r="AE44" s="7">
        <f si="47" t="shared"/>
        <v>0</v>
      </c>
      <c r="AF44" s="7"/>
    </row>
    <row customHeight="1" ht="12.75" r="45" spans="1:32" x14ac:dyDescent="0.35">
      <c r="A45" s="3" t="s">
        <v>130</v>
      </c>
      <c r="B45" s="7">
        <f>output_NHTS!B279</f>
        <v>61000</v>
      </c>
      <c r="C45" s="7">
        <f>output_NHTS!C279</f>
        <v>344000</v>
      </c>
      <c r="D45" s="7">
        <f>output_NHTS!D279</f>
        <v>237000</v>
      </c>
      <c r="E45" s="7">
        <f>output_NHTS!E279</f>
        <v>478000</v>
      </c>
      <c r="F45" s="7"/>
      <c r="G45" s="7">
        <f si="48" t="shared"/>
        <v>1120000</v>
      </c>
      <c r="H45" s="7"/>
      <c r="I45"/>
      <c r="M45" s="3" t="s">
        <v>130</v>
      </c>
      <c r="N45" s="7">
        <f>output!B279</f>
        <v>61000</v>
      </c>
      <c r="O45" s="7">
        <f>output!C279</f>
        <v>344000</v>
      </c>
      <c r="P45" s="7">
        <f>output!D279</f>
        <v>237000</v>
      </c>
      <c r="Q45" s="7">
        <f>output!E279</f>
        <v>478000</v>
      </c>
      <c r="R45" s="7"/>
      <c r="S45" s="7">
        <f si="49" t="shared"/>
        <v>1120000</v>
      </c>
      <c r="T45" s="7"/>
      <c r="Y45" s="3" t="s">
        <v>130</v>
      </c>
      <c r="Z45" s="7">
        <f si="42" t="shared"/>
        <v>0</v>
      </c>
      <c r="AA45" s="7">
        <f si="43" t="shared"/>
        <v>0</v>
      </c>
      <c r="AB45" s="7">
        <f si="44" t="shared"/>
        <v>0</v>
      </c>
      <c r="AC45" s="7">
        <f si="45" t="shared"/>
        <v>0</v>
      </c>
      <c r="AD45" s="7">
        <f si="46" t="shared"/>
        <v>0</v>
      </c>
      <c r="AE45" s="7">
        <f si="47" t="shared"/>
        <v>0</v>
      </c>
      <c r="AF45" s="7"/>
    </row>
    <row customHeight="1" ht="12.75" r="46" spans="1:32" x14ac:dyDescent="0.35">
      <c r="A46" s="8" t="s">
        <v>145</v>
      </c>
      <c r="B46" s="7">
        <f>output_NHTS!B280</f>
        <v>211000</v>
      </c>
      <c r="C46" s="7">
        <f>output_NHTS!C280</f>
        <v>1090000</v>
      </c>
      <c r="D46" s="7">
        <f>output_NHTS!D280</f>
        <v>965000</v>
      </c>
      <c r="E46" s="7">
        <f>output_NHTS!E280</f>
        <v>2100000</v>
      </c>
      <c r="F46" s="9"/>
      <c r="G46" s="9">
        <f si="48" t="shared"/>
        <v>4366000</v>
      </c>
      <c r="H46" s="33"/>
      <c r="I46"/>
      <c r="M46" s="8" t="s">
        <v>145</v>
      </c>
      <c r="N46" s="9">
        <f>output!B280</f>
        <v>211000</v>
      </c>
      <c r="O46" s="9">
        <f>output!C280</f>
        <v>1090000</v>
      </c>
      <c r="P46" s="9">
        <f>output!D280</f>
        <v>965000</v>
      </c>
      <c r="Q46" s="9">
        <f>output!E280</f>
        <v>2100000</v>
      </c>
      <c r="R46" s="9"/>
      <c r="S46" s="9">
        <f si="49" t="shared"/>
        <v>4366000</v>
      </c>
      <c r="T46" s="33"/>
      <c r="Y46" s="8" t="s">
        <v>145</v>
      </c>
      <c r="Z46" s="9">
        <f si="42" t="shared"/>
        <v>0</v>
      </c>
      <c r="AA46" s="9">
        <f si="43" t="shared"/>
        <v>0</v>
      </c>
      <c r="AB46" s="9">
        <f si="44" t="shared"/>
        <v>0</v>
      </c>
      <c r="AC46" s="9">
        <f si="45" t="shared"/>
        <v>0</v>
      </c>
      <c r="AD46" s="9">
        <f si="46" t="shared"/>
        <v>0</v>
      </c>
      <c r="AE46" s="9">
        <f si="47" t="shared"/>
        <v>0</v>
      </c>
      <c r="AF46" s="33"/>
    </row>
    <row ht="13.15" r="47" spans="1:32" thickBot="1" x14ac:dyDescent="0.4">
      <c r="A47" s="10" t="s">
        <v>223</v>
      </c>
      <c r="B47" s="11">
        <f>SUM(B39:B46)</f>
        <v>583000</v>
      </c>
      <c r="C47" s="11">
        <f>SUM(C39:C46)</f>
        <v>3187000</v>
      </c>
      <c r="D47" s="11">
        <f>SUM(D39:D46)</f>
        <v>2872000</v>
      </c>
      <c r="E47" s="11">
        <f>SUM(E39:E46)</f>
        <v>6442000</v>
      </c>
      <c r="F47" s="11"/>
      <c r="G47" s="11">
        <f si="48" t="shared"/>
        <v>13084000</v>
      </c>
      <c r="H47" s="33"/>
      <c r="I47"/>
      <c r="M47" s="10" t="s">
        <v>223</v>
      </c>
      <c r="N47" s="11">
        <f>SUM(N39:N46)</f>
        <v>583000</v>
      </c>
      <c r="O47" s="11">
        <f>SUM(O39:O46)</f>
        <v>3187000</v>
      </c>
      <c r="P47" s="11">
        <f>SUM(P39:P46)</f>
        <v>2872000</v>
      </c>
      <c r="Q47" s="11">
        <f>SUM(Q39:Q46)</f>
        <v>6442000</v>
      </c>
      <c r="R47" s="11"/>
      <c r="S47" s="11">
        <f si="49" t="shared"/>
        <v>13084000</v>
      </c>
      <c r="T47" s="33"/>
      <c r="Y47" s="10" t="s">
        <v>223</v>
      </c>
      <c r="Z47" s="11">
        <f si="42" t="shared"/>
        <v>0</v>
      </c>
      <c r="AA47" s="11">
        <f si="43" t="shared"/>
        <v>0</v>
      </c>
      <c r="AB47" s="11">
        <f si="44" t="shared"/>
        <v>0</v>
      </c>
      <c r="AC47" s="11">
        <f si="45" t="shared"/>
        <v>0</v>
      </c>
      <c r="AD47" s="11">
        <f si="46" t="shared"/>
        <v>0</v>
      </c>
      <c r="AE47" s="11">
        <f si="47" t="shared"/>
        <v>0</v>
      </c>
      <c r="AF47" s="33"/>
    </row>
    <row r="48" spans="1:32" x14ac:dyDescent="0.35">
      <c r="I48"/>
    </row>
    <row r="49" spans="1:32" x14ac:dyDescent="0.35">
      <c r="A49" s="25" t="s">
        <v>88</v>
      </c>
      <c r="B49" s="53">
        <f>ToursByTourPurpose!B50</f>
        <v>193000</v>
      </c>
      <c r="C49" s="53">
        <f>ToursByTourPurpose!C50</f>
        <v>846000</v>
      </c>
      <c r="D49" s="53">
        <f>ToursByTourPurpose!D50</f>
        <v>714000</v>
      </c>
      <c r="E49" s="53">
        <f>ToursByTourPurpose!E50</f>
        <v>1528000</v>
      </c>
      <c r="F49" s="7"/>
      <c r="G49" s="53">
        <f>ToursByTourPurpose!G50</f>
        <v>3281000</v>
      </c>
      <c r="H49" s="53"/>
      <c r="I49"/>
      <c r="M49" s="25" t="s">
        <v>88</v>
      </c>
      <c r="N49" s="53">
        <f>ToursByTourPurpose!N50</f>
        <v>193000</v>
      </c>
      <c r="O49" s="53">
        <f>ToursByTourPurpose!O50</f>
        <v>846000</v>
      </c>
      <c r="P49" s="53">
        <f>ToursByTourPurpose!P50</f>
        <v>714000</v>
      </c>
      <c r="Q49" s="53">
        <f>ToursByTourPurpose!Q50</f>
        <v>1528000</v>
      </c>
      <c r="R49" s="53" t="e">
        <f>ToursByTourPurpose!#REF!</f>
        <v>#REF!</v>
      </c>
      <c r="S49" s="53">
        <f>ToursByTourPurpose!S50</f>
        <v>3281000</v>
      </c>
      <c r="T49" s="53"/>
      <c r="Y49" s="3" t="s">
        <v>88</v>
      </c>
      <c r="Z49" s="7">
        <f ref="Z49:AC50" si="50" t="shared">N49-B49</f>
        <v>0</v>
      </c>
      <c r="AA49" s="7">
        <f si="50" t="shared"/>
        <v>0</v>
      </c>
      <c r="AB49" s="7">
        <f si="50" t="shared"/>
        <v>0</v>
      </c>
      <c r="AC49" s="7">
        <f si="50" t="shared"/>
        <v>0</v>
      </c>
      <c r="AD49" s="7"/>
      <c r="AE49" s="7">
        <f>S49-G49</f>
        <v>0</v>
      </c>
      <c r="AF49" s="7"/>
    </row>
    <row r="50" spans="1:32" x14ac:dyDescent="0.35">
      <c r="A50" s="25" t="s">
        <v>91</v>
      </c>
      <c r="B50" s="38">
        <f ref="B50:G50" si="51" t="shared">B47/B49</f>
        <v>3.0207253886010363</v>
      </c>
      <c r="C50" s="38">
        <f si="51" t="shared"/>
        <v>3.7671394799054374</v>
      </c>
      <c r="D50" s="38">
        <f si="51" t="shared"/>
        <v>4.0224089635854341</v>
      </c>
      <c r="E50" s="38">
        <f si="51" t="shared"/>
        <v>4.2159685863874348</v>
      </c>
      <c r="F50" s="38" t="e">
        <f si="51" t="shared"/>
        <v>#DIV/0!</v>
      </c>
      <c r="G50" s="38">
        <f si="51" t="shared"/>
        <v>3.9878085949405668</v>
      </c>
      <c r="H50" s="38"/>
      <c r="I50"/>
      <c r="M50" s="25" t="s">
        <v>91</v>
      </c>
      <c r="N50" s="38">
        <f ref="N50:S50" si="52" t="shared">N47/N49</f>
        <v>3.0207253886010363</v>
      </c>
      <c r="O50" s="38">
        <f si="52" t="shared"/>
        <v>3.7671394799054374</v>
      </c>
      <c r="P50" s="38">
        <f si="52" t="shared"/>
        <v>4.0224089635854341</v>
      </c>
      <c r="Q50" s="38">
        <f si="52" t="shared"/>
        <v>4.2159685863874348</v>
      </c>
      <c r="R50" s="38" t="e">
        <f si="52" t="shared"/>
        <v>#REF!</v>
      </c>
      <c r="S50" s="38">
        <f si="52" t="shared"/>
        <v>3.9878085949405668</v>
      </c>
      <c r="T50" s="38"/>
      <c r="Y50" s="3" t="s">
        <v>91</v>
      </c>
      <c r="Z50" s="38">
        <f si="50" t="shared"/>
        <v>0</v>
      </c>
      <c r="AA50" s="38">
        <f si="50" t="shared"/>
        <v>0</v>
      </c>
      <c r="AB50" s="38">
        <f si="50" t="shared"/>
        <v>0</v>
      </c>
      <c r="AC50" s="38">
        <f si="50" t="shared"/>
        <v>0</v>
      </c>
      <c r="AD50" s="38"/>
      <c r="AE50" s="38">
        <f>S50-G50</f>
        <v>0</v>
      </c>
      <c r="AF50" s="38"/>
    </row>
    <row r="51" spans="1:32" x14ac:dyDescent="0.35">
      <c r="I51"/>
    </row>
    <row ht="13.15" r="52" spans="1:32" x14ac:dyDescent="0.4">
      <c r="A52" s="2" t="s">
        <v>175</v>
      </c>
      <c r="I52"/>
      <c r="M52" s="2" t="s">
        <v>175</v>
      </c>
      <c r="Y52" s="2" t="s">
        <v>175</v>
      </c>
    </row>
    <row ht="13.15" r="53" spans="1:32" x14ac:dyDescent="0.4">
      <c r="A53" s="2" t="s">
        <v>277</v>
      </c>
      <c r="I53"/>
      <c r="M53" s="2" t="s">
        <v>135</v>
      </c>
      <c r="Y53" s="1397" t="s">
        <v>108</v>
      </c>
      <c r="Z53" s="1397"/>
      <c r="AA53" s="1397"/>
    </row>
    <row ht="13.15" r="54" spans="1:32" thickBot="1" x14ac:dyDescent="0.4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ht="13.15" r="55" spans="1:32" x14ac:dyDescent="0.4">
      <c r="A55" s="5" t="s">
        <v>144</v>
      </c>
      <c r="B55" s="32" t="s">
        <v>298</v>
      </c>
      <c r="C55" s="32" t="s">
        <v>299</v>
      </c>
      <c r="D55" s="32" t="s">
        <v>300</v>
      </c>
      <c r="E55" s="32" t="s">
        <v>303</v>
      </c>
      <c r="F55" s="32" t="s">
        <v>172</v>
      </c>
      <c r="G55" s="32" t="s">
        <v>223</v>
      </c>
      <c r="H55" s="89"/>
      <c r="I55"/>
      <c r="M55" s="5" t="s">
        <v>144</v>
      </c>
      <c r="N55" s="32" t="s">
        <v>298</v>
      </c>
      <c r="O55" s="32" t="s">
        <v>299</v>
      </c>
      <c r="P55" s="32" t="s">
        <v>300</v>
      </c>
      <c r="Q55" s="32" t="s">
        <v>303</v>
      </c>
      <c r="R55" s="32" t="s">
        <v>172</v>
      </c>
      <c r="S55" s="32" t="s">
        <v>223</v>
      </c>
      <c r="T55" s="89"/>
      <c r="Y55" s="5" t="s">
        <v>144</v>
      </c>
      <c r="Z55" s="32" t="s">
        <v>298</v>
      </c>
      <c r="AA55" s="32" t="s">
        <v>299</v>
      </c>
      <c r="AB55" s="32" t="s">
        <v>300</v>
      </c>
      <c r="AC55" s="32" t="s">
        <v>303</v>
      </c>
      <c r="AD55" s="32" t="s">
        <v>172</v>
      </c>
      <c r="AE55" s="32" t="s">
        <v>223</v>
      </c>
      <c r="AF55" s="89"/>
    </row>
    <row r="56" spans="1:32" x14ac:dyDescent="0.35">
      <c r="A56" s="3" t="s">
        <v>211</v>
      </c>
      <c r="B56" s="12">
        <f ref="B56:G56" si="53" t="shared">B39/B$47</f>
        <v>0.10120068610634649</v>
      </c>
      <c r="C56" s="12">
        <f si="53" t="shared"/>
        <v>0.16661437088170694</v>
      </c>
      <c r="D56" s="12">
        <f si="53" t="shared"/>
        <v>0.16504178272980502</v>
      </c>
      <c r="E56" s="12">
        <f si="53" t="shared"/>
        <v>0.19372865569698852</v>
      </c>
      <c r="F56" s="12" t="e">
        <f si="53" t="shared"/>
        <v>#DIV/0!</v>
      </c>
      <c r="G56" s="12">
        <f si="53" t="shared"/>
        <v>0.17670437175175788</v>
      </c>
      <c r="H56" s="12"/>
      <c r="I56"/>
      <c r="M56" s="3" t="s">
        <v>211</v>
      </c>
      <c r="N56" s="12">
        <f ref="N56:Q64" si="54" t="shared">N39/N$47</f>
        <v>0.10120068610634649</v>
      </c>
      <c r="O56" s="12">
        <f si="54" t="shared"/>
        <v>0.16661437088170694</v>
      </c>
      <c r="P56" s="12">
        <f si="54" t="shared"/>
        <v>0.16504178272980502</v>
      </c>
      <c r="Q56" s="12">
        <f si="54" t="shared"/>
        <v>0.19372865569698852</v>
      </c>
      <c r="R56" s="12" t="e">
        <f ref="R56:S64" si="55" t="shared">R39/R$47</f>
        <v>#DIV/0!</v>
      </c>
      <c r="S56" s="12">
        <f si="55" t="shared"/>
        <v>0.17670437175175788</v>
      </c>
      <c r="T56" s="12"/>
      <c r="Y56" s="3" t="s">
        <v>211</v>
      </c>
      <c r="Z56" s="12">
        <f ref="Z56:Z64" si="56" t="shared">N56-B56</f>
        <v>0</v>
      </c>
      <c r="AA56" s="12">
        <f ref="AA56:AA64" si="57" t="shared">O56-C56</f>
        <v>0</v>
      </c>
      <c r="AB56" s="12">
        <f ref="AB56:AB64" si="58" t="shared">P56-D56</f>
        <v>0</v>
      </c>
      <c r="AC56" s="12">
        <f ref="AC56:AC64" si="59" t="shared">Q56-E56</f>
        <v>0</v>
      </c>
      <c r="AD56" s="12"/>
      <c r="AE56" s="12">
        <f ref="AE56:AE64" si="60" t="shared">S56-G56</f>
        <v>0</v>
      </c>
      <c r="AF56" s="12"/>
    </row>
    <row r="57" spans="1:32" x14ac:dyDescent="0.35">
      <c r="A57" s="3" t="s">
        <v>212</v>
      </c>
      <c r="B57" s="12">
        <f ref="B57:G57" si="61" t="shared">B40/B$47</f>
        <v>9.7770154373927956E-2</v>
      </c>
      <c r="C57" s="12">
        <f si="61" t="shared"/>
        <v>6.5578914339504232E-2</v>
      </c>
      <c r="D57" s="12">
        <f si="61" t="shared"/>
        <v>7.2771587743732588E-2</v>
      </c>
      <c r="E57" s="12">
        <f si="61" t="shared"/>
        <v>6.9388388699161752E-2</v>
      </c>
      <c r="F57" s="12" t="e">
        <f si="61" t="shared"/>
        <v>#DIV/0!</v>
      </c>
      <c r="G57" s="12">
        <f si="61" t="shared"/>
        <v>7.0467746866401712E-2</v>
      </c>
      <c r="H57" s="12"/>
      <c r="I57"/>
      <c r="M57" s="3" t="s">
        <v>212</v>
      </c>
      <c r="N57" s="12">
        <f si="54" t="shared"/>
        <v>9.7770154373927956E-2</v>
      </c>
      <c r="O57" s="12">
        <f si="54" t="shared"/>
        <v>6.5578914339504232E-2</v>
      </c>
      <c r="P57" s="12">
        <f si="54" t="shared"/>
        <v>7.2771587743732588E-2</v>
      </c>
      <c r="Q57" s="12">
        <f si="54" t="shared"/>
        <v>6.9388388699161752E-2</v>
      </c>
      <c r="R57" s="12" t="e">
        <f si="55" t="shared"/>
        <v>#DIV/0!</v>
      </c>
      <c r="S57" s="12">
        <f si="55" t="shared"/>
        <v>7.0467746866401712E-2</v>
      </c>
      <c r="T57" s="12"/>
      <c r="Y57" s="3" t="s">
        <v>212</v>
      </c>
      <c r="Z57" s="12">
        <f si="56" t="shared"/>
        <v>0</v>
      </c>
      <c r="AA57" s="12">
        <f si="57" t="shared"/>
        <v>0</v>
      </c>
      <c r="AB57" s="12">
        <f si="58" t="shared"/>
        <v>0</v>
      </c>
      <c r="AC57" s="12">
        <f si="59" t="shared"/>
        <v>0</v>
      </c>
      <c r="AD57" s="12"/>
      <c r="AE57" s="12">
        <f si="60" t="shared"/>
        <v>0</v>
      </c>
      <c r="AF57" s="12"/>
    </row>
    <row r="58" spans="1:32" x14ac:dyDescent="0.35">
      <c r="A58" s="3" t="s">
        <v>213</v>
      </c>
      <c r="B58" s="12">
        <f ref="B58:G58" si="62" t="shared">B41/B$47</f>
        <v>0.11492281303602059</v>
      </c>
      <c r="C58" s="12">
        <f si="62" t="shared"/>
        <v>9.727016002510197E-2</v>
      </c>
      <c r="D58" s="12">
        <f si="62" t="shared"/>
        <v>0.108983286908078</v>
      </c>
      <c r="E58" s="12">
        <f si="62" t="shared"/>
        <v>0.10897236882955603</v>
      </c>
      <c r="F58" s="12" t="e">
        <f si="62" t="shared"/>
        <v>#DIV/0!</v>
      </c>
      <c r="G58" s="12">
        <f si="62" t="shared"/>
        <v>0.10638948333842861</v>
      </c>
      <c r="H58" s="12"/>
      <c r="I58"/>
      <c r="M58" s="3" t="s">
        <v>213</v>
      </c>
      <c r="N58" s="12">
        <f si="54" t="shared"/>
        <v>0.11492281303602059</v>
      </c>
      <c r="O58" s="12">
        <f si="54" t="shared"/>
        <v>9.727016002510197E-2</v>
      </c>
      <c r="P58" s="12">
        <f si="54" t="shared"/>
        <v>0.108983286908078</v>
      </c>
      <c r="Q58" s="12">
        <f si="54" t="shared"/>
        <v>0.10897236882955603</v>
      </c>
      <c r="R58" s="12" t="e">
        <f si="55" t="shared"/>
        <v>#DIV/0!</v>
      </c>
      <c r="S58" s="12">
        <f si="55" t="shared"/>
        <v>0.10638948333842861</v>
      </c>
      <c r="T58" s="12"/>
      <c r="Y58" s="3" t="s">
        <v>213</v>
      </c>
      <c r="Z58" s="12">
        <f si="56" t="shared"/>
        <v>0</v>
      </c>
      <c r="AA58" s="12">
        <f si="57" t="shared"/>
        <v>0</v>
      </c>
      <c r="AB58" s="12">
        <f si="58" t="shared"/>
        <v>0</v>
      </c>
      <c r="AC58" s="12">
        <f si="59" t="shared"/>
        <v>0</v>
      </c>
      <c r="AD58" s="12"/>
      <c r="AE58" s="12">
        <f si="60" t="shared"/>
        <v>0</v>
      </c>
      <c r="AF58" s="12"/>
    </row>
    <row r="59" spans="1:32" x14ac:dyDescent="0.35">
      <c r="A59" s="3" t="s">
        <v>214</v>
      </c>
      <c r="B59" s="12">
        <f ref="B59:G59" si="63" t="shared">B42/B$47</f>
        <v>9.7770154373927956E-2</v>
      </c>
      <c r="C59" s="12">
        <f si="63" t="shared"/>
        <v>9.6642610605585183E-2</v>
      </c>
      <c r="D59" s="12">
        <f si="63" t="shared"/>
        <v>0.13300835654596099</v>
      </c>
      <c r="E59" s="12">
        <f si="63" t="shared"/>
        <v>0.12216702887302081</v>
      </c>
      <c r="F59" s="12" t="e">
        <f si="63" t="shared"/>
        <v>#DIV/0!</v>
      </c>
      <c r="G59" s="12">
        <f si="63" t="shared"/>
        <v>0.11724243350657292</v>
      </c>
      <c r="H59" s="12"/>
      <c r="I59"/>
      <c r="M59" s="3" t="s">
        <v>214</v>
      </c>
      <c r="N59" s="12">
        <f si="54" t="shared"/>
        <v>9.7770154373927956E-2</v>
      </c>
      <c r="O59" s="12">
        <f si="54" t="shared"/>
        <v>9.6642610605585183E-2</v>
      </c>
      <c r="P59" s="12">
        <f si="54" t="shared"/>
        <v>0.13300835654596099</v>
      </c>
      <c r="Q59" s="12">
        <f si="54" t="shared"/>
        <v>0.12216702887302081</v>
      </c>
      <c r="R59" s="12" t="e">
        <f si="55" t="shared"/>
        <v>#DIV/0!</v>
      </c>
      <c r="S59" s="12">
        <f si="55" t="shared"/>
        <v>0.11724243350657292</v>
      </c>
      <c r="T59" s="12"/>
      <c r="Y59" s="3" t="s">
        <v>214</v>
      </c>
      <c r="Z59" s="12">
        <f si="56" t="shared"/>
        <v>0</v>
      </c>
      <c r="AA59" s="12">
        <f si="57" t="shared"/>
        <v>0</v>
      </c>
      <c r="AB59" s="12">
        <f si="58" t="shared"/>
        <v>0</v>
      </c>
      <c r="AC59" s="12">
        <f si="59" t="shared"/>
        <v>0</v>
      </c>
      <c r="AD59" s="12"/>
      <c r="AE59" s="12">
        <f si="60" t="shared"/>
        <v>0</v>
      </c>
      <c r="AF59" s="12"/>
    </row>
    <row r="60" spans="1:32" x14ac:dyDescent="0.35">
      <c r="A60" s="3" t="s">
        <v>215</v>
      </c>
      <c r="B60" s="12">
        <f ref="B60:G60" si="64" t="shared">B43/B$47</f>
        <v>6.6895368782161235E-2</v>
      </c>
      <c r="C60" s="12">
        <f si="64" t="shared"/>
        <v>6.4637590210229051E-2</v>
      </c>
      <c r="D60" s="12">
        <f si="64" t="shared"/>
        <v>4.944289693593315E-2</v>
      </c>
      <c r="E60" s="12">
        <f si="64" t="shared"/>
        <v>4.3154299906861225E-2</v>
      </c>
      <c r="F60" s="12" t="e">
        <f si="64" t="shared"/>
        <v>#DIV/0!</v>
      </c>
      <c r="G60" s="12">
        <f si="64" t="shared"/>
        <v>5.0825435646591255E-2</v>
      </c>
      <c r="H60" s="12"/>
      <c r="I60"/>
      <c r="M60" s="3" t="s">
        <v>215</v>
      </c>
      <c r="N60" s="12">
        <f si="54" t="shared"/>
        <v>6.6895368782161235E-2</v>
      </c>
      <c r="O60" s="12">
        <f si="54" t="shared"/>
        <v>6.4637590210229051E-2</v>
      </c>
      <c r="P60" s="12">
        <f si="54" t="shared"/>
        <v>4.944289693593315E-2</v>
      </c>
      <c r="Q60" s="12">
        <f si="54" t="shared"/>
        <v>4.3154299906861225E-2</v>
      </c>
      <c r="R60" s="12" t="e">
        <f si="55" t="shared"/>
        <v>#DIV/0!</v>
      </c>
      <c r="S60" s="12">
        <f si="55" t="shared"/>
        <v>5.0825435646591255E-2</v>
      </c>
      <c r="T60" s="12"/>
      <c r="Y60" s="3" t="s">
        <v>215</v>
      </c>
      <c r="Z60" s="12">
        <f si="56" t="shared"/>
        <v>0</v>
      </c>
      <c r="AA60" s="12">
        <f si="57" t="shared"/>
        <v>0</v>
      </c>
      <c r="AB60" s="12">
        <f si="58" t="shared"/>
        <v>0</v>
      </c>
      <c r="AC60" s="12">
        <f si="59" t="shared"/>
        <v>0</v>
      </c>
      <c r="AD60" s="12"/>
      <c r="AE60" s="12">
        <f si="60" t="shared"/>
        <v>0</v>
      </c>
      <c r="AF60" s="12"/>
    </row>
    <row r="61" spans="1:32" x14ac:dyDescent="0.35">
      <c r="A61" s="3" t="s">
        <v>129</v>
      </c>
      <c r="B61" s="12">
        <f ref="B61:G61" si="65" t="shared">B44/B$47</f>
        <v>5.4888507718696397E-2</v>
      </c>
      <c r="C61" s="12">
        <f si="65" t="shared"/>
        <v>5.9303420144336365E-2</v>
      </c>
      <c r="D61" s="12">
        <f si="65" t="shared"/>
        <v>5.2228412256267412E-2</v>
      </c>
      <c r="E61" s="12">
        <f si="65" t="shared"/>
        <v>6.2402980440856876E-2</v>
      </c>
      <c r="F61" s="12" t="e">
        <f si="65" t="shared"/>
        <v>#DIV/0!</v>
      </c>
      <c r="G61" s="12">
        <f si="65" t="shared"/>
        <v>5.9079792112503825E-2</v>
      </c>
      <c r="H61" s="12"/>
      <c r="I61"/>
      <c r="M61" s="3" t="s">
        <v>129</v>
      </c>
      <c r="N61" s="12">
        <f si="54" t="shared"/>
        <v>5.4888507718696397E-2</v>
      </c>
      <c r="O61" s="12">
        <f si="54" t="shared"/>
        <v>5.9303420144336365E-2</v>
      </c>
      <c r="P61" s="12">
        <f si="54" t="shared"/>
        <v>5.2228412256267412E-2</v>
      </c>
      <c r="Q61" s="12">
        <f si="54" t="shared"/>
        <v>6.2402980440856876E-2</v>
      </c>
      <c r="R61" s="12" t="e">
        <f si="55" t="shared"/>
        <v>#DIV/0!</v>
      </c>
      <c r="S61" s="12">
        <f si="55" t="shared"/>
        <v>5.9079792112503825E-2</v>
      </c>
      <c r="T61" s="12"/>
      <c r="Y61" s="3" t="s">
        <v>129</v>
      </c>
      <c r="Z61" s="12">
        <f si="56" t="shared"/>
        <v>0</v>
      </c>
      <c r="AA61" s="12">
        <f si="57" t="shared"/>
        <v>0</v>
      </c>
      <c r="AB61" s="12">
        <f si="58" t="shared"/>
        <v>0</v>
      </c>
      <c r="AC61" s="12">
        <f si="59" t="shared"/>
        <v>0</v>
      </c>
      <c r="AD61" s="12"/>
      <c r="AE61" s="12">
        <f si="60" t="shared"/>
        <v>0</v>
      </c>
      <c r="AF61" s="12"/>
    </row>
    <row r="62" spans="1:32" x14ac:dyDescent="0.35">
      <c r="A62" s="3" t="s">
        <v>130</v>
      </c>
      <c r="B62" s="12">
        <f ref="B62:G62" si="66" t="shared">B45/B$47</f>
        <v>0.10463121783876501</v>
      </c>
      <c r="C62" s="12">
        <f si="66" t="shared"/>
        <v>0.10793850015688736</v>
      </c>
      <c r="D62" s="12">
        <f si="66" t="shared"/>
        <v>8.252089136490251E-2</v>
      </c>
      <c r="E62" s="12">
        <f si="66" t="shared"/>
        <v>7.4200558832660662E-2</v>
      </c>
      <c r="F62" s="12" t="e">
        <f si="66" t="shared"/>
        <v>#DIV/0!</v>
      </c>
      <c r="G62" s="12">
        <f si="66" t="shared"/>
        <v>8.5600733720574751E-2</v>
      </c>
      <c r="H62" s="12"/>
      <c r="I62"/>
      <c r="M62" s="3" t="s">
        <v>130</v>
      </c>
      <c r="N62" s="12">
        <f si="54" t="shared"/>
        <v>0.10463121783876501</v>
      </c>
      <c r="O62" s="12">
        <f si="54" t="shared"/>
        <v>0.10793850015688736</v>
      </c>
      <c r="P62" s="12">
        <f si="54" t="shared"/>
        <v>8.252089136490251E-2</v>
      </c>
      <c r="Q62" s="12">
        <f si="54" t="shared"/>
        <v>7.4200558832660662E-2</v>
      </c>
      <c r="R62" s="12" t="e">
        <f si="55" t="shared"/>
        <v>#DIV/0!</v>
      </c>
      <c r="S62" s="12">
        <f si="55" t="shared"/>
        <v>8.5600733720574751E-2</v>
      </c>
      <c r="T62" s="12"/>
      <c r="Y62" s="3" t="s">
        <v>130</v>
      </c>
      <c r="Z62" s="12">
        <f si="56" t="shared"/>
        <v>0</v>
      </c>
      <c r="AA62" s="12">
        <f si="57" t="shared"/>
        <v>0</v>
      </c>
      <c r="AB62" s="12">
        <f si="58" t="shared"/>
        <v>0</v>
      </c>
      <c r="AC62" s="12">
        <f si="59" t="shared"/>
        <v>0</v>
      </c>
      <c r="AD62" s="12"/>
      <c r="AE62" s="12">
        <f si="60" t="shared"/>
        <v>0</v>
      </c>
      <c r="AF62" s="12"/>
    </row>
    <row r="63" spans="1:32" x14ac:dyDescent="0.35">
      <c r="A63" s="8" t="s">
        <v>145</v>
      </c>
      <c r="B63" s="13">
        <f ref="B63:G63" si="67" t="shared">B46/B$47</f>
        <v>0.36192109777015435</v>
      </c>
      <c r="C63" s="13">
        <f si="67" t="shared"/>
        <v>0.34201443363664891</v>
      </c>
      <c r="D63" s="13">
        <f si="67" t="shared"/>
        <v>0.33600278551532031</v>
      </c>
      <c r="E63" s="13">
        <f si="67" t="shared"/>
        <v>0.32598571872089416</v>
      </c>
      <c r="F63" s="13" t="e">
        <f si="67" t="shared"/>
        <v>#DIV/0!</v>
      </c>
      <c r="G63" s="13">
        <f si="67" t="shared"/>
        <v>0.33369000305716906</v>
      </c>
      <c r="H63" s="34"/>
      <c r="I63"/>
      <c r="M63" s="8" t="s">
        <v>145</v>
      </c>
      <c r="N63" s="13">
        <f si="54" t="shared"/>
        <v>0.36192109777015435</v>
      </c>
      <c r="O63" s="13">
        <f si="54" t="shared"/>
        <v>0.34201443363664891</v>
      </c>
      <c r="P63" s="13">
        <f si="54" t="shared"/>
        <v>0.33600278551532031</v>
      </c>
      <c r="Q63" s="13">
        <f si="54" t="shared"/>
        <v>0.32598571872089416</v>
      </c>
      <c r="R63" s="13" t="e">
        <f si="55" t="shared"/>
        <v>#DIV/0!</v>
      </c>
      <c r="S63" s="13">
        <f si="55" t="shared"/>
        <v>0.33369000305716906</v>
      </c>
      <c r="T63" s="34"/>
      <c r="Y63" s="8" t="s">
        <v>145</v>
      </c>
      <c r="Z63" s="12">
        <f si="56" t="shared"/>
        <v>0</v>
      </c>
      <c r="AA63" s="12">
        <f si="57" t="shared"/>
        <v>0</v>
      </c>
      <c r="AB63" s="12">
        <f si="58" t="shared"/>
        <v>0</v>
      </c>
      <c r="AC63" s="12">
        <f si="59" t="shared"/>
        <v>0</v>
      </c>
      <c r="AD63" s="12"/>
      <c r="AE63" s="12">
        <f si="60" t="shared"/>
        <v>0</v>
      </c>
      <c r="AF63" s="12"/>
    </row>
    <row ht="13.15" r="64" spans="1:32" thickBot="1" x14ac:dyDescent="0.4">
      <c r="A64" s="10" t="s">
        <v>223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223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223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35">
      <c r="I65"/>
    </row>
    <row r="66" spans="1:41" x14ac:dyDescent="0.35">
      <c r="I66"/>
    </row>
    <row r="67" spans="1:41" x14ac:dyDescent="0.35">
      <c r="I67"/>
    </row>
    <row r="68" spans="1:41" x14ac:dyDescent="0.35">
      <c r="I68"/>
      <c r="AG68"/>
      <c r="AH68"/>
      <c r="AI68"/>
      <c r="AJ68"/>
      <c r="AK68"/>
      <c r="AL68"/>
      <c r="AM68"/>
      <c r="AN68"/>
      <c r="AO68"/>
    </row>
    <row ht="13.15" r="69" spans="1:41" x14ac:dyDescent="0.4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ht="13.15" r="70" spans="1:41" x14ac:dyDescent="0.4">
      <c r="A70" s="2" t="s">
        <v>193</v>
      </c>
      <c r="I70"/>
      <c r="M70" s="2" t="s">
        <v>136</v>
      </c>
      <c r="Y70" s="1397" t="s">
        <v>253</v>
      </c>
      <c r="Z70" s="1397"/>
      <c r="AA70" s="1397"/>
      <c r="AB70" s="1397"/>
      <c r="AG70"/>
      <c r="AH70"/>
      <c r="AI70"/>
      <c r="AJ70"/>
      <c r="AK70"/>
      <c r="AL70"/>
      <c r="AM70"/>
      <c r="AN70"/>
      <c r="AO70"/>
    </row>
    <row ht="13.15" r="71" spans="1:41" thickBot="1" x14ac:dyDescent="0.4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ht="13.15" r="72" spans="1:41" x14ac:dyDescent="0.4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223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223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223</v>
      </c>
      <c r="AG72"/>
      <c r="AH72"/>
      <c r="AI72"/>
      <c r="AJ72"/>
      <c r="AK72"/>
      <c r="AL72"/>
      <c r="AM72"/>
      <c r="AN72"/>
      <c r="AO72"/>
    </row>
    <row r="73" spans="1:41" x14ac:dyDescent="0.35">
      <c r="A73" s="3" t="s">
        <v>211</v>
      </c>
      <c r="B73" s="7">
        <f>output_NHTS!B284</f>
        <v>3000</v>
      </c>
      <c r="C73" s="7">
        <f>output_NHTS!C284</f>
        <v>296000</v>
      </c>
      <c r="D73" s="7">
        <f>output_NHTS!D284</f>
        <v>1544000</v>
      </c>
      <c r="E73" s="7">
        <f>output_NHTS!E284</f>
        <v>469000</v>
      </c>
      <c r="F73" s="7">
        <f>output_NHTS!F284</f>
        <v>2312000</v>
      </c>
      <c r="M73" s="3" t="s">
        <v>211</v>
      </c>
      <c r="N73" s="7">
        <f>output!B284</f>
        <v>3000</v>
      </c>
      <c r="O73" s="7">
        <f>output!C284</f>
        <v>296000</v>
      </c>
      <c r="P73" s="7">
        <f>output!D284</f>
        <v>1544000</v>
      </c>
      <c r="Q73" s="7">
        <f>output!E284</f>
        <v>469000</v>
      </c>
      <c r="R73" s="7">
        <f>output!F284</f>
        <v>2312000</v>
      </c>
      <c r="Y73" s="3" t="s">
        <v>211</v>
      </c>
      <c r="Z73" s="7">
        <f ref="Z73:Z81" si="69" t="shared">N73-B73</f>
        <v>0</v>
      </c>
      <c r="AA73" s="7">
        <f ref="AA73:AA81" si="70" t="shared">O73-C73</f>
        <v>0</v>
      </c>
      <c r="AB73" s="7">
        <f ref="AB73:AB81" si="71" t="shared">P73-D73</f>
        <v>0</v>
      </c>
      <c r="AC73" s="7">
        <f ref="AC73:AC81" si="72" t="shared">Q73-E73</f>
        <v>0</v>
      </c>
      <c r="AD73" s="7">
        <f ref="AD73:AD81" si="73" t="shared">R73-F73</f>
        <v>0</v>
      </c>
      <c r="AG73"/>
      <c r="AH73"/>
      <c r="AI73"/>
      <c r="AJ73"/>
      <c r="AK73"/>
      <c r="AL73"/>
      <c r="AM73"/>
      <c r="AN73"/>
      <c r="AO73"/>
    </row>
    <row r="74" spans="1:41" x14ac:dyDescent="0.35">
      <c r="A74" s="3" t="s">
        <v>212</v>
      </c>
      <c r="B74" s="7">
        <f>output_NHTS!B285</f>
        <v>7000</v>
      </c>
      <c r="C74" s="7">
        <f>output_NHTS!C285</f>
        <v>146000</v>
      </c>
      <c r="D74" s="7">
        <f>output_NHTS!D285</f>
        <v>602000</v>
      </c>
      <c r="E74" s="7">
        <f>output_NHTS!E285</f>
        <v>167000</v>
      </c>
      <c r="F74" s="7">
        <f>output_NHTS!F285</f>
        <v>922000</v>
      </c>
      <c r="M74" s="3" t="s">
        <v>212</v>
      </c>
      <c r="N74" s="7">
        <f>output!B285</f>
        <v>7000</v>
      </c>
      <c r="O74" s="7">
        <f>output!C285</f>
        <v>146000</v>
      </c>
      <c r="P74" s="7">
        <f>output!D285</f>
        <v>602000</v>
      </c>
      <c r="Q74" s="7">
        <f>output!E285</f>
        <v>167000</v>
      </c>
      <c r="R74" s="7">
        <f>output!F285</f>
        <v>922000</v>
      </c>
      <c r="Y74" s="3" t="s">
        <v>212</v>
      </c>
      <c r="Z74" s="7">
        <f si="69" t="shared"/>
        <v>0</v>
      </c>
      <c r="AA74" s="7">
        <f si="70" t="shared"/>
        <v>0</v>
      </c>
      <c r="AB74" s="7">
        <f si="71" t="shared"/>
        <v>0</v>
      </c>
      <c r="AC74" s="7">
        <f si="72" t="shared"/>
        <v>0</v>
      </c>
      <c r="AD74" s="7">
        <f si="73" t="shared"/>
        <v>0</v>
      </c>
      <c r="AG74"/>
      <c r="AH74"/>
      <c r="AI74"/>
      <c r="AJ74"/>
      <c r="AK74"/>
      <c r="AL74"/>
      <c r="AM74"/>
      <c r="AN74"/>
      <c r="AO74"/>
    </row>
    <row r="75" spans="1:41" x14ac:dyDescent="0.35">
      <c r="A75" s="3" t="s">
        <v>213</v>
      </c>
      <c r="B75" s="7">
        <f>output_NHTS!B286</f>
        <v>19000</v>
      </c>
      <c r="C75" s="7">
        <f>output_NHTS!C286</f>
        <v>222000</v>
      </c>
      <c r="D75" s="7">
        <f>output_NHTS!D286</f>
        <v>920000</v>
      </c>
      <c r="E75" s="7">
        <f>output_NHTS!E286</f>
        <v>231000</v>
      </c>
      <c r="F75" s="7">
        <f>output_NHTS!F286</f>
        <v>1392000</v>
      </c>
      <c r="M75" s="3" t="s">
        <v>213</v>
      </c>
      <c r="N75" s="7">
        <f>output!B286</f>
        <v>19000</v>
      </c>
      <c r="O75" s="7">
        <f>output!C286</f>
        <v>222000</v>
      </c>
      <c r="P75" s="7">
        <f>output!D286</f>
        <v>920000</v>
      </c>
      <c r="Q75" s="7">
        <f>output!E286</f>
        <v>231000</v>
      </c>
      <c r="R75" s="7">
        <f>output!F286</f>
        <v>1392000</v>
      </c>
      <c r="Y75" s="3" t="s">
        <v>213</v>
      </c>
      <c r="Z75" s="7">
        <f si="69" t="shared"/>
        <v>0</v>
      </c>
      <c r="AA75" s="7">
        <f si="70" t="shared"/>
        <v>0</v>
      </c>
      <c r="AB75" s="7">
        <f si="71" t="shared"/>
        <v>0</v>
      </c>
      <c r="AC75" s="7">
        <f si="72" t="shared"/>
        <v>0</v>
      </c>
      <c r="AD75" s="7">
        <f si="73" t="shared"/>
        <v>0</v>
      </c>
      <c r="AG75"/>
      <c r="AH75"/>
      <c r="AI75"/>
      <c r="AJ75"/>
      <c r="AK75"/>
      <c r="AL75"/>
      <c r="AM75"/>
      <c r="AN75"/>
      <c r="AO75"/>
    </row>
    <row r="76" spans="1:41" x14ac:dyDescent="0.35">
      <c r="A76" s="3" t="s">
        <v>214</v>
      </c>
      <c r="B76" s="7">
        <f>output_NHTS!B287</f>
        <v>4000</v>
      </c>
      <c r="C76" s="7">
        <f>output_NHTS!C287</f>
        <v>247000</v>
      </c>
      <c r="D76" s="7">
        <f>output_NHTS!D287</f>
        <v>996000</v>
      </c>
      <c r="E76" s="7">
        <f>output_NHTS!E287</f>
        <v>287000</v>
      </c>
      <c r="F76" s="7">
        <f>output_NHTS!F287</f>
        <v>1534000</v>
      </c>
      <c r="M76" s="3" t="s">
        <v>214</v>
      </c>
      <c r="N76" s="7">
        <f>output!B287</f>
        <v>4000</v>
      </c>
      <c r="O76" s="7">
        <f>output!C287</f>
        <v>247000</v>
      </c>
      <c r="P76" s="7">
        <f>output!D287</f>
        <v>996000</v>
      </c>
      <c r="Q76" s="7">
        <f>output!E287</f>
        <v>287000</v>
      </c>
      <c r="R76" s="7">
        <f>output!F287</f>
        <v>1534000</v>
      </c>
      <c r="Y76" s="3" t="s">
        <v>214</v>
      </c>
      <c r="Z76" s="7">
        <f si="69" t="shared"/>
        <v>0</v>
      </c>
      <c r="AA76" s="7">
        <f si="70" t="shared"/>
        <v>0</v>
      </c>
      <c r="AB76" s="7">
        <f si="71" t="shared"/>
        <v>0</v>
      </c>
      <c r="AC76" s="7">
        <f si="72" t="shared"/>
        <v>0</v>
      </c>
      <c r="AD76" s="7">
        <f si="73" t="shared"/>
        <v>0</v>
      </c>
      <c r="AG76"/>
      <c r="AH76"/>
      <c r="AI76"/>
      <c r="AJ76"/>
      <c r="AK76"/>
      <c r="AL76"/>
      <c r="AM76"/>
      <c r="AN76"/>
      <c r="AO76"/>
    </row>
    <row r="77" spans="1:41" x14ac:dyDescent="0.35">
      <c r="A77" s="3" t="s">
        <v>215</v>
      </c>
      <c r="B77" s="7">
        <f>output_NHTS!B288</f>
        <v>5000</v>
      </c>
      <c r="C77" s="7">
        <f>output_NHTS!C288</f>
        <v>104000</v>
      </c>
      <c r="D77" s="7">
        <f>output_NHTS!D288</f>
        <v>451000</v>
      </c>
      <c r="E77" s="7">
        <f>output_NHTS!E288</f>
        <v>105000</v>
      </c>
      <c r="F77" s="7">
        <f>output_NHTS!F288</f>
        <v>665000</v>
      </c>
      <c r="M77" s="3" t="s">
        <v>215</v>
      </c>
      <c r="N77" s="7">
        <f>output!B288</f>
        <v>5000</v>
      </c>
      <c r="O77" s="7">
        <f>output!C288</f>
        <v>104000</v>
      </c>
      <c r="P77" s="7">
        <f>output!D288</f>
        <v>451000</v>
      </c>
      <c r="Q77" s="7">
        <f>output!E288</f>
        <v>105000</v>
      </c>
      <c r="R77" s="7">
        <f>output!F288</f>
        <v>665000</v>
      </c>
      <c r="Y77" s="3" t="s">
        <v>215</v>
      </c>
      <c r="Z77" s="7">
        <f si="69" t="shared"/>
        <v>0</v>
      </c>
      <c r="AA77" s="7">
        <f si="70" t="shared"/>
        <v>0</v>
      </c>
      <c r="AB77" s="7">
        <f si="71" t="shared"/>
        <v>0</v>
      </c>
      <c r="AC77" s="7">
        <f si="72" t="shared"/>
        <v>0</v>
      </c>
      <c r="AD77" s="7">
        <f si="73" t="shared"/>
        <v>0</v>
      </c>
      <c r="AG77"/>
      <c r="AH77"/>
      <c r="AI77"/>
      <c r="AJ77"/>
      <c r="AK77"/>
      <c r="AL77"/>
      <c r="AM77"/>
      <c r="AN77"/>
      <c r="AO77"/>
    </row>
    <row r="78" spans="1:41" x14ac:dyDescent="0.35">
      <c r="A78" s="3" t="s">
        <v>129</v>
      </c>
      <c r="B78" s="7">
        <f>output_NHTS!B289</f>
        <v>5000</v>
      </c>
      <c r="C78" s="7">
        <f>output_NHTS!C289</f>
        <v>113000</v>
      </c>
      <c r="D78" s="7">
        <f>output_NHTS!D289</f>
        <v>505000</v>
      </c>
      <c r="E78" s="7">
        <f>output_NHTS!E289</f>
        <v>150000</v>
      </c>
      <c r="F78" s="7">
        <f>output_NHTS!F289</f>
        <v>773000</v>
      </c>
      <c r="M78" s="3" t="s">
        <v>129</v>
      </c>
      <c r="N78" s="7">
        <f>output!B289</f>
        <v>5000</v>
      </c>
      <c r="O78" s="7">
        <f>output!C289</f>
        <v>113000</v>
      </c>
      <c r="P78" s="7">
        <f>output!D289</f>
        <v>505000</v>
      </c>
      <c r="Q78" s="7">
        <f>output!E289</f>
        <v>150000</v>
      </c>
      <c r="R78" s="7">
        <f>output!F289</f>
        <v>773000</v>
      </c>
      <c r="Y78" s="3" t="s">
        <v>129</v>
      </c>
      <c r="Z78" s="7">
        <f si="69" t="shared"/>
        <v>0</v>
      </c>
      <c r="AA78" s="7">
        <f si="70" t="shared"/>
        <v>0</v>
      </c>
      <c r="AB78" s="7">
        <f si="71" t="shared"/>
        <v>0</v>
      </c>
      <c r="AC78" s="7">
        <f si="72" t="shared"/>
        <v>0</v>
      </c>
      <c r="AD78" s="7">
        <f si="73" t="shared"/>
        <v>0</v>
      </c>
      <c r="AG78"/>
      <c r="AH78"/>
      <c r="AI78"/>
      <c r="AJ78"/>
      <c r="AK78"/>
      <c r="AL78"/>
      <c r="AM78"/>
      <c r="AN78"/>
      <c r="AO78"/>
    </row>
    <row r="79" spans="1:41" x14ac:dyDescent="0.35">
      <c r="A79" s="3" t="s">
        <v>130</v>
      </c>
      <c r="B79" s="7">
        <f>output_NHTS!B290</f>
        <v>3000</v>
      </c>
      <c r="C79" s="7">
        <f>output_NHTS!C290</f>
        <v>200000</v>
      </c>
      <c r="D79" s="7">
        <f>output_NHTS!D290</f>
        <v>718000</v>
      </c>
      <c r="E79" s="7">
        <f>output_NHTS!E290</f>
        <v>199000</v>
      </c>
      <c r="F79" s="7">
        <f>output_NHTS!F290</f>
        <v>1120000</v>
      </c>
      <c r="M79" s="3" t="s">
        <v>130</v>
      </c>
      <c r="N79" s="7">
        <f>output!B290</f>
        <v>3000</v>
      </c>
      <c r="O79" s="7">
        <f>output!C290</f>
        <v>200000</v>
      </c>
      <c r="P79" s="7">
        <f>output!D290</f>
        <v>718000</v>
      </c>
      <c r="Q79" s="7">
        <f>output!E290</f>
        <v>199000</v>
      </c>
      <c r="R79" s="7">
        <f>output!F290</f>
        <v>1120000</v>
      </c>
      <c r="Y79" s="3" t="s">
        <v>130</v>
      </c>
      <c r="Z79" s="7">
        <f si="69" t="shared"/>
        <v>0</v>
      </c>
      <c r="AA79" s="7">
        <f si="70" t="shared"/>
        <v>0</v>
      </c>
      <c r="AB79" s="7">
        <f si="71" t="shared"/>
        <v>0</v>
      </c>
      <c r="AC79" s="7">
        <f si="72" t="shared"/>
        <v>0</v>
      </c>
      <c r="AD79" s="7">
        <f si="73" t="shared"/>
        <v>0</v>
      </c>
      <c r="AG79"/>
      <c r="AH79"/>
      <c r="AI79"/>
      <c r="AJ79"/>
      <c r="AK79"/>
      <c r="AL79"/>
      <c r="AM79"/>
      <c r="AN79"/>
      <c r="AO79"/>
    </row>
    <row r="80" spans="1:41" x14ac:dyDescent="0.35">
      <c r="A80" s="8" t="s">
        <v>145</v>
      </c>
      <c r="B80" s="7">
        <f>output_NHTS!B291</f>
        <v>23000</v>
      </c>
      <c r="C80" s="7">
        <f>output_NHTS!C291</f>
        <v>657000</v>
      </c>
      <c r="D80" s="7">
        <f>output_NHTS!D291</f>
        <v>2828000</v>
      </c>
      <c r="E80" s="7">
        <f>output_NHTS!E291</f>
        <v>858000</v>
      </c>
      <c r="F80" s="7">
        <f>output_NHTS!F291</f>
        <v>4366000</v>
      </c>
      <c r="M80" s="8" t="s">
        <v>145</v>
      </c>
      <c r="N80" s="7">
        <f>output!B291</f>
        <v>23000</v>
      </c>
      <c r="O80" s="7">
        <f>output!C291</f>
        <v>657000</v>
      </c>
      <c r="P80" s="7">
        <f>output!D291</f>
        <v>2828000</v>
      </c>
      <c r="Q80" s="7">
        <f>output!E291</f>
        <v>858000</v>
      </c>
      <c r="R80" s="7">
        <f>output!F291</f>
        <v>4366000</v>
      </c>
      <c r="Y80" s="8" t="s">
        <v>145</v>
      </c>
      <c r="Z80" s="7">
        <f si="69" t="shared"/>
        <v>0</v>
      </c>
      <c r="AA80" s="7">
        <f si="70" t="shared"/>
        <v>0</v>
      </c>
      <c r="AB80" s="7">
        <f si="71" t="shared"/>
        <v>0</v>
      </c>
      <c r="AC80" s="7">
        <f si="72" t="shared"/>
        <v>0</v>
      </c>
      <c r="AD80" s="7">
        <f si="73" t="shared"/>
        <v>0</v>
      </c>
      <c r="AG80"/>
      <c r="AH80"/>
      <c r="AI80"/>
      <c r="AJ80"/>
      <c r="AK80"/>
      <c r="AL80"/>
      <c r="AM80"/>
      <c r="AN80"/>
      <c r="AO80"/>
    </row>
    <row ht="13.15" r="81" spans="1:41" thickBot="1" x14ac:dyDescent="0.4">
      <c r="A81" s="10" t="s">
        <v>223</v>
      </c>
      <c r="B81" s="11">
        <f>SUM(B73:B80)</f>
        <v>69000</v>
      </c>
      <c r="C81" s="11">
        <f>SUM(C73:C80)</f>
        <v>1985000</v>
      </c>
      <c r="D81" s="11">
        <f>SUM(D73:D80)</f>
        <v>8564000</v>
      </c>
      <c r="E81" s="11">
        <f>SUM(E73:E80)</f>
        <v>2466000</v>
      </c>
      <c r="F81" s="11">
        <f>SUM(F73:F80)</f>
        <v>13084000</v>
      </c>
      <c r="M81" s="10" t="s">
        <v>223</v>
      </c>
      <c r="N81" s="11">
        <f>SUM(N73:N80)</f>
        <v>69000</v>
      </c>
      <c r="O81" s="11">
        <f>SUM(O73:O80)</f>
        <v>1985000</v>
      </c>
      <c r="P81" s="11">
        <f>SUM(P73:P80)</f>
        <v>8564000</v>
      </c>
      <c r="Q81" s="11">
        <f>SUM(Q73:Q80)</f>
        <v>2466000</v>
      </c>
      <c r="R81" s="11">
        <f>SUM(R73:R80)</f>
        <v>13084000</v>
      </c>
      <c r="Y81" s="10" t="s">
        <v>223</v>
      </c>
      <c r="Z81" s="11">
        <f si="69" t="shared"/>
        <v>0</v>
      </c>
      <c r="AA81" s="11">
        <f si="70" t="shared"/>
        <v>0</v>
      </c>
      <c r="AB81" s="11">
        <f si="71" t="shared"/>
        <v>0</v>
      </c>
      <c r="AC81" s="11">
        <f si="72" t="shared"/>
        <v>0</v>
      </c>
      <c r="AD81" s="11">
        <f si="73" t="shared"/>
        <v>0</v>
      </c>
      <c r="AG81"/>
      <c r="AH81"/>
      <c r="AI81"/>
      <c r="AJ81"/>
      <c r="AK81"/>
      <c r="AL81"/>
      <c r="AM81"/>
      <c r="AN81"/>
      <c r="AO81"/>
    </row>
    <row r="82" spans="1:41" x14ac:dyDescent="0.35">
      <c r="AG82"/>
      <c r="AH82"/>
      <c r="AI82"/>
      <c r="AJ82"/>
      <c r="AK82"/>
      <c r="AL82"/>
      <c r="AM82"/>
      <c r="AN82"/>
      <c r="AO82"/>
    </row>
    <row r="83" spans="1:41" x14ac:dyDescent="0.35">
      <c r="A83" s="25" t="s">
        <v>88</v>
      </c>
      <c r="B83" s="53">
        <f>ToursByTourPurpose!B84</f>
        <v>20000</v>
      </c>
      <c r="C83" s="53">
        <f>ToursByTourPurpose!C84</f>
        <v>511000</v>
      </c>
      <c r="D83" s="53">
        <f>ToursByTourPurpose!D84</f>
        <v>2128000</v>
      </c>
      <c r="E83" s="53">
        <f>ToursByTourPurpose!E84</f>
        <v>622000</v>
      </c>
      <c r="F83" s="53">
        <f>ToursByTourPurpose!F84</f>
        <v>3281000</v>
      </c>
      <c r="M83" s="25" t="s">
        <v>88</v>
      </c>
      <c r="N83" s="53">
        <f>ToursByTourPurpose!N84</f>
        <v>20000</v>
      </c>
      <c r="O83" s="53">
        <f>ToursByTourPurpose!O84</f>
        <v>511000</v>
      </c>
      <c r="P83" s="53">
        <f>ToursByTourPurpose!P84</f>
        <v>2128000</v>
      </c>
      <c r="Q83" s="53">
        <f>ToursByTourPurpose!Q84</f>
        <v>622000</v>
      </c>
      <c r="R83" s="53">
        <f>ToursByTourPurpose!R84</f>
        <v>3281000</v>
      </c>
      <c r="Y83" s="3" t="s">
        <v>88</v>
      </c>
      <c r="Z83" s="7">
        <f ref="Z83:AD84" si="74" t="shared">N83-B83</f>
        <v>0</v>
      </c>
      <c r="AA83" s="7">
        <f si="74" t="shared"/>
        <v>0</v>
      </c>
      <c r="AB83" s="7">
        <f si="74" t="shared"/>
        <v>0</v>
      </c>
      <c r="AC83" s="7">
        <f si="74" t="shared"/>
        <v>0</v>
      </c>
      <c r="AD83" s="7">
        <f si="74" t="shared"/>
        <v>0</v>
      </c>
      <c r="AG83"/>
      <c r="AH83"/>
      <c r="AI83"/>
      <c r="AJ83"/>
      <c r="AK83"/>
      <c r="AL83"/>
      <c r="AM83"/>
      <c r="AN83"/>
      <c r="AO83"/>
    </row>
    <row r="84" spans="1:41" x14ac:dyDescent="0.35">
      <c r="A84" s="25" t="s">
        <v>91</v>
      </c>
      <c r="B84" s="38">
        <f>B81/B83</f>
        <v>3.45</v>
      </c>
      <c r="C84" s="38">
        <f>C81/C83</f>
        <v>3.8845401174168299</v>
      </c>
      <c r="D84" s="38">
        <f>D81/D83</f>
        <v>4.0244360902255636</v>
      </c>
      <c r="E84" s="38">
        <f>E81/E83</f>
        <v>3.964630225080386</v>
      </c>
      <c r="F84" s="38">
        <f>F81/F83</f>
        <v>3.9878085949405668</v>
      </c>
      <c r="M84" s="25" t="s">
        <v>91</v>
      </c>
      <c r="N84" s="38">
        <f>N81/N83</f>
        <v>3.45</v>
      </c>
      <c r="O84" s="38">
        <f>O81/O83</f>
        <v>3.8845401174168299</v>
      </c>
      <c r="P84" s="38">
        <f>P81/P83</f>
        <v>4.0244360902255636</v>
      </c>
      <c r="Q84" s="38">
        <f>Q81/Q83</f>
        <v>3.964630225080386</v>
      </c>
      <c r="R84" s="38">
        <f>R81/R83</f>
        <v>3.9878085949405668</v>
      </c>
      <c r="Y84" s="3" t="s">
        <v>91</v>
      </c>
      <c r="Z84" s="38">
        <f si="74" t="shared"/>
        <v>0</v>
      </c>
      <c r="AA84" s="38">
        <f si="74" t="shared"/>
        <v>0</v>
      </c>
      <c r="AB84" s="38">
        <f si="74" t="shared"/>
        <v>0</v>
      </c>
      <c r="AC84" s="38">
        <f si="74" t="shared"/>
        <v>0</v>
      </c>
      <c r="AD84" s="38">
        <f si="74" t="shared"/>
        <v>0</v>
      </c>
      <c r="AG84"/>
      <c r="AH84"/>
      <c r="AI84"/>
      <c r="AJ84"/>
      <c r="AK84"/>
      <c r="AL84"/>
      <c r="AM84"/>
      <c r="AN84"/>
      <c r="AO84"/>
    </row>
    <row r="85" spans="1:41" x14ac:dyDescent="0.35">
      <c r="AG85"/>
      <c r="AH85"/>
      <c r="AI85"/>
      <c r="AJ85"/>
      <c r="AK85"/>
      <c r="AL85"/>
      <c r="AM85"/>
      <c r="AN85"/>
      <c r="AO85"/>
    </row>
    <row ht="13.15" r="86" spans="1:41" x14ac:dyDescent="0.4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ht="13.15" r="87" spans="1:41" x14ac:dyDescent="0.4">
      <c r="A87" s="2" t="s">
        <v>97</v>
      </c>
      <c r="M87" s="2" t="s">
        <v>137</v>
      </c>
      <c r="Y87" s="1397" t="s">
        <v>254</v>
      </c>
      <c r="Z87" s="1397"/>
      <c r="AA87" s="1397"/>
      <c r="AB87" s="1397"/>
      <c r="AG87"/>
      <c r="AH87"/>
      <c r="AI87"/>
      <c r="AJ87"/>
      <c r="AK87"/>
      <c r="AL87"/>
      <c r="AM87"/>
      <c r="AN87"/>
      <c r="AO87"/>
    </row>
    <row ht="13.15" r="88" spans="1:41" thickBot="1" x14ac:dyDescent="0.4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ht="13.15" r="89" spans="1:41" x14ac:dyDescent="0.4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223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223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223</v>
      </c>
    </row>
    <row r="90" spans="1:41" x14ac:dyDescent="0.35">
      <c r="A90" s="3" t="s">
        <v>211</v>
      </c>
      <c r="B90" s="12">
        <f ref="B90:F96" si="75" t="shared">B73/B$81</f>
        <v>4.3478260869565216E-2</v>
      </c>
      <c r="C90" s="12">
        <f si="75" t="shared"/>
        <v>0.14911838790931989</v>
      </c>
      <c r="D90" s="12">
        <f si="75" t="shared"/>
        <v>0.18028958430639888</v>
      </c>
      <c r="E90" s="12">
        <f si="75" t="shared"/>
        <v>0.19018653690186538</v>
      </c>
      <c r="F90" s="12">
        <f si="75" t="shared"/>
        <v>0.17670437175175788</v>
      </c>
      <c r="M90" s="3" t="s">
        <v>211</v>
      </c>
      <c r="N90" s="12">
        <f ref="N90:R98" si="76" t="shared">N73/N$81</f>
        <v>4.3478260869565216E-2</v>
      </c>
      <c r="O90" s="12">
        <f si="76" t="shared"/>
        <v>0.14911838790931989</v>
      </c>
      <c r="P90" s="12">
        <f si="76" t="shared"/>
        <v>0.18028958430639888</v>
      </c>
      <c r="Q90" s="12">
        <f si="76" t="shared"/>
        <v>0.19018653690186538</v>
      </c>
      <c r="R90" s="12">
        <f si="76" t="shared"/>
        <v>0.17670437175175788</v>
      </c>
      <c r="Y90" s="3" t="s">
        <v>211</v>
      </c>
      <c r="Z90" s="12">
        <f ref="Z90:Z98" si="77" t="shared">N90-B90</f>
        <v>0</v>
      </c>
      <c r="AA90" s="12">
        <f ref="AA90:AA98" si="78" t="shared">O90-C90</f>
        <v>0</v>
      </c>
      <c r="AB90" s="12">
        <f ref="AB90:AB98" si="79" t="shared">P90-D90</f>
        <v>0</v>
      </c>
      <c r="AC90" s="12">
        <f ref="AC90:AC98" si="80" t="shared">Q90-E90</f>
        <v>0</v>
      </c>
      <c r="AD90" s="12">
        <f ref="AD90:AD98" si="81" t="shared">R90-F90</f>
        <v>0</v>
      </c>
    </row>
    <row r="91" spans="1:41" x14ac:dyDescent="0.35">
      <c r="A91" s="3" t="s">
        <v>212</v>
      </c>
      <c r="B91" s="12">
        <f si="75" t="shared"/>
        <v>0.10144927536231885</v>
      </c>
      <c r="C91" s="12">
        <f si="75" t="shared"/>
        <v>7.3551637279596974E-2</v>
      </c>
      <c r="D91" s="12">
        <f si="75" t="shared"/>
        <v>7.0294255021018215E-2</v>
      </c>
      <c r="E91" s="12">
        <f si="75" t="shared"/>
        <v>6.7721005677210053E-2</v>
      </c>
      <c r="F91" s="12">
        <f si="75" t="shared"/>
        <v>7.0467746866401712E-2</v>
      </c>
      <c r="M91" s="3" t="s">
        <v>212</v>
      </c>
      <c r="N91" s="12">
        <f si="76" t="shared"/>
        <v>0.10144927536231885</v>
      </c>
      <c r="O91" s="12">
        <f si="76" t="shared"/>
        <v>7.3551637279596974E-2</v>
      </c>
      <c r="P91" s="12">
        <f si="76" t="shared"/>
        <v>7.0294255021018215E-2</v>
      </c>
      <c r="Q91" s="12">
        <f si="76" t="shared"/>
        <v>6.7721005677210053E-2</v>
      </c>
      <c r="R91" s="12">
        <f si="76" t="shared"/>
        <v>7.0467746866401712E-2</v>
      </c>
      <c r="Y91" s="3" t="s">
        <v>212</v>
      </c>
      <c r="Z91" s="12">
        <f si="77" t="shared"/>
        <v>0</v>
      </c>
      <c r="AA91" s="12">
        <f si="78" t="shared"/>
        <v>0</v>
      </c>
      <c r="AB91" s="12">
        <f si="79" t="shared"/>
        <v>0</v>
      </c>
      <c r="AC91" s="12">
        <f si="80" t="shared"/>
        <v>0</v>
      </c>
      <c r="AD91" s="12">
        <f si="81" t="shared"/>
        <v>0</v>
      </c>
    </row>
    <row r="92" spans="1:41" x14ac:dyDescent="0.35">
      <c r="A92" s="3" t="s">
        <v>213</v>
      </c>
      <c r="B92" s="12">
        <f si="75" t="shared"/>
        <v>0.27536231884057971</v>
      </c>
      <c r="C92" s="12">
        <f si="75" t="shared"/>
        <v>0.11183879093198992</v>
      </c>
      <c r="D92" s="12">
        <f si="75" t="shared"/>
        <v>0.10742643624474545</v>
      </c>
      <c r="E92" s="12">
        <f si="75" t="shared"/>
        <v>9.3673965936739656E-2</v>
      </c>
      <c r="F92" s="12">
        <f si="75" t="shared"/>
        <v>0.10638948333842861</v>
      </c>
      <c r="M92" s="3" t="s">
        <v>213</v>
      </c>
      <c r="N92" s="12">
        <f si="76" t="shared"/>
        <v>0.27536231884057971</v>
      </c>
      <c r="O92" s="12">
        <f si="76" t="shared"/>
        <v>0.11183879093198992</v>
      </c>
      <c r="P92" s="12">
        <f si="76" t="shared"/>
        <v>0.10742643624474545</v>
      </c>
      <c r="Q92" s="12">
        <f si="76" t="shared"/>
        <v>9.3673965936739656E-2</v>
      </c>
      <c r="R92" s="12">
        <f si="76" t="shared"/>
        <v>0.10638948333842861</v>
      </c>
      <c r="Y92" s="3" t="s">
        <v>213</v>
      </c>
      <c r="Z92" s="12">
        <f si="77" t="shared"/>
        <v>0</v>
      </c>
      <c r="AA92" s="12">
        <f si="78" t="shared"/>
        <v>0</v>
      </c>
      <c r="AB92" s="12">
        <f si="79" t="shared"/>
        <v>0</v>
      </c>
      <c r="AC92" s="12">
        <f si="80" t="shared"/>
        <v>0</v>
      </c>
      <c r="AD92" s="12">
        <f si="81" t="shared"/>
        <v>0</v>
      </c>
    </row>
    <row r="93" spans="1:41" x14ac:dyDescent="0.35">
      <c r="A93" s="3" t="s">
        <v>214</v>
      </c>
      <c r="B93" s="12">
        <f si="75" t="shared"/>
        <v>5.7971014492753624E-2</v>
      </c>
      <c r="C93" s="12">
        <f si="75" t="shared"/>
        <v>0.12443324937027708</v>
      </c>
      <c r="D93" s="12">
        <f si="75" t="shared"/>
        <v>0.11630079402148528</v>
      </c>
      <c r="E93" s="12">
        <f si="75" t="shared"/>
        <v>0.11638280616382807</v>
      </c>
      <c r="F93" s="12">
        <f si="75" t="shared"/>
        <v>0.11724243350657292</v>
      </c>
      <c r="M93" s="3" t="s">
        <v>214</v>
      </c>
      <c r="N93" s="12">
        <f si="76" t="shared"/>
        <v>5.7971014492753624E-2</v>
      </c>
      <c r="O93" s="12">
        <f si="76" t="shared"/>
        <v>0.12443324937027708</v>
      </c>
      <c r="P93" s="12">
        <f si="76" t="shared"/>
        <v>0.11630079402148528</v>
      </c>
      <c r="Q93" s="12">
        <f si="76" t="shared"/>
        <v>0.11638280616382807</v>
      </c>
      <c r="R93" s="12">
        <f si="76" t="shared"/>
        <v>0.11724243350657292</v>
      </c>
      <c r="Y93" s="3" t="s">
        <v>214</v>
      </c>
      <c r="Z93" s="12">
        <f si="77" t="shared"/>
        <v>0</v>
      </c>
      <c r="AA93" s="12">
        <f si="78" t="shared"/>
        <v>0</v>
      </c>
      <c r="AB93" s="12">
        <f si="79" t="shared"/>
        <v>0</v>
      </c>
      <c r="AC93" s="12">
        <f si="80" t="shared"/>
        <v>0</v>
      </c>
      <c r="AD93" s="12">
        <f si="81" t="shared"/>
        <v>0</v>
      </c>
    </row>
    <row r="94" spans="1:41" x14ac:dyDescent="0.35">
      <c r="A94" s="3" t="s">
        <v>215</v>
      </c>
      <c r="B94" s="12">
        <f si="75" t="shared"/>
        <v>7.2463768115942032E-2</v>
      </c>
      <c r="C94" s="12">
        <f si="75" t="shared"/>
        <v>5.2392947103274558E-2</v>
      </c>
      <c r="D94" s="12">
        <f si="75" t="shared"/>
        <v>5.2662307333021956E-2</v>
      </c>
      <c r="E94" s="12">
        <f si="75" t="shared"/>
        <v>4.2579075425790751E-2</v>
      </c>
      <c r="F94" s="12">
        <f si="75" t="shared"/>
        <v>5.0825435646591255E-2</v>
      </c>
      <c r="M94" s="3" t="s">
        <v>215</v>
      </c>
      <c r="N94" s="12">
        <f si="76" t="shared"/>
        <v>7.2463768115942032E-2</v>
      </c>
      <c r="O94" s="12">
        <f si="76" t="shared"/>
        <v>5.2392947103274558E-2</v>
      </c>
      <c r="P94" s="12">
        <f si="76" t="shared"/>
        <v>5.2662307333021956E-2</v>
      </c>
      <c r="Q94" s="12">
        <f si="76" t="shared"/>
        <v>4.2579075425790751E-2</v>
      </c>
      <c r="R94" s="12">
        <f si="76" t="shared"/>
        <v>5.0825435646591255E-2</v>
      </c>
      <c r="Y94" s="3" t="s">
        <v>215</v>
      </c>
      <c r="Z94" s="12">
        <f si="77" t="shared"/>
        <v>0</v>
      </c>
      <c r="AA94" s="12">
        <f si="78" t="shared"/>
        <v>0</v>
      </c>
      <c r="AB94" s="12">
        <f si="79" t="shared"/>
        <v>0</v>
      </c>
      <c r="AC94" s="12">
        <f si="80" t="shared"/>
        <v>0</v>
      </c>
      <c r="AD94" s="12">
        <f si="81" t="shared"/>
        <v>0</v>
      </c>
    </row>
    <row r="95" spans="1:41" x14ac:dyDescent="0.35">
      <c r="A95" s="3" t="s">
        <v>129</v>
      </c>
      <c r="B95" s="12">
        <f si="75" t="shared"/>
        <v>7.2463768115942032E-2</v>
      </c>
      <c r="C95" s="12">
        <f si="75" t="shared"/>
        <v>5.6926952141057932E-2</v>
      </c>
      <c r="D95" s="12">
        <f si="75" t="shared"/>
        <v>5.8967772069126574E-2</v>
      </c>
      <c r="E95" s="12">
        <f si="75" t="shared"/>
        <v>6.0827250608272508E-2</v>
      </c>
      <c r="F95" s="12">
        <f si="75" t="shared"/>
        <v>5.9079792112503825E-2</v>
      </c>
      <c r="M95" s="3" t="s">
        <v>129</v>
      </c>
      <c r="N95" s="12">
        <f si="76" t="shared"/>
        <v>7.2463768115942032E-2</v>
      </c>
      <c r="O95" s="12">
        <f si="76" t="shared"/>
        <v>5.6926952141057932E-2</v>
      </c>
      <c r="P95" s="12">
        <f si="76" t="shared"/>
        <v>5.8967772069126574E-2</v>
      </c>
      <c r="Q95" s="12">
        <f si="76" t="shared"/>
        <v>6.0827250608272508E-2</v>
      </c>
      <c r="R95" s="12">
        <f si="76" t="shared"/>
        <v>5.9079792112503825E-2</v>
      </c>
      <c r="Y95" s="3" t="s">
        <v>129</v>
      </c>
      <c r="Z95" s="12">
        <f si="77" t="shared"/>
        <v>0</v>
      </c>
      <c r="AA95" s="12">
        <f si="78" t="shared"/>
        <v>0</v>
      </c>
      <c r="AB95" s="12">
        <f si="79" t="shared"/>
        <v>0</v>
      </c>
      <c r="AC95" s="12">
        <f si="80" t="shared"/>
        <v>0</v>
      </c>
      <c r="AD95" s="12">
        <f si="81" t="shared"/>
        <v>0</v>
      </c>
    </row>
    <row r="96" spans="1:41" x14ac:dyDescent="0.35">
      <c r="A96" s="3" t="s">
        <v>130</v>
      </c>
      <c r="B96" s="12">
        <f si="75" t="shared"/>
        <v>4.3478260869565216E-2</v>
      </c>
      <c r="C96" s="12">
        <f si="75" t="shared"/>
        <v>0.10075566750629723</v>
      </c>
      <c r="D96" s="12">
        <f si="75" t="shared"/>
        <v>8.3839327417094822E-2</v>
      </c>
      <c r="E96" s="12">
        <f si="75" t="shared"/>
        <v>8.0697485806974861E-2</v>
      </c>
      <c r="F96" s="12">
        <f si="75" t="shared"/>
        <v>8.5600733720574751E-2</v>
      </c>
      <c r="M96" s="3" t="s">
        <v>130</v>
      </c>
      <c r="N96" s="12">
        <f si="76" t="shared"/>
        <v>4.3478260869565216E-2</v>
      </c>
      <c r="O96" s="12">
        <f si="76" t="shared"/>
        <v>0.10075566750629723</v>
      </c>
      <c r="P96" s="12">
        <f si="76" t="shared"/>
        <v>8.3839327417094822E-2</v>
      </c>
      <c r="Q96" s="12">
        <f si="76" t="shared"/>
        <v>8.0697485806974861E-2</v>
      </c>
      <c r="R96" s="12">
        <f si="76" t="shared"/>
        <v>8.5600733720574751E-2</v>
      </c>
      <c r="Y96" s="3" t="s">
        <v>130</v>
      </c>
      <c r="Z96" s="12">
        <f si="77" t="shared"/>
        <v>0</v>
      </c>
      <c r="AA96" s="12">
        <f si="78" t="shared"/>
        <v>0</v>
      </c>
      <c r="AB96" s="12">
        <f si="79" t="shared"/>
        <v>0</v>
      </c>
      <c r="AC96" s="12">
        <f si="80" t="shared"/>
        <v>0</v>
      </c>
      <c r="AD96" s="12">
        <f si="81" t="shared"/>
        <v>0</v>
      </c>
    </row>
    <row r="97" spans="1:34" x14ac:dyDescent="0.35">
      <c r="A97" s="8" t="s">
        <v>145</v>
      </c>
      <c r="B97" s="13">
        <f ref="B97:F98" si="82" t="shared">B80/B$81</f>
        <v>0.33333333333333331</v>
      </c>
      <c r="C97" s="13">
        <f si="82" t="shared"/>
        <v>0.3309823677581864</v>
      </c>
      <c r="D97" s="13">
        <f si="82" t="shared"/>
        <v>0.33021952358710882</v>
      </c>
      <c r="E97" s="13">
        <f si="82" t="shared"/>
        <v>0.34793187347931875</v>
      </c>
      <c r="F97" s="13">
        <f si="82" t="shared"/>
        <v>0.33369000305716906</v>
      </c>
      <c r="M97" s="8" t="s">
        <v>145</v>
      </c>
      <c r="N97" s="13">
        <f si="76" t="shared"/>
        <v>0.33333333333333331</v>
      </c>
      <c r="O97" s="13">
        <f si="76" t="shared"/>
        <v>0.3309823677581864</v>
      </c>
      <c r="P97" s="13">
        <f si="76" t="shared"/>
        <v>0.33021952358710882</v>
      </c>
      <c r="Q97" s="13">
        <f si="76" t="shared"/>
        <v>0.34793187347931875</v>
      </c>
      <c r="R97" s="13">
        <f si="76" t="shared"/>
        <v>0.33369000305716906</v>
      </c>
      <c r="Y97" s="8" t="s">
        <v>145</v>
      </c>
      <c r="Z97" s="12">
        <f si="77" t="shared"/>
        <v>0</v>
      </c>
      <c r="AA97" s="12">
        <f si="78" t="shared"/>
        <v>0</v>
      </c>
      <c r="AB97" s="12">
        <f si="79" t="shared"/>
        <v>0</v>
      </c>
      <c r="AC97" s="12">
        <f si="80" t="shared"/>
        <v>0</v>
      </c>
      <c r="AD97" s="12">
        <f si="81" t="shared"/>
        <v>0</v>
      </c>
    </row>
    <row ht="13.15" r="98" spans="1:34" thickBot="1" x14ac:dyDescent="0.4">
      <c r="A98" s="10" t="s">
        <v>223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223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223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4" x14ac:dyDescent="0.35">
      <c r="A100" s="25"/>
      <c r="M100" s="25"/>
    </row>
    <row r="101" spans="1:34" x14ac:dyDescent="0.35">
      <c r="A101" s="25"/>
      <c r="M101" s="25"/>
    </row>
    <row r="102" spans="1:34" x14ac:dyDescent="0.35">
      <c r="R102" s="25"/>
      <c r="S102" s="25"/>
      <c r="T102" s="25"/>
      <c r="U102" s="25"/>
      <c r="V102" s="25"/>
      <c r="W102" s="25"/>
    </row>
    <row ht="13.15" r="103" spans="1:34" x14ac:dyDescent="0.4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ht="13.15" r="104" spans="1:34" x14ac:dyDescent="0.4">
      <c r="A104" s="2" t="s">
        <v>312</v>
      </c>
      <c r="F104" s="25"/>
      <c r="G104" s="25"/>
      <c r="H104" s="25"/>
      <c r="I104" s="25"/>
      <c r="J104" s="25"/>
      <c r="M104" s="2" t="s">
        <v>313</v>
      </c>
      <c r="R104" s="25"/>
      <c r="S104" s="25"/>
      <c r="T104" s="25"/>
      <c r="U104" s="25"/>
      <c r="V104" s="25"/>
      <c r="W104" s="25"/>
      <c r="Y104" s="1397" t="s">
        <v>314</v>
      </c>
      <c r="Z104" s="1397"/>
      <c r="AA104" s="1397"/>
      <c r="AD104" s="25"/>
      <c r="AE104" s="25"/>
      <c r="AF104" s="25"/>
      <c r="AG104" s="25"/>
      <c r="AH104" s="25"/>
    </row>
    <row ht="13.15" r="105" spans="1:34" thickBot="1" x14ac:dyDescent="0.4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ht="13.15" r="106" spans="1:34" x14ac:dyDescent="0.4">
      <c r="A106" s="5" t="s">
        <v>144</v>
      </c>
      <c r="B106" s="6" t="s">
        <v>331</v>
      </c>
      <c r="C106" s="6" t="s">
        <v>332</v>
      </c>
      <c r="D106" s="6" t="s">
        <v>333</v>
      </c>
      <c r="E106" s="6" t="s">
        <v>334</v>
      </c>
      <c r="F106" s="6" t="s">
        <v>335</v>
      </c>
      <c r="G106" s="6" t="s">
        <v>336</v>
      </c>
      <c r="H106" s="6" t="s">
        <v>337</v>
      </c>
      <c r="I106" s="6" t="s">
        <v>223</v>
      </c>
      <c r="J106" s="89"/>
      <c r="M106" s="5" t="s">
        <v>144</v>
      </c>
      <c r="N106" s="6" t="str">
        <f>B106</f>
        <v>Williamson</v>
      </c>
      <c r="O106" s="6" t="str">
        <f ref="O106:T106" si="83" t="shared">C106</f>
        <v>Rutherford</v>
      </c>
      <c r="P106" s="6" t="str">
        <f si="83" t="shared"/>
        <v>Sumner</v>
      </c>
      <c r="Q106" s="6" t="str">
        <f si="83" t="shared"/>
        <v>Roberston</v>
      </c>
      <c r="R106" s="6" t="str">
        <f si="83" t="shared"/>
        <v>Davidson</v>
      </c>
      <c r="S106" s="6" t="str">
        <f si="83" t="shared"/>
        <v>Maury</v>
      </c>
      <c r="T106" s="6" t="str">
        <f si="83" t="shared"/>
        <v>Wilson</v>
      </c>
      <c r="U106" s="6" t="s">
        <v>223</v>
      </c>
      <c r="V106" s="89"/>
      <c r="W106" s="25"/>
      <c r="Y106" s="5" t="s">
        <v>144</v>
      </c>
      <c r="Z106" s="6" t="str">
        <f>B106</f>
        <v>Williamson</v>
      </c>
      <c r="AA106" s="6" t="str">
        <f ref="AA106:AF106" si="84" t="shared">C106</f>
        <v>Rutherford</v>
      </c>
      <c r="AB106" s="6" t="str">
        <f si="84" t="shared"/>
        <v>Sumner</v>
      </c>
      <c r="AC106" s="6" t="str">
        <f si="84" t="shared"/>
        <v>Roberston</v>
      </c>
      <c r="AD106" s="6" t="str">
        <f si="84" t="shared"/>
        <v>Davidson</v>
      </c>
      <c r="AE106" s="6" t="str">
        <f si="84" t="shared"/>
        <v>Maury</v>
      </c>
      <c r="AF106" s="6" t="str">
        <f si="84" t="shared"/>
        <v>Wilson</v>
      </c>
      <c r="AG106" s="6" t="s">
        <v>223</v>
      </c>
      <c r="AH106" s="89"/>
    </row>
    <row r="107" spans="1:34" x14ac:dyDescent="0.35">
      <c r="A107" s="3" t="s">
        <v>211</v>
      </c>
      <c r="B107" s="7">
        <f>output_NHTS!B295</f>
        <v>2312000</v>
      </c>
      <c r="C107" s="7">
        <f>output_NHTS!C295</f>
        <v>0</v>
      </c>
      <c r="D107" s="7">
        <f>output_NHTS!D295</f>
        <v>0</v>
      </c>
      <c r="E107" s="7">
        <f>output_NHTS!E295</f>
        <v>0</v>
      </c>
      <c r="F107" s="7">
        <f>output_NHTS!F295</f>
        <v>0</v>
      </c>
      <c r="G107" s="7">
        <f>output_NHTS!G295</f>
        <v>0</v>
      </c>
      <c r="H107" s="7">
        <f>output_NHTS!H295</f>
        <v>0</v>
      </c>
      <c r="I107" s="7">
        <f>SUM(B107:H107)</f>
        <v>2312000</v>
      </c>
      <c r="J107" s="33"/>
      <c r="M107" s="3" t="s">
        <v>211</v>
      </c>
      <c r="N107" s="7">
        <f>output!B295</f>
        <v>2312000</v>
      </c>
      <c r="O107" s="7">
        <f>output!C295</f>
        <v>0</v>
      </c>
      <c r="P107" s="7">
        <f>output!D295</f>
        <v>0</v>
      </c>
      <c r="Q107" s="7">
        <f>output!E295</f>
        <v>0</v>
      </c>
      <c r="R107" s="7">
        <f>output!F295</f>
        <v>0</v>
      </c>
      <c r="S107" s="7">
        <f>output!G295</f>
        <v>0</v>
      </c>
      <c r="T107" s="7">
        <f>output!H295</f>
        <v>0</v>
      </c>
      <c r="U107" s="7">
        <f>SUM(N107:T107)</f>
        <v>2312000</v>
      </c>
      <c r="V107" s="33"/>
      <c r="W107" s="25"/>
      <c r="Y107" s="3" t="s">
        <v>211</v>
      </c>
      <c r="Z107" s="7">
        <f ref="Z107:Z115" si="85" t="shared">N107-B107</f>
        <v>0</v>
      </c>
      <c r="AA107" s="7">
        <f ref="AA107:AA115" si="86" t="shared">O107-C107</f>
        <v>0</v>
      </c>
      <c r="AB107" s="7">
        <f ref="AB107:AB115" si="87" t="shared">P107-D107</f>
        <v>0</v>
      </c>
      <c r="AC107" s="7">
        <f ref="AC107:AC115" si="88" t="shared">Q107-E107</f>
        <v>0</v>
      </c>
      <c r="AD107" s="7">
        <f ref="AD107" si="89" t="shared">R107-F107</f>
        <v>0</v>
      </c>
      <c r="AE107" s="7">
        <f ref="AE107:AF114" si="90" t="shared">S107-G107</f>
        <v>0</v>
      </c>
      <c r="AF107" s="7">
        <f si="90" t="shared"/>
        <v>0</v>
      </c>
      <c r="AG107" s="7">
        <f ref="AG107:AG115" si="91" t="shared">U107-I107</f>
        <v>0</v>
      </c>
      <c r="AH107" s="33"/>
    </row>
    <row r="108" spans="1:34" x14ac:dyDescent="0.35">
      <c r="A108" s="3" t="s">
        <v>212</v>
      </c>
      <c r="B108" s="7">
        <f>output_NHTS!B296</f>
        <v>922000</v>
      </c>
      <c r="C108" s="7">
        <f>output_NHTS!C296</f>
        <v>0</v>
      </c>
      <c r="D108" s="7">
        <f>output_NHTS!D296</f>
        <v>0</v>
      </c>
      <c r="E108" s="7">
        <f>output_NHTS!E296</f>
        <v>0</v>
      </c>
      <c r="F108" s="7">
        <f>output_NHTS!F296</f>
        <v>0</v>
      </c>
      <c r="G108" s="7">
        <f>output_NHTS!G296</f>
        <v>0</v>
      </c>
      <c r="H108" s="7">
        <f>output_NHTS!H296</f>
        <v>0</v>
      </c>
      <c r="I108" s="7">
        <f ref="I108:I114" si="92" t="shared">SUM(B108:H108)</f>
        <v>922000</v>
      </c>
      <c r="J108" s="33"/>
      <c r="M108" s="3" t="s">
        <v>212</v>
      </c>
      <c r="N108" s="7">
        <f>output!B296</f>
        <v>922000</v>
      </c>
      <c r="O108" s="7">
        <f>output!C296</f>
        <v>0</v>
      </c>
      <c r="P108" s="7">
        <f>output!D296</f>
        <v>0</v>
      </c>
      <c r="Q108" s="7">
        <f>output!E296</f>
        <v>0</v>
      </c>
      <c r="R108" s="7">
        <f>output!F296</f>
        <v>0</v>
      </c>
      <c r="S108" s="7">
        <f>output!G296</f>
        <v>0</v>
      </c>
      <c r="T108" s="7">
        <f>output!H296</f>
        <v>0</v>
      </c>
      <c r="U108" s="7">
        <f ref="U108:U114" si="93" t="shared">SUM(N108:T108)</f>
        <v>922000</v>
      </c>
      <c r="V108" s="33"/>
      <c r="W108" s="25"/>
      <c r="Y108" s="3" t="s">
        <v>212</v>
      </c>
      <c r="Z108" s="7">
        <f si="85" t="shared"/>
        <v>0</v>
      </c>
      <c r="AA108" s="7">
        <f si="86" t="shared"/>
        <v>0</v>
      </c>
      <c r="AB108" s="7">
        <f si="87" t="shared"/>
        <v>0</v>
      </c>
      <c r="AC108" s="7">
        <f ref="AC108:AC114" si="94" t="shared">Q108-E108</f>
        <v>0</v>
      </c>
      <c r="AD108" s="7">
        <f ref="AD108:AD115" si="95" t="shared">R108-F108</f>
        <v>0</v>
      </c>
      <c r="AE108" s="7">
        <f ref="AE108:AF115" si="96" t="shared">S108-G108</f>
        <v>0</v>
      </c>
      <c r="AF108" s="7">
        <f si="90" t="shared"/>
        <v>0</v>
      </c>
      <c r="AG108" s="7">
        <f si="91" t="shared"/>
        <v>0</v>
      </c>
      <c r="AH108" s="33"/>
    </row>
    <row r="109" spans="1:34" x14ac:dyDescent="0.35">
      <c r="A109" s="3" t="s">
        <v>213</v>
      </c>
      <c r="B109" s="7">
        <f>output_NHTS!B297</f>
        <v>1392000</v>
      </c>
      <c r="C109" s="7">
        <f>output_NHTS!C297</f>
        <v>0</v>
      </c>
      <c r="D109" s="7">
        <f>output_NHTS!D297</f>
        <v>0</v>
      </c>
      <c r="E109" s="7">
        <f>output_NHTS!E297</f>
        <v>0</v>
      </c>
      <c r="F109" s="7">
        <f>output_NHTS!F297</f>
        <v>0</v>
      </c>
      <c r="G109" s="7">
        <f>output_NHTS!G297</f>
        <v>0</v>
      </c>
      <c r="H109" s="7">
        <f>output_NHTS!H297</f>
        <v>0</v>
      </c>
      <c r="I109" s="7">
        <f si="92" t="shared"/>
        <v>1392000</v>
      </c>
      <c r="J109" s="33"/>
      <c r="M109" s="3" t="s">
        <v>213</v>
      </c>
      <c r="N109" s="7">
        <f>output!B297</f>
        <v>1392000</v>
      </c>
      <c r="O109" s="7">
        <f>output!C297</f>
        <v>0</v>
      </c>
      <c r="P109" s="7">
        <f>output!D297</f>
        <v>0</v>
      </c>
      <c r="Q109" s="7">
        <f>output!E297</f>
        <v>0</v>
      </c>
      <c r="R109" s="7">
        <f>output!F297</f>
        <v>0</v>
      </c>
      <c r="S109" s="7">
        <f>output!G297</f>
        <v>0</v>
      </c>
      <c r="T109" s="7">
        <f>output!H297</f>
        <v>0</v>
      </c>
      <c r="U109" s="7">
        <f si="93" t="shared"/>
        <v>1392000</v>
      </c>
      <c r="V109" s="33"/>
      <c r="W109" s="25"/>
      <c r="Y109" s="3" t="s">
        <v>213</v>
      </c>
      <c r="Z109" s="7">
        <f si="85" t="shared"/>
        <v>0</v>
      </c>
      <c r="AA109" s="7">
        <f si="86" t="shared"/>
        <v>0</v>
      </c>
      <c r="AB109" s="7">
        <f si="87" t="shared"/>
        <v>0</v>
      </c>
      <c r="AC109" s="7">
        <f si="94" t="shared"/>
        <v>0</v>
      </c>
      <c r="AD109" s="7">
        <f si="95" t="shared"/>
        <v>0</v>
      </c>
      <c r="AE109" s="7">
        <f si="96" t="shared"/>
        <v>0</v>
      </c>
      <c r="AF109" s="7">
        <f si="90" t="shared"/>
        <v>0</v>
      </c>
      <c r="AG109" s="7">
        <f si="91" t="shared"/>
        <v>0</v>
      </c>
      <c r="AH109" s="33"/>
    </row>
    <row r="110" spans="1:34" x14ac:dyDescent="0.35">
      <c r="A110" s="3" t="s">
        <v>214</v>
      </c>
      <c r="B110" s="7">
        <f>output_NHTS!B298</f>
        <v>1534000</v>
      </c>
      <c r="C110" s="7">
        <f>output_NHTS!C298</f>
        <v>0</v>
      </c>
      <c r="D110" s="7">
        <f>output_NHTS!D298</f>
        <v>0</v>
      </c>
      <c r="E110" s="7">
        <f>output_NHTS!E298</f>
        <v>0</v>
      </c>
      <c r="F110" s="7">
        <f>output_NHTS!F298</f>
        <v>0</v>
      </c>
      <c r="G110" s="7">
        <f>output_NHTS!G298</f>
        <v>0</v>
      </c>
      <c r="H110" s="7">
        <f>output_NHTS!H298</f>
        <v>0</v>
      </c>
      <c r="I110" s="7">
        <f si="92" t="shared"/>
        <v>1534000</v>
      </c>
      <c r="J110" s="33"/>
      <c r="M110" s="3" t="s">
        <v>214</v>
      </c>
      <c r="N110" s="7">
        <f>output!B298</f>
        <v>1534000</v>
      </c>
      <c r="O110" s="7">
        <f>output!C298</f>
        <v>0</v>
      </c>
      <c r="P110" s="7">
        <f>output!D298</f>
        <v>0</v>
      </c>
      <c r="Q110" s="7">
        <f>output!E298</f>
        <v>0</v>
      </c>
      <c r="R110" s="7">
        <f>output!F298</f>
        <v>0</v>
      </c>
      <c r="S110" s="7">
        <f>output!G298</f>
        <v>0</v>
      </c>
      <c r="T110" s="7">
        <f>output!H298</f>
        <v>0</v>
      </c>
      <c r="U110" s="7">
        <f si="93" t="shared"/>
        <v>1534000</v>
      </c>
      <c r="V110" s="33"/>
      <c r="W110" s="25"/>
      <c r="Y110" s="3" t="s">
        <v>214</v>
      </c>
      <c r="Z110" s="7">
        <f si="85" t="shared"/>
        <v>0</v>
      </c>
      <c r="AA110" s="7">
        <f si="86" t="shared"/>
        <v>0</v>
      </c>
      <c r="AB110" s="7">
        <f si="87" t="shared"/>
        <v>0</v>
      </c>
      <c r="AC110" s="7">
        <f si="94" t="shared"/>
        <v>0</v>
      </c>
      <c r="AD110" s="7">
        <f si="95" t="shared"/>
        <v>0</v>
      </c>
      <c r="AE110" s="7">
        <f si="96" t="shared"/>
        <v>0</v>
      </c>
      <c r="AF110" s="7">
        <f si="90" t="shared"/>
        <v>0</v>
      </c>
      <c r="AG110" s="7">
        <f si="91" t="shared"/>
        <v>0</v>
      </c>
      <c r="AH110" s="33"/>
    </row>
    <row r="111" spans="1:34" x14ac:dyDescent="0.35">
      <c r="A111" s="3" t="s">
        <v>215</v>
      </c>
      <c r="B111" s="7">
        <f>output_NHTS!B299</f>
        <v>665000</v>
      </c>
      <c r="C111" s="7">
        <f>output_NHTS!C299</f>
        <v>0</v>
      </c>
      <c r="D111" s="7">
        <f>output_NHTS!D299</f>
        <v>0</v>
      </c>
      <c r="E111" s="7">
        <f>output_NHTS!E299</f>
        <v>0</v>
      </c>
      <c r="F111" s="7">
        <f>output_NHTS!F299</f>
        <v>0</v>
      </c>
      <c r="G111" s="7">
        <f>output_NHTS!G299</f>
        <v>0</v>
      </c>
      <c r="H111" s="7">
        <f>output_NHTS!H299</f>
        <v>0</v>
      </c>
      <c r="I111" s="7">
        <f si="92" t="shared"/>
        <v>665000</v>
      </c>
      <c r="J111" s="33"/>
      <c r="M111" s="3" t="s">
        <v>215</v>
      </c>
      <c r="N111" s="7">
        <f>output!B299</f>
        <v>665000</v>
      </c>
      <c r="O111" s="7">
        <f>output!C299</f>
        <v>0</v>
      </c>
      <c r="P111" s="7">
        <f>output!D299</f>
        <v>0</v>
      </c>
      <c r="Q111" s="7">
        <f>output!E299</f>
        <v>0</v>
      </c>
      <c r="R111" s="7">
        <f>output!F299</f>
        <v>0</v>
      </c>
      <c r="S111" s="7">
        <f>output!G299</f>
        <v>0</v>
      </c>
      <c r="T111" s="7">
        <f>output!H299</f>
        <v>0</v>
      </c>
      <c r="U111" s="7">
        <f si="93" t="shared"/>
        <v>665000</v>
      </c>
      <c r="V111" s="33"/>
      <c r="W111" s="25"/>
      <c r="Y111" s="3" t="s">
        <v>215</v>
      </c>
      <c r="Z111" s="7">
        <f si="85" t="shared"/>
        <v>0</v>
      </c>
      <c r="AA111" s="7">
        <f si="86" t="shared"/>
        <v>0</v>
      </c>
      <c r="AB111" s="7">
        <f si="87" t="shared"/>
        <v>0</v>
      </c>
      <c r="AC111" s="7">
        <f si="94" t="shared"/>
        <v>0</v>
      </c>
      <c r="AD111" s="7">
        <f si="95" t="shared"/>
        <v>0</v>
      </c>
      <c r="AE111" s="7">
        <f si="96" t="shared"/>
        <v>0</v>
      </c>
      <c r="AF111" s="7">
        <f si="90" t="shared"/>
        <v>0</v>
      </c>
      <c r="AG111" s="7">
        <f si="91" t="shared"/>
        <v>0</v>
      </c>
      <c r="AH111" s="33"/>
    </row>
    <row r="112" spans="1:34" x14ac:dyDescent="0.35">
      <c r="A112" s="3" t="s">
        <v>129</v>
      </c>
      <c r="B112" s="7">
        <f>output_NHTS!B300</f>
        <v>773000</v>
      </c>
      <c r="C112" s="7">
        <f>output_NHTS!C300</f>
        <v>0</v>
      </c>
      <c r="D112" s="7">
        <f>output_NHTS!D300</f>
        <v>0</v>
      </c>
      <c r="E112" s="7">
        <f>output_NHTS!E300</f>
        <v>0</v>
      </c>
      <c r="F112" s="7">
        <f>output_NHTS!F300</f>
        <v>0</v>
      </c>
      <c r="G112" s="7">
        <f>output_NHTS!G300</f>
        <v>0</v>
      </c>
      <c r="H112" s="7">
        <f>output_NHTS!H300</f>
        <v>0</v>
      </c>
      <c r="I112" s="7">
        <f si="92" t="shared"/>
        <v>773000</v>
      </c>
      <c r="J112" s="33"/>
      <c r="M112" s="3" t="s">
        <v>129</v>
      </c>
      <c r="N112" s="7">
        <f>output!B300</f>
        <v>773000</v>
      </c>
      <c r="O112" s="7">
        <f>output!C300</f>
        <v>0</v>
      </c>
      <c r="P112" s="7">
        <f>output!D300</f>
        <v>0</v>
      </c>
      <c r="Q112" s="7">
        <f>output!E300</f>
        <v>0</v>
      </c>
      <c r="R112" s="7">
        <f>output!F300</f>
        <v>0</v>
      </c>
      <c r="S112" s="7">
        <f>output!G300</f>
        <v>0</v>
      </c>
      <c r="T112" s="7">
        <f>output!H300</f>
        <v>0</v>
      </c>
      <c r="U112" s="7">
        <f si="93" t="shared"/>
        <v>773000</v>
      </c>
      <c r="V112" s="33"/>
      <c r="W112" s="25"/>
      <c r="Y112" s="3" t="s">
        <v>129</v>
      </c>
      <c r="Z112" s="7">
        <f si="85" t="shared"/>
        <v>0</v>
      </c>
      <c r="AA112" s="7">
        <f si="86" t="shared"/>
        <v>0</v>
      </c>
      <c r="AB112" s="7">
        <f si="87" t="shared"/>
        <v>0</v>
      </c>
      <c r="AC112" s="7">
        <f si="94" t="shared"/>
        <v>0</v>
      </c>
      <c r="AD112" s="7">
        <f si="95" t="shared"/>
        <v>0</v>
      </c>
      <c r="AE112" s="7">
        <f si="96" t="shared"/>
        <v>0</v>
      </c>
      <c r="AF112" s="7">
        <f si="90" t="shared"/>
        <v>0</v>
      </c>
      <c r="AG112" s="7">
        <f si="91" t="shared"/>
        <v>0</v>
      </c>
      <c r="AH112" s="33"/>
    </row>
    <row r="113" spans="1:34" x14ac:dyDescent="0.35">
      <c r="A113" s="3" t="s">
        <v>130</v>
      </c>
      <c r="B113" s="7">
        <f>output_NHTS!B301</f>
        <v>1120000</v>
      </c>
      <c r="C113" s="7">
        <f>output_NHTS!C301</f>
        <v>0</v>
      </c>
      <c r="D113" s="7">
        <f>output_NHTS!D301</f>
        <v>0</v>
      </c>
      <c r="E113" s="7">
        <f>output_NHTS!E301</f>
        <v>0</v>
      </c>
      <c r="F113" s="7">
        <f>output_NHTS!F301</f>
        <v>0</v>
      </c>
      <c r="G113" s="7">
        <f>output_NHTS!G301</f>
        <v>0</v>
      </c>
      <c r="H113" s="7">
        <f>output_NHTS!H301</f>
        <v>0</v>
      </c>
      <c r="I113" s="7">
        <f si="92" t="shared"/>
        <v>1120000</v>
      </c>
      <c r="J113" s="33"/>
      <c r="M113" s="3" t="s">
        <v>130</v>
      </c>
      <c r="N113" s="7">
        <f>output!B301</f>
        <v>1120000</v>
      </c>
      <c r="O113" s="7">
        <f>output!C301</f>
        <v>0</v>
      </c>
      <c r="P113" s="7">
        <f>output!D301</f>
        <v>0</v>
      </c>
      <c r="Q113" s="7">
        <f>output!E301</f>
        <v>0</v>
      </c>
      <c r="R113" s="7">
        <f>output!F301</f>
        <v>0</v>
      </c>
      <c r="S113" s="7">
        <f>output!G301</f>
        <v>0</v>
      </c>
      <c r="T113" s="7">
        <f>output!H301</f>
        <v>0</v>
      </c>
      <c r="U113" s="7">
        <f si="93" t="shared"/>
        <v>1120000</v>
      </c>
      <c r="V113" s="33"/>
      <c r="W113" s="25"/>
      <c r="Y113" s="3" t="s">
        <v>130</v>
      </c>
      <c r="Z113" s="7">
        <f si="85" t="shared"/>
        <v>0</v>
      </c>
      <c r="AA113" s="7">
        <f si="86" t="shared"/>
        <v>0</v>
      </c>
      <c r="AB113" s="7">
        <f si="87" t="shared"/>
        <v>0</v>
      </c>
      <c r="AC113" s="7">
        <f si="94" t="shared"/>
        <v>0</v>
      </c>
      <c r="AD113" s="7">
        <f si="95" t="shared"/>
        <v>0</v>
      </c>
      <c r="AE113" s="7">
        <f si="96" t="shared"/>
        <v>0</v>
      </c>
      <c r="AF113" s="7">
        <f si="90" t="shared"/>
        <v>0</v>
      </c>
      <c r="AG113" s="7">
        <f si="91" t="shared"/>
        <v>0</v>
      </c>
      <c r="AH113" s="33"/>
    </row>
    <row r="114" spans="1:34" x14ac:dyDescent="0.35">
      <c r="A114" s="8" t="s">
        <v>145</v>
      </c>
      <c r="B114" s="7">
        <f>output_NHTS!B302</f>
        <v>4366000</v>
      </c>
      <c r="C114" s="7">
        <f>output_NHTS!C302</f>
        <v>0</v>
      </c>
      <c r="D114" s="7">
        <f>output_NHTS!D302</f>
        <v>0</v>
      </c>
      <c r="E114" s="7">
        <f>output_NHTS!E302</f>
        <v>0</v>
      </c>
      <c r="F114" s="7">
        <f>output_NHTS!F302</f>
        <v>0</v>
      </c>
      <c r="G114" s="7">
        <f>output_NHTS!G302</f>
        <v>0</v>
      </c>
      <c r="H114" s="7">
        <f>output_NHTS!H302</f>
        <v>0</v>
      </c>
      <c r="I114" s="7">
        <f si="92" t="shared"/>
        <v>4366000</v>
      </c>
      <c r="J114" s="33"/>
      <c r="M114" s="8" t="s">
        <v>145</v>
      </c>
      <c r="N114" s="7">
        <f>output!B302</f>
        <v>4366000</v>
      </c>
      <c r="O114" s="7">
        <f>output!C302</f>
        <v>0</v>
      </c>
      <c r="P114" s="7">
        <f>output!D302</f>
        <v>0</v>
      </c>
      <c r="Q114" s="7">
        <f>output!E302</f>
        <v>0</v>
      </c>
      <c r="R114" s="7">
        <f>output!F302</f>
        <v>0</v>
      </c>
      <c r="S114" s="7">
        <f>output!G302</f>
        <v>0</v>
      </c>
      <c r="T114" s="7">
        <f>output!H302</f>
        <v>0</v>
      </c>
      <c r="U114" s="7">
        <f si="93" t="shared"/>
        <v>4366000</v>
      </c>
      <c r="V114" s="33"/>
      <c r="W114" s="25"/>
      <c r="Y114" s="8" t="s">
        <v>145</v>
      </c>
      <c r="Z114" s="7">
        <f si="85" t="shared"/>
        <v>0</v>
      </c>
      <c r="AA114" s="7">
        <f si="86" t="shared"/>
        <v>0</v>
      </c>
      <c r="AB114" s="7">
        <f si="87" t="shared"/>
        <v>0</v>
      </c>
      <c r="AC114" s="7">
        <f si="94" t="shared"/>
        <v>0</v>
      </c>
      <c r="AD114" s="7">
        <f si="95" t="shared"/>
        <v>0</v>
      </c>
      <c r="AE114" s="7">
        <f si="96" t="shared"/>
        <v>0</v>
      </c>
      <c r="AF114" s="7">
        <f si="90" t="shared"/>
        <v>0</v>
      </c>
      <c r="AG114" s="7">
        <f si="91" t="shared"/>
        <v>0</v>
      </c>
      <c r="AH114" s="33"/>
    </row>
    <row ht="13.15" r="115" spans="1:34" thickBot="1" x14ac:dyDescent="0.4">
      <c r="A115" s="10" t="s">
        <v>223</v>
      </c>
      <c r="B115" s="11">
        <f>SUM(B107:B114)</f>
        <v>13084000</v>
      </c>
      <c r="C115" s="11">
        <f>SUM(C107:C114)</f>
        <v>0</v>
      </c>
      <c r="D115" s="11">
        <f>SUM(D107:D114)</f>
        <v>0</v>
      </c>
      <c r="E115" s="11">
        <f>SUM(E107:E114)</f>
        <v>0</v>
      </c>
      <c r="F115" s="11">
        <f ref="F115:H115" si="97" t="shared">SUM(F107:F114)</f>
        <v>0</v>
      </c>
      <c r="G115" s="11">
        <f si="97" t="shared"/>
        <v>0</v>
      </c>
      <c r="H115" s="11">
        <f si="97" t="shared"/>
        <v>0</v>
      </c>
      <c r="I115" s="11">
        <f>SUM(I107:I114)</f>
        <v>13084000</v>
      </c>
      <c r="J115" s="33"/>
      <c r="M115" s="10" t="s">
        <v>223</v>
      </c>
      <c r="N115" s="11">
        <f>SUM(N107:N114)</f>
        <v>13084000</v>
      </c>
      <c r="O115" s="11">
        <f>SUM(O107:O114)</f>
        <v>0</v>
      </c>
      <c r="P115" s="11">
        <f>SUM(P107:P114)</f>
        <v>0</v>
      </c>
      <c r="Q115" s="11">
        <f>SUM(Q107:Q114)</f>
        <v>0</v>
      </c>
      <c r="R115" s="11">
        <f ref="R115:T115" si="98" t="shared">SUM(R107:R114)</f>
        <v>0</v>
      </c>
      <c r="S115" s="11">
        <f si="98" t="shared"/>
        <v>0</v>
      </c>
      <c r="T115" s="11">
        <f si="98" t="shared"/>
        <v>0</v>
      </c>
      <c r="U115" s="11">
        <f>SUM(U107:U114)</f>
        <v>13084000</v>
      </c>
      <c r="V115" s="33"/>
      <c r="W115" s="25"/>
      <c r="Y115" s="10" t="s">
        <v>223</v>
      </c>
      <c r="Z115" s="11">
        <f si="85" t="shared"/>
        <v>0</v>
      </c>
      <c r="AA115" s="11">
        <f si="86" t="shared"/>
        <v>0</v>
      </c>
      <c r="AB115" s="11">
        <f si="87" t="shared"/>
        <v>0</v>
      </c>
      <c r="AC115" s="11">
        <f si="88" t="shared"/>
        <v>0</v>
      </c>
      <c r="AD115" s="11">
        <f si="95" t="shared"/>
        <v>0</v>
      </c>
      <c r="AE115" s="11">
        <f si="96" t="shared"/>
        <v>0</v>
      </c>
      <c r="AF115" s="11">
        <f si="96" t="shared"/>
        <v>0</v>
      </c>
      <c r="AG115" s="11">
        <f si="91" t="shared"/>
        <v>0</v>
      </c>
      <c r="AH115" s="33"/>
    </row>
    <row r="116" spans="1:34" x14ac:dyDescent="0.35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35">
      <c r="A117" s="25" t="s">
        <v>88</v>
      </c>
      <c r="B117" s="7">
        <f>ToursByTourPurpose!B118</f>
        <v>3281000</v>
      </c>
      <c r="C117" s="7">
        <f>ToursByTourPurpose!C118</f>
        <v>0</v>
      </c>
      <c r="D117" s="7">
        <f>ToursByTourPurpose!D118</f>
        <v>0</v>
      </c>
      <c r="E117" s="7">
        <f>ToursByTourPurpose!E118</f>
        <v>0</v>
      </c>
      <c r="F117" s="7">
        <f>ToursByTourPurpose!F118</f>
        <v>0</v>
      </c>
      <c r="G117" s="7">
        <f>ToursByTourPurpose!G118</f>
        <v>0</v>
      </c>
      <c r="H117" s="7">
        <f>ToursByTourPurpose!H118</f>
        <v>0</v>
      </c>
      <c r="I117" s="7">
        <f>ToursByTourPurpose!I118</f>
        <v>3281000</v>
      </c>
      <c r="J117" s="33"/>
      <c r="M117" s="25" t="s">
        <v>88</v>
      </c>
      <c r="N117" s="7">
        <f>ToursByTourPurpose!N118</f>
        <v>3281000</v>
      </c>
      <c r="O117" s="7">
        <f>ToursByTourPurpose!O118</f>
        <v>0</v>
      </c>
      <c r="P117" s="7">
        <f>ToursByTourPurpose!P118</f>
        <v>0</v>
      </c>
      <c r="Q117" s="7">
        <f>ToursByTourPurpose!Q118</f>
        <v>0</v>
      </c>
      <c r="R117" s="7">
        <f>ToursByTourPurpose!R118</f>
        <v>0</v>
      </c>
      <c r="S117" s="7">
        <f>ToursByTourPurpose!S118</f>
        <v>0</v>
      </c>
      <c r="T117" s="7">
        <f>ToursByTourPurpose!T118</f>
        <v>0</v>
      </c>
      <c r="U117" s="7">
        <f>ToursByTourPurpose!U118</f>
        <v>3281000</v>
      </c>
      <c r="V117" s="33"/>
      <c r="W117" s="25"/>
      <c r="Y117" s="3" t="s">
        <v>88</v>
      </c>
      <c r="Z117" s="7">
        <f ref="Z117:AC118" si="99" t="shared">N117-B117</f>
        <v>0</v>
      </c>
      <c r="AA117" s="7">
        <f si="99" t="shared"/>
        <v>0</v>
      </c>
      <c r="AB117" s="7">
        <f si="99" t="shared"/>
        <v>0</v>
      </c>
      <c r="AC117" s="7">
        <f si="99" t="shared"/>
        <v>0</v>
      </c>
      <c r="AD117" s="7">
        <f ref="AD117:AD118" si="100" t="shared">R117-F117</f>
        <v>0</v>
      </c>
      <c r="AE117" s="7">
        <f ref="AE117:AF118" si="101" t="shared">S117-G117</f>
        <v>0</v>
      </c>
      <c r="AF117" s="7">
        <f si="101" t="shared"/>
        <v>0</v>
      </c>
      <c r="AG117" s="7">
        <f ref="AG117:AG118" si="102" t="shared">U117-I117</f>
        <v>0</v>
      </c>
      <c r="AH117" s="33"/>
    </row>
    <row r="118" spans="1:34" x14ac:dyDescent="0.35">
      <c r="A118" s="25" t="s">
        <v>91</v>
      </c>
      <c r="B118" s="38">
        <f>B115/B117</f>
        <v>3.9878085949405668</v>
      </c>
      <c r="C118" s="38" t="e">
        <f>C115/C117</f>
        <v>#DIV/0!</v>
      </c>
      <c r="D118" s="38" t="e">
        <f>D115/D117</f>
        <v>#DIV/0!</v>
      </c>
      <c r="E118" s="38" t="e">
        <f>E115/E117</f>
        <v>#DIV/0!</v>
      </c>
      <c r="F118" s="38" t="e">
        <f ref="F118:I118" si="103" t="shared">F115/F117</f>
        <v>#DIV/0!</v>
      </c>
      <c r="G118" s="38" t="e">
        <f si="103" t="shared"/>
        <v>#DIV/0!</v>
      </c>
      <c r="H118" s="38" t="e">
        <f si="103" t="shared"/>
        <v>#DIV/0!</v>
      </c>
      <c r="I118" s="38">
        <f si="103" t="shared"/>
        <v>3.9878085949405668</v>
      </c>
      <c r="J118" s="103"/>
      <c r="M118" s="25" t="s">
        <v>91</v>
      </c>
      <c r="N118" s="38">
        <f>N115/N117</f>
        <v>3.9878085949405668</v>
      </c>
      <c r="O118" s="38" t="e">
        <f>O115/O117</f>
        <v>#DIV/0!</v>
      </c>
      <c r="P118" s="38" t="e">
        <f>P115/P117</f>
        <v>#DIV/0!</v>
      </c>
      <c r="Q118" s="38" t="e">
        <f>Q115/Q117</f>
        <v>#DIV/0!</v>
      </c>
      <c r="R118" s="38" t="e">
        <f ref="R118:U118" si="104" t="shared">R115/R117</f>
        <v>#DIV/0!</v>
      </c>
      <c r="S118" s="38" t="e">
        <f si="104" t="shared"/>
        <v>#DIV/0!</v>
      </c>
      <c r="T118" s="38" t="e">
        <f si="104" t="shared"/>
        <v>#DIV/0!</v>
      </c>
      <c r="U118" s="38">
        <f si="104" t="shared"/>
        <v>3.9878085949405668</v>
      </c>
      <c r="V118" s="103"/>
      <c r="W118" s="25"/>
      <c r="Y118" s="3" t="s">
        <v>91</v>
      </c>
      <c r="Z118" s="38">
        <f si="99" t="shared"/>
        <v>0</v>
      </c>
      <c r="AA118" s="38" t="e">
        <f si="99" t="shared"/>
        <v>#DIV/0!</v>
      </c>
      <c r="AB118" s="38" t="e">
        <f si="99" t="shared"/>
        <v>#DIV/0!</v>
      </c>
      <c r="AC118" s="38" t="e">
        <f si="99" t="shared"/>
        <v>#DIV/0!</v>
      </c>
      <c r="AD118" s="38" t="e">
        <f si="100" t="shared"/>
        <v>#DIV/0!</v>
      </c>
      <c r="AE118" s="38" t="e">
        <f si="101" t="shared"/>
        <v>#DIV/0!</v>
      </c>
      <c r="AF118" s="38" t="e">
        <f si="101" t="shared"/>
        <v>#DIV/0!</v>
      </c>
      <c r="AG118" s="38">
        <f si="102" t="shared"/>
        <v>0</v>
      </c>
      <c r="AH118" s="103"/>
    </row>
    <row r="119" spans="1:34" x14ac:dyDescent="0.35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ht="13.15" r="120" spans="1:34" x14ac:dyDescent="0.4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ht="13.15" r="121" spans="1:34" x14ac:dyDescent="0.4">
      <c r="A121" s="2" t="s">
        <v>317</v>
      </c>
      <c r="G121" s="25"/>
      <c r="H121" s="25"/>
      <c r="I121" s="25"/>
      <c r="J121" s="25"/>
      <c r="M121" s="2" t="s">
        <v>316</v>
      </c>
      <c r="S121" s="25"/>
      <c r="T121" s="25"/>
      <c r="U121" s="25"/>
      <c r="V121" s="25"/>
      <c r="W121" s="25"/>
      <c r="Y121" s="1397" t="s">
        <v>315</v>
      </c>
      <c r="Z121" s="1397"/>
      <c r="AA121" s="1397"/>
      <c r="AE121" s="25"/>
      <c r="AF121" s="25"/>
      <c r="AG121" s="25"/>
      <c r="AH121" s="25"/>
    </row>
    <row ht="13.15" r="122" spans="1:34" thickBot="1" x14ac:dyDescent="0.4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ht="13.15" r="123" spans="1:34" x14ac:dyDescent="0.4">
      <c r="A123" s="5" t="s">
        <v>144</v>
      </c>
      <c r="B123" s="6" t="str">
        <f>B106</f>
        <v>Williamson</v>
      </c>
      <c r="C123" s="6" t="str">
        <f ref="C123:H123" si="105" t="shared">C106</f>
        <v>Rutherford</v>
      </c>
      <c r="D123" s="6" t="str">
        <f si="105" t="shared"/>
        <v>Sumner</v>
      </c>
      <c r="E123" s="6" t="str">
        <f si="105" t="shared"/>
        <v>Roberston</v>
      </c>
      <c r="F123" s="6" t="str">
        <f si="105" t="shared"/>
        <v>Davidson</v>
      </c>
      <c r="G123" s="6" t="str">
        <f si="105" t="shared"/>
        <v>Maury</v>
      </c>
      <c r="H123" s="6" t="str">
        <f si="105" t="shared"/>
        <v>Wilson</v>
      </c>
      <c r="I123" s="6" t="s">
        <v>223</v>
      </c>
      <c r="J123" s="89"/>
      <c r="M123" s="5" t="s">
        <v>144</v>
      </c>
      <c r="N123" s="6" t="str">
        <f>B106</f>
        <v>Williamson</v>
      </c>
      <c r="O123" s="6" t="str">
        <f ref="O123:T123" si="106" t="shared">C106</f>
        <v>Rutherford</v>
      </c>
      <c r="P123" s="6" t="str">
        <f si="106" t="shared"/>
        <v>Sumner</v>
      </c>
      <c r="Q123" s="6" t="str">
        <f si="106" t="shared"/>
        <v>Roberston</v>
      </c>
      <c r="R123" s="6" t="str">
        <f si="106" t="shared"/>
        <v>Davidson</v>
      </c>
      <c r="S123" s="6" t="str">
        <f si="106" t="shared"/>
        <v>Maury</v>
      </c>
      <c r="T123" s="6" t="str">
        <f si="106" t="shared"/>
        <v>Wilson</v>
      </c>
      <c r="U123" s="6" t="s">
        <v>223</v>
      </c>
      <c r="V123" s="89"/>
      <c r="W123" s="25"/>
      <c r="Y123" s="5" t="s">
        <v>144</v>
      </c>
      <c r="Z123" s="6" t="str">
        <f>B106</f>
        <v>Williamson</v>
      </c>
      <c r="AA123" s="6" t="str">
        <f ref="AA123:AF123" si="107" t="shared">C106</f>
        <v>Rutherford</v>
      </c>
      <c r="AB123" s="6" t="str">
        <f si="107" t="shared"/>
        <v>Sumner</v>
      </c>
      <c r="AC123" s="6" t="str">
        <f si="107" t="shared"/>
        <v>Roberston</v>
      </c>
      <c r="AD123" s="6" t="str">
        <f si="107" t="shared"/>
        <v>Davidson</v>
      </c>
      <c r="AE123" s="6" t="str">
        <f si="107" t="shared"/>
        <v>Maury</v>
      </c>
      <c r="AF123" s="6" t="str">
        <f si="107" t="shared"/>
        <v>Wilson</v>
      </c>
      <c r="AG123" s="6" t="s">
        <v>223</v>
      </c>
      <c r="AH123" s="89"/>
    </row>
    <row r="124" spans="1:34" x14ac:dyDescent="0.35">
      <c r="A124" s="3" t="s">
        <v>211</v>
      </c>
      <c r="B124" s="12">
        <f ref="B124:H130" si="108" t="shared">B107/B$115</f>
        <v>0.17670437175175788</v>
      </c>
      <c r="C124" s="12" t="e">
        <f si="108" t="shared"/>
        <v>#DIV/0!</v>
      </c>
      <c r="D124" s="12" t="e">
        <f>D107/D$115</f>
        <v>#DIV/0!</v>
      </c>
      <c r="E124" s="12" t="e">
        <f>E107/E$115</f>
        <v>#DIV/0!</v>
      </c>
      <c r="F124" s="12" t="e">
        <f ref="F124:H124" si="109" t="shared">F107/F$115</f>
        <v>#DIV/0!</v>
      </c>
      <c r="G124" s="12" t="e">
        <f si="109" t="shared"/>
        <v>#DIV/0!</v>
      </c>
      <c r="H124" s="12" t="e">
        <f si="109" t="shared"/>
        <v>#DIV/0!</v>
      </c>
      <c r="I124" s="12">
        <f ref="I124:I132" si="110" t="shared">I107/I$115</f>
        <v>0.17670437175175788</v>
      </c>
      <c r="J124" s="34"/>
      <c r="M124" s="3" t="s">
        <v>211</v>
      </c>
      <c r="N124" s="12">
        <f ref="N124:T132" si="111" t="shared">N107/N$115</f>
        <v>0.17670437175175788</v>
      </c>
      <c r="O124" s="12" t="e">
        <f si="111" t="shared"/>
        <v>#DIV/0!</v>
      </c>
      <c r="P124" s="12" t="e">
        <f si="111" t="shared"/>
        <v>#DIV/0!</v>
      </c>
      <c r="Q124" s="12" t="e">
        <f si="111" t="shared"/>
        <v>#DIV/0!</v>
      </c>
      <c r="R124" s="12" t="e">
        <f si="111" t="shared"/>
        <v>#DIV/0!</v>
      </c>
      <c r="S124" s="12" t="e">
        <f si="111" t="shared"/>
        <v>#DIV/0!</v>
      </c>
      <c r="T124" s="12" t="e">
        <f si="111" t="shared"/>
        <v>#DIV/0!</v>
      </c>
      <c r="U124" s="12">
        <f ref="U124:U132" si="112" t="shared">U107/U$115</f>
        <v>0.17670437175175788</v>
      </c>
      <c r="V124" s="34"/>
      <c r="W124" s="25"/>
      <c r="Y124" s="3" t="s">
        <v>211</v>
      </c>
      <c r="Z124" s="12">
        <f ref="Z124:Z132" si="113" t="shared">N124-B124</f>
        <v>0</v>
      </c>
      <c r="AA124" s="12" t="e">
        <f ref="AA124:AA132" si="114" t="shared">O124-C124</f>
        <v>#DIV/0!</v>
      </c>
      <c r="AB124" s="12" t="e">
        <f ref="AB124:AB132" si="115" t="shared">P124-D124</f>
        <v>#DIV/0!</v>
      </c>
      <c r="AC124" s="12" t="e">
        <f>Q124-E124</f>
        <v>#DIV/0!</v>
      </c>
      <c r="AD124" s="12" t="e">
        <f>R124-F124</f>
        <v>#DIV/0!</v>
      </c>
      <c r="AE124" s="12" t="e">
        <f>S124-G124</f>
        <v>#DIV/0!</v>
      </c>
      <c r="AF124" s="12" t="e">
        <f>T124-H124</f>
        <v>#DIV/0!</v>
      </c>
      <c r="AG124" s="12">
        <f ref="AG124:AG132" si="116" t="shared">U124-I124</f>
        <v>0</v>
      </c>
      <c r="AH124" s="34"/>
    </row>
    <row r="125" spans="1:34" x14ac:dyDescent="0.35">
      <c r="A125" s="3" t="s">
        <v>212</v>
      </c>
      <c r="B125" s="12">
        <f si="108" t="shared"/>
        <v>7.0467746866401712E-2</v>
      </c>
      <c r="C125" s="12" t="e">
        <f si="108" t="shared"/>
        <v>#DIV/0!</v>
      </c>
      <c r="D125" s="12" t="e">
        <f si="108" t="shared"/>
        <v>#DIV/0!</v>
      </c>
      <c r="E125" s="12" t="e">
        <f si="108" t="shared"/>
        <v>#DIV/0!</v>
      </c>
      <c r="F125" s="12" t="e">
        <f si="108" t="shared"/>
        <v>#DIV/0!</v>
      </c>
      <c r="G125" s="12" t="e">
        <f si="108" t="shared"/>
        <v>#DIV/0!</v>
      </c>
      <c r="H125" s="12" t="e">
        <f si="108" t="shared"/>
        <v>#DIV/0!</v>
      </c>
      <c r="I125" s="12">
        <f si="110" t="shared"/>
        <v>7.0467746866401712E-2</v>
      </c>
      <c r="J125" s="34"/>
      <c r="M125" s="3" t="s">
        <v>212</v>
      </c>
      <c r="N125" s="12">
        <f si="111" t="shared"/>
        <v>7.0467746866401712E-2</v>
      </c>
      <c r="O125" s="12" t="e">
        <f si="111" t="shared"/>
        <v>#DIV/0!</v>
      </c>
      <c r="P125" s="12" t="e">
        <f si="111" t="shared"/>
        <v>#DIV/0!</v>
      </c>
      <c r="Q125" s="12" t="e">
        <f si="111" t="shared"/>
        <v>#DIV/0!</v>
      </c>
      <c r="R125" s="12" t="e">
        <f ref="R125:T125" si="117" t="shared">R108/R$115</f>
        <v>#DIV/0!</v>
      </c>
      <c r="S125" s="12" t="e">
        <f si="117" t="shared"/>
        <v>#DIV/0!</v>
      </c>
      <c r="T125" s="12" t="e">
        <f si="117" t="shared"/>
        <v>#DIV/0!</v>
      </c>
      <c r="U125" s="12">
        <f si="112" t="shared"/>
        <v>7.0467746866401712E-2</v>
      </c>
      <c r="V125" s="34"/>
      <c r="W125" s="25"/>
      <c r="Y125" s="3" t="s">
        <v>212</v>
      </c>
      <c r="Z125" s="12">
        <f si="113" t="shared"/>
        <v>0</v>
      </c>
      <c r="AA125" s="12" t="e">
        <f si="114" t="shared"/>
        <v>#DIV/0!</v>
      </c>
      <c r="AB125" s="12" t="e">
        <f si="115" t="shared"/>
        <v>#DIV/0!</v>
      </c>
      <c r="AC125" s="12" t="e">
        <f ref="AC125:AC132" si="118" t="shared">Q125-E125</f>
        <v>#DIV/0!</v>
      </c>
      <c r="AD125" s="12" t="e">
        <f ref="AD125:AD132" si="119" t="shared">R125-F125</f>
        <v>#DIV/0!</v>
      </c>
      <c r="AE125" s="12" t="e">
        <f ref="AE125:AF132" si="120" t="shared">S125-G125</f>
        <v>#DIV/0!</v>
      </c>
      <c r="AF125" s="12" t="e">
        <f ref="AF125:AF131" si="121" t="shared">T125-H125</f>
        <v>#DIV/0!</v>
      </c>
      <c r="AG125" s="12">
        <f si="116" t="shared"/>
        <v>0</v>
      </c>
      <c r="AH125" s="34"/>
    </row>
    <row r="126" spans="1:34" x14ac:dyDescent="0.35">
      <c r="A126" s="3" t="s">
        <v>213</v>
      </c>
      <c r="B126" s="12">
        <f si="108" t="shared"/>
        <v>0.10638948333842861</v>
      </c>
      <c r="C126" s="12" t="e">
        <f si="108" t="shared"/>
        <v>#DIV/0!</v>
      </c>
      <c r="D126" s="12" t="e">
        <f si="108" t="shared"/>
        <v>#DIV/0!</v>
      </c>
      <c r="E126" s="12" t="e">
        <f si="108" t="shared"/>
        <v>#DIV/0!</v>
      </c>
      <c r="F126" s="12" t="e">
        <f si="108" t="shared"/>
        <v>#DIV/0!</v>
      </c>
      <c r="G126" s="12" t="e">
        <f si="108" t="shared"/>
        <v>#DIV/0!</v>
      </c>
      <c r="H126" s="12" t="e">
        <f si="108" t="shared"/>
        <v>#DIV/0!</v>
      </c>
      <c r="I126" s="12">
        <f si="110" t="shared"/>
        <v>0.10638948333842861</v>
      </c>
      <c r="J126" s="34"/>
      <c r="M126" s="3" t="s">
        <v>213</v>
      </c>
      <c r="N126" s="12">
        <f si="111" t="shared"/>
        <v>0.10638948333842861</v>
      </c>
      <c r="O126" s="12" t="e">
        <f si="111" t="shared"/>
        <v>#DIV/0!</v>
      </c>
      <c r="P126" s="12" t="e">
        <f si="111" t="shared"/>
        <v>#DIV/0!</v>
      </c>
      <c r="Q126" s="12" t="e">
        <f si="111" t="shared"/>
        <v>#DIV/0!</v>
      </c>
      <c r="R126" s="12" t="e">
        <f ref="R126:T126" si="122" t="shared">R109/R$115</f>
        <v>#DIV/0!</v>
      </c>
      <c r="S126" s="12" t="e">
        <f si="122" t="shared"/>
        <v>#DIV/0!</v>
      </c>
      <c r="T126" s="12" t="e">
        <f si="122" t="shared"/>
        <v>#DIV/0!</v>
      </c>
      <c r="U126" s="12">
        <f si="112" t="shared"/>
        <v>0.10638948333842861</v>
      </c>
      <c r="V126" s="34"/>
      <c r="W126" s="25"/>
      <c r="Y126" s="3" t="s">
        <v>213</v>
      </c>
      <c r="Z126" s="12">
        <f si="113" t="shared"/>
        <v>0</v>
      </c>
      <c r="AA126" s="12" t="e">
        <f si="114" t="shared"/>
        <v>#DIV/0!</v>
      </c>
      <c r="AB126" s="12" t="e">
        <f si="115" t="shared"/>
        <v>#DIV/0!</v>
      </c>
      <c r="AC126" s="12" t="e">
        <f si="118" t="shared"/>
        <v>#DIV/0!</v>
      </c>
      <c r="AD126" s="12" t="e">
        <f si="119" t="shared"/>
        <v>#DIV/0!</v>
      </c>
      <c r="AE126" s="12" t="e">
        <f si="120" t="shared"/>
        <v>#DIV/0!</v>
      </c>
      <c r="AF126" s="12" t="e">
        <f si="121" t="shared"/>
        <v>#DIV/0!</v>
      </c>
      <c r="AG126" s="12">
        <f si="116" t="shared"/>
        <v>0</v>
      </c>
      <c r="AH126" s="34"/>
    </row>
    <row r="127" spans="1:34" x14ac:dyDescent="0.35">
      <c r="A127" s="3" t="s">
        <v>214</v>
      </c>
      <c r="B127" s="12">
        <f si="108" t="shared"/>
        <v>0.11724243350657292</v>
      </c>
      <c r="C127" s="12" t="e">
        <f si="108" t="shared"/>
        <v>#DIV/0!</v>
      </c>
      <c r="D127" s="12" t="e">
        <f si="108" t="shared"/>
        <v>#DIV/0!</v>
      </c>
      <c r="E127" s="12" t="e">
        <f si="108" t="shared"/>
        <v>#DIV/0!</v>
      </c>
      <c r="F127" s="12" t="e">
        <f si="108" t="shared"/>
        <v>#DIV/0!</v>
      </c>
      <c r="G127" s="12" t="e">
        <f si="108" t="shared"/>
        <v>#DIV/0!</v>
      </c>
      <c r="H127" s="12" t="e">
        <f si="108" t="shared"/>
        <v>#DIV/0!</v>
      </c>
      <c r="I127" s="12">
        <f si="110" t="shared"/>
        <v>0.11724243350657292</v>
      </c>
      <c r="J127" s="34"/>
      <c r="M127" s="3" t="s">
        <v>214</v>
      </c>
      <c r="N127" s="12">
        <f si="111" t="shared"/>
        <v>0.11724243350657292</v>
      </c>
      <c r="O127" s="12" t="e">
        <f si="111" t="shared"/>
        <v>#DIV/0!</v>
      </c>
      <c r="P127" s="12" t="e">
        <f si="111" t="shared"/>
        <v>#DIV/0!</v>
      </c>
      <c r="Q127" s="12" t="e">
        <f si="111" t="shared"/>
        <v>#DIV/0!</v>
      </c>
      <c r="R127" s="12" t="e">
        <f ref="R127:T127" si="123" t="shared">R110/R$115</f>
        <v>#DIV/0!</v>
      </c>
      <c r="S127" s="12" t="e">
        <f si="123" t="shared"/>
        <v>#DIV/0!</v>
      </c>
      <c r="T127" s="12" t="e">
        <f si="123" t="shared"/>
        <v>#DIV/0!</v>
      </c>
      <c r="U127" s="12">
        <f si="112" t="shared"/>
        <v>0.11724243350657292</v>
      </c>
      <c r="V127" s="34"/>
      <c r="W127" s="25"/>
      <c r="Y127" s="3" t="s">
        <v>214</v>
      </c>
      <c r="Z127" s="12">
        <f si="113" t="shared"/>
        <v>0</v>
      </c>
      <c r="AA127" s="12" t="e">
        <f si="114" t="shared"/>
        <v>#DIV/0!</v>
      </c>
      <c r="AB127" s="12" t="e">
        <f si="115" t="shared"/>
        <v>#DIV/0!</v>
      </c>
      <c r="AC127" s="12" t="e">
        <f si="118" t="shared"/>
        <v>#DIV/0!</v>
      </c>
      <c r="AD127" s="12" t="e">
        <f si="119" t="shared"/>
        <v>#DIV/0!</v>
      </c>
      <c r="AE127" s="12" t="e">
        <f si="120" t="shared"/>
        <v>#DIV/0!</v>
      </c>
      <c r="AF127" s="12" t="e">
        <f si="121" t="shared"/>
        <v>#DIV/0!</v>
      </c>
      <c r="AG127" s="12">
        <f si="116" t="shared"/>
        <v>0</v>
      </c>
      <c r="AH127" s="34"/>
    </row>
    <row r="128" spans="1:34" x14ac:dyDescent="0.35">
      <c r="A128" s="3" t="s">
        <v>215</v>
      </c>
      <c r="B128" s="12">
        <f si="108" t="shared"/>
        <v>5.0825435646591255E-2</v>
      </c>
      <c r="C128" s="12" t="e">
        <f si="108" t="shared"/>
        <v>#DIV/0!</v>
      </c>
      <c r="D128" s="12" t="e">
        <f si="108" t="shared"/>
        <v>#DIV/0!</v>
      </c>
      <c r="E128" s="12" t="e">
        <f si="108" t="shared"/>
        <v>#DIV/0!</v>
      </c>
      <c r="F128" s="12" t="e">
        <f si="108" t="shared"/>
        <v>#DIV/0!</v>
      </c>
      <c r="G128" s="12" t="e">
        <f si="108" t="shared"/>
        <v>#DIV/0!</v>
      </c>
      <c r="H128" s="12" t="e">
        <f si="108" t="shared"/>
        <v>#DIV/0!</v>
      </c>
      <c r="I128" s="12">
        <f si="110" t="shared"/>
        <v>5.0825435646591255E-2</v>
      </c>
      <c r="J128" s="34"/>
      <c r="M128" s="3" t="s">
        <v>215</v>
      </c>
      <c r="N128" s="12">
        <f si="111" t="shared"/>
        <v>5.0825435646591255E-2</v>
      </c>
      <c r="O128" s="12" t="e">
        <f si="111" t="shared"/>
        <v>#DIV/0!</v>
      </c>
      <c r="P128" s="12" t="e">
        <f si="111" t="shared"/>
        <v>#DIV/0!</v>
      </c>
      <c r="Q128" s="12" t="e">
        <f si="111" t="shared"/>
        <v>#DIV/0!</v>
      </c>
      <c r="R128" s="12" t="e">
        <f ref="R128:T128" si="124" t="shared">R111/R$115</f>
        <v>#DIV/0!</v>
      </c>
      <c r="S128" s="12" t="e">
        <f si="124" t="shared"/>
        <v>#DIV/0!</v>
      </c>
      <c r="T128" s="12" t="e">
        <f si="124" t="shared"/>
        <v>#DIV/0!</v>
      </c>
      <c r="U128" s="12">
        <f si="112" t="shared"/>
        <v>5.0825435646591255E-2</v>
      </c>
      <c r="V128" s="34"/>
      <c r="W128" s="25"/>
      <c r="Y128" s="3" t="s">
        <v>215</v>
      </c>
      <c r="Z128" s="12">
        <f si="113" t="shared"/>
        <v>0</v>
      </c>
      <c r="AA128" s="12" t="e">
        <f si="114" t="shared"/>
        <v>#DIV/0!</v>
      </c>
      <c r="AB128" s="12" t="e">
        <f si="115" t="shared"/>
        <v>#DIV/0!</v>
      </c>
      <c r="AC128" s="12" t="e">
        <f si="118" t="shared"/>
        <v>#DIV/0!</v>
      </c>
      <c r="AD128" s="12" t="e">
        <f si="119" t="shared"/>
        <v>#DIV/0!</v>
      </c>
      <c r="AE128" s="12" t="e">
        <f si="120" t="shared"/>
        <v>#DIV/0!</v>
      </c>
      <c r="AF128" s="12" t="e">
        <f si="121" t="shared"/>
        <v>#DIV/0!</v>
      </c>
      <c r="AG128" s="12">
        <f si="116" t="shared"/>
        <v>0</v>
      </c>
      <c r="AH128" s="34"/>
    </row>
    <row r="129" spans="1:34" x14ac:dyDescent="0.35">
      <c r="A129" s="3" t="s">
        <v>129</v>
      </c>
      <c r="B129" s="12">
        <f si="108" t="shared"/>
        <v>5.9079792112503825E-2</v>
      </c>
      <c r="C129" s="12" t="e">
        <f si="108" t="shared"/>
        <v>#DIV/0!</v>
      </c>
      <c r="D129" s="12" t="e">
        <f si="108" t="shared"/>
        <v>#DIV/0!</v>
      </c>
      <c r="E129" s="12" t="e">
        <f si="108" t="shared"/>
        <v>#DIV/0!</v>
      </c>
      <c r="F129" s="12" t="e">
        <f si="108" t="shared"/>
        <v>#DIV/0!</v>
      </c>
      <c r="G129" s="12" t="e">
        <f si="108" t="shared"/>
        <v>#DIV/0!</v>
      </c>
      <c r="H129" s="12" t="e">
        <f si="108" t="shared"/>
        <v>#DIV/0!</v>
      </c>
      <c r="I129" s="12">
        <f si="110" t="shared"/>
        <v>5.9079792112503825E-2</v>
      </c>
      <c r="J129" s="34"/>
      <c r="M129" s="3" t="s">
        <v>129</v>
      </c>
      <c r="N129" s="12">
        <f si="111" t="shared"/>
        <v>5.9079792112503825E-2</v>
      </c>
      <c r="O129" s="12" t="e">
        <f si="111" t="shared"/>
        <v>#DIV/0!</v>
      </c>
      <c r="P129" s="12" t="e">
        <f si="111" t="shared"/>
        <v>#DIV/0!</v>
      </c>
      <c r="Q129" s="12" t="e">
        <f si="111" t="shared"/>
        <v>#DIV/0!</v>
      </c>
      <c r="R129" s="12" t="e">
        <f ref="R129:T129" si="125" t="shared">R112/R$115</f>
        <v>#DIV/0!</v>
      </c>
      <c r="S129" s="12" t="e">
        <f si="125" t="shared"/>
        <v>#DIV/0!</v>
      </c>
      <c r="T129" s="12" t="e">
        <f si="125" t="shared"/>
        <v>#DIV/0!</v>
      </c>
      <c r="U129" s="12">
        <f si="112" t="shared"/>
        <v>5.9079792112503825E-2</v>
      </c>
      <c r="V129" s="34"/>
      <c r="W129" s="25"/>
      <c r="Y129" s="3" t="s">
        <v>129</v>
      </c>
      <c r="Z129" s="12">
        <f si="113" t="shared"/>
        <v>0</v>
      </c>
      <c r="AA129" s="12" t="e">
        <f si="114" t="shared"/>
        <v>#DIV/0!</v>
      </c>
      <c r="AB129" s="12" t="e">
        <f si="115" t="shared"/>
        <v>#DIV/0!</v>
      </c>
      <c r="AC129" s="12" t="e">
        <f si="118" t="shared"/>
        <v>#DIV/0!</v>
      </c>
      <c r="AD129" s="12" t="e">
        <f si="119" t="shared"/>
        <v>#DIV/0!</v>
      </c>
      <c r="AE129" s="12" t="e">
        <f si="120" t="shared"/>
        <v>#DIV/0!</v>
      </c>
      <c r="AF129" s="12" t="e">
        <f si="121" t="shared"/>
        <v>#DIV/0!</v>
      </c>
      <c r="AG129" s="12">
        <f si="116" t="shared"/>
        <v>0</v>
      </c>
      <c r="AH129" s="34"/>
    </row>
    <row r="130" spans="1:34" x14ac:dyDescent="0.35">
      <c r="A130" s="3" t="s">
        <v>130</v>
      </c>
      <c r="B130" s="12">
        <f si="108" t="shared"/>
        <v>8.5600733720574751E-2</v>
      </c>
      <c r="C130" s="12" t="e">
        <f si="108" t="shared"/>
        <v>#DIV/0!</v>
      </c>
      <c r="D130" s="12" t="e">
        <f si="108" t="shared"/>
        <v>#DIV/0!</v>
      </c>
      <c r="E130" s="12" t="e">
        <f si="108" t="shared"/>
        <v>#DIV/0!</v>
      </c>
      <c r="F130" s="12" t="e">
        <f si="108" t="shared"/>
        <v>#DIV/0!</v>
      </c>
      <c r="G130" s="12" t="e">
        <f si="108" t="shared"/>
        <v>#DIV/0!</v>
      </c>
      <c r="H130" s="12" t="e">
        <f si="108" t="shared"/>
        <v>#DIV/0!</v>
      </c>
      <c r="I130" s="12">
        <f si="110" t="shared"/>
        <v>8.5600733720574751E-2</v>
      </c>
      <c r="J130" s="34"/>
      <c r="M130" s="3" t="s">
        <v>130</v>
      </c>
      <c r="N130" s="12">
        <f si="111" t="shared"/>
        <v>8.5600733720574751E-2</v>
      </c>
      <c r="O130" s="12" t="e">
        <f si="111" t="shared"/>
        <v>#DIV/0!</v>
      </c>
      <c r="P130" s="12" t="e">
        <f si="111" t="shared"/>
        <v>#DIV/0!</v>
      </c>
      <c r="Q130" s="12" t="e">
        <f si="111" t="shared"/>
        <v>#DIV/0!</v>
      </c>
      <c r="R130" s="12" t="e">
        <f ref="R130:T130" si="126" t="shared">R113/R$115</f>
        <v>#DIV/0!</v>
      </c>
      <c r="S130" s="12" t="e">
        <f si="126" t="shared"/>
        <v>#DIV/0!</v>
      </c>
      <c r="T130" s="12" t="e">
        <f si="126" t="shared"/>
        <v>#DIV/0!</v>
      </c>
      <c r="U130" s="12">
        <f si="112" t="shared"/>
        <v>8.5600733720574751E-2</v>
      </c>
      <c r="V130" s="34"/>
      <c r="W130" s="25"/>
      <c r="Y130" s="3" t="s">
        <v>130</v>
      </c>
      <c r="Z130" s="12">
        <f si="113" t="shared"/>
        <v>0</v>
      </c>
      <c r="AA130" s="12" t="e">
        <f si="114" t="shared"/>
        <v>#DIV/0!</v>
      </c>
      <c r="AB130" s="12" t="e">
        <f si="115" t="shared"/>
        <v>#DIV/0!</v>
      </c>
      <c r="AC130" s="12" t="e">
        <f si="118" t="shared"/>
        <v>#DIV/0!</v>
      </c>
      <c r="AD130" s="12" t="e">
        <f si="119" t="shared"/>
        <v>#DIV/0!</v>
      </c>
      <c r="AE130" s="12" t="e">
        <f si="120" t="shared"/>
        <v>#DIV/0!</v>
      </c>
      <c r="AF130" s="12" t="e">
        <f si="121" t="shared"/>
        <v>#DIV/0!</v>
      </c>
      <c r="AG130" s="12">
        <f si="116" t="shared"/>
        <v>0</v>
      </c>
      <c r="AH130" s="34"/>
    </row>
    <row r="131" spans="1:34" x14ac:dyDescent="0.35">
      <c r="A131" s="8" t="s">
        <v>145</v>
      </c>
      <c r="B131" s="12">
        <f ref="B131:H132" si="127" t="shared">B114/B$115</f>
        <v>0.33369000305716906</v>
      </c>
      <c r="C131" s="12" t="e">
        <f si="127" t="shared"/>
        <v>#DIV/0!</v>
      </c>
      <c r="D131" s="12" t="e">
        <f si="127" t="shared"/>
        <v>#DIV/0!</v>
      </c>
      <c r="E131" s="12" t="e">
        <f si="127" t="shared"/>
        <v>#DIV/0!</v>
      </c>
      <c r="F131" s="12" t="e">
        <f si="127" t="shared"/>
        <v>#DIV/0!</v>
      </c>
      <c r="G131" s="12" t="e">
        <f si="127" t="shared"/>
        <v>#DIV/0!</v>
      </c>
      <c r="H131" s="12" t="e">
        <f si="127" t="shared"/>
        <v>#DIV/0!</v>
      </c>
      <c r="I131" s="12">
        <f si="110" t="shared"/>
        <v>0.33369000305716906</v>
      </c>
      <c r="J131" s="34"/>
      <c r="M131" s="8" t="s">
        <v>145</v>
      </c>
      <c r="N131" s="12">
        <f si="111" t="shared"/>
        <v>0.33369000305716906</v>
      </c>
      <c r="O131" s="12" t="e">
        <f si="111" t="shared"/>
        <v>#DIV/0!</v>
      </c>
      <c r="P131" s="12" t="e">
        <f si="111" t="shared"/>
        <v>#DIV/0!</v>
      </c>
      <c r="Q131" s="12" t="e">
        <f si="111" t="shared"/>
        <v>#DIV/0!</v>
      </c>
      <c r="R131" s="12" t="e">
        <f ref="R131:T131" si="128" t="shared">R114/R$115</f>
        <v>#DIV/0!</v>
      </c>
      <c r="S131" s="12" t="e">
        <f si="128" t="shared"/>
        <v>#DIV/0!</v>
      </c>
      <c r="T131" s="12" t="e">
        <f si="128" t="shared"/>
        <v>#DIV/0!</v>
      </c>
      <c r="U131" s="12">
        <f si="112" t="shared"/>
        <v>0.33369000305716906</v>
      </c>
      <c r="V131" s="34"/>
      <c r="W131" s="25"/>
      <c r="Y131" s="8" t="s">
        <v>145</v>
      </c>
      <c r="Z131" s="12">
        <f si="113" t="shared"/>
        <v>0</v>
      </c>
      <c r="AA131" s="12" t="e">
        <f si="114" t="shared"/>
        <v>#DIV/0!</v>
      </c>
      <c r="AB131" s="12" t="e">
        <f si="115" t="shared"/>
        <v>#DIV/0!</v>
      </c>
      <c r="AC131" s="12" t="e">
        <f si="118" t="shared"/>
        <v>#DIV/0!</v>
      </c>
      <c r="AD131" s="12" t="e">
        <f si="119" t="shared"/>
        <v>#DIV/0!</v>
      </c>
      <c r="AE131" s="12" t="e">
        <f si="120" t="shared"/>
        <v>#DIV/0!</v>
      </c>
      <c r="AF131" s="12" t="e">
        <f si="121" t="shared"/>
        <v>#DIV/0!</v>
      </c>
      <c r="AG131" s="12">
        <f si="116" t="shared"/>
        <v>0</v>
      </c>
      <c r="AH131" s="34"/>
    </row>
    <row ht="13.15" r="132" spans="1:34" thickBot="1" x14ac:dyDescent="0.4">
      <c r="A132" s="10" t="s">
        <v>223</v>
      </c>
      <c r="B132" s="14">
        <f si="127" t="shared"/>
        <v>1</v>
      </c>
      <c r="C132" s="14" t="e">
        <f si="127" t="shared"/>
        <v>#DIV/0!</v>
      </c>
      <c r="D132" s="14" t="e">
        <f si="127" t="shared"/>
        <v>#DIV/0!</v>
      </c>
      <c r="E132" s="14" t="e">
        <f>E115/E$115</f>
        <v>#DIV/0!</v>
      </c>
      <c r="F132" s="14" t="e">
        <f ref="F132:H132" si="129" t="shared">F115/F$115</f>
        <v>#DIV/0!</v>
      </c>
      <c r="G132" s="14" t="e">
        <f si="129" t="shared"/>
        <v>#DIV/0!</v>
      </c>
      <c r="H132" s="14" t="e">
        <f si="129" t="shared"/>
        <v>#DIV/0!</v>
      </c>
      <c r="I132" s="14">
        <f si="110" t="shared"/>
        <v>1</v>
      </c>
      <c r="J132" s="34"/>
      <c r="M132" s="10" t="s">
        <v>223</v>
      </c>
      <c r="N132" s="14">
        <f si="111" t="shared"/>
        <v>1</v>
      </c>
      <c r="O132" s="14" t="e">
        <f si="111" t="shared"/>
        <v>#DIV/0!</v>
      </c>
      <c r="P132" s="14" t="e">
        <f si="111" t="shared"/>
        <v>#DIV/0!</v>
      </c>
      <c r="Q132" s="14" t="e">
        <f si="111" t="shared"/>
        <v>#DIV/0!</v>
      </c>
      <c r="R132" s="14" t="e">
        <f si="111" t="shared"/>
        <v>#DIV/0!</v>
      </c>
      <c r="S132" s="14" t="e">
        <f si="111" t="shared"/>
        <v>#DIV/0!</v>
      </c>
      <c r="T132" s="14" t="e">
        <f si="111" t="shared"/>
        <v>#DIV/0!</v>
      </c>
      <c r="U132" s="14">
        <f si="112" t="shared"/>
        <v>1</v>
      </c>
      <c r="V132" s="34"/>
      <c r="W132" s="25"/>
      <c r="Y132" s="10" t="s">
        <v>223</v>
      </c>
      <c r="Z132" s="14">
        <f si="113" t="shared"/>
        <v>0</v>
      </c>
      <c r="AA132" s="14" t="e">
        <f si="114" t="shared"/>
        <v>#DIV/0!</v>
      </c>
      <c r="AB132" s="14" t="e">
        <f si="115" t="shared"/>
        <v>#DIV/0!</v>
      </c>
      <c r="AC132" s="14" t="e">
        <f si="118" t="shared"/>
        <v>#DIV/0!</v>
      </c>
      <c r="AD132" s="14" t="e">
        <f si="119" t="shared"/>
        <v>#DIV/0!</v>
      </c>
      <c r="AE132" s="14" t="e">
        <f si="120" t="shared"/>
        <v>#DIV/0!</v>
      </c>
      <c r="AF132" s="14" t="e">
        <f si="120" t="shared"/>
        <v>#DIV/0!</v>
      </c>
      <c r="AG132" s="14">
        <f si="116" t="shared"/>
        <v>0</v>
      </c>
      <c r="AH132" s="34"/>
    </row>
    <row r="133" spans="1:34" x14ac:dyDescent="0.35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35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35">
      <c r="F135" s="103"/>
      <c r="R135" s="103"/>
      <c r="S135" s="25"/>
      <c r="T135" s="25"/>
      <c r="U135" s="25"/>
      <c r="V135" s="25"/>
      <c r="W135" s="25"/>
    </row>
    <row r="136" spans="1:34" x14ac:dyDescent="0.35">
      <c r="R136" s="25"/>
      <c r="S136" s="25"/>
      <c r="T136" s="25"/>
      <c r="U136" s="25"/>
      <c r="V136" s="25"/>
      <c r="W136" s="25"/>
    </row>
    <row r="137" spans="1:34" x14ac:dyDescent="0.35">
      <c r="R137" s="25"/>
      <c r="S137" s="25"/>
      <c r="T137" s="25"/>
      <c r="U137" s="25"/>
      <c r="V137" s="25"/>
      <c r="W137" s="25"/>
    </row>
    <row r="138" spans="1:34" x14ac:dyDescent="0.35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4"/>
  <conditionalFormatting sqref="Z22:AI30 Z90:AD98 Z56:AF64 Z124:AC132 AG132:AH132 AD124:AH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F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W337"/>
  <sheetViews>
    <sheetView topLeftCell="C190" workbookViewId="0">
      <selection activeCell="Q213" sqref="Q213"/>
    </sheetView>
  </sheetViews>
  <sheetFormatPr defaultColWidth="11" defaultRowHeight="12.4" x14ac:dyDescent="0.3"/>
  <sheetData>
    <row r="1" spans="1:23" x14ac:dyDescent="0.3">
      <c r="A1" t="s">
        <v>292</v>
      </c>
      <c r="B1">
        <v>1</v>
      </c>
    </row>
    <row r="2" spans="1:23" x14ac:dyDescent="0.3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3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3">
      <c r="A4">
        <v>0</v>
      </c>
      <c r="B4">
        <f ref="B4:H7" si="0" t="shared">O4*$B$1</f>
        <v>66000</v>
      </c>
      <c r="C4">
        <f si="0" t="shared"/>
        <v>34000</v>
      </c>
      <c r="D4">
        <f si="0" t="shared"/>
        <v>113000</v>
      </c>
      <c r="E4">
        <f si="0" t="shared"/>
        <v>113000</v>
      </c>
      <c r="F4">
        <f si="0" t="shared"/>
        <v>13000</v>
      </c>
      <c r="G4">
        <f si="0" t="shared"/>
        <v>4000</v>
      </c>
      <c r="H4">
        <f si="0" t="shared"/>
        <v>33000</v>
      </c>
      <c r="I4">
        <f ref="I4:J7" si="1" t="shared">V4*$B$1</f>
        <v>0</v>
      </c>
      <c r="J4">
        <f si="1" t="shared"/>
        <v>376000</v>
      </c>
      <c r="N4">
        <v>0</v>
      </c>
      <c r="O4" s="105" t="n">
        <v>60000.0</v>
      </c>
      <c r="P4" s="109" t="n">
        <v>20000.0</v>
      </c>
      <c r="Q4" s="113" t="n">
        <v>40000.0</v>
      </c>
      <c r="R4" s="117" t="n">
        <v>100000.0</v>
      </c>
      <c r="S4" s="121" t="n">
        <v>10000.0</v>
      </c>
      <c r="T4" s="125" t="n">
        <v>10000.0</v>
      </c>
      <c r="U4" s="129" t="n">
        <v>20000.0</v>
      </c>
      <c r="V4" s="133" t="n">
        <v>0.0</v>
      </c>
      <c r="W4">
        <f>SUM(O4:V4)</f>
        <v>376000</v>
      </c>
    </row>
    <row r="5" spans="1:23" x14ac:dyDescent="0.3">
      <c r="A5">
        <v>1</v>
      </c>
      <c r="B5">
        <f si="0" t="shared"/>
        <v>694000</v>
      </c>
      <c r="C5">
        <f si="0" t="shared"/>
        <v>158000</v>
      </c>
      <c r="D5">
        <f si="0" t="shared"/>
        <v>142000</v>
      </c>
      <c r="E5">
        <f si="0" t="shared"/>
        <v>195000</v>
      </c>
      <c r="F5">
        <f si="0" t="shared"/>
        <v>66000</v>
      </c>
      <c r="G5">
        <f si="0" t="shared"/>
        <v>102000</v>
      </c>
      <c r="H5">
        <f si="0" t="shared"/>
        <v>400000</v>
      </c>
      <c r="I5">
        <f si="1" t="shared"/>
        <v>0</v>
      </c>
      <c r="J5">
        <f si="1" t="shared"/>
        <v>1757000</v>
      </c>
      <c r="N5">
        <v>1</v>
      </c>
      <c r="O5" s="106" t="n">
        <v>760000.0</v>
      </c>
      <c r="P5" s="110" t="n">
        <v>220000.0</v>
      </c>
      <c r="Q5" s="114" t="n">
        <v>180000.0</v>
      </c>
      <c r="R5" s="118" t="n">
        <v>170000.0</v>
      </c>
      <c r="S5" s="122" t="n">
        <v>40000.0</v>
      </c>
      <c r="T5" s="126" t="n">
        <v>90000.0</v>
      </c>
      <c r="U5" s="130" t="n">
        <v>330000.0</v>
      </c>
      <c r="V5" s="134" t="n">
        <v>0.0</v>
      </c>
      <c r="W5">
        <f>SUM(O5:V5)</f>
        <v>1757000</v>
      </c>
    </row>
    <row r="6" spans="1:23" x14ac:dyDescent="0.3">
      <c r="A6">
        <v>2</v>
      </c>
      <c r="B6">
        <f si="0" t="shared"/>
        <v>370000</v>
      </c>
      <c r="C6">
        <f si="0" t="shared"/>
        <v>109000</v>
      </c>
      <c r="D6">
        <f si="0" t="shared"/>
        <v>49000</v>
      </c>
      <c r="E6">
        <f si="0" t="shared"/>
        <v>97000</v>
      </c>
      <c r="F6">
        <f si="0" t="shared"/>
        <v>56000</v>
      </c>
      <c r="G6">
        <f si="0" t="shared"/>
        <v>76000</v>
      </c>
      <c r="H6">
        <f si="0" t="shared"/>
        <v>138000</v>
      </c>
      <c r="I6">
        <f si="1" t="shared"/>
        <v>0</v>
      </c>
      <c r="J6">
        <f si="1" t="shared"/>
        <v>895000</v>
      </c>
      <c r="N6">
        <v>2</v>
      </c>
      <c r="O6" s="107" t="n">
        <v>260000.0</v>
      </c>
      <c r="P6" s="111" t="n">
        <v>160000.0</v>
      </c>
      <c r="Q6" s="115" t="n">
        <v>70000.0</v>
      </c>
      <c r="R6" s="119" t="n">
        <v>110000.0</v>
      </c>
      <c r="S6" s="123" t="n">
        <v>40000.0</v>
      </c>
      <c r="T6" s="127" t="n">
        <v>80000.0</v>
      </c>
      <c r="U6" s="131" t="n">
        <v>80000.0</v>
      </c>
      <c r="V6" s="135" t="n">
        <v>0.0</v>
      </c>
      <c r="W6">
        <f>SUM(O6:V6)</f>
        <v>895000</v>
      </c>
    </row>
    <row r="7" spans="1:23" x14ac:dyDescent="0.3">
      <c r="A7">
        <v>3</v>
      </c>
      <c r="B7">
        <f si="0" t="shared"/>
        <v>104000</v>
      </c>
      <c r="C7">
        <f si="0" t="shared"/>
        <v>44000</v>
      </c>
      <c r="D7">
        <f si="0" t="shared"/>
        <v>10000</v>
      </c>
      <c r="E7">
        <f si="0" t="shared"/>
        <v>56000</v>
      </c>
      <c r="F7">
        <f si="0" t="shared"/>
        <v>10000</v>
      </c>
      <c r="G7">
        <f si="0" t="shared"/>
        <v>11000</v>
      </c>
      <c r="H7">
        <f si="0" t="shared"/>
        <v>18000</v>
      </c>
      <c r="I7">
        <f si="1" t="shared"/>
        <v>0</v>
      </c>
      <c r="J7">
        <f si="1" t="shared"/>
        <v>253000</v>
      </c>
      <c r="N7">
        <v>3</v>
      </c>
      <c r="O7" s="108" t="n">
        <v>80000.0</v>
      </c>
      <c r="P7" s="112" t="n">
        <v>30000.0</v>
      </c>
      <c r="Q7" s="116" t="n">
        <v>20000.0</v>
      </c>
      <c r="R7" s="120" t="n">
        <v>30000.0</v>
      </c>
      <c r="S7" s="124" t="n">
        <v>30000.0</v>
      </c>
      <c r="T7" s="128" t="n">
        <v>10000.0</v>
      </c>
      <c r="U7" s="132" t="n">
        <v>20000.0</v>
      </c>
      <c r="V7" s="136" t="n">
        <v>0.0</v>
      </c>
      <c r="W7">
        <f>SUM(O7:V7)</f>
        <v>253000</v>
      </c>
    </row>
    <row r="9" spans="1:23" x14ac:dyDescent="0.3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3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3">
      <c r="A11" t="s">
        <v>228</v>
      </c>
      <c r="B11">
        <f ref="B11:B23" si="2" t="shared">O11*$B$1</f>
        <v>66000</v>
      </c>
      <c r="C11">
        <f ref="C11:C23" si="3" t="shared">P11*$B$1</f>
        <v>34000</v>
      </c>
      <c r="D11">
        <f ref="D11:D23" si="4" t="shared">Q11*$B$1</f>
        <v>113000</v>
      </c>
      <c r="E11">
        <f ref="E11:E23" si="5" t="shared">R11*$B$1</f>
        <v>113000</v>
      </c>
      <c r="F11">
        <f ref="F11:F23" si="6" t="shared">S11*$B$1</f>
        <v>13000</v>
      </c>
      <c r="G11">
        <f ref="G11:G23" si="7" t="shared">T11*$B$1</f>
        <v>4000</v>
      </c>
      <c r="H11">
        <f ref="H11:H23" si="8" t="shared">U11*$B$1</f>
        <v>33000</v>
      </c>
      <c r="I11">
        <f ref="I11:I23" si="9" t="shared">V11*$B$1</f>
        <v>0</v>
      </c>
      <c r="J11">
        <f ref="J11:J23" si="10" t="shared">W11*$B$1</f>
        <v>376000</v>
      </c>
      <c r="N11" t="s">
        <v>228</v>
      </c>
      <c r="O11" s="137" t="n">
        <v>60000.0</v>
      </c>
      <c r="P11" s="150" t="n">
        <v>20000.0</v>
      </c>
      <c r="Q11" s="163" t="n">
        <v>40000.0</v>
      </c>
      <c r="R11" s="176" t="n">
        <v>100000.0</v>
      </c>
      <c r="S11" s="189" t="n">
        <v>10000.0</v>
      </c>
      <c r="T11" s="202" t="n">
        <v>10000.0</v>
      </c>
      <c r="U11" s="215" t="n">
        <v>20000.0</v>
      </c>
      <c r="V11" s="228" t="n">
        <v>0.0</v>
      </c>
      <c r="W11">
        <f>SUM(O11:V11)</f>
        <v>376000</v>
      </c>
    </row>
    <row r="12" spans="1:23" x14ac:dyDescent="0.3">
      <c r="A12" s="95" t="s">
        <v>233</v>
      </c>
      <c r="B12">
        <f si="2" t="shared"/>
        <v>393000</v>
      </c>
      <c r="C12">
        <f si="3" t="shared"/>
        <v>82000</v>
      </c>
      <c r="D12">
        <f si="4" t="shared"/>
        <v>57000</v>
      </c>
      <c r="E12">
        <f si="5" t="shared"/>
        <v>89000</v>
      </c>
      <c r="F12">
        <f si="6" t="shared"/>
        <v>33000</v>
      </c>
      <c r="G12">
        <f si="7" t="shared"/>
        <v>63000</v>
      </c>
      <c r="H12">
        <f si="8" t="shared"/>
        <v>237000</v>
      </c>
      <c r="I12">
        <f si="9" t="shared"/>
        <v>0</v>
      </c>
      <c r="J12">
        <f si="10" t="shared"/>
        <v>954000</v>
      </c>
      <c r="N12" s="95" t="s">
        <v>233</v>
      </c>
      <c r="O12" s="138" t="n">
        <v>430000.0</v>
      </c>
      <c r="P12" s="151" t="n">
        <v>120000.0</v>
      </c>
      <c r="Q12" s="164" t="n">
        <v>60000.0</v>
      </c>
      <c r="R12" s="177" t="n">
        <v>70000.0</v>
      </c>
      <c r="S12" s="190" t="n">
        <v>20000.0</v>
      </c>
      <c r="T12" s="203" t="n">
        <v>40000.0</v>
      </c>
      <c r="U12" s="216" t="n">
        <v>200000.0</v>
      </c>
      <c r="V12" s="229" t="n">
        <v>0.0</v>
      </c>
      <c r="W12">
        <f ref="W12:W23" si="11" t="shared">SUM(O12:V12)</f>
        <v>954000</v>
      </c>
    </row>
    <row r="13" spans="1:23" x14ac:dyDescent="0.3">
      <c r="A13" s="93" t="s">
        <v>234</v>
      </c>
      <c r="B13">
        <f si="2" t="shared"/>
        <v>201000</v>
      </c>
      <c r="C13">
        <f si="3" t="shared"/>
        <v>33000</v>
      </c>
      <c r="D13">
        <f si="4" t="shared"/>
        <v>56000</v>
      </c>
      <c r="E13">
        <f si="5" t="shared"/>
        <v>62000</v>
      </c>
      <c r="F13">
        <f si="6" t="shared"/>
        <v>20000</v>
      </c>
      <c r="G13">
        <f si="7" t="shared"/>
        <v>21000</v>
      </c>
      <c r="H13">
        <f si="8" t="shared"/>
        <v>104000</v>
      </c>
      <c r="I13">
        <f si="9" t="shared"/>
        <v>0</v>
      </c>
      <c r="J13">
        <f si="10" t="shared"/>
        <v>497000</v>
      </c>
      <c r="N13" s="93" t="s">
        <v>234</v>
      </c>
      <c r="O13" s="139" t="n">
        <v>240000.0</v>
      </c>
      <c r="P13" s="152" t="n">
        <v>40000.0</v>
      </c>
      <c r="Q13" s="165" t="n">
        <v>40000.0</v>
      </c>
      <c r="R13" s="178" t="n">
        <v>40000.0</v>
      </c>
      <c r="S13" s="191" t="n">
        <v>10000.0</v>
      </c>
      <c r="T13" s="204" t="n">
        <v>10000.0</v>
      </c>
      <c r="U13" s="217" t="n">
        <v>80000.0</v>
      </c>
      <c r="V13" s="230" t="n">
        <v>0.0</v>
      </c>
      <c r="W13">
        <f si="11" t="shared"/>
        <v>497000</v>
      </c>
    </row>
    <row r="14" spans="1:23" x14ac:dyDescent="0.3">
      <c r="A14" s="93" t="s">
        <v>208</v>
      </c>
      <c r="B14">
        <f si="2" t="shared"/>
        <v>69000</v>
      </c>
      <c r="C14">
        <f si="3" t="shared"/>
        <v>36000</v>
      </c>
      <c r="D14">
        <f si="4" t="shared"/>
        <v>22000</v>
      </c>
      <c r="E14">
        <f si="5" t="shared"/>
        <v>34000</v>
      </c>
      <c r="F14">
        <f si="6" t="shared"/>
        <v>12000</v>
      </c>
      <c r="G14">
        <f si="7" t="shared"/>
        <v>12000</v>
      </c>
      <c r="H14">
        <f si="8" t="shared"/>
        <v>52000</v>
      </c>
      <c r="I14">
        <f si="9" t="shared"/>
        <v>0</v>
      </c>
      <c r="J14">
        <f si="10" t="shared"/>
        <v>237000</v>
      </c>
      <c r="N14" s="93" t="s">
        <v>208</v>
      </c>
      <c r="O14" s="140" t="n">
        <v>50000.0</v>
      </c>
      <c r="P14" s="153" t="n">
        <v>50000.0</v>
      </c>
      <c r="Q14" s="166" t="n">
        <v>50000.0</v>
      </c>
      <c r="R14" s="179" t="n">
        <v>40000.0</v>
      </c>
      <c r="S14" s="192" t="n">
        <v>10000.0</v>
      </c>
      <c r="T14" s="205" t="n">
        <v>40000.0</v>
      </c>
      <c r="U14" s="218" t="n">
        <v>30000.0</v>
      </c>
      <c r="V14" s="231" t="n">
        <v>0.0</v>
      </c>
      <c r="W14">
        <f si="11" t="shared"/>
        <v>237000</v>
      </c>
    </row>
    <row r="15" spans="1:23" x14ac:dyDescent="0.3">
      <c r="A15" t="s">
        <v>9</v>
      </c>
      <c r="B15">
        <f si="2" t="shared"/>
        <v>31000</v>
      </c>
      <c r="C15">
        <f si="3" t="shared"/>
        <v>7000</v>
      </c>
      <c r="D15">
        <f si="4" t="shared"/>
        <v>7000</v>
      </c>
      <c r="E15">
        <f si="5" t="shared"/>
        <v>10000</v>
      </c>
      <c r="F15">
        <f si="6" t="shared"/>
        <v>1000</v>
      </c>
      <c r="G15">
        <f si="7" t="shared"/>
        <v>6000</v>
      </c>
      <c r="H15">
        <f si="8" t="shared"/>
        <v>7000</v>
      </c>
      <c r="I15">
        <f si="9" t="shared"/>
        <v>0</v>
      </c>
      <c r="J15">
        <f si="10" t="shared"/>
        <v>69000</v>
      </c>
      <c r="N15" t="s">
        <v>9</v>
      </c>
      <c r="O15" s="141" t="n">
        <v>40000.0</v>
      </c>
      <c r="P15" s="154" t="n">
        <v>10000.0</v>
      </c>
      <c r="Q15" s="167" t="n">
        <v>30000.0</v>
      </c>
      <c r="R15" s="180" t="n">
        <v>20000.0</v>
      </c>
      <c r="S15" s="193" t="n">
        <v>0.0</v>
      </c>
      <c r="T15" s="206" t="n">
        <v>0.0</v>
      </c>
      <c r="U15" s="219" t="n">
        <v>20000.0</v>
      </c>
      <c r="V15" s="232" t="n">
        <v>0.0</v>
      </c>
      <c r="W15">
        <f si="11" t="shared"/>
        <v>69000</v>
      </c>
    </row>
    <row r="16" spans="1:23" x14ac:dyDescent="0.3">
      <c r="A16" s="95" t="s">
        <v>235</v>
      </c>
      <c r="B16">
        <f si="2" t="shared"/>
        <v>198000</v>
      </c>
      <c r="C16">
        <f si="3" t="shared"/>
        <v>53000</v>
      </c>
      <c r="D16">
        <f si="4" t="shared"/>
        <v>25000</v>
      </c>
      <c r="E16">
        <f si="5" t="shared"/>
        <v>47000</v>
      </c>
      <c r="F16">
        <f si="6" t="shared"/>
        <v>23000</v>
      </c>
      <c r="G16">
        <f si="7" t="shared"/>
        <v>39000</v>
      </c>
      <c r="H16">
        <f si="8" t="shared"/>
        <v>75000</v>
      </c>
      <c r="I16">
        <f si="9" t="shared"/>
        <v>0</v>
      </c>
      <c r="J16">
        <f si="10" t="shared"/>
        <v>460000</v>
      </c>
      <c r="N16" s="95" t="s">
        <v>235</v>
      </c>
      <c r="O16" s="142" t="n">
        <v>130000.0</v>
      </c>
      <c r="P16" s="155" t="n">
        <v>80000.0</v>
      </c>
      <c r="Q16" s="168" t="n">
        <v>40000.0</v>
      </c>
      <c r="R16" s="181" t="n">
        <v>40000.0</v>
      </c>
      <c r="S16" s="194" t="n">
        <v>20000.0</v>
      </c>
      <c r="T16" s="207" t="n">
        <v>50000.0</v>
      </c>
      <c r="U16" s="220" t="n">
        <v>50000.0</v>
      </c>
      <c r="V16" s="233" t="n">
        <v>0.0</v>
      </c>
      <c r="W16">
        <f si="11" t="shared"/>
        <v>460000</v>
      </c>
    </row>
    <row r="17" spans="1:23" x14ac:dyDescent="0.3">
      <c r="A17" s="93" t="s">
        <v>236</v>
      </c>
      <c r="B17">
        <f si="2" t="shared"/>
        <v>90000</v>
      </c>
      <c r="C17">
        <f si="3" t="shared"/>
        <v>27000</v>
      </c>
      <c r="D17">
        <f si="4" t="shared"/>
        <v>9000</v>
      </c>
      <c r="E17">
        <f si="5" t="shared"/>
        <v>31000</v>
      </c>
      <c r="F17">
        <f si="6" t="shared"/>
        <v>11000</v>
      </c>
      <c r="G17">
        <f si="7" t="shared"/>
        <v>16000</v>
      </c>
      <c r="H17">
        <f si="8" t="shared"/>
        <v>39000</v>
      </c>
      <c r="I17">
        <f si="9" t="shared"/>
        <v>0</v>
      </c>
      <c r="J17">
        <f si="10" t="shared"/>
        <v>223000</v>
      </c>
      <c r="N17" s="93" t="s">
        <v>236</v>
      </c>
      <c r="O17" s="143" t="n">
        <v>60000.0</v>
      </c>
      <c r="P17" s="156" t="n">
        <v>50000.0</v>
      </c>
      <c r="Q17" s="169" t="n">
        <v>10000.0</v>
      </c>
      <c r="R17" s="182" t="n">
        <v>30000.0</v>
      </c>
      <c r="S17" s="195" t="n">
        <v>0.0</v>
      </c>
      <c r="T17" s="208" t="n">
        <v>30000.0</v>
      </c>
      <c r="U17" s="221" t="n">
        <v>20000.0</v>
      </c>
      <c r="V17" s="234" t="n">
        <v>0.0</v>
      </c>
      <c r="W17">
        <f si="11" t="shared"/>
        <v>223000</v>
      </c>
    </row>
    <row r="18" spans="1:23" x14ac:dyDescent="0.3">
      <c r="A18" s="93" t="s">
        <v>209</v>
      </c>
      <c r="B18">
        <f si="2" t="shared"/>
        <v>61000</v>
      </c>
      <c r="C18">
        <f si="3" t="shared"/>
        <v>26000</v>
      </c>
      <c r="D18">
        <f si="4" t="shared"/>
        <v>13000</v>
      </c>
      <c r="E18">
        <f si="5" t="shared"/>
        <v>17000</v>
      </c>
      <c r="F18">
        <f si="6" t="shared"/>
        <v>18000</v>
      </c>
      <c r="G18">
        <f si="7" t="shared"/>
        <v>13000</v>
      </c>
      <c r="H18">
        <f si="8" t="shared"/>
        <v>19000</v>
      </c>
      <c r="I18">
        <f si="9" t="shared"/>
        <v>0</v>
      </c>
      <c r="J18">
        <f si="10" t="shared"/>
        <v>167000</v>
      </c>
      <c r="N18" s="93" t="s">
        <v>209</v>
      </c>
      <c r="O18" s="144" t="n">
        <v>70000.0</v>
      </c>
      <c r="P18" s="157" t="n">
        <v>30000.0</v>
      </c>
      <c r="Q18" s="170" t="n">
        <v>20000.0</v>
      </c>
      <c r="R18" s="183" t="n">
        <v>40000.0</v>
      </c>
      <c r="S18" s="196" t="n">
        <v>20000.0</v>
      </c>
      <c r="T18" s="209" t="n">
        <v>0.0</v>
      </c>
      <c r="U18" s="222" t="n">
        <v>0.0</v>
      </c>
      <c r="V18" s="235" t="n">
        <v>0.0</v>
      </c>
      <c r="W18">
        <f si="11" t="shared"/>
        <v>167000</v>
      </c>
    </row>
    <row r="19" spans="1:23" x14ac:dyDescent="0.3">
      <c r="A19" t="s">
        <v>10</v>
      </c>
      <c r="B19">
        <f si="2" t="shared"/>
        <v>21000</v>
      </c>
      <c r="C19">
        <f si="3" t="shared"/>
        <v>3000</v>
      </c>
      <c r="D19">
        <f si="4" t="shared"/>
        <v>2000</v>
      </c>
      <c r="E19">
        <f si="5" t="shared"/>
        <v>2000</v>
      </c>
      <c r="F19">
        <f si="6" t="shared"/>
        <v>4000</v>
      </c>
      <c r="G19">
        <f si="7" t="shared"/>
        <v>8000</v>
      </c>
      <c r="H19">
        <f si="8" t="shared"/>
        <v>5000</v>
      </c>
      <c r="I19">
        <f si="9" t="shared"/>
        <v>0</v>
      </c>
      <c r="J19">
        <f si="10" t="shared"/>
        <v>45000</v>
      </c>
      <c r="N19" t="s">
        <v>10</v>
      </c>
      <c r="O19" s="145" t="n">
        <v>0.0</v>
      </c>
      <c r="P19" s="158" t="n">
        <v>0.0</v>
      </c>
      <c r="Q19" s="171" t="n">
        <v>0.0</v>
      </c>
      <c r="R19" s="184" t="n">
        <v>0.0</v>
      </c>
      <c r="S19" s="197" t="n">
        <v>0.0</v>
      </c>
      <c r="T19" s="210" t="n">
        <v>0.0</v>
      </c>
      <c r="U19" s="223" t="n">
        <v>10000.0</v>
      </c>
      <c r="V19" s="236" t="n">
        <v>0.0</v>
      </c>
      <c r="W19">
        <f si="11" t="shared"/>
        <v>45000</v>
      </c>
    </row>
    <row r="20" spans="1:23" x14ac:dyDescent="0.3">
      <c r="A20" s="95" t="s">
        <v>229</v>
      </c>
      <c r="B20">
        <f si="2" t="shared"/>
        <v>57000</v>
      </c>
      <c r="C20">
        <f si="3" t="shared"/>
        <v>18000</v>
      </c>
      <c r="D20">
        <f si="4" t="shared"/>
        <v>5000</v>
      </c>
      <c r="E20">
        <f si="5" t="shared"/>
        <v>20000</v>
      </c>
      <c r="F20">
        <f si="6" t="shared"/>
        <v>6000</v>
      </c>
      <c r="G20">
        <f si="7" t="shared"/>
        <v>6000</v>
      </c>
      <c r="H20">
        <f si="8" t="shared"/>
        <v>12000</v>
      </c>
      <c r="I20">
        <f si="9" t="shared"/>
        <v>0</v>
      </c>
      <c r="J20">
        <f si="10" t="shared"/>
        <v>124000</v>
      </c>
      <c r="N20" s="95" t="s">
        <v>229</v>
      </c>
      <c r="O20" s="146" t="n">
        <v>40000.0</v>
      </c>
      <c r="P20" s="159" t="n">
        <v>0.0</v>
      </c>
      <c r="Q20" s="172" t="n">
        <v>20000.0</v>
      </c>
      <c r="R20" s="185" t="n">
        <v>30000.0</v>
      </c>
      <c r="S20" s="198" t="n">
        <v>10000.0</v>
      </c>
      <c r="T20" s="211" t="n">
        <v>10000.0</v>
      </c>
      <c r="U20" s="224" t="n">
        <v>10000.0</v>
      </c>
      <c r="V20" s="237" t="n">
        <v>0.0</v>
      </c>
      <c r="W20">
        <f si="11" t="shared"/>
        <v>124000</v>
      </c>
    </row>
    <row r="21" spans="1:23" x14ac:dyDescent="0.3">
      <c r="A21" s="93" t="s">
        <v>232</v>
      </c>
      <c r="B21">
        <f si="2" t="shared"/>
        <v>33000</v>
      </c>
      <c r="C21">
        <f si="3" t="shared"/>
        <v>14000</v>
      </c>
      <c r="D21">
        <f si="4" t="shared"/>
        <v>3000</v>
      </c>
      <c r="E21">
        <f si="5" t="shared"/>
        <v>14000</v>
      </c>
      <c r="F21">
        <f si="6" t="shared"/>
        <v>2000</v>
      </c>
      <c r="G21">
        <f si="7" t="shared"/>
        <v>5000</v>
      </c>
      <c r="H21">
        <f si="8" t="shared"/>
        <v>6000</v>
      </c>
      <c r="I21">
        <f si="9" t="shared"/>
        <v>0</v>
      </c>
      <c r="J21">
        <f si="10" t="shared"/>
        <v>77000</v>
      </c>
      <c r="N21" s="93" t="s">
        <v>232</v>
      </c>
      <c r="O21" s="147" t="n">
        <v>30000.0</v>
      </c>
      <c r="P21" s="160" t="n">
        <v>10000.0</v>
      </c>
      <c r="Q21" s="173" t="n">
        <v>0.0</v>
      </c>
      <c r="R21" s="186" t="n">
        <v>0.0</v>
      </c>
      <c r="S21" s="199" t="n">
        <v>10000.0</v>
      </c>
      <c r="T21" s="212" t="n">
        <v>0.0</v>
      </c>
      <c r="U21" s="225" t="n">
        <v>10000.0</v>
      </c>
      <c r="V21" s="238" t="n">
        <v>0.0</v>
      </c>
      <c r="W21">
        <f si="11" t="shared"/>
        <v>77000</v>
      </c>
    </row>
    <row r="22" spans="1:23" x14ac:dyDescent="0.3">
      <c r="A22" s="93" t="s">
        <v>11</v>
      </c>
      <c r="B22">
        <f si="2" t="shared"/>
        <v>13000</v>
      </c>
      <c r="C22">
        <f si="3" t="shared"/>
        <v>10000</v>
      </c>
      <c r="D22">
        <f si="4" t="shared"/>
        <v>2000</v>
      </c>
      <c r="E22">
        <f si="5" t="shared"/>
        <v>19000</v>
      </c>
      <c r="F22">
        <f si="6" t="shared"/>
        <v>2000</v>
      </c>
      <c r="G22">
        <f si="7" t="shared"/>
        <v>0</v>
      </c>
      <c r="H22">
        <f si="8" t="shared"/>
        <v>0</v>
      </c>
      <c r="I22">
        <f si="9" t="shared"/>
        <v>0</v>
      </c>
      <c r="J22">
        <f si="10" t="shared"/>
        <v>46000</v>
      </c>
      <c r="N22" s="93" t="s">
        <v>11</v>
      </c>
      <c r="O22" s="148" t="n">
        <v>10000.0</v>
      </c>
      <c r="P22" s="161" t="n">
        <v>20000.0</v>
      </c>
      <c r="Q22" s="174" t="n">
        <v>0.0</v>
      </c>
      <c r="R22" s="187" t="n">
        <v>0.0</v>
      </c>
      <c r="S22" s="200" t="n">
        <v>10000.0</v>
      </c>
      <c r="T22" s="213" t="n">
        <v>0.0</v>
      </c>
      <c r="U22" s="226" t="n">
        <v>0.0</v>
      </c>
      <c r="V22" s="239" t="n">
        <v>0.0</v>
      </c>
      <c r="W22">
        <f si="11" t="shared"/>
        <v>46000</v>
      </c>
    </row>
    <row r="23" spans="1:23" x14ac:dyDescent="0.3">
      <c r="A23" t="s">
        <v>207</v>
      </c>
      <c r="B23">
        <f si="2" t="shared"/>
        <v>1000</v>
      </c>
      <c r="C23">
        <f si="3" t="shared"/>
        <v>2000</v>
      </c>
      <c r="D23">
        <f si="4" t="shared"/>
        <v>0</v>
      </c>
      <c r="E23">
        <f si="5" t="shared"/>
        <v>3000</v>
      </c>
      <c r="F23">
        <f si="6" t="shared"/>
        <v>0</v>
      </c>
      <c r="G23">
        <f si="7" t="shared"/>
        <v>0</v>
      </c>
      <c r="H23">
        <f si="8" t="shared"/>
        <v>0</v>
      </c>
      <c r="I23">
        <f si="9" t="shared"/>
        <v>0</v>
      </c>
      <c r="J23">
        <f si="10" t="shared"/>
        <v>6000</v>
      </c>
      <c r="N23" t="s">
        <v>207</v>
      </c>
      <c r="O23" s="149" t="n">
        <v>0.0</v>
      </c>
      <c r="P23" s="162" t="n">
        <v>0.0</v>
      </c>
      <c r="Q23" s="175" t="n">
        <v>0.0</v>
      </c>
      <c r="R23" s="188" t="n">
        <v>0.0</v>
      </c>
      <c r="S23" s="201" t="n">
        <v>0.0</v>
      </c>
      <c r="T23" s="214" t="n">
        <v>0.0</v>
      </c>
      <c r="U23" s="227" t="n">
        <v>0.0</v>
      </c>
      <c r="V23" s="240" t="n">
        <v>0.0</v>
      </c>
      <c r="W23">
        <f si="11" t="shared"/>
        <v>6000</v>
      </c>
    </row>
    <row r="25" spans="1:23" x14ac:dyDescent="0.3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3">
      <c r="A27" t="s">
        <v>211</v>
      </c>
      <c r="N27" t="s">
        <v>211</v>
      </c>
    </row>
    <row r="28" spans="1:23" x14ac:dyDescent="0.3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3">
      <c r="A29" t="s">
        <v>228</v>
      </c>
      <c r="B29">
        <f ref="B29:H32" si="12" t="shared">O29*$B$1</f>
        <v>200000</v>
      </c>
      <c r="C29">
        <f si="12" t="shared"/>
        <v>97000</v>
      </c>
      <c r="D29">
        <f si="12" t="shared"/>
        <v>314000</v>
      </c>
      <c r="E29">
        <f si="12" t="shared"/>
        <v>461000</v>
      </c>
      <c r="F29">
        <f si="12" t="shared"/>
        <v>117000</v>
      </c>
      <c r="G29">
        <f si="12" t="shared"/>
        <v>179000</v>
      </c>
      <c r="H29">
        <f si="12" t="shared"/>
        <v>589000</v>
      </c>
      <c r="I29">
        <f ref="I29:J32" si="13" t="shared">V29*$B$1</f>
        <v>0</v>
      </c>
      <c r="J29">
        <f si="13" t="shared"/>
        <v>1957000</v>
      </c>
      <c r="N29" t="s">
        <v>228</v>
      </c>
      <c r="O29" s="241" t="n">
        <v>160000.0</v>
      </c>
      <c r="P29" s="245" t="n">
        <v>80000.0</v>
      </c>
      <c r="Q29" s="249" t="n">
        <v>310000.0</v>
      </c>
      <c r="R29" s="253" t="n">
        <v>410000.0</v>
      </c>
      <c r="S29" s="257" t="n">
        <v>90000.0</v>
      </c>
      <c r="T29" s="261" t="n">
        <v>160000.0</v>
      </c>
      <c r="U29" s="265" t="n">
        <v>450000.0</v>
      </c>
      <c r="V29" s="269" t="n">
        <v>0.0</v>
      </c>
      <c r="W29">
        <f>SUM(O29:V29)</f>
        <v>1957000</v>
      </c>
    </row>
    <row r="30" spans="1:23" x14ac:dyDescent="0.3">
      <c r="A30" t="s">
        <v>237</v>
      </c>
      <c r="B30">
        <f si="12" t="shared"/>
        <v>0</v>
      </c>
      <c r="C30">
        <f si="12" t="shared"/>
        <v>0</v>
      </c>
      <c r="D30">
        <f si="12" t="shared"/>
        <v>0</v>
      </c>
      <c r="E30">
        <f si="12" t="shared"/>
        <v>0</v>
      </c>
      <c r="F30">
        <f si="12" t="shared"/>
        <v>2000</v>
      </c>
      <c r="G30">
        <f si="12" t="shared"/>
        <v>0</v>
      </c>
      <c r="H30">
        <f si="12" t="shared"/>
        <v>0</v>
      </c>
      <c r="I30">
        <f si="13" t="shared"/>
        <v>0</v>
      </c>
      <c r="J30">
        <f si="13" t="shared"/>
        <v>2000</v>
      </c>
      <c r="N30" t="s">
        <v>237</v>
      </c>
      <c r="O30" s="242" t="n">
        <v>0.0</v>
      </c>
      <c r="P30" s="246" t="n">
        <v>0.0</v>
      </c>
      <c r="Q30" s="250" t="n">
        <v>0.0</v>
      </c>
      <c r="R30" s="254" t="n">
        <v>0.0</v>
      </c>
      <c r="S30" s="258" t="n">
        <v>0.0</v>
      </c>
      <c r="T30" s="262" t="n">
        <v>0.0</v>
      </c>
      <c r="U30" s="266" t="n">
        <v>0.0</v>
      </c>
      <c r="V30" s="270" t="n">
        <v>0.0</v>
      </c>
      <c r="W30">
        <f>SUM(O30:V30)</f>
        <v>2000</v>
      </c>
    </row>
    <row r="31" spans="1:23" x14ac:dyDescent="0.3">
      <c r="A31" t="s">
        <v>238</v>
      </c>
      <c r="B31">
        <f si="12" t="shared"/>
        <v>909000</v>
      </c>
      <c r="C31">
        <f si="12" t="shared"/>
        <v>223000</v>
      </c>
      <c r="D31">
        <f si="12" t="shared"/>
        <v>0</v>
      </c>
      <c r="E31">
        <f si="12" t="shared"/>
        <v>0</v>
      </c>
      <c r="F31">
        <f si="12" t="shared"/>
        <v>23000</v>
      </c>
      <c r="G31">
        <f si="12" t="shared"/>
        <v>13000</v>
      </c>
      <c r="H31">
        <f si="12" t="shared"/>
        <v>0</v>
      </c>
      <c r="I31">
        <f si="13" t="shared"/>
        <v>0</v>
      </c>
      <c r="J31">
        <f si="13" t="shared"/>
        <v>1168000</v>
      </c>
      <c r="N31" t="s">
        <v>238</v>
      </c>
      <c r="O31" s="243" t="n">
        <v>890000.0</v>
      </c>
      <c r="P31" s="247" t="n">
        <v>330000.0</v>
      </c>
      <c r="Q31" s="251" t="n">
        <v>0.0</v>
      </c>
      <c r="R31" s="255" t="n">
        <v>0.0</v>
      </c>
      <c r="S31" s="259" t="n">
        <v>30000.0</v>
      </c>
      <c r="T31" s="263" t="n">
        <v>20000.0</v>
      </c>
      <c r="U31" s="267" t="n">
        <v>0.0</v>
      </c>
      <c r="V31" s="271" t="n">
        <v>0.0</v>
      </c>
      <c r="W31">
        <f>SUM(O31:V31)</f>
        <v>1168000</v>
      </c>
    </row>
    <row r="32" spans="1:23" x14ac:dyDescent="0.3">
      <c r="A32" t="s">
        <v>173</v>
      </c>
      <c r="B32">
        <f si="12" t="shared"/>
        <v>125000</v>
      </c>
      <c r="C32">
        <f si="12" t="shared"/>
        <v>25000</v>
      </c>
      <c r="D32">
        <f si="12" t="shared"/>
        <v>0</v>
      </c>
      <c r="E32">
        <f si="12" t="shared"/>
        <v>0</v>
      </c>
      <c r="F32">
        <f si="12" t="shared"/>
        <v>3000</v>
      </c>
      <c r="G32">
        <f si="12" t="shared"/>
        <v>1000</v>
      </c>
      <c r="H32">
        <f si="12" t="shared"/>
        <v>0</v>
      </c>
      <c r="I32">
        <f si="13" t="shared"/>
        <v>0</v>
      </c>
      <c r="J32">
        <f si="13" t="shared"/>
        <v>154000</v>
      </c>
      <c r="N32" t="s">
        <v>173</v>
      </c>
      <c r="O32" s="244" t="n">
        <v>110000.0</v>
      </c>
      <c r="P32" s="248" t="n">
        <v>20000.0</v>
      </c>
      <c r="Q32" s="252" t="n">
        <v>0.0</v>
      </c>
      <c r="R32" s="256" t="n">
        <v>0.0</v>
      </c>
      <c r="S32" s="260" t="n">
        <v>0.0</v>
      </c>
      <c r="T32" s="264" t="n">
        <v>10000.0</v>
      </c>
      <c r="U32" s="268" t="n">
        <v>0.0</v>
      </c>
      <c r="V32" s="272" t="n">
        <v>0.0</v>
      </c>
      <c r="W32">
        <f>SUM(O32:V32)</f>
        <v>154000</v>
      </c>
    </row>
    <row r="34" spans="1:23" x14ac:dyDescent="0.3">
      <c r="A34" t="s">
        <v>212</v>
      </c>
      <c r="N34" t="s">
        <v>212</v>
      </c>
    </row>
    <row r="35" spans="1:23" x14ac:dyDescent="0.3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3">
      <c r="A36" t="s">
        <v>228</v>
      </c>
      <c r="B36">
        <f ref="B36:H39" si="14" t="shared">O36*$B$1</f>
        <v>1234000</v>
      </c>
      <c r="C36">
        <f si="14" t="shared"/>
        <v>345000</v>
      </c>
      <c r="D36">
        <f si="14" t="shared"/>
        <v>314000</v>
      </c>
      <c r="E36">
        <f si="14" t="shared"/>
        <v>461000</v>
      </c>
      <c r="F36">
        <f si="14" t="shared"/>
        <v>48000</v>
      </c>
      <c r="G36">
        <f si="14" t="shared"/>
        <v>20000</v>
      </c>
      <c r="H36">
        <f si="14" t="shared"/>
        <v>87000</v>
      </c>
      <c r="I36">
        <f ref="I36:J39" si="15" t="shared">V36*$B$1</f>
        <v>0</v>
      </c>
      <c r="J36">
        <f si="15" t="shared"/>
        <v>2509000</v>
      </c>
      <c r="N36" t="s">
        <v>228</v>
      </c>
      <c r="O36" s="273" t="n">
        <v>1160000.0</v>
      </c>
      <c r="P36" s="277" t="n">
        <v>430000.0</v>
      </c>
      <c r="Q36" s="281" t="n">
        <v>310000.0</v>
      </c>
      <c r="R36" s="285" t="n">
        <v>410000.0</v>
      </c>
      <c r="S36" s="289" t="n">
        <v>50000.0</v>
      </c>
      <c r="T36" s="293" t="n">
        <v>30000.0</v>
      </c>
      <c r="U36" s="297" t="n">
        <v>40000.0</v>
      </c>
      <c r="V36" s="301" t="n">
        <v>0.0</v>
      </c>
      <c r="W36">
        <f>SUM(O36:V36)</f>
        <v>2509000</v>
      </c>
    </row>
    <row r="37" spans="1:23" x14ac:dyDescent="0.3">
      <c r="A37" t="s">
        <v>237</v>
      </c>
      <c r="B37">
        <f si="14" t="shared"/>
        <v>0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4000</v>
      </c>
      <c r="G37">
        <f si="14" t="shared"/>
        <v>5000</v>
      </c>
      <c r="H37">
        <f si="14" t="shared"/>
        <v>0</v>
      </c>
      <c r="I37">
        <f si="15" t="shared"/>
        <v>0</v>
      </c>
      <c r="J37">
        <f si="15" t="shared"/>
        <v>9000</v>
      </c>
      <c r="N37" t="s">
        <v>237</v>
      </c>
      <c r="O37" s="274" t="n">
        <v>0.0</v>
      </c>
      <c r="P37" s="278" t="n">
        <v>0.0</v>
      </c>
      <c r="Q37" s="282" t="n">
        <v>0.0</v>
      </c>
      <c r="R37" s="286" t="n">
        <v>0.0</v>
      </c>
      <c r="S37" s="290" t="n">
        <v>0.0</v>
      </c>
      <c r="T37" s="294" t="n">
        <v>10000.0</v>
      </c>
      <c r="U37" s="298" t="n">
        <v>0.0</v>
      </c>
      <c r="V37" s="302" t="n">
        <v>0.0</v>
      </c>
      <c r="W37">
        <f>SUM(O37:V37)</f>
        <v>9000</v>
      </c>
    </row>
    <row r="38" spans="1:23" x14ac:dyDescent="0.3">
      <c r="A38" t="s">
        <v>238</v>
      </c>
      <c r="B38">
        <f si="14" t="shared"/>
        <v>0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88000</v>
      </c>
      <c r="G38">
        <f si="14" t="shared"/>
        <v>156000</v>
      </c>
      <c r="H38">
        <f si="14" t="shared"/>
        <v>464000</v>
      </c>
      <c r="I38">
        <f si="15" t="shared"/>
        <v>0</v>
      </c>
      <c r="J38">
        <f si="15" t="shared"/>
        <v>708000</v>
      </c>
      <c r="N38" t="s">
        <v>238</v>
      </c>
      <c r="O38" s="275" t="n">
        <v>0.0</v>
      </c>
      <c r="P38" s="279" t="n">
        <v>0.0</v>
      </c>
      <c r="Q38" s="283" t="n">
        <v>0.0</v>
      </c>
      <c r="R38" s="287" t="n">
        <v>0.0</v>
      </c>
      <c r="S38" s="291" t="n">
        <v>70000.0</v>
      </c>
      <c r="T38" s="295" t="n">
        <v>120000.0</v>
      </c>
      <c r="U38" s="299" t="n">
        <v>370000.0</v>
      </c>
      <c r="V38" s="303" t="n">
        <v>0.0</v>
      </c>
      <c r="W38">
        <f>SUM(O38:V38)</f>
        <v>708000</v>
      </c>
    </row>
    <row r="39" spans="1:23" x14ac:dyDescent="0.3">
      <c r="A39" t="s">
        <v>173</v>
      </c>
      <c r="B39">
        <f si="14" t="shared"/>
        <v>0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5000</v>
      </c>
      <c r="G39">
        <f si="14" t="shared"/>
        <v>12000</v>
      </c>
      <c r="H39">
        <f si="14" t="shared"/>
        <v>38000</v>
      </c>
      <c r="I39">
        <f si="15" t="shared"/>
        <v>0</v>
      </c>
      <c r="J39">
        <f si="15" t="shared"/>
        <v>55000</v>
      </c>
      <c r="N39" t="s">
        <v>173</v>
      </c>
      <c r="O39" s="276" t="n">
        <v>0.0</v>
      </c>
      <c r="P39" s="280" t="n">
        <v>0.0</v>
      </c>
      <c r="Q39" s="284" t="n">
        <v>0.0</v>
      </c>
      <c r="R39" s="288" t="n">
        <v>0.0</v>
      </c>
      <c r="S39" s="292" t="n">
        <v>0.0</v>
      </c>
      <c r="T39" s="296" t="n">
        <v>30000.0</v>
      </c>
      <c r="U39" s="300" t="n">
        <v>40000.0</v>
      </c>
      <c r="V39" s="304" t="n">
        <v>0.0</v>
      </c>
      <c r="W39">
        <f>SUM(O39:V39)</f>
        <v>55000</v>
      </c>
    </row>
    <row r="41" spans="1:23" x14ac:dyDescent="0.3">
      <c r="A41" t="s">
        <v>213</v>
      </c>
      <c r="N41" t="s">
        <v>213</v>
      </c>
    </row>
    <row r="42" spans="1:23" x14ac:dyDescent="0.3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3">
      <c r="A43" t="s">
        <v>228</v>
      </c>
      <c r="B43">
        <f ref="B43:H46" si="16" t="shared">O43*$B$1</f>
        <v>1084000</v>
      </c>
      <c r="C43">
        <f si="16" t="shared"/>
        <v>280000</v>
      </c>
      <c r="D43">
        <f si="16" t="shared"/>
        <v>268000</v>
      </c>
      <c r="E43">
        <f si="16" t="shared"/>
        <v>282000</v>
      </c>
      <c r="F43">
        <f si="16" t="shared"/>
        <v>123000</v>
      </c>
      <c r="G43">
        <f si="16" t="shared"/>
        <v>170000</v>
      </c>
      <c r="H43">
        <f si="16" t="shared"/>
        <v>522000</v>
      </c>
      <c r="I43">
        <f ref="I43:J46" si="17" t="shared">V43*$B$1</f>
        <v>0</v>
      </c>
      <c r="J43">
        <f si="17" t="shared"/>
        <v>2729000</v>
      </c>
      <c r="N43" t="s">
        <v>228</v>
      </c>
      <c r="O43" s="305" t="n">
        <v>1050000.0</v>
      </c>
      <c r="P43" s="309" t="n">
        <v>340000.0</v>
      </c>
      <c r="Q43" s="313" t="n">
        <v>240000.0</v>
      </c>
      <c r="R43" s="317" t="n">
        <v>260000.0</v>
      </c>
      <c r="S43" s="321" t="n">
        <v>100000.0</v>
      </c>
      <c r="T43" s="325" t="n">
        <v>170000.0</v>
      </c>
      <c r="U43" s="329" t="n">
        <v>400000.0</v>
      </c>
      <c r="V43" s="333" t="n">
        <v>0.0</v>
      </c>
      <c r="W43">
        <f>SUM(O43:V43)</f>
        <v>2729000</v>
      </c>
    </row>
    <row r="44" spans="1:23" x14ac:dyDescent="0.3">
      <c r="A44" t="s">
        <v>237</v>
      </c>
      <c r="B44">
        <f si="16" t="shared"/>
        <v>39000</v>
      </c>
      <c r="C44">
        <f si="16" t="shared"/>
        <v>13000</v>
      </c>
      <c r="D44">
        <f si="16" t="shared"/>
        <v>1000</v>
      </c>
      <c r="E44">
        <f si="16" t="shared"/>
        <v>3000</v>
      </c>
      <c r="F44">
        <f si="16" t="shared"/>
        <v>7000</v>
      </c>
      <c r="G44">
        <f si="16" t="shared"/>
        <v>10000</v>
      </c>
      <c r="H44">
        <f si="16" t="shared"/>
        <v>20000</v>
      </c>
      <c r="I44">
        <f si="17" t="shared"/>
        <v>0</v>
      </c>
      <c r="J44">
        <f si="17" t="shared"/>
        <v>93000</v>
      </c>
      <c r="N44" t="s">
        <v>237</v>
      </c>
      <c r="O44" s="306" t="n">
        <v>40000.0</v>
      </c>
      <c r="P44" s="310" t="n">
        <v>20000.0</v>
      </c>
      <c r="Q44" s="314" t="n">
        <v>0.0</v>
      </c>
      <c r="R44" s="318" t="n">
        <v>0.0</v>
      </c>
      <c r="S44" s="322" t="n">
        <v>0.0</v>
      </c>
      <c r="T44" s="326" t="n">
        <v>10000.0</v>
      </c>
      <c r="U44" s="330" t="n">
        <v>10000.0</v>
      </c>
      <c r="V44" s="334" t="n">
        <v>0.0</v>
      </c>
      <c r="W44">
        <f>SUM(O44:V44)</f>
        <v>93000</v>
      </c>
    </row>
    <row r="45" spans="1:23" x14ac:dyDescent="0.3">
      <c r="A45" t="s">
        <v>238</v>
      </c>
      <c r="B45">
        <f si="16" t="shared"/>
        <v>94000</v>
      </c>
      <c r="C45">
        <f si="16" t="shared"/>
        <v>46000</v>
      </c>
      <c r="D45">
        <f si="16" t="shared"/>
        <v>41000</v>
      </c>
      <c r="E45">
        <f si="16" t="shared"/>
        <v>148000</v>
      </c>
      <c r="F45">
        <f si="16" t="shared"/>
        <v>12000</v>
      </c>
      <c r="G45">
        <f si="16" t="shared"/>
        <v>12000</v>
      </c>
      <c r="H45">
        <f si="16" t="shared"/>
        <v>40000</v>
      </c>
      <c r="I45">
        <f si="17" t="shared"/>
        <v>0</v>
      </c>
      <c r="J45">
        <f si="17" t="shared"/>
        <v>393000</v>
      </c>
      <c r="N45" t="s">
        <v>238</v>
      </c>
      <c r="O45" s="307" t="n">
        <v>60000.0</v>
      </c>
      <c r="P45" s="311" t="n">
        <v>60000.0</v>
      </c>
      <c r="Q45" s="315" t="n">
        <v>50000.0</v>
      </c>
      <c r="R45" s="319" t="n">
        <v>100000.0</v>
      </c>
      <c r="S45" s="323" t="n">
        <v>10000.0</v>
      </c>
      <c r="T45" s="327" t="n">
        <v>10000.0</v>
      </c>
      <c r="U45" s="331" t="n">
        <v>30000.0</v>
      </c>
      <c r="V45" s="335" t="n">
        <v>0.0</v>
      </c>
      <c r="W45">
        <f>SUM(O45:V45)</f>
        <v>393000</v>
      </c>
    </row>
    <row r="46" spans="1:23" x14ac:dyDescent="0.3">
      <c r="A46" t="s">
        <v>173</v>
      </c>
      <c r="B46">
        <f si="16" t="shared"/>
        <v>17000</v>
      </c>
      <c r="C46">
        <f si="16" t="shared"/>
        <v>6000</v>
      </c>
      <c r="D46">
        <f si="16" t="shared"/>
        <v>4000</v>
      </c>
      <c r="E46">
        <f si="16" t="shared"/>
        <v>28000</v>
      </c>
      <c r="F46">
        <f si="16" t="shared"/>
        <v>3000</v>
      </c>
      <c r="G46">
        <f si="16" t="shared"/>
        <v>1000</v>
      </c>
      <c r="H46">
        <f si="16" t="shared"/>
        <v>7000</v>
      </c>
      <c r="I46">
        <f si="17" t="shared"/>
        <v>0</v>
      </c>
      <c r="J46">
        <f si="17" t="shared"/>
        <v>66000</v>
      </c>
      <c r="N46" t="s">
        <v>173</v>
      </c>
      <c r="O46" s="308" t="n">
        <v>10000.0</v>
      </c>
      <c r="P46" s="312" t="n">
        <v>10000.0</v>
      </c>
      <c r="Q46" s="316" t="n">
        <v>20000.0</v>
      </c>
      <c r="R46" s="320" t="n">
        <v>50000.0</v>
      </c>
      <c r="S46" s="324" t="n">
        <v>10000.0</v>
      </c>
      <c r="T46" s="328" t="n">
        <v>0.0</v>
      </c>
      <c r="U46" s="332" t="n">
        <v>10000.0</v>
      </c>
      <c r="V46" s="336" t="n">
        <v>0.0</v>
      </c>
      <c r="W46">
        <f>SUM(O46:V46)</f>
        <v>66000</v>
      </c>
    </row>
    <row r="48" spans="1:23" x14ac:dyDescent="0.3">
      <c r="A48" t="s">
        <v>36</v>
      </c>
      <c r="N48" t="s">
        <v>36</v>
      </c>
    </row>
    <row r="49" spans="1:23" x14ac:dyDescent="0.3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3">
      <c r="A50" t="s">
        <v>228</v>
      </c>
      <c r="B50">
        <f ref="B50:H53" si="18" t="shared">O50*$B$1</f>
        <v>992000</v>
      </c>
      <c r="C50">
        <f si="18" t="shared"/>
        <v>260000</v>
      </c>
      <c r="D50">
        <f si="18" t="shared"/>
        <v>240000</v>
      </c>
      <c r="E50">
        <f si="18" t="shared"/>
        <v>342000</v>
      </c>
      <c r="F50">
        <f si="18" t="shared"/>
        <v>116000</v>
      </c>
      <c r="G50">
        <f si="18" t="shared"/>
        <v>143000</v>
      </c>
      <c r="H50">
        <f si="18" t="shared"/>
        <v>507000</v>
      </c>
      <c r="I50">
        <f ref="I50:J53" si="19" t="shared">V50*$B$1</f>
        <v>0</v>
      </c>
      <c r="J50">
        <f si="19" t="shared"/>
        <v>2600000</v>
      </c>
      <c r="N50" t="s">
        <v>228</v>
      </c>
      <c r="O50" s="337" t="n">
        <v>890000.0</v>
      </c>
      <c r="P50" s="341" t="n">
        <v>320000.0</v>
      </c>
      <c r="Q50" s="345" t="n">
        <v>210000.0</v>
      </c>
      <c r="R50" s="349" t="n">
        <v>310000.0</v>
      </c>
      <c r="S50" s="353" t="n">
        <v>80000.0</v>
      </c>
      <c r="T50" s="357" t="n">
        <v>160000.0</v>
      </c>
      <c r="U50" s="361" t="n">
        <v>350000.0</v>
      </c>
      <c r="V50" s="365" t="n">
        <v>0.0</v>
      </c>
      <c r="W50">
        <f>SUM(O50:V50)</f>
        <v>2600000</v>
      </c>
    </row>
    <row r="51" spans="1:23" x14ac:dyDescent="0.3">
      <c r="A51" t="s">
        <v>237</v>
      </c>
      <c r="B51">
        <f si="18" t="shared"/>
        <v>111000</v>
      </c>
      <c r="C51">
        <f si="18" t="shared"/>
        <v>37000</v>
      </c>
      <c r="D51">
        <f si="18" t="shared"/>
        <v>29000</v>
      </c>
      <c r="E51">
        <f si="18" t="shared"/>
        <v>53000</v>
      </c>
      <c r="F51">
        <f si="18" t="shared"/>
        <v>12000</v>
      </c>
      <c r="G51">
        <f si="18" t="shared"/>
        <v>22000</v>
      </c>
      <c r="H51">
        <f si="18" t="shared"/>
        <v>47000</v>
      </c>
      <c r="I51">
        <f si="19" t="shared"/>
        <v>0</v>
      </c>
      <c r="J51">
        <f si="19" t="shared"/>
        <v>311000</v>
      </c>
      <c r="N51" t="s">
        <v>237</v>
      </c>
      <c r="O51" s="338" t="n">
        <v>120000.0</v>
      </c>
      <c r="P51" s="342" t="n">
        <v>60000.0</v>
      </c>
      <c r="Q51" s="346" t="n">
        <v>50000.0</v>
      </c>
      <c r="R51" s="350" t="n">
        <v>20000.0</v>
      </c>
      <c r="S51" s="354" t="n">
        <v>10000.0</v>
      </c>
      <c r="T51" s="358" t="n">
        <v>10000.0</v>
      </c>
      <c r="U51" s="362" t="n">
        <v>60000.0</v>
      </c>
      <c r="V51" s="366" t="n">
        <v>0.0</v>
      </c>
      <c r="W51">
        <f>SUM(O51:V51)</f>
        <v>311000</v>
      </c>
    </row>
    <row r="52" spans="1:23" x14ac:dyDescent="0.3">
      <c r="A52" t="s">
        <v>238</v>
      </c>
      <c r="B52">
        <f si="18" t="shared"/>
        <v>96000</v>
      </c>
      <c r="C52">
        <f si="18" t="shared"/>
        <v>38000</v>
      </c>
      <c r="D52">
        <f si="18" t="shared"/>
        <v>29000</v>
      </c>
      <c r="E52">
        <f si="18" t="shared"/>
        <v>41000</v>
      </c>
      <c r="F52">
        <f si="18" t="shared"/>
        <v>15000</v>
      </c>
      <c r="G52">
        <f si="18" t="shared"/>
        <v>23000</v>
      </c>
      <c r="H52">
        <f si="18" t="shared"/>
        <v>28000</v>
      </c>
      <c r="I52">
        <f si="19" t="shared"/>
        <v>0</v>
      </c>
      <c r="J52">
        <f si="19" t="shared"/>
        <v>270000</v>
      </c>
      <c r="N52" t="s">
        <v>238</v>
      </c>
      <c r="O52" s="339" t="n">
        <v>130000.0</v>
      </c>
      <c r="P52" s="343" t="n">
        <v>30000.0</v>
      </c>
      <c r="Q52" s="347" t="n">
        <v>30000.0</v>
      </c>
      <c r="R52" s="351" t="n">
        <v>30000.0</v>
      </c>
      <c r="S52" s="355" t="n">
        <v>30000.0</v>
      </c>
      <c r="T52" s="359" t="n">
        <v>20000.0</v>
      </c>
      <c r="U52" s="363" t="n">
        <v>30000.0</v>
      </c>
      <c r="V52" s="367" t="n">
        <v>0.0</v>
      </c>
      <c r="W52">
        <f>SUM(O52:V52)</f>
        <v>270000</v>
      </c>
    </row>
    <row r="53" spans="1:23" x14ac:dyDescent="0.3">
      <c r="A53" t="s">
        <v>173</v>
      </c>
      <c r="B53">
        <f si="18" t="shared"/>
        <v>35000</v>
      </c>
      <c r="C53">
        <f si="18" t="shared"/>
        <v>10000</v>
      </c>
      <c r="D53">
        <f si="18" t="shared"/>
        <v>16000</v>
      </c>
      <c r="E53">
        <f si="18" t="shared"/>
        <v>25000</v>
      </c>
      <c r="F53">
        <f si="18" t="shared"/>
        <v>2000</v>
      </c>
      <c r="G53">
        <f si="18" t="shared"/>
        <v>5000</v>
      </c>
      <c r="H53">
        <f si="18" t="shared"/>
        <v>7000</v>
      </c>
      <c r="I53">
        <f si="19" t="shared"/>
        <v>0</v>
      </c>
      <c r="J53">
        <f si="19" t="shared"/>
        <v>100000</v>
      </c>
      <c r="N53" t="s">
        <v>173</v>
      </c>
      <c r="O53" s="340" t="n">
        <v>20000.0</v>
      </c>
      <c r="P53" s="344" t="n">
        <v>20000.0</v>
      </c>
      <c r="Q53" s="348" t="n">
        <v>20000.0</v>
      </c>
      <c r="R53" s="352" t="n">
        <v>50000.0</v>
      </c>
      <c r="S53" s="356" t="n">
        <v>0.0</v>
      </c>
      <c r="T53" s="360" t="n">
        <v>0.0</v>
      </c>
      <c r="U53" s="364" t="n">
        <v>10000.0</v>
      </c>
      <c r="V53" s="368" t="n">
        <v>0.0</v>
      </c>
      <c r="W53">
        <f>SUM(O53:V53)</f>
        <v>100000</v>
      </c>
    </row>
    <row r="55" spans="1:23" x14ac:dyDescent="0.3">
      <c r="A55" t="s">
        <v>215</v>
      </c>
      <c r="N55" t="s">
        <v>215</v>
      </c>
    </row>
    <row r="56" spans="1:23" x14ac:dyDescent="0.3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3">
      <c r="A57" t="s">
        <v>228</v>
      </c>
      <c r="B57">
        <f ref="B57:H60" si="20" t="shared">O57*$B$1</f>
        <v>998000</v>
      </c>
      <c r="C57">
        <f si="20" t="shared"/>
        <v>251000</v>
      </c>
      <c r="D57">
        <f si="20" t="shared"/>
        <v>234000</v>
      </c>
      <c r="E57">
        <f si="20" t="shared"/>
        <v>328000</v>
      </c>
      <c r="F57">
        <f si="20" t="shared"/>
        <v>110000</v>
      </c>
      <c r="G57">
        <f si="20" t="shared"/>
        <v>161000</v>
      </c>
      <c r="H57">
        <f si="20" t="shared"/>
        <v>480000</v>
      </c>
      <c r="I57">
        <f ref="I57:J60" si="21" t="shared">V57*$B$1</f>
        <v>0</v>
      </c>
      <c r="J57">
        <f si="21" t="shared"/>
        <v>2562000</v>
      </c>
      <c r="N57" t="s">
        <v>228</v>
      </c>
      <c r="O57" s="369" t="n">
        <v>1000000.0</v>
      </c>
      <c r="P57" s="373" t="n">
        <v>350000.0</v>
      </c>
      <c r="Q57" s="377" t="n">
        <v>170000.0</v>
      </c>
      <c r="R57" s="381" t="n">
        <v>290000.0</v>
      </c>
      <c r="S57" s="385" t="n">
        <v>100000.0</v>
      </c>
      <c r="T57" s="389" t="n">
        <v>180000.0</v>
      </c>
      <c r="U57" s="393" t="n">
        <v>400000.0</v>
      </c>
      <c r="V57" s="397" t="n">
        <v>0.0</v>
      </c>
      <c r="W57">
        <f>SUM(O57:V57)</f>
        <v>2562000</v>
      </c>
    </row>
    <row r="58" spans="1:23" x14ac:dyDescent="0.3">
      <c r="A58" t="s">
        <v>237</v>
      </c>
      <c r="B58">
        <f si="20" t="shared"/>
        <v>202000</v>
      </c>
      <c r="C58">
        <f si="20" t="shared"/>
        <v>83000</v>
      </c>
      <c r="D58">
        <f si="20" t="shared"/>
        <v>49000</v>
      </c>
      <c r="E58">
        <f si="20" t="shared"/>
        <v>89000</v>
      </c>
      <c r="F58">
        <f si="20" t="shared"/>
        <v>32000</v>
      </c>
      <c r="G58">
        <f si="20" t="shared"/>
        <v>29000</v>
      </c>
      <c r="H58">
        <f si="20" t="shared"/>
        <v>103000</v>
      </c>
      <c r="I58">
        <f si="21" t="shared"/>
        <v>0</v>
      </c>
      <c r="J58">
        <f si="21" t="shared"/>
        <v>587000</v>
      </c>
      <c r="N58" t="s">
        <v>237</v>
      </c>
      <c r="O58" s="370" t="n">
        <v>150000.0</v>
      </c>
      <c r="P58" s="374" t="n">
        <v>80000.0</v>
      </c>
      <c r="Q58" s="378" t="n">
        <v>80000.0</v>
      </c>
      <c r="R58" s="382" t="n">
        <v>80000.0</v>
      </c>
      <c r="S58" s="386" t="n">
        <v>20000.0</v>
      </c>
      <c r="T58" s="390" t="n">
        <v>10000.0</v>
      </c>
      <c r="U58" s="394" t="n">
        <v>50000.0</v>
      </c>
      <c r="V58" s="398" t="n">
        <v>0.0</v>
      </c>
      <c r="W58">
        <f>SUM(O58:V58)</f>
        <v>587000</v>
      </c>
    </row>
    <row r="59" spans="1:23" x14ac:dyDescent="0.3">
      <c r="A59" t="s">
        <v>238</v>
      </c>
      <c r="B59">
        <f si="20" t="shared"/>
        <v>25000</v>
      </c>
      <c r="C59">
        <f si="20" t="shared"/>
        <v>8000</v>
      </c>
      <c r="D59">
        <f si="20" t="shared"/>
        <v>18000</v>
      </c>
      <c r="E59">
        <f si="20" t="shared"/>
        <v>34000</v>
      </c>
      <c r="F59">
        <f si="20" t="shared"/>
        <v>3000</v>
      </c>
      <c r="G59">
        <f si="20" t="shared"/>
        <v>2000</v>
      </c>
      <c r="H59">
        <f si="20" t="shared"/>
        <v>6000</v>
      </c>
      <c r="I59">
        <f si="21" t="shared"/>
        <v>0</v>
      </c>
      <c r="J59">
        <f si="21" t="shared"/>
        <v>96000</v>
      </c>
      <c r="N59" t="s">
        <v>238</v>
      </c>
      <c r="O59" s="371" t="n">
        <v>10000.0</v>
      </c>
      <c r="P59" s="375" t="n">
        <v>0.0</v>
      </c>
      <c r="Q59" s="379" t="n">
        <v>20000.0</v>
      </c>
      <c r="R59" s="383" t="n">
        <v>30000.0</v>
      </c>
      <c r="S59" s="387" t="n">
        <v>0.0</v>
      </c>
      <c r="T59" s="391" t="n">
        <v>0.0</v>
      </c>
      <c r="U59" s="395" t="n">
        <v>0.0</v>
      </c>
      <c r="V59" s="399" t="n">
        <v>0.0</v>
      </c>
      <c r="W59">
        <f>SUM(O59:V59)</f>
        <v>96000</v>
      </c>
    </row>
    <row r="60" spans="1:23" x14ac:dyDescent="0.3">
      <c r="A60" t="s">
        <v>173</v>
      </c>
      <c r="B60">
        <f si="20" t="shared"/>
        <v>9000</v>
      </c>
      <c r="C60">
        <f si="20" t="shared"/>
        <v>3000</v>
      </c>
      <c r="D60">
        <f si="20" t="shared"/>
        <v>13000</v>
      </c>
      <c r="E60">
        <f si="20" t="shared"/>
        <v>10000</v>
      </c>
      <c r="F60">
        <f si="20" t="shared"/>
        <v>0</v>
      </c>
      <c r="G60">
        <f si="20" t="shared"/>
        <v>1000</v>
      </c>
      <c r="H60">
        <f si="20" t="shared"/>
        <v>0</v>
      </c>
      <c r="I60">
        <f si="21" t="shared"/>
        <v>0</v>
      </c>
      <c r="J60">
        <f si="21" t="shared"/>
        <v>36000</v>
      </c>
      <c r="N60" t="s">
        <v>173</v>
      </c>
      <c r="O60" s="372" t="n">
        <v>0.0</v>
      </c>
      <c r="P60" s="376" t="n">
        <v>0.0</v>
      </c>
      <c r="Q60" s="380" t="n">
        <v>40000.0</v>
      </c>
      <c r="R60" s="384" t="n">
        <v>10000.0</v>
      </c>
      <c r="S60" s="388" t="n">
        <v>0.0</v>
      </c>
      <c r="T60" s="392" t="n">
        <v>0.0</v>
      </c>
      <c r="U60" s="396" t="n">
        <v>0.0</v>
      </c>
      <c r="V60" s="400" t="n">
        <v>0.0</v>
      </c>
      <c r="W60">
        <f>SUM(O60:V60)</f>
        <v>36000</v>
      </c>
    </row>
    <row r="62" spans="1:23" x14ac:dyDescent="0.3">
      <c r="A62" t="s">
        <v>129</v>
      </c>
      <c r="N62" t="s">
        <v>129</v>
      </c>
    </row>
    <row r="63" spans="1:23" x14ac:dyDescent="0.3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3">
      <c r="A64" t="s">
        <v>228</v>
      </c>
      <c r="B64">
        <f ref="B64:H67" si="22" t="shared">O64*$B$1</f>
        <v>932000</v>
      </c>
      <c r="C64">
        <f si="22" t="shared"/>
        <v>254000</v>
      </c>
      <c r="D64">
        <f si="22" t="shared"/>
        <v>231000</v>
      </c>
      <c r="E64">
        <f si="22" t="shared"/>
        <v>345000</v>
      </c>
      <c r="F64">
        <f si="22" t="shared"/>
        <v>102000</v>
      </c>
      <c r="G64">
        <f si="22" t="shared"/>
        <v>131000</v>
      </c>
      <c r="H64">
        <f si="22" t="shared"/>
        <v>480000</v>
      </c>
      <c r="I64">
        <f ref="I64:J67" si="23" t="shared">V64*$B$1</f>
        <v>0</v>
      </c>
      <c r="J64">
        <f si="23" t="shared"/>
        <v>2475000</v>
      </c>
      <c r="N64" t="s">
        <v>228</v>
      </c>
      <c r="O64" s="401" t="n">
        <v>910000.0</v>
      </c>
      <c r="P64" s="405" t="n">
        <v>300000.0</v>
      </c>
      <c r="Q64" s="409" t="n">
        <v>200000.0</v>
      </c>
      <c r="R64" s="413" t="n">
        <v>250000.0</v>
      </c>
      <c r="S64" s="417" t="n">
        <v>50000.0</v>
      </c>
      <c r="T64" s="421" t="n">
        <v>130000.0</v>
      </c>
      <c r="U64" s="425" t="n">
        <v>370000.0</v>
      </c>
      <c r="V64" s="429" t="n">
        <v>0.0</v>
      </c>
      <c r="W64">
        <f>SUM(O64:V64)</f>
        <v>2475000</v>
      </c>
    </row>
    <row r="65" spans="1:23" x14ac:dyDescent="0.3">
      <c r="A65" t="s">
        <v>237</v>
      </c>
      <c r="B65">
        <f si="22" t="shared"/>
        <v>195000</v>
      </c>
      <c r="C65">
        <f si="22" t="shared"/>
        <v>63000</v>
      </c>
      <c r="D65">
        <f si="22" t="shared"/>
        <v>43000</v>
      </c>
      <c r="E65">
        <f si="22" t="shared"/>
        <v>61000</v>
      </c>
      <c r="F65">
        <f si="22" t="shared"/>
        <v>34000</v>
      </c>
      <c r="G65">
        <f si="22" t="shared"/>
        <v>45000</v>
      </c>
      <c r="H65">
        <f si="22" t="shared"/>
        <v>89000</v>
      </c>
      <c r="I65">
        <f si="23" t="shared"/>
        <v>0</v>
      </c>
      <c r="J65">
        <f si="23" t="shared"/>
        <v>530000</v>
      </c>
      <c r="N65" t="s">
        <v>237</v>
      </c>
      <c r="O65" s="402" t="n">
        <v>220000.0</v>
      </c>
      <c r="P65" s="406" t="n">
        <v>100000.0</v>
      </c>
      <c r="Q65" s="410" t="n">
        <v>50000.0</v>
      </c>
      <c r="R65" s="414" t="n">
        <v>80000.0</v>
      </c>
      <c r="S65" s="418" t="n">
        <v>50000.0</v>
      </c>
      <c r="T65" s="422" t="n">
        <v>40000.0</v>
      </c>
      <c r="U65" s="426" t="n">
        <v>70000.0</v>
      </c>
      <c r="V65" s="430" t="n">
        <v>0.0</v>
      </c>
      <c r="W65">
        <f>SUM(O65:V65)</f>
        <v>530000</v>
      </c>
    </row>
    <row r="66" spans="1:23" x14ac:dyDescent="0.3">
      <c r="A66" t="s">
        <v>238</v>
      </c>
      <c r="B66">
        <f si="22" t="shared"/>
        <v>99000</v>
      </c>
      <c r="C66">
        <f si="22" t="shared"/>
        <v>25000</v>
      </c>
      <c r="D66">
        <f si="22" t="shared"/>
        <v>35000</v>
      </c>
      <c r="E66">
        <f si="22" t="shared"/>
        <v>53000</v>
      </c>
      <c r="F66">
        <f si="22" t="shared"/>
        <v>6000</v>
      </c>
      <c r="G66">
        <f si="22" t="shared"/>
        <v>17000</v>
      </c>
      <c r="H66">
        <f si="22" t="shared"/>
        <v>16000</v>
      </c>
      <c r="I66">
        <f si="23" t="shared"/>
        <v>0</v>
      </c>
      <c r="J66">
        <f si="23" t="shared"/>
        <v>251000</v>
      </c>
      <c r="N66" t="s">
        <v>238</v>
      </c>
      <c r="O66" s="403" t="n">
        <v>30000.0</v>
      </c>
      <c r="P66" s="407" t="n">
        <v>30000.0</v>
      </c>
      <c r="Q66" s="411" t="n">
        <v>60000.0</v>
      </c>
      <c r="R66" s="415" t="n">
        <v>80000.0</v>
      </c>
      <c r="S66" s="419" t="n">
        <v>10000.0</v>
      </c>
      <c r="T66" s="423" t="n">
        <v>20000.0</v>
      </c>
      <c r="U66" s="427" t="n">
        <v>10000.0</v>
      </c>
      <c r="V66" s="431" t="n">
        <v>0.0</v>
      </c>
      <c r="W66">
        <f>SUM(O66:V66)</f>
        <v>251000</v>
      </c>
    </row>
    <row r="67" spans="1:23" x14ac:dyDescent="0.3">
      <c r="A67" t="s">
        <v>173</v>
      </c>
      <c r="B67">
        <f si="22" t="shared"/>
        <v>8000</v>
      </c>
      <c r="C67">
        <f si="22" t="shared"/>
        <v>3000</v>
      </c>
      <c r="D67">
        <f si="22" t="shared"/>
        <v>5000</v>
      </c>
      <c r="E67">
        <f si="22" t="shared"/>
        <v>2000</v>
      </c>
      <c r="F67">
        <f si="22" t="shared"/>
        <v>3000</v>
      </c>
      <c r="G67">
        <f si="22" t="shared"/>
        <v>0</v>
      </c>
      <c r="H67">
        <f si="22" t="shared"/>
        <v>4000</v>
      </c>
      <c r="I67">
        <f si="23" t="shared"/>
        <v>0</v>
      </c>
      <c r="J67">
        <f si="23" t="shared"/>
        <v>25000</v>
      </c>
      <c r="N67" t="s">
        <v>173</v>
      </c>
      <c r="O67" s="404" t="n">
        <v>0.0</v>
      </c>
      <c r="P67" s="408" t="n">
        <v>0.0</v>
      </c>
      <c r="Q67" s="412" t="n">
        <v>0.0</v>
      </c>
      <c r="R67" s="416" t="n">
        <v>0.0</v>
      </c>
      <c r="S67" s="420" t="n">
        <v>10000.0</v>
      </c>
      <c r="T67" s="424" t="n">
        <v>0.0</v>
      </c>
      <c r="U67" s="428" t="n">
        <v>0.0</v>
      </c>
      <c r="V67" s="432" t="n">
        <v>0.0</v>
      </c>
      <c r="W67">
        <f>SUM(O67:V67)</f>
        <v>25000</v>
      </c>
    </row>
    <row r="69" spans="1:23" x14ac:dyDescent="0.3">
      <c r="A69" t="s">
        <v>130</v>
      </c>
      <c r="N69" t="s">
        <v>130</v>
      </c>
    </row>
    <row r="70" spans="1:23" x14ac:dyDescent="0.3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3">
      <c r="A71" t="s">
        <v>228</v>
      </c>
      <c r="B71">
        <f ref="B71:H74" si="24" t="shared">O71*$B$1</f>
        <v>958000</v>
      </c>
      <c r="C71">
        <f si="24" t="shared"/>
        <v>257000</v>
      </c>
      <c r="D71">
        <f si="24" t="shared"/>
        <v>223000</v>
      </c>
      <c r="E71">
        <f si="24" t="shared"/>
        <v>321000</v>
      </c>
      <c r="F71">
        <f si="24" t="shared"/>
        <v>108000</v>
      </c>
      <c r="G71">
        <f si="24" t="shared"/>
        <v>152000</v>
      </c>
      <c r="H71">
        <f si="24" t="shared"/>
        <v>469000</v>
      </c>
      <c r="I71">
        <f ref="I71:J74" si="25" t="shared">V71*$B$1</f>
        <v>0</v>
      </c>
      <c r="J71">
        <f si="25" t="shared"/>
        <v>2488000</v>
      </c>
      <c r="N71" t="s">
        <v>228</v>
      </c>
      <c r="O71" s="433" t="n">
        <v>920000.0</v>
      </c>
      <c r="P71" s="437" t="n">
        <v>340000.0</v>
      </c>
      <c r="Q71" s="441" t="n">
        <v>210000.0</v>
      </c>
      <c r="R71" s="445" t="n">
        <v>340000.0</v>
      </c>
      <c r="S71" s="449" t="n">
        <v>100000.0</v>
      </c>
      <c r="T71" s="453" t="n">
        <v>150000.0</v>
      </c>
      <c r="U71" s="457" t="n">
        <v>380000.0</v>
      </c>
      <c r="V71" s="461" t="n">
        <v>0.0</v>
      </c>
      <c r="W71">
        <f>SUM(O71:V71)</f>
        <v>2488000</v>
      </c>
    </row>
    <row r="72" spans="1:23" x14ac:dyDescent="0.3">
      <c r="A72" t="s">
        <v>237</v>
      </c>
      <c r="B72">
        <f si="24" t="shared"/>
        <v>22000</v>
      </c>
      <c r="C72">
        <f si="24" t="shared"/>
        <v>6000</v>
      </c>
      <c r="D72">
        <f si="24" t="shared"/>
        <v>6000</v>
      </c>
      <c r="E72">
        <f si="24" t="shared"/>
        <v>13000</v>
      </c>
      <c r="F72">
        <f si="24" t="shared"/>
        <v>3000</v>
      </c>
      <c r="G72">
        <f si="24" t="shared"/>
        <v>3000</v>
      </c>
      <c r="H72">
        <f si="24" t="shared"/>
        <v>14000</v>
      </c>
      <c r="I72">
        <f si="25" t="shared"/>
        <v>0</v>
      </c>
      <c r="J72">
        <f si="25" t="shared"/>
        <v>67000</v>
      </c>
      <c r="N72" t="s">
        <v>237</v>
      </c>
      <c r="O72" s="434" t="n">
        <v>20000.0</v>
      </c>
      <c r="P72" s="438" t="n">
        <v>0.0</v>
      </c>
      <c r="Q72" s="442" t="n">
        <v>10000.0</v>
      </c>
      <c r="R72" s="446" t="n">
        <v>0.0</v>
      </c>
      <c r="S72" s="450" t="n">
        <v>0.0</v>
      </c>
      <c r="T72" s="454" t="n">
        <v>0.0</v>
      </c>
      <c r="U72" s="458" t="n">
        <v>20000.0</v>
      </c>
      <c r="V72" s="462" t="n">
        <v>0.0</v>
      </c>
      <c r="W72">
        <f>SUM(O72:V72)</f>
        <v>67000</v>
      </c>
    </row>
    <row r="73" spans="1:23" x14ac:dyDescent="0.3">
      <c r="A73" t="s">
        <v>238</v>
      </c>
      <c r="B73">
        <f si="24" t="shared"/>
        <v>247000</v>
      </c>
      <c r="C73">
        <f si="24" t="shared"/>
        <v>77000</v>
      </c>
      <c r="D73">
        <f si="24" t="shared"/>
        <v>82000</v>
      </c>
      <c r="E73">
        <f si="24" t="shared"/>
        <v>119000</v>
      </c>
      <c r="F73">
        <f si="24" t="shared"/>
        <v>32000</v>
      </c>
      <c r="G73">
        <f si="24" t="shared"/>
        <v>37000</v>
      </c>
      <c r="H73">
        <f si="24" t="shared"/>
        <v>106000</v>
      </c>
      <c r="I73">
        <f si="25" t="shared"/>
        <v>0</v>
      </c>
      <c r="J73">
        <f si="25" t="shared"/>
        <v>700000</v>
      </c>
      <c r="N73" t="s">
        <v>238</v>
      </c>
      <c r="O73" s="435" t="n">
        <v>200000.0</v>
      </c>
      <c r="P73" s="439" t="n">
        <v>70000.0</v>
      </c>
      <c r="Q73" s="443" t="n">
        <v>80000.0</v>
      </c>
      <c r="R73" s="447" t="n">
        <v>70000.0</v>
      </c>
      <c r="S73" s="451" t="n">
        <v>20000.0</v>
      </c>
      <c r="T73" s="455" t="n">
        <v>40000.0</v>
      </c>
      <c r="U73" s="459" t="n">
        <v>50000.0</v>
      </c>
      <c r="V73" s="463" t="n">
        <v>0.0</v>
      </c>
      <c r="W73">
        <f>SUM(O73:V73)</f>
        <v>700000</v>
      </c>
    </row>
    <row r="74" spans="1:23" x14ac:dyDescent="0.3">
      <c r="A74" t="s">
        <v>173</v>
      </c>
      <c r="B74">
        <f si="24" t="shared"/>
        <v>7000</v>
      </c>
      <c r="C74">
        <f si="24" t="shared"/>
        <v>5000</v>
      </c>
      <c r="D74">
        <f si="24" t="shared"/>
        <v>3000</v>
      </c>
      <c r="E74">
        <f si="24" t="shared"/>
        <v>8000</v>
      </c>
      <c r="F74">
        <f si="24" t="shared"/>
        <v>2000</v>
      </c>
      <c r="G74">
        <f si="24" t="shared"/>
        <v>1000</v>
      </c>
      <c r="H74">
        <f si="24" t="shared"/>
        <v>0</v>
      </c>
      <c r="I74">
        <f si="25" t="shared"/>
        <v>0</v>
      </c>
      <c r="J74">
        <f si="25" t="shared"/>
        <v>26000</v>
      </c>
      <c r="N74" t="s">
        <v>173</v>
      </c>
      <c r="O74" s="436" t="n">
        <v>20000.0</v>
      </c>
      <c r="P74" s="440" t="n">
        <v>20000.0</v>
      </c>
      <c r="Q74" s="444" t="n">
        <v>10000.0</v>
      </c>
      <c r="R74" s="448" t="n">
        <v>0.0</v>
      </c>
      <c r="S74" s="452" t="n">
        <v>0.0</v>
      </c>
      <c r="T74" s="456" t="n">
        <v>0.0</v>
      </c>
      <c r="U74" s="460" t="n">
        <v>0.0</v>
      </c>
      <c r="V74" s="464" t="n">
        <v>0.0</v>
      </c>
      <c r="W74">
        <f>SUM(O74:V74)</f>
        <v>26000</v>
      </c>
    </row>
    <row r="76" spans="1:23" x14ac:dyDescent="0.3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3">
      <c r="A78" t="s">
        <v>211</v>
      </c>
      <c r="N78" t="s">
        <v>211</v>
      </c>
    </row>
    <row r="79" spans="1:23" x14ac:dyDescent="0.3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3">
      <c r="A80">
        <v>0</v>
      </c>
      <c r="B80">
        <f ref="B80:H83" si="26" t="shared">O80*$B$1</f>
        <v>200000</v>
      </c>
      <c r="C80">
        <f si="26" t="shared"/>
        <v>97000</v>
      </c>
      <c r="D80">
        <f si="26" t="shared"/>
        <v>314000</v>
      </c>
      <c r="E80">
        <f si="26" t="shared"/>
        <v>461000</v>
      </c>
      <c r="F80">
        <f si="26" t="shared"/>
        <v>119000</v>
      </c>
      <c r="G80">
        <f si="26" t="shared"/>
        <v>179000</v>
      </c>
      <c r="H80">
        <f si="26" t="shared"/>
        <v>589000</v>
      </c>
      <c r="I80">
        <f ref="I80:J83" si="27" t="shared">V80*$B$1</f>
        <v>0</v>
      </c>
      <c r="J80">
        <f si="27" t="shared"/>
        <v>1959000</v>
      </c>
      <c r="N80">
        <v>0</v>
      </c>
      <c r="O80" s="465" t="n">
        <v>160000.0</v>
      </c>
      <c r="P80" s="469" t="n">
        <v>80000.0</v>
      </c>
      <c r="Q80" s="473" t="n">
        <v>310000.0</v>
      </c>
      <c r="R80" s="477" t="n">
        <v>410000.0</v>
      </c>
      <c r="S80" s="481" t="n">
        <v>90000.0</v>
      </c>
      <c r="T80" s="485" t="n">
        <v>160000.0</v>
      </c>
      <c r="U80" s="489" t="n">
        <v>450000.0</v>
      </c>
      <c r="V80" s="493" t="n">
        <v>0.0</v>
      </c>
      <c r="W80">
        <f>SUM(O80:V80)</f>
        <v>1959000</v>
      </c>
    </row>
    <row r="81" spans="1:23" x14ac:dyDescent="0.3">
      <c r="A81">
        <v>1</v>
      </c>
      <c r="B81">
        <f si="26" t="shared"/>
        <v>1007000</v>
      </c>
      <c r="C81">
        <f si="26" t="shared"/>
        <v>237000</v>
      </c>
      <c r="D81">
        <f si="26" t="shared"/>
        <v>0</v>
      </c>
      <c r="E81">
        <f si="26" t="shared"/>
        <v>0</v>
      </c>
      <c r="F81">
        <f si="26" t="shared"/>
        <v>25000</v>
      </c>
      <c r="G81">
        <f si="26" t="shared"/>
        <v>14000</v>
      </c>
      <c r="H81">
        <f si="26" t="shared"/>
        <v>0</v>
      </c>
      <c r="I81">
        <f si="27" t="shared"/>
        <v>0</v>
      </c>
      <c r="J81">
        <f si="27" t="shared"/>
        <v>1283000</v>
      </c>
      <c r="N81">
        <v>1</v>
      </c>
      <c r="O81" s="466" t="n">
        <v>1000000.0</v>
      </c>
      <c r="P81" s="470" t="n">
        <v>320000.0</v>
      </c>
      <c r="Q81" s="474" t="n">
        <v>0.0</v>
      </c>
      <c r="R81" s="478" t="n">
        <v>0.0</v>
      </c>
      <c r="S81" s="482" t="n">
        <v>30000.0</v>
      </c>
      <c r="T81" s="486" t="n">
        <v>30000.0</v>
      </c>
      <c r="U81" s="490" t="n">
        <v>0.0</v>
      </c>
      <c r="V81" s="494" t="n">
        <v>0.0</v>
      </c>
      <c r="W81">
        <f>SUM(O81:V81)</f>
        <v>1283000</v>
      </c>
    </row>
    <row r="82" spans="1:23" x14ac:dyDescent="0.3">
      <c r="A82">
        <v>2</v>
      </c>
      <c r="B82">
        <f si="26" t="shared"/>
        <v>26000</v>
      </c>
      <c r="C82">
        <f si="26" t="shared"/>
        <v>11000</v>
      </c>
      <c r="D82">
        <f si="26" t="shared"/>
        <v>0</v>
      </c>
      <c r="E82">
        <f si="26" t="shared"/>
        <v>0</v>
      </c>
      <c r="F82">
        <f si="26" t="shared"/>
        <v>1000</v>
      </c>
      <c r="G82">
        <f si="26" t="shared"/>
        <v>0</v>
      </c>
      <c r="H82">
        <f si="26" t="shared"/>
        <v>0</v>
      </c>
      <c r="I82">
        <f si="27" t="shared"/>
        <v>0</v>
      </c>
      <c r="J82">
        <f si="27" t="shared"/>
        <v>38000</v>
      </c>
      <c r="N82">
        <v>2</v>
      </c>
      <c r="O82" s="467" t="n">
        <v>0.0</v>
      </c>
      <c r="P82" s="471" t="n">
        <v>30000.0</v>
      </c>
      <c r="Q82" s="475" t="n">
        <v>0.0</v>
      </c>
      <c r="R82" s="479" t="n">
        <v>0.0</v>
      </c>
      <c r="S82" s="483" t="n">
        <v>0.0</v>
      </c>
      <c r="T82" s="487" t="n">
        <v>0.0</v>
      </c>
      <c r="U82" s="491" t="n">
        <v>0.0</v>
      </c>
      <c r="V82" s="495" t="n">
        <v>0.0</v>
      </c>
      <c r="W82">
        <f>SUM(O82:V82)</f>
        <v>38000</v>
      </c>
    </row>
    <row r="83" spans="1:23" x14ac:dyDescent="0.3">
      <c r="A83" t="s">
        <v>116</v>
      </c>
      <c r="B83">
        <f si="26" t="shared"/>
        <v>1000</v>
      </c>
      <c r="C83">
        <f si="26" t="shared"/>
        <v>0</v>
      </c>
      <c r="D83">
        <f si="26" t="shared"/>
        <v>0</v>
      </c>
      <c r="E83">
        <f si="26" t="shared"/>
        <v>0</v>
      </c>
      <c r="F83">
        <f si="26" t="shared"/>
        <v>0</v>
      </c>
      <c r="G83">
        <f si="26" t="shared"/>
        <v>0</v>
      </c>
      <c r="H83">
        <f si="26" t="shared"/>
        <v>0</v>
      </c>
      <c r="I83">
        <f si="27" t="shared"/>
        <v>0</v>
      </c>
      <c r="J83">
        <f si="27" t="shared"/>
        <v>1000</v>
      </c>
      <c r="N83" t="s">
        <v>116</v>
      </c>
      <c r="O83" s="468" t="n">
        <v>0.0</v>
      </c>
      <c r="P83" s="472" t="n">
        <v>0.0</v>
      </c>
      <c r="Q83" s="476" t="n">
        <v>0.0</v>
      </c>
      <c r="R83" s="480" t="n">
        <v>0.0</v>
      </c>
      <c r="S83" s="484" t="n">
        <v>0.0</v>
      </c>
      <c r="T83" s="488" t="n">
        <v>0.0</v>
      </c>
      <c r="U83" s="492" t="n">
        <v>0.0</v>
      </c>
      <c r="V83" s="496" t="n">
        <v>0.0</v>
      </c>
      <c r="W83">
        <f>SUM(O83:V83)</f>
        <v>1000</v>
      </c>
    </row>
    <row r="85" spans="1:23" x14ac:dyDescent="0.3">
      <c r="A85" t="s">
        <v>212</v>
      </c>
      <c r="N85" t="s">
        <v>212</v>
      </c>
    </row>
    <row r="86" spans="1:23" x14ac:dyDescent="0.3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3">
      <c r="A87">
        <v>0</v>
      </c>
      <c r="B87">
        <f ref="B87:H90" si="28" t="shared">O87*$B$1</f>
        <v>1234000</v>
      </c>
      <c r="C87">
        <f si="28" t="shared"/>
        <v>345000</v>
      </c>
      <c r="D87">
        <f si="28" t="shared"/>
        <v>314000</v>
      </c>
      <c r="E87">
        <f si="28" t="shared"/>
        <v>461000</v>
      </c>
      <c r="F87">
        <f si="28" t="shared"/>
        <v>52000</v>
      </c>
      <c r="G87">
        <f si="28" t="shared"/>
        <v>25000</v>
      </c>
      <c r="H87">
        <f si="28" t="shared"/>
        <v>87000</v>
      </c>
      <c r="I87">
        <f ref="I87:J90" si="29" t="shared">V87*$B$1</f>
        <v>0</v>
      </c>
      <c r="J87">
        <f si="29" t="shared"/>
        <v>2518000</v>
      </c>
      <c r="N87">
        <v>0</v>
      </c>
      <c r="O87" s="497" t="n">
        <v>1160000.0</v>
      </c>
      <c r="P87" s="501" t="n">
        <v>430000.0</v>
      </c>
      <c r="Q87" s="505" t="n">
        <v>310000.0</v>
      </c>
      <c r="R87" s="509" t="n">
        <v>410000.0</v>
      </c>
      <c r="S87" s="513" t="n">
        <v>50000.0</v>
      </c>
      <c r="T87" s="517" t="n">
        <v>40000.0</v>
      </c>
      <c r="U87" s="521" t="n">
        <v>40000.0</v>
      </c>
      <c r="V87" s="525" t="n">
        <v>0.0</v>
      </c>
      <c r="W87">
        <f>SUM(O87:V87)</f>
        <v>2518000</v>
      </c>
    </row>
    <row r="88" spans="1:23" x14ac:dyDescent="0.3">
      <c r="A88">
        <v>1</v>
      </c>
      <c r="B88">
        <f si="28" t="shared"/>
        <v>0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89000</v>
      </c>
      <c r="G88">
        <f si="28" t="shared"/>
        <v>163000</v>
      </c>
      <c r="H88">
        <f si="28" t="shared"/>
        <v>496000</v>
      </c>
      <c r="I88">
        <f si="29" t="shared"/>
        <v>0</v>
      </c>
      <c r="J88">
        <f si="29" t="shared"/>
        <v>748000</v>
      </c>
      <c r="N88">
        <v>1</v>
      </c>
      <c r="O88" s="498" t="n">
        <v>0.0</v>
      </c>
      <c r="P88" s="502" t="n">
        <v>0.0</v>
      </c>
      <c r="Q88" s="506" t="n">
        <v>0.0</v>
      </c>
      <c r="R88" s="510" t="n">
        <v>0.0</v>
      </c>
      <c r="S88" s="514" t="n">
        <v>60000.0</v>
      </c>
      <c r="T88" s="518" t="n">
        <v>140000.0</v>
      </c>
      <c r="U88" s="522" t="n">
        <v>410000.0</v>
      </c>
      <c r="V88" s="526" t="n">
        <v>0.0</v>
      </c>
      <c r="W88">
        <f>SUM(O88:V88)</f>
        <v>748000</v>
      </c>
    </row>
    <row r="89" spans="1:23" x14ac:dyDescent="0.3">
      <c r="A89">
        <v>2</v>
      </c>
      <c r="B89">
        <f si="28" t="shared"/>
        <v>0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4000</v>
      </c>
      <c r="G89">
        <f si="28" t="shared"/>
        <v>5000</v>
      </c>
      <c r="H89">
        <f si="28" t="shared"/>
        <v>6000</v>
      </c>
      <c r="I89">
        <f si="29" t="shared"/>
        <v>0</v>
      </c>
      <c r="J89">
        <f si="29" t="shared"/>
        <v>15000</v>
      </c>
      <c r="N89">
        <v>2</v>
      </c>
      <c r="O89" s="499" t="n">
        <v>0.0</v>
      </c>
      <c r="P89" s="503" t="n">
        <v>0.0</v>
      </c>
      <c r="Q89" s="507" t="n">
        <v>0.0</v>
      </c>
      <c r="R89" s="511" t="n">
        <v>0.0</v>
      </c>
      <c r="S89" s="515" t="n">
        <v>10000.0</v>
      </c>
      <c r="T89" s="519" t="n">
        <v>10000.0</v>
      </c>
      <c r="U89" s="523" t="n">
        <v>0.0</v>
      </c>
      <c r="V89" s="527" t="n">
        <v>0.0</v>
      </c>
      <c r="W89">
        <f>SUM(O89:V89)</f>
        <v>15000</v>
      </c>
    </row>
    <row r="90" spans="1:23" x14ac:dyDescent="0.3">
      <c r="A90" t="s">
        <v>116</v>
      </c>
      <c r="B90">
        <f si="28" t="shared"/>
        <v>0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0</v>
      </c>
      <c r="G90">
        <f si="28" t="shared"/>
        <v>0</v>
      </c>
      <c r="H90">
        <f si="28" t="shared"/>
        <v>0</v>
      </c>
      <c r="I90">
        <f si="29" t="shared"/>
        <v>0</v>
      </c>
      <c r="J90">
        <f si="29" t="shared"/>
        <v>0</v>
      </c>
      <c r="N90" t="s">
        <v>116</v>
      </c>
      <c r="O90" s="500" t="n">
        <v>0.0</v>
      </c>
      <c r="P90" s="504" t="n">
        <v>0.0</v>
      </c>
      <c r="Q90" s="508" t="n">
        <v>0.0</v>
      </c>
      <c r="R90" s="512" t="n">
        <v>0.0</v>
      </c>
      <c r="S90" s="516" t="n">
        <v>0.0</v>
      </c>
      <c r="T90" s="520" t="n">
        <v>0.0</v>
      </c>
      <c r="U90" s="524" t="n">
        <v>0.0</v>
      </c>
      <c r="V90" s="528" t="n">
        <v>0.0</v>
      </c>
      <c r="W90">
        <f>SUM(O90:V90)</f>
        <v>0</v>
      </c>
    </row>
    <row r="92" spans="1:23" x14ac:dyDescent="0.3">
      <c r="A92" t="s">
        <v>213</v>
      </c>
      <c r="N92" t="s">
        <v>213</v>
      </c>
    </row>
    <row r="93" spans="1:23" x14ac:dyDescent="0.3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3">
      <c r="A94">
        <v>0</v>
      </c>
      <c r="B94">
        <f ref="B94:H97" si="30" t="shared">O94*$B$1</f>
        <v>1123000</v>
      </c>
      <c r="C94">
        <f si="30" t="shared"/>
        <v>293000</v>
      </c>
      <c r="D94">
        <f si="30" t="shared"/>
        <v>269000</v>
      </c>
      <c r="E94">
        <f si="30" t="shared"/>
        <v>285000</v>
      </c>
      <c r="F94">
        <f si="30" t="shared"/>
        <v>130000</v>
      </c>
      <c r="G94">
        <f si="30" t="shared"/>
        <v>180000</v>
      </c>
      <c r="H94">
        <f si="30" t="shared"/>
        <v>542000</v>
      </c>
      <c r="I94">
        <f ref="I94:J97" si="31" t="shared">V94*$B$1</f>
        <v>0</v>
      </c>
      <c r="J94">
        <f si="31" t="shared"/>
        <v>2822000</v>
      </c>
      <c r="N94">
        <v>0</v>
      </c>
      <c r="O94" s="529" t="n">
        <v>1090000.0</v>
      </c>
      <c r="P94" s="533" t="n">
        <v>360000.0</v>
      </c>
      <c r="Q94" s="537" t="n">
        <v>240000.0</v>
      </c>
      <c r="R94" s="541" t="n">
        <v>260000.0</v>
      </c>
      <c r="S94" s="545" t="n">
        <v>100000.0</v>
      </c>
      <c r="T94" s="549" t="n">
        <v>180000.0</v>
      </c>
      <c r="U94" s="553" t="n">
        <v>410000.0</v>
      </c>
      <c r="V94" s="557" t="n">
        <v>0.0</v>
      </c>
      <c r="W94">
        <f>SUM(O94:V94)</f>
        <v>2822000</v>
      </c>
    </row>
    <row r="95" spans="1:23" x14ac:dyDescent="0.3">
      <c r="A95">
        <v>1</v>
      </c>
      <c r="B95">
        <f si="30" t="shared"/>
        <v>97000</v>
      </c>
      <c r="C95">
        <f si="30" t="shared"/>
        <v>38000</v>
      </c>
      <c r="D95">
        <f si="30" t="shared"/>
        <v>41000</v>
      </c>
      <c r="E95">
        <f si="30" t="shared"/>
        <v>118000</v>
      </c>
      <c r="F95">
        <f si="30" t="shared"/>
        <v>12000</v>
      </c>
      <c r="G95">
        <f si="30" t="shared"/>
        <v>13000</v>
      </c>
      <c r="H95">
        <f si="30" t="shared"/>
        <v>44000</v>
      </c>
      <c r="I95">
        <f si="31" t="shared"/>
        <v>0</v>
      </c>
      <c r="J95">
        <f si="31" t="shared"/>
        <v>363000</v>
      </c>
      <c r="N95">
        <v>1</v>
      </c>
      <c r="O95" s="530" t="n">
        <v>50000.0</v>
      </c>
      <c r="P95" s="534" t="n">
        <v>60000.0</v>
      </c>
      <c r="Q95" s="538" t="n">
        <v>60000.0</v>
      </c>
      <c r="R95" s="542" t="n">
        <v>120000.0</v>
      </c>
      <c r="S95" s="546" t="n">
        <v>20000.0</v>
      </c>
      <c r="T95" s="550" t="n">
        <v>10000.0</v>
      </c>
      <c r="U95" s="554" t="n">
        <v>40000.0</v>
      </c>
      <c r="V95" s="558" t="n">
        <v>0.0</v>
      </c>
      <c r="W95">
        <f>SUM(O95:V95)</f>
        <v>363000</v>
      </c>
    </row>
    <row r="96" spans="1:23" x14ac:dyDescent="0.3">
      <c r="A96">
        <v>2</v>
      </c>
      <c r="B96">
        <f si="30" t="shared"/>
        <v>10000</v>
      </c>
      <c r="C96">
        <f si="30" t="shared"/>
        <v>10000</v>
      </c>
      <c r="D96">
        <f si="30" t="shared"/>
        <v>3000</v>
      </c>
      <c r="E96">
        <f si="30" t="shared"/>
        <v>45000</v>
      </c>
      <c r="F96">
        <f si="30" t="shared"/>
        <v>3000</v>
      </c>
      <c r="G96">
        <f si="30" t="shared"/>
        <v>0</v>
      </c>
      <c r="H96">
        <f si="30" t="shared"/>
        <v>3000</v>
      </c>
      <c r="I96">
        <f si="31" t="shared"/>
        <v>0</v>
      </c>
      <c r="J96">
        <f si="31" t="shared"/>
        <v>74000</v>
      </c>
      <c r="N96">
        <v>2</v>
      </c>
      <c r="O96" s="531" t="n">
        <v>20000.0</v>
      </c>
      <c r="P96" s="535" t="n">
        <v>0.0</v>
      </c>
      <c r="Q96" s="539" t="n">
        <v>10000.0</v>
      </c>
      <c r="R96" s="543" t="n">
        <v>30000.0</v>
      </c>
      <c r="S96" s="547" t="n">
        <v>0.0</v>
      </c>
      <c r="T96" s="551" t="n">
        <v>0.0</v>
      </c>
      <c r="U96" s="555" t="n">
        <v>0.0</v>
      </c>
      <c r="V96" s="559" t="n">
        <v>0.0</v>
      </c>
      <c r="W96">
        <f>SUM(O96:V96)</f>
        <v>74000</v>
      </c>
    </row>
    <row r="97" spans="1:23" x14ac:dyDescent="0.3">
      <c r="A97" t="s">
        <v>116</v>
      </c>
      <c r="B97">
        <f si="30" t="shared"/>
        <v>4000</v>
      </c>
      <c r="C97">
        <f si="30" t="shared"/>
        <v>4000</v>
      </c>
      <c r="D97">
        <f si="30" t="shared"/>
        <v>1000</v>
      </c>
      <c r="E97">
        <f si="30" t="shared"/>
        <v>13000</v>
      </c>
      <c r="F97">
        <f si="30" t="shared"/>
        <v>0</v>
      </c>
      <c r="G97">
        <f si="30" t="shared"/>
        <v>0</v>
      </c>
      <c r="H97">
        <f si="30" t="shared"/>
        <v>0</v>
      </c>
      <c r="I97">
        <f si="31" t="shared"/>
        <v>0</v>
      </c>
      <c r="J97">
        <f si="31" t="shared"/>
        <v>22000</v>
      </c>
      <c r="N97" t="s">
        <v>116</v>
      </c>
      <c r="O97" s="532" t="n">
        <v>0.0</v>
      </c>
      <c r="P97" s="536" t="n">
        <v>10000.0</v>
      </c>
      <c r="Q97" s="540" t="n">
        <v>0.0</v>
      </c>
      <c r="R97" s="544" t="n">
        <v>0.0</v>
      </c>
      <c r="S97" s="548" t="n">
        <v>0.0</v>
      </c>
      <c r="T97" s="552" t="n">
        <v>0.0</v>
      </c>
      <c r="U97" s="556" t="n">
        <v>0.0</v>
      </c>
      <c r="V97" s="560" t="n">
        <v>0.0</v>
      </c>
      <c r="W97">
        <f>SUM(O97:V97)</f>
        <v>22000</v>
      </c>
    </row>
    <row r="99" spans="1:23" x14ac:dyDescent="0.3">
      <c r="A99" t="s">
        <v>36</v>
      </c>
      <c r="N99" t="s">
        <v>36</v>
      </c>
    </row>
    <row r="100" spans="1:23" x14ac:dyDescent="0.3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3">
      <c r="A101">
        <v>0</v>
      </c>
      <c r="B101">
        <f ref="B101:H104" si="32" t="shared">O101*$B$1</f>
        <v>1103000</v>
      </c>
      <c r="C101">
        <f si="32" t="shared"/>
        <v>297000</v>
      </c>
      <c r="D101">
        <f si="32" t="shared"/>
        <v>269000</v>
      </c>
      <c r="E101">
        <f si="32" t="shared"/>
        <v>395000</v>
      </c>
      <c r="F101">
        <f si="32" t="shared"/>
        <v>128000</v>
      </c>
      <c r="G101">
        <f si="32" t="shared"/>
        <v>165000</v>
      </c>
      <c r="H101">
        <f si="32" t="shared"/>
        <v>554000</v>
      </c>
      <c r="I101">
        <f ref="I101:J104" si="33" t="shared">V101*$B$1</f>
        <v>0</v>
      </c>
      <c r="J101">
        <f si="33" t="shared"/>
        <v>2911000</v>
      </c>
      <c r="N101">
        <v>0</v>
      </c>
      <c r="O101" s="561" t="n">
        <v>1010000.0</v>
      </c>
      <c r="P101" s="565" t="n">
        <v>380000.0</v>
      </c>
      <c r="Q101" s="569" t="n">
        <v>260000.0</v>
      </c>
      <c r="R101" s="573" t="n">
        <v>330000.0</v>
      </c>
      <c r="S101" s="577" t="n">
        <v>90000.0</v>
      </c>
      <c r="T101" s="581" t="n">
        <v>170000.0</v>
      </c>
      <c r="U101" s="585" t="n">
        <v>410000.0</v>
      </c>
      <c r="V101" s="589" t="n">
        <v>0.0</v>
      </c>
      <c r="W101">
        <f>SUM(O101:V101)</f>
        <v>2911000</v>
      </c>
    </row>
    <row r="102" spans="1:23" x14ac:dyDescent="0.3">
      <c r="A102">
        <v>1</v>
      </c>
      <c r="B102">
        <f si="32" t="shared"/>
        <v>114000</v>
      </c>
      <c r="C102">
        <f si="32" t="shared"/>
        <v>40000</v>
      </c>
      <c r="D102">
        <f si="32" t="shared"/>
        <v>41000</v>
      </c>
      <c r="E102">
        <f si="32" t="shared"/>
        <v>60000</v>
      </c>
      <c r="F102">
        <f si="32" t="shared"/>
        <v>15000</v>
      </c>
      <c r="G102">
        <f si="32" t="shared"/>
        <v>26000</v>
      </c>
      <c r="H102">
        <f si="32" t="shared"/>
        <v>31000</v>
      </c>
      <c r="I102">
        <f si="33" t="shared"/>
        <v>0</v>
      </c>
      <c r="J102">
        <f si="33" t="shared"/>
        <v>327000</v>
      </c>
      <c r="N102">
        <v>1</v>
      </c>
      <c r="O102" s="562" t="n">
        <v>130000.0</v>
      </c>
      <c r="P102" s="566" t="n">
        <v>50000.0</v>
      </c>
      <c r="Q102" s="570" t="n">
        <v>40000.0</v>
      </c>
      <c r="R102" s="574" t="n">
        <v>80000.0</v>
      </c>
      <c r="S102" s="578" t="n">
        <v>30000.0</v>
      </c>
      <c r="T102" s="582" t="n">
        <v>20000.0</v>
      </c>
      <c r="U102" s="586" t="n">
        <v>40000.0</v>
      </c>
      <c r="V102" s="590" t="n">
        <v>0.0</v>
      </c>
      <c r="W102">
        <f>SUM(O102:V102)</f>
        <v>327000</v>
      </c>
    </row>
    <row r="103" spans="1:23" x14ac:dyDescent="0.3">
      <c r="A103">
        <v>2</v>
      </c>
      <c r="B103">
        <f si="32" t="shared"/>
        <v>13000</v>
      </c>
      <c r="C103">
        <f si="32" t="shared"/>
        <v>8000</v>
      </c>
      <c r="D103">
        <f si="32" t="shared"/>
        <v>4000</v>
      </c>
      <c r="E103">
        <f si="32" t="shared"/>
        <v>4000</v>
      </c>
      <c r="F103">
        <f si="32" t="shared"/>
        <v>2000</v>
      </c>
      <c r="G103">
        <f si="32" t="shared"/>
        <v>2000</v>
      </c>
      <c r="H103">
        <f si="32" t="shared"/>
        <v>4000</v>
      </c>
      <c r="I103">
        <f si="33" t="shared"/>
        <v>0</v>
      </c>
      <c r="J103">
        <f si="33" t="shared"/>
        <v>37000</v>
      </c>
      <c r="N103">
        <v>2</v>
      </c>
      <c r="O103" s="563" t="n">
        <v>20000.0</v>
      </c>
      <c r="P103" s="567" t="n">
        <v>0.0</v>
      </c>
      <c r="Q103" s="571" t="n">
        <v>10000.0</v>
      </c>
      <c r="R103" s="575" t="n">
        <v>0.0</v>
      </c>
      <c r="S103" s="579" t="n">
        <v>0.0</v>
      </c>
      <c r="T103" s="583" t="n">
        <v>0.0</v>
      </c>
      <c r="U103" s="587" t="n">
        <v>0.0</v>
      </c>
      <c r="V103" s="591" t="n">
        <v>0.0</v>
      </c>
      <c r="W103">
        <f>SUM(O103:V103)</f>
        <v>37000</v>
      </c>
    </row>
    <row r="104" spans="1:23" x14ac:dyDescent="0.3">
      <c r="A104" t="s">
        <v>116</v>
      </c>
      <c r="B104">
        <f si="32" t="shared"/>
        <v>4000</v>
      </c>
      <c r="C104">
        <f si="32" t="shared"/>
        <v>0</v>
      </c>
      <c r="D104">
        <f si="32" t="shared"/>
        <v>0</v>
      </c>
      <c r="E104">
        <f si="32" t="shared"/>
        <v>2000</v>
      </c>
      <c r="F104">
        <f si="32" t="shared"/>
        <v>0</v>
      </c>
      <c r="G104">
        <f si="32" t="shared"/>
        <v>0</v>
      </c>
      <c r="H104">
        <f si="32" t="shared"/>
        <v>0</v>
      </c>
      <c r="I104">
        <f si="33" t="shared"/>
        <v>0</v>
      </c>
      <c r="J104">
        <f si="33" t="shared"/>
        <v>6000</v>
      </c>
      <c r="N104" t="s">
        <v>116</v>
      </c>
      <c r="O104" s="564" t="n">
        <v>0.0</v>
      </c>
      <c r="P104" s="568" t="n">
        <v>0.0</v>
      </c>
      <c r="Q104" s="572" t="n">
        <v>0.0</v>
      </c>
      <c r="R104" s="576" t="n">
        <v>0.0</v>
      </c>
      <c r="S104" s="580" t="n">
        <v>0.0</v>
      </c>
      <c r="T104" s="584" t="n">
        <v>0.0</v>
      </c>
      <c r="U104" s="588" t="n">
        <v>0.0</v>
      </c>
      <c r="V104" s="592" t="n">
        <v>0.0</v>
      </c>
      <c r="W104">
        <f>SUM(O104:V104)</f>
        <v>6000</v>
      </c>
    </row>
    <row r="106" spans="1:23" x14ac:dyDescent="0.3">
      <c r="A106" t="s">
        <v>215</v>
      </c>
      <c r="N106" t="s">
        <v>215</v>
      </c>
    </row>
    <row r="107" spans="1:23" x14ac:dyDescent="0.3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3">
      <c r="A108">
        <v>0</v>
      </c>
      <c r="B108">
        <f ref="B108:H111" si="34" t="shared">O108*$B$1</f>
        <v>1200000</v>
      </c>
      <c r="C108">
        <f si="34" t="shared"/>
        <v>334000</v>
      </c>
      <c r="D108">
        <f si="34" t="shared"/>
        <v>283000</v>
      </c>
      <c r="E108">
        <f si="34" t="shared"/>
        <v>417000</v>
      </c>
      <c r="F108">
        <f si="34" t="shared"/>
        <v>142000</v>
      </c>
      <c r="G108">
        <f si="34" t="shared"/>
        <v>190000</v>
      </c>
      <c r="H108">
        <f si="34" t="shared"/>
        <v>583000</v>
      </c>
      <c r="I108">
        <f ref="I108:J111" si="35" t="shared">V108*$B$1</f>
        <v>0</v>
      </c>
      <c r="J108">
        <f si="35" t="shared"/>
        <v>3149000</v>
      </c>
      <c r="N108">
        <v>0</v>
      </c>
      <c r="O108" s="593" t="n">
        <v>1150000.0</v>
      </c>
      <c r="P108" s="597" t="n">
        <v>430000.0</v>
      </c>
      <c r="Q108" s="601" t="n">
        <v>250000.0</v>
      </c>
      <c r="R108" s="605" t="n">
        <v>370000.0</v>
      </c>
      <c r="S108" s="609" t="n">
        <v>120000.0</v>
      </c>
      <c r="T108" s="613" t="n">
        <v>190000.0</v>
      </c>
      <c r="U108" s="617" t="n">
        <v>450000.0</v>
      </c>
      <c r="V108" s="621" t="n">
        <v>0.0</v>
      </c>
      <c r="W108">
        <f>SUM(O108:V108)</f>
        <v>3149000</v>
      </c>
    </row>
    <row r="109" spans="1:23" x14ac:dyDescent="0.3">
      <c r="A109">
        <v>1</v>
      </c>
      <c r="B109">
        <f si="34" t="shared"/>
        <v>34000</v>
      </c>
      <c r="C109">
        <f si="34" t="shared"/>
        <v>9000</v>
      </c>
      <c r="D109">
        <f si="34" t="shared"/>
        <v>31000</v>
      </c>
      <c r="E109">
        <f si="34" t="shared"/>
        <v>41000</v>
      </c>
      <c r="F109">
        <f si="34" t="shared"/>
        <v>3000</v>
      </c>
      <c r="G109">
        <f si="34" t="shared"/>
        <v>3000</v>
      </c>
      <c r="H109">
        <f si="34" t="shared"/>
        <v>6000</v>
      </c>
      <c r="I109">
        <f si="35" t="shared"/>
        <v>0</v>
      </c>
      <c r="J109">
        <f si="35" t="shared"/>
        <v>127000</v>
      </c>
      <c r="N109">
        <v>1</v>
      </c>
      <c r="O109" s="594" t="n">
        <v>10000.0</v>
      </c>
      <c r="P109" s="598" t="n">
        <v>0.0</v>
      </c>
      <c r="Q109" s="602" t="n">
        <v>60000.0</v>
      </c>
      <c r="R109" s="606" t="n">
        <v>30000.0</v>
      </c>
      <c r="S109" s="610" t="n">
        <v>0.0</v>
      </c>
      <c r="T109" s="614" t="n">
        <v>0.0</v>
      </c>
      <c r="U109" s="618" t="n">
        <v>0.0</v>
      </c>
      <c r="V109" s="622" t="n">
        <v>0.0</v>
      </c>
      <c r="W109">
        <f>SUM(O109:V109)</f>
        <v>127000</v>
      </c>
    </row>
    <row r="110" spans="1:23" x14ac:dyDescent="0.3">
      <c r="A110">
        <v>2</v>
      </c>
      <c r="B110">
        <f si="34" t="shared"/>
        <v>0</v>
      </c>
      <c r="C110">
        <f si="34" t="shared"/>
        <v>2000</v>
      </c>
      <c r="D110">
        <f si="34" t="shared"/>
        <v>0</v>
      </c>
      <c r="E110">
        <f si="34" t="shared"/>
        <v>3000</v>
      </c>
      <c r="F110">
        <f si="34" t="shared"/>
        <v>0</v>
      </c>
      <c r="G110">
        <f si="34" t="shared"/>
        <v>0</v>
      </c>
      <c r="H110">
        <f si="34" t="shared"/>
        <v>0</v>
      </c>
      <c r="I110">
        <f si="35" t="shared"/>
        <v>0</v>
      </c>
      <c r="J110">
        <f si="35" t="shared"/>
        <v>5000</v>
      </c>
      <c r="N110">
        <v>2</v>
      </c>
      <c r="O110" s="595" t="n">
        <v>0.0</v>
      </c>
      <c r="P110" s="599" t="n">
        <v>0.0</v>
      </c>
      <c r="Q110" s="603" t="n">
        <v>0.0</v>
      </c>
      <c r="R110" s="607" t="n">
        <v>10000.0</v>
      </c>
      <c r="S110" s="611" t="n">
        <v>0.0</v>
      </c>
      <c r="T110" s="615" t="n">
        <v>0.0</v>
      </c>
      <c r="U110" s="619" t="n">
        <v>0.0</v>
      </c>
      <c r="V110" s="623" t="n">
        <v>0.0</v>
      </c>
      <c r="W110">
        <f>SUM(O110:V110)</f>
        <v>5000</v>
      </c>
    </row>
    <row r="111" spans="1:23" x14ac:dyDescent="0.3">
      <c r="A111" t="s">
        <v>116</v>
      </c>
      <c r="B111">
        <f si="34" t="shared"/>
        <v>0</v>
      </c>
      <c r="C111">
        <f si="34" t="shared"/>
        <v>0</v>
      </c>
      <c r="D111">
        <f si="34" t="shared"/>
        <v>0</v>
      </c>
      <c r="E111">
        <f si="34" t="shared"/>
        <v>0</v>
      </c>
      <c r="F111">
        <f si="34" t="shared"/>
        <v>0</v>
      </c>
      <c r="G111">
        <f si="34" t="shared"/>
        <v>0</v>
      </c>
      <c r="H111">
        <f si="34" t="shared"/>
        <v>0</v>
      </c>
      <c r="I111">
        <f si="35" t="shared"/>
        <v>0</v>
      </c>
      <c r="J111">
        <f si="35" t="shared"/>
        <v>0</v>
      </c>
      <c r="N111" t="s">
        <v>116</v>
      </c>
      <c r="O111" s="596" t="n">
        <v>0.0</v>
      </c>
      <c r="P111" s="600" t="n">
        <v>0.0</v>
      </c>
      <c r="Q111" s="604" t="n">
        <v>0.0</v>
      </c>
      <c r="R111" s="608" t="n">
        <v>0.0</v>
      </c>
      <c r="S111" s="612" t="n">
        <v>0.0</v>
      </c>
      <c r="T111" s="616" t="n">
        <v>0.0</v>
      </c>
      <c r="U111" s="620" t="n">
        <v>0.0</v>
      </c>
      <c r="V111" s="624" t="n">
        <v>0.0</v>
      </c>
      <c r="W111">
        <f>SUM(O111:V111)</f>
        <v>0</v>
      </c>
    </row>
    <row r="113" spans="1:23" x14ac:dyDescent="0.3">
      <c r="A113" t="s">
        <v>129</v>
      </c>
      <c r="N113" t="s">
        <v>129</v>
      </c>
    </row>
    <row r="114" spans="1:23" x14ac:dyDescent="0.3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3">
      <c r="A115">
        <v>0</v>
      </c>
      <c r="B115">
        <f ref="B115:H118" si="36" t="shared">O115*$B$1</f>
        <v>1127000</v>
      </c>
      <c r="C115">
        <f si="36" t="shared"/>
        <v>317000</v>
      </c>
      <c r="D115">
        <f si="36" t="shared"/>
        <v>274000</v>
      </c>
      <c r="E115">
        <f si="36" t="shared"/>
        <v>406000</v>
      </c>
      <c r="F115">
        <f si="36" t="shared"/>
        <v>136000</v>
      </c>
      <c r="G115">
        <f si="36" t="shared"/>
        <v>176000</v>
      </c>
      <c r="H115">
        <f si="36" t="shared"/>
        <v>569000</v>
      </c>
      <c r="I115">
        <f ref="I115:J118" si="37" t="shared">V115*$B$1</f>
        <v>0</v>
      </c>
      <c r="J115">
        <f si="37" t="shared"/>
        <v>3005000</v>
      </c>
      <c r="N115">
        <v>0</v>
      </c>
      <c r="O115" s="625" t="n">
        <v>1130000.0</v>
      </c>
      <c r="P115" s="629" t="n">
        <v>400000.0</v>
      </c>
      <c r="Q115" s="633" t="n">
        <v>250000.0</v>
      </c>
      <c r="R115" s="637" t="n">
        <v>330000.0</v>
      </c>
      <c r="S115" s="641" t="n">
        <v>100000.0</v>
      </c>
      <c r="T115" s="645" t="n">
        <v>170000.0</v>
      </c>
      <c r="U115" s="649" t="n">
        <v>440000.0</v>
      </c>
      <c r="V115" s="653" t="n">
        <v>0.0</v>
      </c>
      <c r="W115">
        <f>SUM(O115:V115)</f>
        <v>3005000</v>
      </c>
    </row>
    <row r="116" spans="1:23" x14ac:dyDescent="0.3">
      <c r="A116">
        <v>1</v>
      </c>
      <c r="B116">
        <f si="36" t="shared"/>
        <v>105000</v>
      </c>
      <c r="C116">
        <f si="36" t="shared"/>
        <v>25000</v>
      </c>
      <c r="D116">
        <f si="36" t="shared"/>
        <v>37000</v>
      </c>
      <c r="E116">
        <f si="36" t="shared"/>
        <v>49000</v>
      </c>
      <c r="F116">
        <f si="36" t="shared"/>
        <v>9000</v>
      </c>
      <c r="G116">
        <f si="36" t="shared"/>
        <v>17000</v>
      </c>
      <c r="H116">
        <f si="36" t="shared"/>
        <v>20000</v>
      </c>
      <c r="I116">
        <f si="37" t="shared"/>
        <v>0</v>
      </c>
      <c r="J116">
        <f si="37" t="shared"/>
        <v>262000</v>
      </c>
      <c r="N116">
        <v>1</v>
      </c>
      <c r="O116" s="626" t="n">
        <v>30000.0</v>
      </c>
      <c r="P116" s="630" t="n">
        <v>20000.0</v>
      </c>
      <c r="Q116" s="634" t="n">
        <v>50000.0</v>
      </c>
      <c r="R116" s="638" t="n">
        <v>80000.0</v>
      </c>
      <c r="S116" s="642" t="n">
        <v>20000.0</v>
      </c>
      <c r="T116" s="646" t="n">
        <v>20000.0</v>
      </c>
      <c r="U116" s="650" t="n">
        <v>10000.0</v>
      </c>
      <c r="V116" s="654" t="n">
        <v>0.0</v>
      </c>
      <c r="W116">
        <f>SUM(O116:V116)</f>
        <v>262000</v>
      </c>
    </row>
    <row r="117" spans="1:23" x14ac:dyDescent="0.3">
      <c r="A117">
        <v>2</v>
      </c>
      <c r="B117">
        <f si="36" t="shared"/>
        <v>2000</v>
      </c>
      <c r="C117">
        <f si="36" t="shared"/>
        <v>3000</v>
      </c>
      <c r="D117">
        <f si="36" t="shared"/>
        <v>3000</v>
      </c>
      <c r="E117">
        <f si="36" t="shared"/>
        <v>6000</v>
      </c>
      <c r="F117">
        <f si="36" t="shared"/>
        <v>0</v>
      </c>
      <c r="G117">
        <f si="36" t="shared"/>
        <v>0</v>
      </c>
      <c r="H117">
        <f si="36" t="shared"/>
        <v>0</v>
      </c>
      <c r="I117">
        <f si="37" t="shared"/>
        <v>0</v>
      </c>
      <c r="J117">
        <f si="37" t="shared"/>
        <v>14000</v>
      </c>
      <c r="N117">
        <v>2</v>
      </c>
      <c r="O117" s="627" t="n">
        <v>0.0</v>
      </c>
      <c r="P117" s="631" t="n">
        <v>10000.0</v>
      </c>
      <c r="Q117" s="635" t="n">
        <v>10000.0</v>
      </c>
      <c r="R117" s="639" t="n">
        <v>0.0</v>
      </c>
      <c r="S117" s="643" t="n">
        <v>0.0</v>
      </c>
      <c r="T117" s="647" t="n">
        <v>0.0</v>
      </c>
      <c r="U117" s="651" t="n">
        <v>0.0</v>
      </c>
      <c r="V117" s="655" t="n">
        <v>0.0</v>
      </c>
      <c r="W117">
        <f>SUM(O117:V117)</f>
        <v>14000</v>
      </c>
    </row>
    <row r="118" spans="1:23" x14ac:dyDescent="0.3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628" t="n">
        <v>0.0</v>
      </c>
      <c r="P118" s="632" t="n">
        <v>0.0</v>
      </c>
      <c r="Q118" s="636" t="n">
        <v>0.0</v>
      </c>
      <c r="R118" s="640" t="n">
        <v>0.0</v>
      </c>
      <c r="S118" s="644" t="n">
        <v>0.0</v>
      </c>
      <c r="T118" s="648" t="n">
        <v>0.0</v>
      </c>
      <c r="U118" s="652" t="n">
        <v>0.0</v>
      </c>
      <c r="V118" s="656" t="n">
        <v>0.0</v>
      </c>
      <c r="W118">
        <f>SUM(O118:V118)</f>
        <v>0</v>
      </c>
    </row>
    <row r="120" spans="1:23" x14ac:dyDescent="0.3">
      <c r="A120" t="s">
        <v>130</v>
      </c>
      <c r="N120" t="s">
        <v>130</v>
      </c>
    </row>
    <row r="121" spans="1:23" x14ac:dyDescent="0.3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3">
      <c r="A122">
        <v>0</v>
      </c>
      <c r="B122">
        <f ref="B122:H125" si="38" t="shared">O122*$B$1</f>
        <v>980000</v>
      </c>
      <c r="C122">
        <f si="38" t="shared"/>
        <v>263000</v>
      </c>
      <c r="D122">
        <f si="38" t="shared"/>
        <v>229000</v>
      </c>
      <c r="E122">
        <f si="38" t="shared"/>
        <v>334000</v>
      </c>
      <c r="F122">
        <f si="38" t="shared"/>
        <v>111000</v>
      </c>
      <c r="G122">
        <f si="38" t="shared"/>
        <v>155000</v>
      </c>
      <c r="H122">
        <f si="38" t="shared"/>
        <v>483000</v>
      </c>
      <c r="I122">
        <f ref="I122:J125" si="39" t="shared">V122*$B$1</f>
        <v>0</v>
      </c>
      <c r="J122">
        <f si="39" t="shared"/>
        <v>2555000</v>
      </c>
      <c r="N122">
        <v>0</v>
      </c>
      <c r="O122" s="657" t="n">
        <v>940000.0</v>
      </c>
      <c r="P122" s="661" t="n">
        <v>340000.0</v>
      </c>
      <c r="Q122" s="665" t="n">
        <v>220000.0</v>
      </c>
      <c r="R122" s="669" t="n">
        <v>340000.0</v>
      </c>
      <c r="S122" s="673" t="n">
        <v>100000.0</v>
      </c>
      <c r="T122" s="677" t="n">
        <v>150000.0</v>
      </c>
      <c r="U122" s="681" t="n">
        <v>400000.0</v>
      </c>
      <c r="V122" s="685" t="n">
        <v>0.0</v>
      </c>
      <c r="W122">
        <f>SUM(O122:V122)</f>
        <v>2555000</v>
      </c>
    </row>
    <row r="123" spans="1:23" x14ac:dyDescent="0.3">
      <c r="A123">
        <v>1</v>
      </c>
      <c r="B123">
        <f si="38" t="shared"/>
        <v>227000</v>
      </c>
      <c r="C123">
        <f si="38" t="shared"/>
        <v>74000</v>
      </c>
      <c r="D123">
        <f si="38" t="shared"/>
        <v>74000</v>
      </c>
      <c r="E123">
        <f si="38" t="shared"/>
        <v>111000</v>
      </c>
      <c r="F123">
        <f si="38" t="shared"/>
        <v>31000</v>
      </c>
      <c r="G123">
        <f si="38" t="shared"/>
        <v>36000</v>
      </c>
      <c r="H123">
        <f si="38" t="shared"/>
        <v>100000</v>
      </c>
      <c r="I123">
        <f si="39" t="shared"/>
        <v>0</v>
      </c>
      <c r="J123">
        <f si="39" t="shared"/>
        <v>653000</v>
      </c>
      <c r="N123">
        <v>1</v>
      </c>
      <c r="O123" s="658" t="n">
        <v>210000.0</v>
      </c>
      <c r="P123" s="662" t="n">
        <v>90000.0</v>
      </c>
      <c r="Q123" s="666" t="n">
        <v>80000.0</v>
      </c>
      <c r="R123" s="670" t="n">
        <v>50000.0</v>
      </c>
      <c r="S123" s="674" t="n">
        <v>10000.0</v>
      </c>
      <c r="T123" s="678" t="n">
        <v>40000.0</v>
      </c>
      <c r="U123" s="682" t="n">
        <v>50000.0</v>
      </c>
      <c r="V123" s="686" t="n">
        <v>0.0</v>
      </c>
      <c r="W123">
        <f>SUM(O123:V123)</f>
        <v>653000</v>
      </c>
    </row>
    <row r="124" spans="1:23" x14ac:dyDescent="0.3">
      <c r="A124">
        <v>2</v>
      </c>
      <c r="B124">
        <f si="38" t="shared"/>
        <v>27000</v>
      </c>
      <c r="C124">
        <f si="38" t="shared"/>
        <v>8000</v>
      </c>
      <c r="D124">
        <f si="38" t="shared"/>
        <v>9000</v>
      </c>
      <c r="E124">
        <f si="38" t="shared"/>
        <v>14000</v>
      </c>
      <c r="F124">
        <f si="38" t="shared"/>
        <v>3000</v>
      </c>
      <c r="G124">
        <f si="38" t="shared"/>
        <v>2000</v>
      </c>
      <c r="H124">
        <f si="38" t="shared"/>
        <v>6000</v>
      </c>
      <c r="I124">
        <f si="39" t="shared"/>
        <v>0</v>
      </c>
      <c r="J124">
        <f si="39" t="shared"/>
        <v>69000</v>
      </c>
      <c r="N124">
        <v>2</v>
      </c>
      <c r="O124" s="659" t="n">
        <v>10000.0</v>
      </c>
      <c r="P124" s="663" t="n">
        <v>0.0</v>
      </c>
      <c r="Q124" s="667" t="n">
        <v>0.0</v>
      </c>
      <c r="R124" s="671" t="n">
        <v>10000.0</v>
      </c>
      <c r="S124" s="675" t="n">
        <v>10000.0</v>
      </c>
      <c r="T124" s="679" t="n">
        <v>0.0</v>
      </c>
      <c r="U124" s="683" t="n">
        <v>0.0</v>
      </c>
      <c r="V124" s="687" t="n">
        <v>0.0</v>
      </c>
      <c r="W124">
        <f>SUM(O124:V124)</f>
        <v>69000</v>
      </c>
    </row>
    <row r="125" spans="1:23" x14ac:dyDescent="0.3">
      <c r="A125" t="s">
        <v>116</v>
      </c>
      <c r="B125">
        <f si="38" t="shared"/>
        <v>0</v>
      </c>
      <c r="C125">
        <f si="38" t="shared"/>
        <v>0</v>
      </c>
      <c r="D125">
        <f si="38" t="shared"/>
        <v>2000</v>
      </c>
      <c r="E125">
        <f si="38" t="shared"/>
        <v>2000</v>
      </c>
      <c r="F125">
        <f si="38" t="shared"/>
        <v>0</v>
      </c>
      <c r="G125">
        <f si="38" t="shared"/>
        <v>0</v>
      </c>
      <c r="H125">
        <f si="38" t="shared"/>
        <v>0</v>
      </c>
      <c r="I125">
        <f si="39" t="shared"/>
        <v>0</v>
      </c>
      <c r="J125">
        <f si="39" t="shared"/>
        <v>4000</v>
      </c>
      <c r="N125" t="s">
        <v>116</v>
      </c>
      <c r="O125" s="660" t="n">
        <v>0.0</v>
      </c>
      <c r="P125" s="664" t="n">
        <v>0.0</v>
      </c>
      <c r="Q125" s="668" t="n">
        <v>10000.0</v>
      </c>
      <c r="R125" s="672" t="n">
        <v>10000.0</v>
      </c>
      <c r="S125" s="676" t="n">
        <v>0.0</v>
      </c>
      <c r="T125" s="680" t="n">
        <v>0.0</v>
      </c>
      <c r="U125" s="684" t="n">
        <v>0.0</v>
      </c>
      <c r="V125" s="688" t="n">
        <v>0.0</v>
      </c>
      <c r="W125">
        <f>SUM(O125:V125)</f>
        <v>4000</v>
      </c>
    </row>
    <row r="127" spans="1:23" x14ac:dyDescent="0.3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3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3">
      <c r="A129">
        <v>0</v>
      </c>
      <c r="B129">
        <f ref="B129:D132" si="40" t="shared">O129*$B$1</f>
        <v>834000</v>
      </c>
      <c r="C129">
        <f si="40" t="shared"/>
        <v>234000</v>
      </c>
      <c r="D129">
        <f si="40" t="shared"/>
        <v>1068000</v>
      </c>
      <c r="N129">
        <v>0</v>
      </c>
      <c r="O129" s="689" t="n">
        <v>740000.0</v>
      </c>
      <c r="P129" s="693" t="n">
        <v>360000.0</v>
      </c>
      <c r="Q129">
        <f>SUM(O129:P129)</f>
        <v>1068000</v>
      </c>
    </row>
    <row r="130" spans="1:17" x14ac:dyDescent="0.3">
      <c r="A130">
        <v>1</v>
      </c>
      <c r="B130">
        <f si="40" t="shared"/>
        <v>314000</v>
      </c>
      <c r="C130">
        <f si="40" t="shared"/>
        <v>80000</v>
      </c>
      <c r="D130">
        <f si="40" t="shared"/>
        <v>394000</v>
      </c>
      <c r="N130">
        <v>1</v>
      </c>
      <c r="O130" s="690" t="n">
        <v>330000.0</v>
      </c>
      <c r="P130" s="694" t="n">
        <v>90000.0</v>
      </c>
      <c r="Q130">
        <f>SUM(O130:P130)</f>
        <v>394000</v>
      </c>
    </row>
    <row r="131" spans="1:17" x14ac:dyDescent="0.3">
      <c r="A131">
        <v>2</v>
      </c>
      <c r="B131">
        <f si="40" t="shared"/>
        <v>0</v>
      </c>
      <c r="C131">
        <f si="40" t="shared"/>
        <v>0</v>
      </c>
      <c r="D131">
        <f si="40" t="shared"/>
        <v>0</v>
      </c>
      <c r="N131">
        <v>2</v>
      </c>
      <c r="O131" s="691" t="n">
        <v>0.0</v>
      </c>
      <c r="P131" s="695" t="n">
        <v>0.0</v>
      </c>
      <c r="Q131">
        <f>SUM(O131:P131)</f>
        <v>0</v>
      </c>
    </row>
    <row r="132" spans="1:17" x14ac:dyDescent="0.3">
      <c r="A132" t="s">
        <v>116</v>
      </c>
      <c r="B132">
        <f si="40" t="shared"/>
        <v>0</v>
      </c>
      <c r="C132">
        <f si="40" t="shared"/>
        <v>0</v>
      </c>
      <c r="D132">
        <f si="40" t="shared"/>
        <v>0</v>
      </c>
      <c r="N132" t="s">
        <v>116</v>
      </c>
      <c r="O132" s="692" t="n">
        <v>0.0</v>
      </c>
      <c r="P132" s="696" t="n">
        <v>0.0</v>
      </c>
      <c r="Q132">
        <f>SUM(O132:P132)</f>
        <v>0</v>
      </c>
    </row>
    <row r="134" spans="1:17" x14ac:dyDescent="0.3">
      <c r="A134" t="s">
        <v>46</v>
      </c>
      <c r="B134" t="s">
        <v>47</v>
      </c>
      <c r="N134" t="s">
        <v>46</v>
      </c>
      <c r="O134" t="s">
        <v>47</v>
      </c>
    </row>
    <row r="135" spans="1:17" x14ac:dyDescent="0.3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3">
      <c r="A136" t="s">
        <v>211</v>
      </c>
      <c r="B136">
        <f ref="B136:B142" si="41" t="shared">O136*$B$1</f>
        <v>86000</v>
      </c>
      <c r="C136">
        <f ref="C136:C142" si="42" t="shared">P136*$B$1</f>
        <v>14000</v>
      </c>
      <c r="D136">
        <f ref="D136:D142" si="43" t="shared">Q136*$B$1</f>
        <v>100000</v>
      </c>
      <c r="N136" t="s">
        <v>211</v>
      </c>
      <c r="O136" s="697" t="n">
        <v>70000.0</v>
      </c>
      <c r="P136" s="704" t="n">
        <v>10000.0</v>
      </c>
      <c r="Q136">
        <f>SUM(O136:P136)</f>
        <v>100000</v>
      </c>
    </row>
    <row r="137" spans="1:17" x14ac:dyDescent="0.3">
      <c r="A137" t="s">
        <v>212</v>
      </c>
      <c r="B137">
        <f si="41" t="shared"/>
        <v>0</v>
      </c>
      <c r="C137">
        <f si="42" t="shared"/>
        <v>3000</v>
      </c>
      <c r="D137">
        <f si="43" t="shared"/>
        <v>3000</v>
      </c>
      <c r="N137" t="s">
        <v>212</v>
      </c>
      <c r="O137" s="698" t="n">
        <v>0.0</v>
      </c>
      <c r="P137" s="705" t="n">
        <v>0.0</v>
      </c>
      <c r="Q137">
        <f ref="Q137:Q142" si="44" t="shared">SUM(O137:P137)</f>
        <v>3000</v>
      </c>
    </row>
    <row r="138" spans="1:17" x14ac:dyDescent="0.3">
      <c r="A138" t="s">
        <v>213</v>
      </c>
      <c r="B138">
        <f si="41" t="shared"/>
        <v>22000</v>
      </c>
      <c r="C138">
        <f si="42" t="shared"/>
        <v>5000</v>
      </c>
      <c r="D138">
        <f si="43" t="shared"/>
        <v>27000</v>
      </c>
      <c r="N138" t="s">
        <v>213</v>
      </c>
      <c r="O138" s="699" t="n">
        <v>20000.0</v>
      </c>
      <c r="P138" s="706" t="n">
        <v>10000.0</v>
      </c>
      <c r="Q138">
        <f si="44" t="shared"/>
        <v>27000</v>
      </c>
    </row>
    <row r="139" spans="1:17" x14ac:dyDescent="0.3">
      <c r="A139" t="s">
        <v>36</v>
      </c>
      <c r="B139">
        <f si="41" t="shared"/>
        <v>40000</v>
      </c>
      <c r="C139">
        <f si="42" t="shared"/>
        <v>10000</v>
      </c>
      <c r="D139">
        <f si="43" t="shared"/>
        <v>50000</v>
      </c>
      <c r="N139" t="s">
        <v>36</v>
      </c>
      <c r="O139" s="700" t="n">
        <v>40000.0</v>
      </c>
      <c r="P139" s="707" t="n">
        <v>0.0</v>
      </c>
      <c r="Q139">
        <f si="44" t="shared"/>
        <v>50000</v>
      </c>
    </row>
    <row r="140" spans="1:17" x14ac:dyDescent="0.3">
      <c r="A140" t="s">
        <v>215</v>
      </c>
      <c r="B140">
        <f si="41" t="shared"/>
        <v>70000</v>
      </c>
      <c r="C140">
        <f si="42" t="shared"/>
        <v>18000</v>
      </c>
      <c r="D140">
        <f si="43" t="shared"/>
        <v>88000</v>
      </c>
      <c r="N140" t="s">
        <v>215</v>
      </c>
      <c r="O140" s="701" t="n">
        <v>70000.0</v>
      </c>
      <c r="P140" s="708" t="n">
        <v>30000.0</v>
      </c>
      <c r="Q140">
        <f si="44" t="shared"/>
        <v>88000</v>
      </c>
    </row>
    <row r="141" spans="1:17" x14ac:dyDescent="0.3">
      <c r="A141" t="s">
        <v>129</v>
      </c>
      <c r="B141">
        <f si="41" t="shared"/>
        <v>85000</v>
      </c>
      <c r="C141">
        <f si="42" t="shared"/>
        <v>26000</v>
      </c>
      <c r="D141">
        <f si="43" t="shared"/>
        <v>111000</v>
      </c>
      <c r="N141" t="s">
        <v>129</v>
      </c>
      <c r="O141" s="702" t="n">
        <v>120000.0</v>
      </c>
      <c r="P141" s="709" t="n">
        <v>30000.0</v>
      </c>
      <c r="Q141">
        <f si="44" t="shared"/>
        <v>111000</v>
      </c>
    </row>
    <row r="142" spans="1:17" x14ac:dyDescent="0.3">
      <c r="A142" t="s">
        <v>130</v>
      </c>
      <c r="B142">
        <f si="41" t="shared"/>
        <v>11000</v>
      </c>
      <c r="C142">
        <f si="42" t="shared"/>
        <v>4000</v>
      </c>
      <c r="D142">
        <f si="43" t="shared"/>
        <v>15000</v>
      </c>
      <c r="N142" t="s">
        <v>130</v>
      </c>
      <c r="O142" s="703" t="n">
        <v>10000.0</v>
      </c>
      <c r="P142" s="710" t="n">
        <v>10000.0</v>
      </c>
      <c r="Q142">
        <f si="44" t="shared"/>
        <v>15000</v>
      </c>
    </row>
    <row r="144" spans="1:17" x14ac:dyDescent="0.3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3">
      <c r="A146" t="s">
        <v>52</v>
      </c>
      <c r="N146" t="s">
        <v>52</v>
      </c>
    </row>
    <row r="147" spans="1:22" x14ac:dyDescent="0.3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3">
      <c r="A148">
        <v>0</v>
      </c>
      <c r="B148">
        <f ref="B148:G154" si="45" t="shared">O148*$B$1</f>
        <v>879000</v>
      </c>
      <c r="C148">
        <f si="45" t="shared"/>
        <v>503000</v>
      </c>
      <c r="D148">
        <f si="45" t="shared"/>
        <v>405000</v>
      </c>
      <c r="E148">
        <f si="45" t="shared"/>
        <v>343000</v>
      </c>
      <c r="F148">
        <f si="45" t="shared"/>
        <v>171000</v>
      </c>
      <c r="G148">
        <f si="45" t="shared"/>
        <v>350000</v>
      </c>
      <c r="H148">
        <f ref="H148:H154" si="46" t="shared">U148*$B$1</f>
        <v>703000</v>
      </c>
      <c r="I148">
        <f ref="I148:I154" si="47" t="shared">V148*$B$1</f>
        <v>3354000</v>
      </c>
      <c r="N148">
        <v>0</v>
      </c>
      <c r="O148" s="711" t="n">
        <v>910000.0</v>
      </c>
      <c r="P148" s="718" t="n">
        <v>440000.0</v>
      </c>
      <c r="Q148" s="725" t="n">
        <v>330000.0</v>
      </c>
      <c r="R148" s="732" t="n">
        <v>300000.0</v>
      </c>
      <c r="S148" s="739" t="n">
        <v>150000.0</v>
      </c>
      <c r="T148" s="746" t="n">
        <v>390000.0</v>
      </c>
      <c r="U148" s="753" t="n">
        <v>580000.0</v>
      </c>
      <c r="V148">
        <f>SUM(O148:U148)</f>
        <v>3354000</v>
      </c>
    </row>
    <row r="149" spans="1:22" x14ac:dyDescent="0.3">
      <c r="A149">
        <v>1</v>
      </c>
      <c r="B149">
        <f si="45" t="shared"/>
        <v>182000</v>
      </c>
      <c r="C149">
        <f si="45" t="shared"/>
        <v>84000</v>
      </c>
      <c r="D149">
        <f si="45" t="shared"/>
        <v>53000</v>
      </c>
      <c r="E149">
        <f si="45" t="shared"/>
        <v>58000</v>
      </c>
      <c r="F149">
        <f si="45" t="shared"/>
        <v>38000</v>
      </c>
      <c r="G149">
        <f si="45" t="shared"/>
        <v>32000</v>
      </c>
      <c r="H149">
        <f si="46" t="shared"/>
        <v>68000</v>
      </c>
      <c r="I149">
        <f si="47" t="shared"/>
        <v>515000</v>
      </c>
      <c r="N149">
        <v>1</v>
      </c>
      <c r="O149" s="712" t="n">
        <v>210000.0</v>
      </c>
      <c r="P149" s="719" t="n">
        <v>50000.0</v>
      </c>
      <c r="Q149" s="726" t="n">
        <v>50000.0</v>
      </c>
      <c r="R149" s="733" t="n">
        <v>90000.0</v>
      </c>
      <c r="S149" s="740" t="n">
        <v>40000.0</v>
      </c>
      <c r="T149" s="747" t="n">
        <v>20000.0</v>
      </c>
      <c r="U149" s="754" t="n">
        <v>50000.0</v>
      </c>
      <c r="V149">
        <f ref="V149:V154" si="48" t="shared">SUM(O149:U149)</f>
        <v>515000</v>
      </c>
    </row>
    <row r="150" spans="1:22" x14ac:dyDescent="0.3">
      <c r="A150">
        <v>2</v>
      </c>
      <c r="B150">
        <f si="45" t="shared"/>
        <v>136000</v>
      </c>
      <c r="C150">
        <f si="45" t="shared"/>
        <v>76000</v>
      </c>
      <c r="D150">
        <f si="45" t="shared"/>
        <v>30000</v>
      </c>
      <c r="E150">
        <f si="45" t="shared"/>
        <v>17000</v>
      </c>
      <c r="F150">
        <f si="45" t="shared"/>
        <v>7000</v>
      </c>
      <c r="G150">
        <f si="45" t="shared"/>
        <v>4000</v>
      </c>
      <c r="H150">
        <f si="46" t="shared"/>
        <v>21000</v>
      </c>
      <c r="I150">
        <f si="47" t="shared"/>
        <v>291000</v>
      </c>
      <c r="N150">
        <v>2</v>
      </c>
      <c r="O150" s="713" t="n">
        <v>130000.0</v>
      </c>
      <c r="P150" s="720" t="n">
        <v>50000.0</v>
      </c>
      <c r="Q150" s="727" t="n">
        <v>40000.0</v>
      </c>
      <c r="R150" s="734" t="n">
        <v>30000.0</v>
      </c>
      <c r="S150" s="741" t="n">
        <v>0.0</v>
      </c>
      <c r="T150" s="748" t="n">
        <v>10000.0</v>
      </c>
      <c r="U150" s="755" t="n">
        <v>20000.0</v>
      </c>
      <c r="V150">
        <f si="48" t="shared"/>
        <v>291000</v>
      </c>
    </row>
    <row r="151" spans="1:22" x14ac:dyDescent="0.3">
      <c r="A151">
        <v>3</v>
      </c>
      <c r="B151">
        <f si="45" t="shared"/>
        <v>107000</v>
      </c>
      <c r="C151">
        <f si="45" t="shared"/>
        <v>52000</v>
      </c>
      <c r="D151">
        <f si="45" t="shared"/>
        <v>37000</v>
      </c>
      <c r="E151">
        <f si="45" t="shared"/>
        <v>16000</v>
      </c>
      <c r="F151">
        <f si="45" t="shared"/>
        <v>2000</v>
      </c>
      <c r="G151">
        <f si="45" t="shared"/>
        <v>8000</v>
      </c>
      <c r="H151">
        <f si="46" t="shared"/>
        <v>12000</v>
      </c>
      <c r="I151">
        <f si="47" t="shared"/>
        <v>234000</v>
      </c>
      <c r="N151">
        <v>3</v>
      </c>
      <c r="O151" s="714" t="n">
        <v>100000.0</v>
      </c>
      <c r="P151" s="721" t="n">
        <v>30000.0</v>
      </c>
      <c r="Q151" s="728" t="n">
        <v>20000.0</v>
      </c>
      <c r="R151" s="735" t="n">
        <v>10000.0</v>
      </c>
      <c r="S151" s="742" t="n">
        <v>10000.0</v>
      </c>
      <c r="T151" s="749" t="n">
        <v>0.0</v>
      </c>
      <c r="U151" s="756" t="n">
        <v>0.0</v>
      </c>
      <c r="V151">
        <f si="48" t="shared"/>
        <v>234000</v>
      </c>
    </row>
    <row r="152" spans="1:22" x14ac:dyDescent="0.3">
      <c r="A152">
        <v>4</v>
      </c>
      <c r="B152">
        <f si="45" t="shared"/>
        <v>98000</v>
      </c>
      <c r="C152">
        <f si="45" t="shared"/>
        <v>41000</v>
      </c>
      <c r="D152">
        <f si="45" t="shared"/>
        <v>30000</v>
      </c>
      <c r="E152">
        <f si="45" t="shared"/>
        <v>16000</v>
      </c>
      <c r="F152">
        <f si="45" t="shared"/>
        <v>4000</v>
      </c>
      <c r="G152">
        <f si="45" t="shared"/>
        <v>5000</v>
      </c>
      <c r="H152">
        <f si="46" t="shared"/>
        <v>6000</v>
      </c>
      <c r="I152">
        <f si="47" t="shared"/>
        <v>200000</v>
      </c>
      <c r="N152">
        <v>4</v>
      </c>
      <c r="O152" s="715" t="n">
        <v>140000.0</v>
      </c>
      <c r="P152" s="722" t="n">
        <v>40000.0</v>
      </c>
      <c r="Q152" s="729" t="n">
        <v>10000.0</v>
      </c>
      <c r="R152" s="736" t="n">
        <v>20000.0</v>
      </c>
      <c r="S152" s="743" t="n">
        <v>10000.0</v>
      </c>
      <c r="T152" s="750" t="n">
        <v>0.0</v>
      </c>
      <c r="U152" s="757" t="n">
        <v>0.0</v>
      </c>
      <c r="V152">
        <f si="48" t="shared"/>
        <v>200000</v>
      </c>
    </row>
    <row r="153" spans="1:22" x14ac:dyDescent="0.3">
      <c r="A153">
        <v>5</v>
      </c>
      <c r="B153">
        <f si="45" t="shared"/>
        <v>37000</v>
      </c>
      <c r="C153">
        <f si="45" t="shared"/>
        <v>10000</v>
      </c>
      <c r="D153">
        <f si="45" t="shared"/>
        <v>8000</v>
      </c>
      <c r="E153">
        <f si="45" t="shared"/>
        <v>12000</v>
      </c>
      <c r="F153">
        <f si="45" t="shared"/>
        <v>1000</v>
      </c>
      <c r="G153">
        <f si="45" t="shared"/>
        <v>2000</v>
      </c>
      <c r="H153">
        <f si="46" t="shared"/>
        <v>5000</v>
      </c>
      <c r="I153">
        <f si="47" t="shared"/>
        <v>75000</v>
      </c>
      <c r="N153">
        <v>5</v>
      </c>
      <c r="O153" s="716" t="n">
        <v>20000.0</v>
      </c>
      <c r="P153" s="723" t="n">
        <v>30000.0</v>
      </c>
      <c r="Q153" s="730" t="n">
        <v>20000.0</v>
      </c>
      <c r="R153" s="737" t="n">
        <v>30000.0</v>
      </c>
      <c r="S153" s="744" t="n">
        <v>0.0</v>
      </c>
      <c r="T153" s="751" t="n">
        <v>0.0</v>
      </c>
      <c r="U153" s="758" t="n">
        <v>0.0</v>
      </c>
      <c r="V153">
        <f si="48" t="shared"/>
        <v>75000</v>
      </c>
    </row>
    <row r="154" spans="1:22" x14ac:dyDescent="0.3">
      <c r="A154" t="s">
        <v>210</v>
      </c>
      <c r="B154">
        <f si="45" t="shared"/>
        <v>23000</v>
      </c>
      <c r="C154">
        <f si="45" t="shared"/>
        <v>15000</v>
      </c>
      <c r="D154">
        <f si="45" t="shared"/>
        <v>41000</v>
      </c>
      <c r="E154">
        <f si="45" t="shared"/>
        <v>7000</v>
      </c>
      <c r="F154">
        <f si="45" t="shared"/>
        <v>2000</v>
      </c>
      <c r="G154">
        <f si="45" t="shared"/>
        <v>0</v>
      </c>
      <c r="H154">
        <f si="46" t="shared"/>
        <v>3000</v>
      </c>
      <c r="I154">
        <f si="47" t="shared"/>
        <v>91000</v>
      </c>
      <c r="N154" t="s">
        <v>210</v>
      </c>
      <c r="O154" s="717" t="n">
        <v>10000.0</v>
      </c>
      <c r="P154" s="724" t="n">
        <v>10000.0</v>
      </c>
      <c r="Q154" s="731" t="n">
        <v>70000.0</v>
      </c>
      <c r="R154" s="738" t="n">
        <v>10000.0</v>
      </c>
      <c r="S154" s="745" t="n">
        <v>10000.0</v>
      </c>
      <c r="T154" s="752" t="n">
        <v>0.0</v>
      </c>
      <c r="U154" s="759" t="n">
        <v>20000.0</v>
      </c>
      <c r="V154">
        <f si="48" t="shared"/>
        <v>91000</v>
      </c>
    </row>
    <row r="156" spans="1:22" x14ac:dyDescent="0.3">
      <c r="A156" t="s">
        <v>56</v>
      </c>
      <c r="N156" t="s">
        <v>56</v>
      </c>
    </row>
    <row r="157" spans="1:22" x14ac:dyDescent="0.3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3">
      <c r="A158">
        <v>0</v>
      </c>
      <c r="B158">
        <f ref="B158:G164" si="49" t="shared">O158*$B$1</f>
        <v>1045000</v>
      </c>
      <c r="C158">
        <f si="49" t="shared"/>
        <v>606000</v>
      </c>
      <c r="D158">
        <f si="49" t="shared"/>
        <v>466000</v>
      </c>
      <c r="E158">
        <f si="49" t="shared"/>
        <v>376000</v>
      </c>
      <c r="F158">
        <f si="49" t="shared"/>
        <v>188000</v>
      </c>
      <c r="G158">
        <f si="49" t="shared"/>
        <v>369000</v>
      </c>
      <c r="H158">
        <f ref="H158:H164" si="50" t="shared">U158*$B$1</f>
        <v>752000</v>
      </c>
      <c r="I158">
        <f ref="I158:I164" si="51" t="shared">V158*$B$1</f>
        <v>3802000</v>
      </c>
      <c r="N158">
        <v>0</v>
      </c>
      <c r="O158" s="760" t="n">
        <v>1110000.0</v>
      </c>
      <c r="P158" s="767" t="n">
        <v>530000.0</v>
      </c>
      <c r="Q158" s="774" t="n">
        <v>380000.0</v>
      </c>
      <c r="R158" s="781" t="n">
        <v>320000.0</v>
      </c>
      <c r="S158" s="788" t="n">
        <v>170000.0</v>
      </c>
      <c r="T158" s="795" t="n">
        <v>390000.0</v>
      </c>
      <c r="U158" s="802" t="n">
        <v>590000.0</v>
      </c>
      <c r="V158">
        <f>SUM(O158:U158)</f>
        <v>3802000</v>
      </c>
    </row>
    <row r="159" spans="1:22" x14ac:dyDescent="0.3">
      <c r="A159">
        <v>1</v>
      </c>
      <c r="B159">
        <f si="49" t="shared"/>
        <v>198000</v>
      </c>
      <c r="C159">
        <f si="49" t="shared"/>
        <v>93000</v>
      </c>
      <c r="D159">
        <f si="49" t="shared"/>
        <v>45000</v>
      </c>
      <c r="E159">
        <f si="49" t="shared"/>
        <v>53000</v>
      </c>
      <c r="F159">
        <f si="49" t="shared"/>
        <v>29000</v>
      </c>
      <c r="G159">
        <f si="49" t="shared"/>
        <v>22000</v>
      </c>
      <c r="H159">
        <f si="50" t="shared"/>
        <v>38000</v>
      </c>
      <c r="I159">
        <f si="51" t="shared"/>
        <v>478000</v>
      </c>
      <c r="N159">
        <v>1</v>
      </c>
      <c r="O159" s="761" t="n">
        <v>190000.0</v>
      </c>
      <c r="P159" s="768" t="n">
        <v>40000.0</v>
      </c>
      <c r="Q159" s="775" t="n">
        <v>50000.0</v>
      </c>
      <c r="R159" s="782" t="n">
        <v>90000.0</v>
      </c>
      <c r="S159" s="789" t="n">
        <v>20000.0</v>
      </c>
      <c r="T159" s="796" t="n">
        <v>20000.0</v>
      </c>
      <c r="U159" s="803" t="n">
        <v>50000.0</v>
      </c>
      <c r="V159">
        <f ref="V159:V164" si="52" t="shared">SUM(O159:U159)</f>
        <v>478000</v>
      </c>
    </row>
    <row r="160" spans="1:22" x14ac:dyDescent="0.3">
      <c r="A160">
        <v>2</v>
      </c>
      <c r="B160">
        <f si="49" t="shared"/>
        <v>110000</v>
      </c>
      <c r="C160">
        <f si="49" t="shared"/>
        <v>53000</v>
      </c>
      <c r="D160">
        <f si="49" t="shared"/>
        <v>31000</v>
      </c>
      <c r="E160">
        <f si="49" t="shared"/>
        <v>19000</v>
      </c>
      <c r="F160">
        <f si="49" t="shared"/>
        <v>4000</v>
      </c>
      <c r="G160">
        <f si="49" t="shared"/>
        <v>7000</v>
      </c>
      <c r="H160">
        <f si="50" t="shared"/>
        <v>19000</v>
      </c>
      <c r="I160">
        <f si="51" t="shared"/>
        <v>243000</v>
      </c>
      <c r="N160">
        <v>2</v>
      </c>
      <c r="O160" s="762" t="n">
        <v>90000.0</v>
      </c>
      <c r="P160" s="769" t="n">
        <v>50000.0</v>
      </c>
      <c r="Q160" s="776" t="n">
        <v>20000.0</v>
      </c>
      <c r="R160" s="783" t="n">
        <v>30000.0</v>
      </c>
      <c r="S160" s="790" t="n">
        <v>10000.0</v>
      </c>
      <c r="T160" s="797" t="n">
        <v>10000.0</v>
      </c>
      <c r="U160" s="804" t="n">
        <v>10000.0</v>
      </c>
      <c r="V160">
        <f si="52" t="shared"/>
        <v>243000</v>
      </c>
    </row>
    <row r="161" spans="1:22" x14ac:dyDescent="0.3">
      <c r="A161">
        <v>3</v>
      </c>
      <c r="B161">
        <f si="49" t="shared"/>
        <v>79000</v>
      </c>
      <c r="C161">
        <f si="49" t="shared"/>
        <v>23000</v>
      </c>
      <c r="D161">
        <f si="49" t="shared"/>
        <v>30000</v>
      </c>
      <c r="E161">
        <f si="49" t="shared"/>
        <v>11000</v>
      </c>
      <c r="F161">
        <f si="49" t="shared"/>
        <v>4000</v>
      </c>
      <c r="G161">
        <f si="49" t="shared"/>
        <v>2000</v>
      </c>
      <c r="H161">
        <f si="50" t="shared"/>
        <v>6000</v>
      </c>
      <c r="I161">
        <f si="51" t="shared"/>
        <v>155000</v>
      </c>
      <c r="N161">
        <v>3</v>
      </c>
      <c r="O161" s="763" t="n">
        <v>80000.0</v>
      </c>
      <c r="P161" s="770" t="n">
        <v>20000.0</v>
      </c>
      <c r="Q161" s="777" t="n">
        <v>30000.0</v>
      </c>
      <c r="R161" s="784" t="n">
        <v>20000.0</v>
      </c>
      <c r="S161" s="791" t="n">
        <v>20000.0</v>
      </c>
      <c r="T161" s="798" t="n">
        <v>0.0</v>
      </c>
      <c r="U161" s="805" t="n">
        <v>0.0</v>
      </c>
      <c r="V161">
        <f si="52" t="shared"/>
        <v>155000</v>
      </c>
    </row>
    <row r="162" spans="1:22" x14ac:dyDescent="0.3">
      <c r="A162">
        <v>4</v>
      </c>
      <c r="B162">
        <f si="49" t="shared"/>
        <v>27000</v>
      </c>
      <c r="C162">
        <f si="49" t="shared"/>
        <v>6000</v>
      </c>
      <c r="D162">
        <f si="49" t="shared"/>
        <v>27000</v>
      </c>
      <c r="E162">
        <f si="49" t="shared"/>
        <v>10000</v>
      </c>
      <c r="F162">
        <f si="49" t="shared"/>
        <v>0</v>
      </c>
      <c r="G162">
        <f si="49" t="shared"/>
        <v>1000</v>
      </c>
      <c r="H162">
        <f si="50" t="shared"/>
        <v>3000</v>
      </c>
      <c r="I162">
        <f si="51" t="shared"/>
        <v>74000</v>
      </c>
      <c r="N162">
        <v>4</v>
      </c>
      <c r="O162" s="764" t="n">
        <v>40000.0</v>
      </c>
      <c r="P162" s="771" t="n">
        <v>10000.0</v>
      </c>
      <c r="Q162" s="778" t="n">
        <v>40000.0</v>
      </c>
      <c r="R162" s="785" t="n">
        <v>30000.0</v>
      </c>
      <c r="S162" s="792" t="n">
        <v>0.0</v>
      </c>
      <c r="T162" s="799" t="n">
        <v>0.0</v>
      </c>
      <c r="U162" s="806" t="n">
        <v>20000.0</v>
      </c>
      <c r="V162">
        <f si="52" t="shared"/>
        <v>74000</v>
      </c>
    </row>
    <row r="163" spans="1:22" x14ac:dyDescent="0.3">
      <c r="A163">
        <v>5</v>
      </c>
      <c r="B163">
        <f si="49" t="shared"/>
        <v>2000</v>
      </c>
      <c r="C163">
        <f si="49" t="shared"/>
        <v>0</v>
      </c>
      <c r="D163">
        <f si="49" t="shared"/>
        <v>0</v>
      </c>
      <c r="E163">
        <f si="49" t="shared"/>
        <v>0</v>
      </c>
      <c r="F163">
        <f si="49" t="shared"/>
        <v>0</v>
      </c>
      <c r="G163">
        <f si="49" t="shared"/>
        <v>0</v>
      </c>
      <c r="H163">
        <f si="50" t="shared"/>
        <v>0</v>
      </c>
      <c r="I163">
        <f si="51" t="shared"/>
        <v>2000</v>
      </c>
      <c r="N163">
        <v>5</v>
      </c>
      <c r="O163" s="765" t="n">
        <v>10000.0</v>
      </c>
      <c r="P163" s="772" t="n">
        <v>0.0</v>
      </c>
      <c r="Q163" s="779" t="n">
        <v>0.0</v>
      </c>
      <c r="R163" s="786" t="n">
        <v>0.0</v>
      </c>
      <c r="S163" s="793" t="n">
        <v>0.0</v>
      </c>
      <c r="T163" s="800" t="n">
        <v>0.0</v>
      </c>
      <c r="U163" s="807" t="n">
        <v>0.0</v>
      </c>
      <c r="V163">
        <f si="52" t="shared"/>
        <v>2000</v>
      </c>
    </row>
    <row r="164" spans="1:22" x14ac:dyDescent="0.3">
      <c r="A164" t="s">
        <v>210</v>
      </c>
      <c r="B164">
        <f si="49" t="shared"/>
        <v>1000</v>
      </c>
      <c r="C164">
        <f si="49" t="shared"/>
        <v>0</v>
      </c>
      <c r="D164">
        <f si="49" t="shared"/>
        <v>5000</v>
      </c>
      <c r="E164">
        <f si="49" t="shared"/>
        <v>0</v>
      </c>
      <c r="F164">
        <f si="49" t="shared"/>
        <v>0</v>
      </c>
      <c r="G164">
        <f si="49" t="shared"/>
        <v>0</v>
      </c>
      <c r="H164">
        <f si="50" t="shared"/>
        <v>0</v>
      </c>
      <c r="I164">
        <f si="51" t="shared"/>
        <v>6000</v>
      </c>
      <c r="N164" t="s">
        <v>210</v>
      </c>
      <c r="O164" s="766" t="n">
        <v>0.0</v>
      </c>
      <c r="P164" s="773" t="n">
        <v>0.0</v>
      </c>
      <c r="Q164" s="780" t="n">
        <v>20000.0</v>
      </c>
      <c r="R164" s="787" t="n">
        <v>0.0</v>
      </c>
      <c r="S164" s="794" t="n">
        <v>0.0</v>
      </c>
      <c r="T164" s="801" t="n">
        <v>0.0</v>
      </c>
      <c r="U164" s="808" t="n">
        <v>0.0</v>
      </c>
      <c r="V164">
        <f si="52" t="shared"/>
        <v>6000</v>
      </c>
    </row>
    <row r="166" spans="1:22" x14ac:dyDescent="0.3">
      <c r="A166" t="s">
        <v>57</v>
      </c>
      <c r="N166" t="s">
        <v>57</v>
      </c>
    </row>
    <row r="167" spans="1:22" x14ac:dyDescent="0.3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3">
      <c r="A168">
        <v>0</v>
      </c>
      <c r="B168">
        <f ref="B168:G174" si="53" t="shared">O168*$B$1</f>
        <v>1063000</v>
      </c>
      <c r="C168">
        <f si="53" t="shared"/>
        <v>561000</v>
      </c>
      <c r="D168">
        <f si="53" t="shared"/>
        <v>459000</v>
      </c>
      <c r="E168">
        <f si="53" t="shared"/>
        <v>393000</v>
      </c>
      <c r="F168">
        <f si="53" t="shared"/>
        <v>196000</v>
      </c>
      <c r="G168">
        <f si="53" t="shared"/>
        <v>371000</v>
      </c>
      <c r="H168">
        <f ref="H168:H174" si="54" t="shared">U168*$B$1</f>
        <v>743000</v>
      </c>
      <c r="I168">
        <f ref="I168:I174" si="55" t="shared">V168*$B$1</f>
        <v>3786000</v>
      </c>
      <c r="N168">
        <v>0</v>
      </c>
      <c r="O168" s="809" t="n">
        <v>1130000.0</v>
      </c>
      <c r="P168" s="816" t="n">
        <v>450000.0</v>
      </c>
      <c r="Q168" s="823" t="n">
        <v>370000.0</v>
      </c>
      <c r="R168" s="830" t="n">
        <v>400000.0</v>
      </c>
      <c r="S168" s="837" t="n">
        <v>170000.0</v>
      </c>
      <c r="T168" s="844" t="n">
        <v>420000.0</v>
      </c>
      <c r="U168" s="851" t="n">
        <v>630000.0</v>
      </c>
      <c r="V168">
        <f>SUM(O168:U168)</f>
        <v>3786000</v>
      </c>
    </row>
    <row r="169" spans="1:22" x14ac:dyDescent="0.3">
      <c r="A169">
        <v>1</v>
      </c>
      <c r="B169">
        <f si="53" t="shared"/>
        <v>197000</v>
      </c>
      <c r="C169">
        <f si="53" t="shared"/>
        <v>99000</v>
      </c>
      <c r="D169">
        <f si="53" t="shared"/>
        <v>47000</v>
      </c>
      <c r="E169">
        <f si="53" t="shared"/>
        <v>34000</v>
      </c>
      <c r="F169">
        <f si="53" t="shared"/>
        <v>20000</v>
      </c>
      <c r="G169">
        <f si="53" t="shared"/>
        <v>19000</v>
      </c>
      <c r="H169">
        <f si="54" t="shared"/>
        <v>52000</v>
      </c>
      <c r="I169">
        <f si="55" t="shared"/>
        <v>468000</v>
      </c>
      <c r="N169">
        <v>1</v>
      </c>
      <c r="O169" s="810" t="n">
        <v>200000.0</v>
      </c>
      <c r="P169" s="817" t="n">
        <v>70000.0</v>
      </c>
      <c r="Q169" s="824" t="n">
        <v>30000.0</v>
      </c>
      <c r="R169" s="831" t="n">
        <v>60000.0</v>
      </c>
      <c r="S169" s="838" t="n">
        <v>40000.0</v>
      </c>
      <c r="T169" s="845" t="n">
        <v>0.0</v>
      </c>
      <c r="U169" s="852" t="n">
        <v>20000.0</v>
      </c>
      <c r="V169">
        <f ref="V169:V174" si="56" t="shared">SUM(O169:U169)</f>
        <v>468000</v>
      </c>
    </row>
    <row r="170" spans="1:22" x14ac:dyDescent="0.3">
      <c r="A170">
        <v>2</v>
      </c>
      <c r="B170">
        <f si="53" t="shared"/>
        <v>104000</v>
      </c>
      <c r="C170">
        <f si="53" t="shared"/>
        <v>64000</v>
      </c>
      <c r="D170">
        <f si="53" t="shared"/>
        <v>27000</v>
      </c>
      <c r="E170">
        <f si="53" t="shared"/>
        <v>18000</v>
      </c>
      <c r="F170">
        <f si="53" t="shared"/>
        <v>6000</v>
      </c>
      <c r="G170">
        <f si="53" t="shared"/>
        <v>5000</v>
      </c>
      <c r="H170">
        <f si="54" t="shared"/>
        <v>13000</v>
      </c>
      <c r="I170">
        <f si="55" t="shared"/>
        <v>237000</v>
      </c>
      <c r="N170">
        <v>2</v>
      </c>
      <c r="O170" s="811" t="n">
        <v>120000.0</v>
      </c>
      <c r="P170" s="818" t="n">
        <v>90000.0</v>
      </c>
      <c r="Q170" s="825" t="n">
        <v>70000.0</v>
      </c>
      <c r="R170" s="832" t="n">
        <v>10000.0</v>
      </c>
      <c r="S170" s="839" t="n">
        <v>0.0</v>
      </c>
      <c r="T170" s="846" t="n">
        <v>0.0</v>
      </c>
      <c r="U170" s="853" t="n">
        <v>10000.0</v>
      </c>
      <c r="V170">
        <f si="56" t="shared"/>
        <v>237000</v>
      </c>
    </row>
    <row r="171" spans="1:22" x14ac:dyDescent="0.3">
      <c r="A171">
        <v>3</v>
      </c>
      <c r="B171">
        <f si="53" t="shared"/>
        <v>79000</v>
      </c>
      <c r="C171">
        <f si="53" t="shared"/>
        <v>46000</v>
      </c>
      <c r="D171">
        <f si="53" t="shared"/>
        <v>41000</v>
      </c>
      <c r="E171">
        <f si="53" t="shared"/>
        <v>21000</v>
      </c>
      <c r="F171">
        <f si="53" t="shared"/>
        <v>2000</v>
      </c>
      <c r="G171">
        <f si="53" t="shared"/>
        <v>5000</v>
      </c>
      <c r="H171">
        <f si="54" t="shared"/>
        <v>10000</v>
      </c>
      <c r="I171">
        <f si="55" t="shared"/>
        <v>204000</v>
      </c>
      <c r="N171">
        <v>3</v>
      </c>
      <c r="O171" s="812" t="n">
        <v>50000.0</v>
      </c>
      <c r="P171" s="819" t="n">
        <v>30000.0</v>
      </c>
      <c r="Q171" s="826" t="n">
        <v>30000.0</v>
      </c>
      <c r="R171" s="833" t="n">
        <v>20000.0</v>
      </c>
      <c r="S171" s="840" t="n">
        <v>10000.0</v>
      </c>
      <c r="T171" s="847" t="n">
        <v>0.0</v>
      </c>
      <c r="U171" s="854" t="n">
        <v>10000.0</v>
      </c>
      <c r="V171">
        <f si="56" t="shared"/>
        <v>204000</v>
      </c>
    </row>
    <row r="172" spans="1:22" x14ac:dyDescent="0.3">
      <c r="A172">
        <v>4</v>
      </c>
      <c r="B172">
        <f si="53" t="shared"/>
        <v>17000</v>
      </c>
      <c r="C172">
        <f si="53" t="shared"/>
        <v>11000</v>
      </c>
      <c r="D172">
        <f si="53" t="shared"/>
        <v>24000</v>
      </c>
      <c r="E172">
        <f si="53" t="shared"/>
        <v>2000</v>
      </c>
      <c r="F172">
        <f si="53" t="shared"/>
        <v>1000</v>
      </c>
      <c r="G172">
        <f si="53" t="shared"/>
        <v>1000</v>
      </c>
      <c r="H172">
        <f si="54" t="shared"/>
        <v>0</v>
      </c>
      <c r="I172">
        <f si="55" t="shared"/>
        <v>56000</v>
      </c>
      <c r="N172">
        <v>4</v>
      </c>
      <c r="O172" s="813" t="n">
        <v>20000.0</v>
      </c>
      <c r="P172" s="820" t="n">
        <v>10000.0</v>
      </c>
      <c r="Q172" s="827" t="n">
        <v>30000.0</v>
      </c>
      <c r="R172" s="834" t="n">
        <v>0.0</v>
      </c>
      <c r="S172" s="841" t="n">
        <v>0.0</v>
      </c>
      <c r="T172" s="848" t="n">
        <v>0.0</v>
      </c>
      <c r="U172" s="855" t="n">
        <v>0.0</v>
      </c>
      <c r="V172">
        <f si="56" t="shared"/>
        <v>56000</v>
      </c>
    </row>
    <row r="173" spans="1:22" x14ac:dyDescent="0.3">
      <c r="A173">
        <v>5</v>
      </c>
      <c r="B173">
        <f si="53" t="shared"/>
        <v>0</v>
      </c>
      <c r="C173">
        <f si="53" t="shared"/>
        <v>0</v>
      </c>
      <c r="D173">
        <f si="53" t="shared"/>
        <v>0</v>
      </c>
      <c r="E173">
        <f si="53" t="shared"/>
        <v>0</v>
      </c>
      <c r="F173">
        <f si="53" t="shared"/>
        <v>0</v>
      </c>
      <c r="G173">
        <f si="53" t="shared"/>
        <v>0</v>
      </c>
      <c r="H173">
        <f si="54" t="shared"/>
        <v>0</v>
      </c>
      <c r="I173">
        <f si="55" t="shared"/>
        <v>0</v>
      </c>
      <c r="N173">
        <v>5</v>
      </c>
      <c r="O173" s="814" t="n">
        <v>0.0</v>
      </c>
      <c r="P173" s="821" t="n">
        <v>0.0</v>
      </c>
      <c r="Q173" s="828" t="n">
        <v>0.0</v>
      </c>
      <c r="R173" s="835" t="n">
        <v>0.0</v>
      </c>
      <c r="S173" s="842" t="n">
        <v>0.0</v>
      </c>
      <c r="T173" s="849" t="n">
        <v>0.0</v>
      </c>
      <c r="U173" s="856" t="n">
        <v>0.0</v>
      </c>
      <c r="V173">
        <f si="56" t="shared"/>
        <v>0</v>
      </c>
    </row>
    <row r="174" spans="1:22" x14ac:dyDescent="0.3">
      <c r="A174" t="s">
        <v>210</v>
      </c>
      <c r="B174">
        <f si="53" t="shared"/>
        <v>2000</v>
      </c>
      <c r="C174">
        <f si="53" t="shared"/>
        <v>0</v>
      </c>
      <c r="D174">
        <f si="53" t="shared"/>
        <v>6000</v>
      </c>
      <c r="E174">
        <f si="53" t="shared"/>
        <v>1000</v>
      </c>
      <c r="F174">
        <f si="53" t="shared"/>
        <v>0</v>
      </c>
      <c r="G174">
        <f si="53" t="shared"/>
        <v>0</v>
      </c>
      <c r="H174">
        <f si="54" t="shared"/>
        <v>0</v>
      </c>
      <c r="I174">
        <f si="55" t="shared"/>
        <v>9000</v>
      </c>
      <c r="N174" t="s">
        <v>210</v>
      </c>
      <c r="O174" s="815" t="n">
        <v>0.0</v>
      </c>
      <c r="P174" s="822" t="n">
        <v>0.0</v>
      </c>
      <c r="Q174" s="829" t="n">
        <v>10000.0</v>
      </c>
      <c r="R174" s="836" t="n">
        <v>0.0</v>
      </c>
      <c r="S174" s="843" t="n">
        <v>0.0</v>
      </c>
      <c r="T174" s="850" t="n">
        <v>0.0</v>
      </c>
      <c r="U174" s="857" t="n">
        <v>0.0</v>
      </c>
      <c r="V174">
        <f si="56" t="shared"/>
        <v>9000</v>
      </c>
    </row>
    <row r="176" spans="1:22" x14ac:dyDescent="0.3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3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3">
      <c r="A178" t="s">
        <v>211</v>
      </c>
      <c r="B178">
        <f ref="B178:H185" si="57" t="shared">O178*$B$1</f>
        <v>1062000</v>
      </c>
      <c r="C178">
        <f si="57" t="shared"/>
        <v>259000</v>
      </c>
      <c r="D178">
        <f si="57" t="shared"/>
        <v>0</v>
      </c>
      <c r="E178">
        <f si="57" t="shared"/>
        <v>0</v>
      </c>
      <c r="F178">
        <f si="57" t="shared"/>
        <v>27000</v>
      </c>
      <c r="G178">
        <f si="57" t="shared"/>
        <v>14000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1362000</v>
      </c>
      <c r="N178" t="s">
        <v>211</v>
      </c>
      <c r="O178" s="858" t="n">
        <v>1000000.0</v>
      </c>
      <c r="P178" s="866" t="n">
        <v>380000.0</v>
      </c>
      <c r="Q178" s="874" t="n">
        <v>0.0</v>
      </c>
      <c r="R178" s="882" t="n">
        <v>0.0</v>
      </c>
      <c r="S178" s="890" t="n">
        <v>30000.0</v>
      </c>
      <c r="T178" s="898" t="n">
        <v>30000.0</v>
      </c>
      <c r="U178" s="906" t="n">
        <v>0.0</v>
      </c>
      <c r="V178" s="914" t="n">
        <v>0.0</v>
      </c>
      <c r="W178">
        <f>SUM(O178:V178)</f>
        <v>1362000</v>
      </c>
    </row>
    <row r="179" spans="1:23" x14ac:dyDescent="0.3">
      <c r="A179" t="s">
        <v>212</v>
      </c>
      <c r="B179">
        <f si="57" t="shared"/>
        <v>0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97000</v>
      </c>
      <c r="G179">
        <f si="57" t="shared"/>
        <v>173000</v>
      </c>
      <c r="H179">
        <f si="57" t="shared"/>
        <v>508000</v>
      </c>
      <c r="I179">
        <f si="58" t="shared"/>
        <v>0</v>
      </c>
      <c r="J179">
        <f si="59" t="shared"/>
        <v>778000</v>
      </c>
      <c r="N179" t="s">
        <v>212</v>
      </c>
      <c r="O179" s="859" t="n">
        <v>0.0</v>
      </c>
      <c r="P179" s="867" t="n">
        <v>0.0</v>
      </c>
      <c r="Q179" s="875" t="n">
        <v>0.0</v>
      </c>
      <c r="R179" s="883" t="n">
        <v>0.0</v>
      </c>
      <c r="S179" s="891" t="n">
        <v>80000.0</v>
      </c>
      <c r="T179" s="899" t="n">
        <v>160000.0</v>
      </c>
      <c r="U179" s="907" t="n">
        <v>410000.0</v>
      </c>
      <c r="V179" s="915" t="n">
        <v>0.0</v>
      </c>
      <c r="W179">
        <f ref="W179:W185" si="60" t="shared">SUM(O179:V179)</f>
        <v>778000</v>
      </c>
    </row>
    <row r="180" spans="1:23" x14ac:dyDescent="0.3">
      <c r="A180" t="s">
        <v>213</v>
      </c>
      <c r="B180">
        <f si="57" t="shared"/>
        <v>129000</v>
      </c>
      <c r="C180">
        <f si="57" t="shared"/>
        <v>70000</v>
      </c>
      <c r="D180">
        <f si="57" t="shared"/>
        <v>50000</v>
      </c>
      <c r="E180">
        <f si="57" t="shared"/>
        <v>247000</v>
      </c>
      <c r="F180">
        <f si="57" t="shared"/>
        <v>18000</v>
      </c>
      <c r="G180">
        <f si="57" t="shared"/>
        <v>13000</v>
      </c>
      <c r="H180">
        <f si="57" t="shared"/>
        <v>50000</v>
      </c>
      <c r="I180">
        <f si="58" t="shared"/>
        <v>0</v>
      </c>
      <c r="J180">
        <f si="59" t="shared"/>
        <v>577000</v>
      </c>
      <c r="N180" t="s">
        <v>213</v>
      </c>
      <c r="O180" s="860" t="n">
        <v>90000.0</v>
      </c>
      <c r="P180" s="868" t="n">
        <v>90000.0</v>
      </c>
      <c r="Q180" s="876" t="n">
        <v>80000.0</v>
      </c>
      <c r="R180" s="884" t="n">
        <v>180000.0</v>
      </c>
      <c r="S180" s="892" t="n">
        <v>20000.0</v>
      </c>
      <c r="T180" s="900" t="n">
        <v>10000.0</v>
      </c>
      <c r="U180" s="908" t="n">
        <v>40000.0</v>
      </c>
      <c r="V180" s="916" t="n">
        <v>0.0</v>
      </c>
      <c r="W180">
        <f si="60" t="shared"/>
        <v>577000</v>
      </c>
    </row>
    <row r="181" spans="1:23" x14ac:dyDescent="0.3">
      <c r="A181" t="s">
        <v>36</v>
      </c>
      <c r="B181">
        <f si="57" t="shared"/>
        <v>152000</v>
      </c>
      <c r="C181">
        <f si="57" t="shared"/>
        <v>56000</v>
      </c>
      <c r="D181">
        <f si="57" t="shared"/>
        <v>49000</v>
      </c>
      <c r="E181">
        <f si="57" t="shared"/>
        <v>74000</v>
      </c>
      <c r="F181">
        <f si="57" t="shared"/>
        <v>19000</v>
      </c>
      <c r="G181">
        <f si="57" t="shared"/>
        <v>30000</v>
      </c>
      <c r="H181">
        <f si="57" t="shared"/>
        <v>39000</v>
      </c>
      <c r="I181">
        <f si="58" t="shared"/>
        <v>0</v>
      </c>
      <c r="J181">
        <f si="59" t="shared"/>
        <v>419000</v>
      </c>
      <c r="N181" t="s">
        <v>36</v>
      </c>
      <c r="O181" s="861" t="n">
        <v>170000.0</v>
      </c>
      <c r="P181" s="869" t="n">
        <v>50000.0</v>
      </c>
      <c r="Q181" s="877" t="n">
        <v>60000.0</v>
      </c>
      <c r="R181" s="885" t="n">
        <v>80000.0</v>
      </c>
      <c r="S181" s="893" t="n">
        <v>30000.0</v>
      </c>
      <c r="T181" s="901" t="n">
        <v>20000.0</v>
      </c>
      <c r="U181" s="909" t="n">
        <v>40000.0</v>
      </c>
      <c r="V181" s="917" t="n">
        <v>0.0</v>
      </c>
      <c r="W181">
        <f si="60" t="shared"/>
        <v>419000</v>
      </c>
    </row>
    <row r="182" spans="1:23" x14ac:dyDescent="0.3">
      <c r="A182" t="s">
        <v>215</v>
      </c>
      <c r="B182">
        <f si="57" t="shared"/>
        <v>34000</v>
      </c>
      <c r="C182">
        <f si="57" t="shared"/>
        <v>13000</v>
      </c>
      <c r="D182">
        <f si="57" t="shared"/>
        <v>31000</v>
      </c>
      <c r="E182">
        <f si="57" t="shared"/>
        <v>47000</v>
      </c>
      <c r="F182">
        <f si="57" t="shared"/>
        <v>3000</v>
      </c>
      <c r="G182">
        <f si="57" t="shared"/>
        <v>3000</v>
      </c>
      <c r="H182">
        <f si="57" t="shared"/>
        <v>6000</v>
      </c>
      <c r="I182">
        <f si="58" t="shared"/>
        <v>0</v>
      </c>
      <c r="J182">
        <f si="59" t="shared"/>
        <v>137000</v>
      </c>
      <c r="N182" t="s">
        <v>215</v>
      </c>
      <c r="O182" s="862" t="n">
        <v>10000.0</v>
      </c>
      <c r="P182" s="870" t="n">
        <v>0.0</v>
      </c>
      <c r="Q182" s="878" t="n">
        <v>60000.0</v>
      </c>
      <c r="R182" s="886" t="n">
        <v>50000.0</v>
      </c>
      <c r="S182" s="894" t="n">
        <v>0.0</v>
      </c>
      <c r="T182" s="902" t="n">
        <v>0.0</v>
      </c>
      <c r="U182" s="910" t="n">
        <v>0.0</v>
      </c>
      <c r="V182" s="918" t="n">
        <v>0.0</v>
      </c>
      <c r="W182">
        <f si="60" t="shared"/>
        <v>137000</v>
      </c>
    </row>
    <row r="183" spans="1:23" x14ac:dyDescent="0.3">
      <c r="A183" t="s">
        <v>129</v>
      </c>
      <c r="B183">
        <f si="57" t="shared"/>
        <v>109000</v>
      </c>
      <c r="C183">
        <f si="57" t="shared"/>
        <v>31000</v>
      </c>
      <c r="D183">
        <f si="57" t="shared"/>
        <v>43000</v>
      </c>
      <c r="E183">
        <f si="57" t="shared"/>
        <v>61000</v>
      </c>
      <c r="F183">
        <f si="57" t="shared"/>
        <v>9000</v>
      </c>
      <c r="G183">
        <f si="57" t="shared"/>
        <v>17000</v>
      </c>
      <c r="H183">
        <f si="57" t="shared"/>
        <v>20000</v>
      </c>
      <c r="I183">
        <f si="58" t="shared"/>
        <v>0</v>
      </c>
      <c r="J183">
        <f si="59" t="shared"/>
        <v>290000</v>
      </c>
      <c r="N183" t="s">
        <v>129</v>
      </c>
      <c r="O183" s="863" t="n">
        <v>30000.0</v>
      </c>
      <c r="P183" s="871" t="n">
        <v>40000.0</v>
      </c>
      <c r="Q183" s="879" t="n">
        <v>70000.0</v>
      </c>
      <c r="R183" s="887" t="n">
        <v>80000.0</v>
      </c>
      <c r="S183" s="895" t="n">
        <v>20000.0</v>
      </c>
      <c r="T183" s="903" t="n">
        <v>20000.0</v>
      </c>
      <c r="U183" s="911" t="n">
        <v>10000.0</v>
      </c>
      <c r="V183" s="919" t="n">
        <v>0.0</v>
      </c>
      <c r="W183">
        <f si="60" t="shared"/>
        <v>290000</v>
      </c>
    </row>
    <row r="184" spans="1:23" x14ac:dyDescent="0.3">
      <c r="A184" t="s">
        <v>130</v>
      </c>
      <c r="B184">
        <f si="57" t="shared"/>
        <v>281000</v>
      </c>
      <c r="C184">
        <f si="57" t="shared"/>
        <v>90000</v>
      </c>
      <c r="D184">
        <f si="57" t="shared"/>
        <v>98000</v>
      </c>
      <c r="E184">
        <f si="57" t="shared"/>
        <v>145000</v>
      </c>
      <c r="F184">
        <f si="57" t="shared"/>
        <v>37000</v>
      </c>
      <c r="G184">
        <f si="57" t="shared"/>
        <v>40000</v>
      </c>
      <c r="H184">
        <f si="57" t="shared"/>
        <v>112000</v>
      </c>
      <c r="I184">
        <f si="58" t="shared"/>
        <v>0</v>
      </c>
      <c r="J184">
        <f si="59" t="shared"/>
        <v>803000</v>
      </c>
      <c r="N184" t="s">
        <v>130</v>
      </c>
      <c r="O184" s="864" t="n">
        <v>230000.0</v>
      </c>
      <c r="P184" s="872" t="n">
        <v>90000.0</v>
      </c>
      <c r="Q184" s="880" t="n">
        <v>110000.0</v>
      </c>
      <c r="R184" s="888" t="n">
        <v>100000.0</v>
      </c>
      <c r="S184" s="896" t="n">
        <v>30000.0</v>
      </c>
      <c r="T184" s="904" t="n">
        <v>40000.0</v>
      </c>
      <c r="U184" s="912" t="n">
        <v>50000.0</v>
      </c>
      <c r="V184" s="920" t="n">
        <v>0.0</v>
      </c>
      <c r="W184">
        <f si="60" t="shared"/>
        <v>803000</v>
      </c>
    </row>
    <row r="185" spans="1:23" x14ac:dyDescent="0.3">
      <c r="A185" t="s">
        <v>249</v>
      </c>
      <c r="B185">
        <f si="57" t="shared"/>
        <v>314000</v>
      </c>
      <c r="C185">
        <f si="57" t="shared"/>
        <v>64000</v>
      </c>
      <c r="D185">
        <f si="57" t="shared"/>
        <v>0</v>
      </c>
      <c r="E185">
        <f si="57" t="shared"/>
        <v>0</v>
      </c>
      <c r="F185">
        <f si="57" t="shared"/>
        <v>12000</v>
      </c>
      <c r="G185">
        <f si="57" t="shared"/>
        <v>4000</v>
      </c>
      <c r="H185">
        <f si="57" t="shared"/>
        <v>0</v>
      </c>
      <c r="I185">
        <f si="58" t="shared"/>
        <v>0</v>
      </c>
      <c r="J185">
        <f si="59" t="shared"/>
        <v>394000</v>
      </c>
      <c r="N185" t="s">
        <v>249</v>
      </c>
      <c r="O185" s="865" t="n">
        <v>330000.0</v>
      </c>
      <c r="P185" s="873" t="n">
        <v>80000.0</v>
      </c>
      <c r="Q185" s="881" t="n">
        <v>0.0</v>
      </c>
      <c r="R185" s="889" t="n">
        <v>0.0</v>
      </c>
      <c r="S185" s="897" t="n">
        <v>0.0</v>
      </c>
      <c r="T185" s="905" t="n">
        <v>10000.0</v>
      </c>
      <c r="U185" s="913" t="n">
        <v>0.0</v>
      </c>
      <c r="V185" s="921" t="n">
        <v>0.0</v>
      </c>
      <c r="W185">
        <f si="60" t="shared"/>
        <v>394000</v>
      </c>
    </row>
    <row r="187" spans="1:23" x14ac:dyDescent="0.3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3">
      <c r="A188" t="s">
        <v>44</v>
      </c>
      <c r="B188" t="s">
        <v>298</v>
      </c>
      <c r="C188" t="s">
        <v>299</v>
      </c>
      <c r="D188" t="s">
        <v>300</v>
      </c>
      <c r="E188" t="s">
        <v>301</v>
      </c>
      <c r="F188" t="s">
        <v>27</v>
      </c>
      <c r="N188" t="s">
        <v>44</v>
      </c>
      <c r="O188" t="s">
        <v>298</v>
      </c>
      <c r="P188" t="s">
        <v>299</v>
      </c>
      <c r="Q188" t="s">
        <v>300</v>
      </c>
      <c r="R188" t="s">
        <v>301</v>
      </c>
      <c r="S188" t="s">
        <v>27</v>
      </c>
    </row>
    <row r="189" spans="1:23" x14ac:dyDescent="0.3">
      <c r="A189" t="s">
        <v>211</v>
      </c>
      <c r="B189">
        <f ref="B189:D196" si="61" t="shared">O189*$B$1</f>
        <v>35000</v>
      </c>
      <c r="C189">
        <f si="61" t="shared"/>
        <v>309000</v>
      </c>
      <c r="D189">
        <f si="61" t="shared"/>
        <v>291000</v>
      </c>
      <c r="E189">
        <f ref="E189:E196" si="62" t="shared">R189*$B$1</f>
        <v>727000</v>
      </c>
      <c r="F189">
        <f ref="F189:F196" si="63" t="shared">S189*$B$1</f>
        <v>1362000</v>
      </c>
      <c r="N189" t="s">
        <v>211</v>
      </c>
      <c r="O189" s="922" t="n">
        <v>120000.0</v>
      </c>
      <c r="P189" s="930" t="n">
        <v>230000.0</v>
      </c>
      <c r="Q189" s="938" t="n">
        <v>380000.0</v>
      </c>
      <c r="R189" s="946" t="n">
        <v>710000.0</v>
      </c>
      <c r="S189">
        <f>SUM(O189:R189)</f>
        <v>1362000</v>
      </c>
    </row>
    <row r="190" spans="1:23" x14ac:dyDescent="0.3">
      <c r="A190" t="s">
        <v>212</v>
      </c>
      <c r="B190">
        <f si="61" t="shared"/>
        <v>46000</v>
      </c>
      <c r="C190">
        <f si="61" t="shared"/>
        <v>176000</v>
      </c>
      <c r="D190">
        <f si="61" t="shared"/>
        <v>179000</v>
      </c>
      <c r="E190">
        <f si="62" t="shared"/>
        <v>377000</v>
      </c>
      <c r="F190">
        <f si="63" t="shared"/>
        <v>778000</v>
      </c>
      <c r="N190" t="s">
        <v>212</v>
      </c>
      <c r="O190" s="923" t="n">
        <v>70000.0</v>
      </c>
      <c r="P190" s="931" t="n">
        <v>90000.0</v>
      </c>
      <c r="Q190" s="939" t="n">
        <v>130000.0</v>
      </c>
      <c r="R190" s="947" t="n">
        <v>360000.0</v>
      </c>
      <c r="S190">
        <f ref="S190:S196" si="64" t="shared">SUM(O190:R190)</f>
        <v>778000</v>
      </c>
    </row>
    <row r="191" spans="1:23" x14ac:dyDescent="0.3">
      <c r="A191" t="s">
        <v>213</v>
      </c>
      <c r="B191">
        <f si="61" t="shared"/>
        <v>31000</v>
      </c>
      <c r="C191">
        <f si="61" t="shared"/>
        <v>144000</v>
      </c>
      <c r="D191">
        <f si="61" t="shared"/>
        <v>129000</v>
      </c>
      <c r="E191">
        <f si="62" t="shared"/>
        <v>273000</v>
      </c>
      <c r="F191">
        <f si="63" t="shared"/>
        <v>577000</v>
      </c>
      <c r="N191" t="s">
        <v>213</v>
      </c>
      <c r="O191" s="924" t="n">
        <v>60000.0</v>
      </c>
      <c r="P191" s="932" t="n">
        <v>150000.0</v>
      </c>
      <c r="Q191" s="940" t="n">
        <v>70000.0</v>
      </c>
      <c r="R191" s="948" t="n">
        <v>230000.0</v>
      </c>
      <c r="S191">
        <f si="64" t="shared"/>
        <v>577000</v>
      </c>
    </row>
    <row r="192" spans="1:23" x14ac:dyDescent="0.3">
      <c r="A192" t="s">
        <v>36</v>
      </c>
      <c r="B192">
        <f si="61" t="shared"/>
        <v>23000</v>
      </c>
      <c r="C192">
        <f si="61" t="shared"/>
        <v>93000</v>
      </c>
      <c r="D192">
        <f si="61" t="shared"/>
        <v>103000</v>
      </c>
      <c r="E192">
        <f si="62" t="shared"/>
        <v>200000</v>
      </c>
      <c r="F192">
        <f si="63" t="shared"/>
        <v>419000</v>
      </c>
      <c r="N192" t="s">
        <v>36</v>
      </c>
      <c r="O192" s="925" t="n">
        <v>40000.0</v>
      </c>
      <c r="P192" s="933" t="n">
        <v>70000.0</v>
      </c>
      <c r="Q192" s="941" t="n">
        <v>110000.0</v>
      </c>
      <c r="R192" s="949" t="n">
        <v>230000.0</v>
      </c>
      <c r="S192">
        <f si="64" t="shared"/>
        <v>419000</v>
      </c>
    </row>
    <row r="193" spans="1:19" x14ac:dyDescent="0.3">
      <c r="A193" t="s">
        <v>215</v>
      </c>
      <c r="B193">
        <f si="61" t="shared"/>
        <v>13000</v>
      </c>
      <c r="C193">
        <f si="61" t="shared"/>
        <v>49000</v>
      </c>
      <c r="D193">
        <f si="61" t="shared"/>
        <v>27000</v>
      </c>
      <c r="E193">
        <f si="62" t="shared"/>
        <v>48000</v>
      </c>
      <c r="F193">
        <f si="63" t="shared"/>
        <v>137000</v>
      </c>
      <c r="N193" t="s">
        <v>215</v>
      </c>
      <c r="O193" s="926" t="n">
        <v>20000.0</v>
      </c>
      <c r="P193" s="934" t="n">
        <v>70000.0</v>
      </c>
      <c r="Q193" s="942" t="n">
        <v>0.0</v>
      </c>
      <c r="R193" s="950" t="n">
        <v>30000.0</v>
      </c>
      <c r="S193">
        <f si="64" t="shared"/>
        <v>137000</v>
      </c>
    </row>
    <row r="194" spans="1:19" x14ac:dyDescent="0.3">
      <c r="A194" t="s">
        <v>129</v>
      </c>
      <c r="B194">
        <f si="61" t="shared"/>
        <v>17000</v>
      </c>
      <c r="C194">
        <f si="61" t="shared"/>
        <v>74000</v>
      </c>
      <c r="D194">
        <f si="61" t="shared"/>
        <v>62000</v>
      </c>
      <c r="E194">
        <f si="62" t="shared"/>
        <v>137000</v>
      </c>
      <c r="F194">
        <f si="63" t="shared"/>
        <v>290000</v>
      </c>
      <c r="N194" t="s">
        <v>129</v>
      </c>
      <c r="O194" s="927" t="n">
        <v>30000.0</v>
      </c>
      <c r="P194" s="935" t="n">
        <v>110000.0</v>
      </c>
      <c r="Q194" s="943" t="n">
        <v>30000.0</v>
      </c>
      <c r="R194" s="951" t="n">
        <v>100000.0</v>
      </c>
      <c r="S194">
        <f si="64" t="shared"/>
        <v>290000</v>
      </c>
    </row>
    <row r="195" spans="1:19" x14ac:dyDescent="0.3">
      <c r="A195" t="s">
        <v>130</v>
      </c>
      <c r="B195">
        <f si="61" t="shared"/>
        <v>46000</v>
      </c>
      <c r="C195">
        <f si="61" t="shared"/>
        <v>245000</v>
      </c>
      <c r="D195">
        <f si="61" t="shared"/>
        <v>174000</v>
      </c>
      <c r="E195">
        <f si="62" t="shared"/>
        <v>338000</v>
      </c>
      <c r="F195">
        <f si="63" t="shared"/>
        <v>803000</v>
      </c>
      <c r="N195" t="s">
        <v>130</v>
      </c>
      <c r="O195" s="928" t="n">
        <v>60000.0</v>
      </c>
      <c r="P195" s="936" t="n">
        <v>110000.0</v>
      </c>
      <c r="Q195" s="944" t="n">
        <v>200000.0</v>
      </c>
      <c r="R195" s="952" t="n">
        <v>280000.0</v>
      </c>
      <c r="S195">
        <f si="64" t="shared"/>
        <v>803000</v>
      </c>
    </row>
    <row r="196" spans="1:19" x14ac:dyDescent="0.3">
      <c r="A196" t="s">
        <v>249</v>
      </c>
      <c r="B196">
        <f si="61" t="shared"/>
        <v>4000</v>
      </c>
      <c r="C196">
        <f si="61" t="shared"/>
        <v>97000</v>
      </c>
      <c r="D196">
        <f si="61" t="shared"/>
        <v>78000</v>
      </c>
      <c r="E196">
        <f si="62" t="shared"/>
        <v>215000</v>
      </c>
      <c r="F196">
        <f si="63" t="shared"/>
        <v>394000</v>
      </c>
      <c r="N196" t="s">
        <v>249</v>
      </c>
      <c r="O196" s="929" t="n">
        <v>0.0</v>
      </c>
      <c r="P196" s="937" t="n">
        <v>70000.0</v>
      </c>
      <c r="Q196" s="945" t="n">
        <v>90000.0</v>
      </c>
      <c r="R196" s="953" t="n">
        <v>260000.0</v>
      </c>
      <c r="S196">
        <f si="64" t="shared"/>
        <v>394000</v>
      </c>
    </row>
    <row r="198" spans="1:19" x14ac:dyDescent="0.3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3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3">
      <c r="A200" t="s">
        <v>211</v>
      </c>
      <c r="B200">
        <f ref="B200:D207" si="65" t="shared">O200*$B$1</f>
        <v>2000</v>
      </c>
      <c r="C200">
        <f si="65" t="shared"/>
        <v>178000</v>
      </c>
      <c r="D200">
        <f si="65" t="shared"/>
        <v>893000</v>
      </c>
      <c r="E200">
        <f ref="E200:E207" si="66" t="shared">R200*$B$1</f>
        <v>289000</v>
      </c>
      <c r="F200">
        <f ref="F200:F207" si="67" t="shared">S200*$B$1</f>
        <v>1362000</v>
      </c>
      <c r="N200" t="s">
        <v>211</v>
      </c>
      <c r="O200" s="954" t="n">
        <v>0.0</v>
      </c>
      <c r="P200" s="962" t="n">
        <v>180000.0</v>
      </c>
      <c r="Q200" s="970" t="n">
        <v>1040000.0</v>
      </c>
      <c r="R200" s="978" t="n">
        <v>220000.0</v>
      </c>
      <c r="S200">
        <f>SUM(O200:R200)</f>
        <v>1362000</v>
      </c>
    </row>
    <row r="201" spans="1:19" x14ac:dyDescent="0.3">
      <c r="A201" t="s">
        <v>212</v>
      </c>
      <c r="B201">
        <f si="65" t="shared"/>
        <v>5000</v>
      </c>
      <c r="C201">
        <f si="65" t="shared"/>
        <v>124000</v>
      </c>
      <c r="D201">
        <f si="65" t="shared"/>
        <v>504000</v>
      </c>
      <c r="E201">
        <f si="66" t="shared"/>
        <v>145000</v>
      </c>
      <c r="F201">
        <f si="67" t="shared"/>
        <v>778000</v>
      </c>
      <c r="N201" t="s">
        <v>212</v>
      </c>
      <c r="O201" s="955" t="n">
        <v>30000.0</v>
      </c>
      <c r="P201" s="963" t="n">
        <v>40000.0</v>
      </c>
      <c r="Q201" s="971" t="n">
        <v>490000.0</v>
      </c>
      <c r="R201" s="979" t="n">
        <v>90000.0</v>
      </c>
      <c r="S201">
        <f ref="S201:S207" si="68" t="shared">SUM(O201:R201)</f>
        <v>778000</v>
      </c>
    </row>
    <row r="202" spans="1:19" x14ac:dyDescent="0.3">
      <c r="A202" t="s">
        <v>213</v>
      </c>
      <c r="B202">
        <f si="65" t="shared"/>
        <v>6000</v>
      </c>
      <c r="C202">
        <f si="65" t="shared"/>
        <v>103000</v>
      </c>
      <c r="D202">
        <f si="65" t="shared"/>
        <v>361000</v>
      </c>
      <c r="E202">
        <f si="66" t="shared"/>
        <v>107000</v>
      </c>
      <c r="F202">
        <f si="67" t="shared"/>
        <v>577000</v>
      </c>
      <c r="N202" t="s">
        <v>213</v>
      </c>
      <c r="O202" s="956" t="n">
        <v>20000.0</v>
      </c>
      <c r="P202" s="964" t="n">
        <v>70000.0</v>
      </c>
      <c r="Q202" s="972" t="n">
        <v>340000.0</v>
      </c>
      <c r="R202" s="980" t="n">
        <v>80000.0</v>
      </c>
      <c r="S202">
        <f si="68" t="shared"/>
        <v>577000</v>
      </c>
    </row>
    <row r="203" spans="1:19" x14ac:dyDescent="0.3">
      <c r="A203" t="s">
        <v>36</v>
      </c>
      <c r="B203">
        <f si="65" t="shared"/>
        <v>2000</v>
      </c>
      <c r="C203">
        <f si="65" t="shared"/>
        <v>63000</v>
      </c>
      <c r="D203">
        <f si="65" t="shared"/>
        <v>277000</v>
      </c>
      <c r="E203">
        <f si="66" t="shared"/>
        <v>77000</v>
      </c>
      <c r="F203">
        <f si="67" t="shared"/>
        <v>419000</v>
      </c>
      <c r="N203" t="s">
        <v>36</v>
      </c>
      <c r="O203" s="957" t="n">
        <v>0.0</v>
      </c>
      <c r="P203" s="965" t="n">
        <v>40000.0</v>
      </c>
      <c r="Q203" s="973" t="n">
        <v>370000.0</v>
      </c>
      <c r="R203" s="981" t="n">
        <v>40000.0</v>
      </c>
      <c r="S203">
        <f si="68" t="shared"/>
        <v>419000</v>
      </c>
    </row>
    <row r="204" spans="1:19" x14ac:dyDescent="0.3">
      <c r="A204" t="s">
        <v>215</v>
      </c>
      <c r="B204">
        <f si="65" t="shared"/>
        <v>1000</v>
      </c>
      <c r="C204">
        <f si="65" t="shared"/>
        <v>22000</v>
      </c>
      <c r="D204">
        <f si="65" t="shared"/>
        <v>92000</v>
      </c>
      <c r="E204">
        <f si="66" t="shared"/>
        <v>22000</v>
      </c>
      <c r="F204">
        <f si="67" t="shared"/>
        <v>137000</v>
      </c>
      <c r="N204" t="s">
        <v>215</v>
      </c>
      <c r="O204" s="958" t="n">
        <v>0.0</v>
      </c>
      <c r="P204" s="966" t="n">
        <v>30000.0</v>
      </c>
      <c r="Q204" s="974" t="n">
        <v>80000.0</v>
      </c>
      <c r="R204" s="982" t="n">
        <v>10000.0</v>
      </c>
      <c r="S204">
        <f si="68" t="shared"/>
        <v>137000</v>
      </c>
    </row>
    <row r="205" spans="1:19" x14ac:dyDescent="0.3">
      <c r="A205" t="s">
        <v>129</v>
      </c>
      <c r="B205">
        <f si="65" t="shared"/>
        <v>4000</v>
      </c>
      <c r="C205">
        <f si="65" t="shared"/>
        <v>36000</v>
      </c>
      <c r="D205">
        <f si="65" t="shared"/>
        <v>183000</v>
      </c>
      <c r="E205">
        <f si="66" t="shared"/>
        <v>67000</v>
      </c>
      <c r="F205">
        <f si="67" t="shared"/>
        <v>290000</v>
      </c>
      <c r="N205" t="s">
        <v>129</v>
      </c>
      <c r="O205" s="959" t="n">
        <v>10000.0</v>
      </c>
      <c r="P205" s="967" t="n">
        <v>30000.0</v>
      </c>
      <c r="Q205" s="975" t="n">
        <v>170000.0</v>
      </c>
      <c r="R205" s="983" t="n">
        <v>60000.0</v>
      </c>
      <c r="S205">
        <f si="68" t="shared"/>
        <v>290000</v>
      </c>
    </row>
    <row r="206" spans="1:19" x14ac:dyDescent="0.3">
      <c r="A206" t="s">
        <v>130</v>
      </c>
      <c r="B206">
        <f si="65" t="shared"/>
        <v>3000</v>
      </c>
      <c r="C206">
        <f si="65" t="shared"/>
        <v>131000</v>
      </c>
      <c r="D206">
        <f si="65" t="shared"/>
        <v>518000</v>
      </c>
      <c r="E206">
        <f si="66" t="shared"/>
        <v>151000</v>
      </c>
      <c r="F206">
        <f si="67" t="shared"/>
        <v>803000</v>
      </c>
      <c r="N206" t="s">
        <v>130</v>
      </c>
      <c r="O206" s="960" t="n">
        <v>10000.0</v>
      </c>
      <c r="P206" s="968" t="n">
        <v>70000.0</v>
      </c>
      <c r="Q206" s="976" t="n">
        <v>440000.0</v>
      </c>
      <c r="R206" s="984" t="n">
        <v>130000.0</v>
      </c>
      <c r="S206">
        <f si="68" t="shared"/>
        <v>803000</v>
      </c>
    </row>
    <row r="207" spans="1:19" x14ac:dyDescent="0.3">
      <c r="A207" t="s">
        <v>249</v>
      </c>
      <c r="B207">
        <f si="65" t="shared"/>
        <v>1000</v>
      </c>
      <c r="C207">
        <f si="65" t="shared"/>
        <v>53000</v>
      </c>
      <c r="D207">
        <f si="65" t="shared"/>
        <v>268000</v>
      </c>
      <c r="E207">
        <f si="66" t="shared"/>
        <v>72000</v>
      </c>
      <c r="F207">
        <f si="67" t="shared"/>
        <v>394000</v>
      </c>
      <c r="N207" t="s">
        <v>249</v>
      </c>
      <c r="O207" s="961" t="n">
        <v>0.0</v>
      </c>
      <c r="P207" s="969" t="n">
        <v>40000.0</v>
      </c>
      <c r="Q207" s="977" t="n">
        <v>320000.0</v>
      </c>
      <c r="R207" s="985" t="n">
        <v>60000.0</v>
      </c>
      <c r="S207">
        <f si="68" t="shared"/>
        <v>394000</v>
      </c>
    </row>
    <row r="209" spans="1:23" x14ac:dyDescent="0.3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3">
      <c r="A210" t="s">
        <v>44</v>
      </c>
      <c r="B210" t="s">
        <v>324</v>
      </c>
      <c r="C210" t="s">
        <v>325</v>
      </c>
      <c r="D210" t="s">
        <v>326</v>
      </c>
      <c r="E210" t="s">
        <v>327</v>
      </c>
      <c r="F210" t="s">
        <v>328</v>
      </c>
      <c r="G210" t="s">
        <v>329</v>
      </c>
      <c r="I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</row>
    <row r="211" spans="1:23" x14ac:dyDescent="0.3">
      <c r="A211" t="s">
        <v>211</v>
      </c>
      <c r="B211">
        <f ref="B211:E218" si="69" t="shared">O211*$B$1</f>
        <v>1362000</v>
      </c>
      <c r="C211">
        <f si="69" t="shared"/>
        <v>0</v>
      </c>
      <c r="D211">
        <f si="69" t="shared"/>
        <v>0</v>
      </c>
      <c r="E211">
        <f si="69" t="shared"/>
        <v>0</v>
      </c>
      <c r="F211">
        <f ref="F211:G218" si="70" t="shared">S211*$B$1</f>
        <v>0</v>
      </c>
      <c r="G211">
        <f si="70" t="shared"/>
        <v>0</v>
      </c>
      <c r="H211">
        <f ref="H211:H218" si="71" t="shared">U211*$B$1</f>
        <v>0</v>
      </c>
      <c r="N211" t="s">
        <v>211</v>
      </c>
      <c r="O211" s="986" t="n">
        <v>1440000.0</v>
      </c>
      <c r="P211" s="994" t="n">
        <v>0.0</v>
      </c>
      <c r="Q211" s="1002" t="n">
        <v>0.0</v>
      </c>
      <c r="R211" s="1010" t="n">
        <v>0.0</v>
      </c>
      <c r="S211" s="1337" t="n">
        <v>0.0</v>
      </c>
      <c r="T211" s="1337" t="n">
        <v>0.0</v>
      </c>
      <c r="U211" t="n">
        <v>0.0</v>
      </c>
    </row>
    <row r="212" spans="1:23" x14ac:dyDescent="0.3">
      <c r="A212" t="s">
        <v>212</v>
      </c>
      <c r="B212">
        <f si="69" t="shared"/>
        <v>778000</v>
      </c>
      <c r="C212">
        <f si="69" t="shared"/>
        <v>0</v>
      </c>
      <c r="D212">
        <f si="69" t="shared"/>
        <v>0</v>
      </c>
      <c r="E212">
        <f si="69" t="shared"/>
        <v>0</v>
      </c>
      <c r="F212">
        <f si="70" t="shared"/>
        <v>0</v>
      </c>
      <c r="G212">
        <f si="70" t="shared"/>
        <v>0</v>
      </c>
      <c r="H212">
        <f si="71" t="shared"/>
        <v>0</v>
      </c>
      <c r="N212" t="s">
        <v>212</v>
      </c>
      <c r="O212" s="987" t="n">
        <v>650000.0</v>
      </c>
      <c r="P212" s="995" t="n">
        <v>0.0</v>
      </c>
      <c r="Q212" s="1003" t="n">
        <v>0.0</v>
      </c>
      <c r="R212" s="1011" t="n">
        <v>0.0</v>
      </c>
      <c r="S212" s="1337" t="n">
        <v>0.0</v>
      </c>
      <c r="T212" s="1337" t="n">
        <v>0.0</v>
      </c>
      <c r="U212" t="n">
        <v>0.0</v>
      </c>
    </row>
    <row r="213" spans="1:23" x14ac:dyDescent="0.3">
      <c r="A213" t="s">
        <v>213</v>
      </c>
      <c r="B213">
        <f si="69" t="shared"/>
        <v>577000</v>
      </c>
      <c r="C213">
        <f si="69" t="shared"/>
        <v>0</v>
      </c>
      <c r="D213">
        <f si="69" t="shared"/>
        <v>0</v>
      </c>
      <c r="E213">
        <f si="69" t="shared"/>
        <v>0</v>
      </c>
      <c r="F213">
        <f si="70" t="shared"/>
        <v>0</v>
      </c>
      <c r="G213">
        <f si="70" t="shared"/>
        <v>0</v>
      </c>
      <c r="H213">
        <f si="71" t="shared"/>
        <v>0</v>
      </c>
      <c r="N213" t="s">
        <v>213</v>
      </c>
      <c r="O213" s="988" t="n">
        <v>510000.0</v>
      </c>
      <c r="P213" s="996" t="n">
        <v>0.0</v>
      </c>
      <c r="Q213" s="1004" t="n">
        <v>0.0</v>
      </c>
      <c r="R213" s="1012" t="n">
        <v>0.0</v>
      </c>
      <c r="S213" s="1337" t="n">
        <v>0.0</v>
      </c>
      <c r="T213" s="1337" t="n">
        <v>0.0</v>
      </c>
      <c r="U213" t="n">
        <v>0.0</v>
      </c>
    </row>
    <row r="214" spans="1:23" x14ac:dyDescent="0.3">
      <c r="A214" t="s">
        <v>36</v>
      </c>
      <c r="B214">
        <f si="69" t="shared"/>
        <v>419000</v>
      </c>
      <c r="C214">
        <f si="69" t="shared"/>
        <v>0</v>
      </c>
      <c r="D214">
        <f si="69" t="shared"/>
        <v>0</v>
      </c>
      <c r="E214">
        <f si="69" t="shared"/>
        <v>0</v>
      </c>
      <c r="F214">
        <f si="70" t="shared"/>
        <v>0</v>
      </c>
      <c r="G214">
        <f si="70" t="shared"/>
        <v>0</v>
      </c>
      <c r="H214">
        <f si="71" t="shared"/>
        <v>0</v>
      </c>
      <c r="N214" t="s">
        <v>36</v>
      </c>
      <c r="O214" s="989" t="n">
        <v>450000.0</v>
      </c>
      <c r="P214" s="997" t="n">
        <v>0.0</v>
      </c>
      <c r="Q214" s="1005" t="n">
        <v>0.0</v>
      </c>
      <c r="R214" s="1013" t="n">
        <v>0.0</v>
      </c>
      <c r="S214" s="1337" t="n">
        <v>0.0</v>
      </c>
      <c r="T214" s="1337" t="n">
        <v>0.0</v>
      </c>
      <c r="U214" t="n">
        <v>0.0</v>
      </c>
    </row>
    <row r="215" spans="1:23" x14ac:dyDescent="0.3">
      <c r="A215" t="s">
        <v>215</v>
      </c>
      <c r="B215">
        <f si="69" t="shared"/>
        <v>137000</v>
      </c>
      <c r="C215">
        <f si="69" t="shared"/>
        <v>0</v>
      </c>
      <c r="D215">
        <f si="69" t="shared"/>
        <v>0</v>
      </c>
      <c r="E215">
        <f si="69" t="shared"/>
        <v>0</v>
      </c>
      <c r="F215">
        <f si="70" t="shared"/>
        <v>0</v>
      </c>
      <c r="G215">
        <f si="70" t="shared"/>
        <v>0</v>
      </c>
      <c r="H215">
        <f si="71" t="shared"/>
        <v>0</v>
      </c>
      <c r="N215" t="s">
        <v>215</v>
      </c>
      <c r="O215" s="990" t="n">
        <v>120000.0</v>
      </c>
      <c r="P215" s="998" t="n">
        <v>0.0</v>
      </c>
      <c r="Q215" s="1006" t="n">
        <v>0.0</v>
      </c>
      <c r="R215" s="1014" t="n">
        <v>0.0</v>
      </c>
      <c r="S215" s="1337" t="n">
        <v>0.0</v>
      </c>
      <c r="T215" s="1337" t="n">
        <v>0.0</v>
      </c>
      <c r="U215" t="n">
        <v>0.0</v>
      </c>
    </row>
    <row r="216" spans="1:23" x14ac:dyDescent="0.3">
      <c r="A216" t="s">
        <v>129</v>
      </c>
      <c r="B216">
        <f si="69" t="shared"/>
        <v>290000</v>
      </c>
      <c r="C216">
        <f si="69" t="shared"/>
        <v>0</v>
      </c>
      <c r="D216">
        <f si="69" t="shared"/>
        <v>0</v>
      </c>
      <c r="E216">
        <f si="69" t="shared"/>
        <v>0</v>
      </c>
      <c r="F216">
        <f si="70" t="shared"/>
        <v>0</v>
      </c>
      <c r="G216">
        <f si="70" t="shared"/>
        <v>0</v>
      </c>
      <c r="H216">
        <f si="71" t="shared"/>
        <v>0</v>
      </c>
      <c r="N216" t="s">
        <v>129</v>
      </c>
      <c r="O216" s="991" t="n">
        <v>270000.0</v>
      </c>
      <c r="P216" s="999" t="n">
        <v>0.0</v>
      </c>
      <c r="Q216" s="1007" t="n">
        <v>0.0</v>
      </c>
      <c r="R216" s="1015" t="n">
        <v>0.0</v>
      </c>
      <c r="S216" s="1337" t="n">
        <v>0.0</v>
      </c>
      <c r="T216" s="1337" t="n">
        <v>0.0</v>
      </c>
      <c r="U216" t="n">
        <v>0.0</v>
      </c>
    </row>
    <row r="217" spans="1:23" x14ac:dyDescent="0.3">
      <c r="A217" t="s">
        <v>130</v>
      </c>
      <c r="B217">
        <f si="69" t="shared"/>
        <v>803000</v>
      </c>
      <c r="C217">
        <f si="69" t="shared"/>
        <v>0</v>
      </c>
      <c r="D217">
        <f si="69" t="shared"/>
        <v>0</v>
      </c>
      <c r="E217">
        <f si="69" t="shared"/>
        <v>0</v>
      </c>
      <c r="F217">
        <f si="70" t="shared"/>
        <v>0</v>
      </c>
      <c r="G217">
        <f si="70" t="shared"/>
        <v>0</v>
      </c>
      <c r="H217">
        <f si="71" t="shared"/>
        <v>0</v>
      </c>
      <c r="N217" t="s">
        <v>130</v>
      </c>
      <c r="O217" s="992" t="n">
        <v>650000.0</v>
      </c>
      <c r="P217" s="1000" t="n">
        <v>0.0</v>
      </c>
      <c r="Q217" s="1008" t="n">
        <v>0.0</v>
      </c>
      <c r="R217" s="1016" t="n">
        <v>0.0</v>
      </c>
      <c r="S217" s="1337" t="n">
        <v>0.0</v>
      </c>
      <c r="T217" s="1337" t="n">
        <v>0.0</v>
      </c>
      <c r="U217" t="n">
        <v>0.0</v>
      </c>
    </row>
    <row r="218" spans="1:23" x14ac:dyDescent="0.3">
      <c r="A218" t="s">
        <v>249</v>
      </c>
      <c r="B218">
        <f si="69" t="shared"/>
        <v>394000</v>
      </c>
      <c r="C218">
        <f si="69" t="shared"/>
        <v>0</v>
      </c>
      <c r="D218">
        <f si="69" t="shared"/>
        <v>0</v>
      </c>
      <c r="E218">
        <f si="69" t="shared"/>
        <v>0</v>
      </c>
      <c r="F218">
        <f si="70" t="shared"/>
        <v>0</v>
      </c>
      <c r="G218">
        <f si="70" t="shared"/>
        <v>0</v>
      </c>
      <c r="H218">
        <f si="71" t="shared"/>
        <v>0</v>
      </c>
      <c r="N218" t="s">
        <v>249</v>
      </c>
      <c r="O218" s="993" t="n">
        <v>420000.0</v>
      </c>
      <c r="P218" s="1001" t="n">
        <v>0.0</v>
      </c>
      <c r="Q218" s="1009" t="n">
        <v>0.0</v>
      </c>
      <c r="R218" s="1017" t="n">
        <v>0.0</v>
      </c>
      <c r="S218" s="1337" t="n">
        <v>0.0</v>
      </c>
      <c r="T218" s="1337" t="n">
        <v>0.0</v>
      </c>
      <c r="U218" t="n">
        <v>0.0</v>
      </c>
    </row>
    <row r="220" spans="1:23" x14ac:dyDescent="0.3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3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3">
      <c r="A222" t="s">
        <v>211</v>
      </c>
      <c r="B222">
        <f ref="B222:H228" si="72" t="shared">O222*$B$1</f>
        <v>125000</v>
      </c>
      <c r="C222">
        <f si="72" t="shared"/>
        <v>25000</v>
      </c>
      <c r="D222">
        <f si="72" t="shared"/>
        <v>0</v>
      </c>
      <c r="E222">
        <f si="72" t="shared"/>
        <v>0</v>
      </c>
      <c r="F222">
        <f si="72" t="shared"/>
        <v>5000</v>
      </c>
      <c r="G222">
        <f si="72" t="shared"/>
        <v>1000</v>
      </c>
      <c r="H222">
        <f si="72" t="shared"/>
        <v>0</v>
      </c>
      <c r="I222">
        <f ref="I222:I228" si="73" t="shared">V222*$B$1</f>
        <v>0</v>
      </c>
      <c r="J222">
        <f ref="J222:J228" si="74" t="shared">W222*$B$1</f>
        <v>156000</v>
      </c>
      <c r="N222" t="s">
        <v>211</v>
      </c>
      <c r="O222" s="1018" t="n">
        <v>110000.0</v>
      </c>
      <c r="P222" s="1025" t="n">
        <v>20000.0</v>
      </c>
      <c r="Q222" s="1032" t="n">
        <v>0.0</v>
      </c>
      <c r="R222" s="1039" t="n">
        <v>0.0</v>
      </c>
      <c r="S222" s="1046" t="n">
        <v>0.0</v>
      </c>
      <c r="T222" s="1053" t="n">
        <v>10000.0</v>
      </c>
      <c r="U222" s="1060" t="n">
        <v>0.0</v>
      </c>
      <c r="V222" s="1067" t="n">
        <v>0.0</v>
      </c>
      <c r="W222">
        <f>SUM(O222:V222)</f>
        <v>156000</v>
      </c>
    </row>
    <row r="223" spans="1:23" x14ac:dyDescent="0.3">
      <c r="A223" t="s">
        <v>212</v>
      </c>
      <c r="B223">
        <f si="72" t="shared"/>
        <v>0</v>
      </c>
      <c r="C223">
        <f si="72" t="shared"/>
        <v>0</v>
      </c>
      <c r="D223">
        <f si="72" t="shared"/>
        <v>0</v>
      </c>
      <c r="E223">
        <f si="72" t="shared"/>
        <v>0</v>
      </c>
      <c r="F223">
        <f si="72" t="shared"/>
        <v>9000</v>
      </c>
      <c r="G223">
        <f si="72" t="shared"/>
        <v>17000</v>
      </c>
      <c r="H223">
        <f si="72" t="shared"/>
        <v>38000</v>
      </c>
      <c r="I223">
        <f si="73" t="shared"/>
        <v>0</v>
      </c>
      <c r="J223">
        <f si="74" t="shared"/>
        <v>64000</v>
      </c>
      <c r="N223" t="s">
        <v>212</v>
      </c>
      <c r="O223" s="1019" t="n">
        <v>0.0</v>
      </c>
      <c r="P223" s="1026" t="n">
        <v>0.0</v>
      </c>
      <c r="Q223" s="1033" t="n">
        <v>0.0</v>
      </c>
      <c r="R223" s="1040" t="n">
        <v>0.0</v>
      </c>
      <c r="S223" s="1047" t="n">
        <v>0.0</v>
      </c>
      <c r="T223" s="1054" t="n">
        <v>40000.0</v>
      </c>
      <c r="U223" s="1061" t="n">
        <v>40000.0</v>
      </c>
      <c r="V223" s="1068" t="n">
        <v>0.0</v>
      </c>
      <c r="W223">
        <f ref="W223:W228" si="75" t="shared">SUM(O223:V223)</f>
        <v>64000</v>
      </c>
    </row>
    <row r="224" spans="1:23" x14ac:dyDescent="0.3">
      <c r="A224" t="s">
        <v>213</v>
      </c>
      <c r="B224">
        <f si="72" t="shared"/>
        <v>56000</v>
      </c>
      <c r="C224">
        <f si="72" t="shared"/>
        <v>19000</v>
      </c>
      <c r="D224">
        <f si="72" t="shared"/>
        <v>5000</v>
      </c>
      <c r="E224">
        <f si="72" t="shared"/>
        <v>31000</v>
      </c>
      <c r="F224">
        <f si="72" t="shared"/>
        <v>10000</v>
      </c>
      <c r="G224">
        <f si="72" t="shared"/>
        <v>11000</v>
      </c>
      <c r="H224">
        <f si="72" t="shared"/>
        <v>27000</v>
      </c>
      <c r="I224">
        <f si="73" t="shared"/>
        <v>0</v>
      </c>
      <c r="J224">
        <f si="74" t="shared"/>
        <v>159000</v>
      </c>
      <c r="N224" t="s">
        <v>213</v>
      </c>
      <c r="O224" s="1020" t="n">
        <v>50000.0</v>
      </c>
      <c r="P224" s="1027" t="n">
        <v>30000.0</v>
      </c>
      <c r="Q224" s="1034" t="n">
        <v>20000.0</v>
      </c>
      <c r="R224" s="1041" t="n">
        <v>50000.0</v>
      </c>
      <c r="S224" s="1048" t="n">
        <v>10000.0</v>
      </c>
      <c r="T224" s="1055" t="n">
        <v>10000.0</v>
      </c>
      <c r="U224" s="1062" t="n">
        <v>20000.0</v>
      </c>
      <c r="V224" s="1069" t="n">
        <v>0.0</v>
      </c>
      <c r="W224">
        <f si="75" t="shared"/>
        <v>159000</v>
      </c>
    </row>
    <row r="225" spans="1:23" x14ac:dyDescent="0.3">
      <c r="A225" t="s">
        <v>36</v>
      </c>
      <c r="B225">
        <f si="72" t="shared"/>
        <v>146000</v>
      </c>
      <c r="C225">
        <f si="72" t="shared"/>
        <v>47000</v>
      </c>
      <c r="D225">
        <f si="72" t="shared"/>
        <v>45000</v>
      </c>
      <c r="E225">
        <f si="72" t="shared"/>
        <v>78000</v>
      </c>
      <c r="F225">
        <f si="72" t="shared"/>
        <v>14000</v>
      </c>
      <c r="G225">
        <f si="72" t="shared"/>
        <v>27000</v>
      </c>
      <c r="H225">
        <f si="72" t="shared"/>
        <v>54000</v>
      </c>
      <c r="I225">
        <f si="73" t="shared"/>
        <v>0</v>
      </c>
      <c r="J225">
        <f si="74" t="shared"/>
        <v>411000</v>
      </c>
      <c r="N225" t="s">
        <v>36</v>
      </c>
      <c r="O225" s="1021" t="n">
        <v>140000.0</v>
      </c>
      <c r="P225" s="1028" t="n">
        <v>80000.0</v>
      </c>
      <c r="Q225" s="1035" t="n">
        <v>70000.0</v>
      </c>
      <c r="R225" s="1042" t="n">
        <v>70000.0</v>
      </c>
      <c r="S225" s="1049" t="n">
        <v>10000.0</v>
      </c>
      <c r="T225" s="1056" t="n">
        <v>10000.0</v>
      </c>
      <c r="U225" s="1063" t="n">
        <v>70000.0</v>
      </c>
      <c r="V225" s="1070" t="n">
        <v>0.0</v>
      </c>
      <c r="W225">
        <f si="75" t="shared"/>
        <v>411000</v>
      </c>
    </row>
    <row r="226" spans="1:23" x14ac:dyDescent="0.3">
      <c r="A226" t="s">
        <v>215</v>
      </c>
      <c r="B226">
        <f si="72" t="shared"/>
        <v>211000</v>
      </c>
      <c r="C226">
        <f si="72" t="shared"/>
        <v>86000</v>
      </c>
      <c r="D226">
        <f si="72" t="shared"/>
        <v>62000</v>
      </c>
      <c r="E226">
        <f si="72" t="shared"/>
        <v>99000</v>
      </c>
      <c r="F226">
        <f si="72" t="shared"/>
        <v>32000</v>
      </c>
      <c r="G226">
        <f si="72" t="shared"/>
        <v>30000</v>
      </c>
      <c r="H226">
        <f si="72" t="shared"/>
        <v>103000</v>
      </c>
      <c r="I226">
        <f si="73" t="shared"/>
        <v>0</v>
      </c>
      <c r="J226">
        <f si="74" t="shared"/>
        <v>623000</v>
      </c>
      <c r="N226" t="s">
        <v>215</v>
      </c>
      <c r="O226" s="1022" t="n">
        <v>150000.0</v>
      </c>
      <c r="P226" s="1029" t="n">
        <v>80000.0</v>
      </c>
      <c r="Q226" s="1036" t="n">
        <v>120000.0</v>
      </c>
      <c r="R226" s="1043" t="n">
        <v>90000.0</v>
      </c>
      <c r="S226" s="1050" t="n">
        <v>20000.0</v>
      </c>
      <c r="T226" s="1057" t="n">
        <v>10000.0</v>
      </c>
      <c r="U226" s="1064" t="n">
        <v>50000.0</v>
      </c>
      <c r="V226" s="1071" t="n">
        <v>0.0</v>
      </c>
      <c r="W226">
        <f si="75" t="shared"/>
        <v>623000</v>
      </c>
    </row>
    <row r="227" spans="1:23" x14ac:dyDescent="0.3">
      <c r="A227" t="s">
        <v>129</v>
      </c>
      <c r="B227">
        <f si="72" t="shared"/>
        <v>203000</v>
      </c>
      <c r="C227">
        <f si="72" t="shared"/>
        <v>66000</v>
      </c>
      <c r="D227">
        <f si="72" t="shared"/>
        <v>48000</v>
      </c>
      <c r="E227">
        <f si="72" t="shared"/>
        <v>63000</v>
      </c>
      <c r="F227">
        <f si="72" t="shared"/>
        <v>37000</v>
      </c>
      <c r="G227">
        <f si="72" t="shared"/>
        <v>45000</v>
      </c>
      <c r="H227">
        <f si="72" t="shared"/>
        <v>93000</v>
      </c>
      <c r="I227">
        <f si="73" t="shared"/>
        <v>0</v>
      </c>
      <c r="J227">
        <f si="74" t="shared"/>
        <v>555000</v>
      </c>
      <c r="N227" t="s">
        <v>129</v>
      </c>
      <c r="O227" s="1023" t="n">
        <v>220000.0</v>
      </c>
      <c r="P227" s="1030" t="n">
        <v>100000.0</v>
      </c>
      <c r="Q227" s="1037" t="n">
        <v>50000.0</v>
      </c>
      <c r="R227" s="1044" t="n">
        <v>80000.0</v>
      </c>
      <c r="S227" s="1051" t="n">
        <v>60000.0</v>
      </c>
      <c r="T227" s="1058" t="n">
        <v>40000.0</v>
      </c>
      <c r="U227" s="1065" t="n">
        <v>70000.0</v>
      </c>
      <c r="V227" s="1072" t="n">
        <v>0.0</v>
      </c>
      <c r="W227">
        <f si="75" t="shared"/>
        <v>555000</v>
      </c>
    </row>
    <row r="228" spans="1:23" x14ac:dyDescent="0.3">
      <c r="A228" t="s">
        <v>130</v>
      </c>
      <c r="B228">
        <f si="72" t="shared"/>
        <v>29000</v>
      </c>
      <c r="C228">
        <f si="72" t="shared"/>
        <v>11000</v>
      </c>
      <c r="D228">
        <f si="72" t="shared"/>
        <v>9000</v>
      </c>
      <c r="E228">
        <f si="72" t="shared"/>
        <v>21000</v>
      </c>
      <c r="F228">
        <f si="72" t="shared"/>
        <v>5000</v>
      </c>
      <c r="G228">
        <f si="72" t="shared"/>
        <v>4000</v>
      </c>
      <c r="H228">
        <f si="72" t="shared"/>
        <v>14000</v>
      </c>
      <c r="I228">
        <f si="73" t="shared"/>
        <v>0</v>
      </c>
      <c r="J228">
        <f si="74" t="shared"/>
        <v>93000</v>
      </c>
      <c r="N228" t="s">
        <v>130</v>
      </c>
      <c r="O228" s="1024" t="n">
        <v>40000.0</v>
      </c>
      <c r="P228" s="1031" t="n">
        <v>20000.0</v>
      </c>
      <c r="Q228" s="1038" t="n">
        <v>20000.0</v>
      </c>
      <c r="R228" s="1045" t="n">
        <v>0.0</v>
      </c>
      <c r="S228" s="1052" t="n">
        <v>0.0</v>
      </c>
      <c r="T228" s="1059" t="n">
        <v>0.0</v>
      </c>
      <c r="U228" s="1066" t="n">
        <v>20000.0</v>
      </c>
      <c r="V228" s="1073" t="n">
        <v>0.0</v>
      </c>
      <c r="W228">
        <f si="75" t="shared"/>
        <v>93000</v>
      </c>
    </row>
    <row r="230" spans="1:23" x14ac:dyDescent="0.3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3">
      <c r="A231" t="s">
        <v>44</v>
      </c>
      <c r="B231" t="s">
        <v>298</v>
      </c>
      <c r="C231" t="s">
        <v>299</v>
      </c>
      <c r="D231" t="s">
        <v>300</v>
      </c>
      <c r="E231" t="s">
        <v>301</v>
      </c>
      <c r="F231" t="s">
        <v>27</v>
      </c>
      <c r="N231" t="s">
        <v>44</v>
      </c>
      <c r="O231" t="s">
        <v>298</v>
      </c>
      <c r="P231" t="s">
        <v>299</v>
      </c>
      <c r="Q231" t="s">
        <v>300</v>
      </c>
      <c r="R231" t="s">
        <v>301</v>
      </c>
      <c r="S231" t="s">
        <v>27</v>
      </c>
    </row>
    <row r="232" spans="1:23" x14ac:dyDescent="0.3">
      <c r="A232" t="s">
        <v>211</v>
      </c>
      <c r="B232">
        <f ref="B232:D238" si="76" t="shared">O232*$B$1</f>
        <v>4000</v>
      </c>
      <c r="C232">
        <f si="76" t="shared"/>
        <v>36000</v>
      </c>
      <c r="D232">
        <f si="76" t="shared"/>
        <v>31000</v>
      </c>
      <c r="E232">
        <f ref="E232:E238" si="77" t="shared">R232*$B$1</f>
        <v>85000</v>
      </c>
      <c r="F232">
        <f ref="F232:F238" si="78" t="shared">S232*$B$1</f>
        <v>156000</v>
      </c>
      <c r="N232" t="s">
        <v>211</v>
      </c>
      <c r="O232" s="1074" t="n">
        <v>10000.0</v>
      </c>
      <c r="P232" s="1081" t="n">
        <v>30000.0</v>
      </c>
      <c r="Q232" s="1088" t="n">
        <v>40000.0</v>
      </c>
      <c r="R232" s="1095" t="n">
        <v>60000.0</v>
      </c>
      <c r="S232">
        <f>SUM(O232:R232)</f>
        <v>156000</v>
      </c>
    </row>
    <row r="233" spans="1:23" x14ac:dyDescent="0.3">
      <c r="A233" t="s">
        <v>212</v>
      </c>
      <c r="B233">
        <f si="76" t="shared"/>
        <v>5000</v>
      </c>
      <c r="C233">
        <f si="76" t="shared"/>
        <v>15000</v>
      </c>
      <c r="D233">
        <f si="76" t="shared"/>
        <v>14000</v>
      </c>
      <c r="E233">
        <f si="77" t="shared"/>
        <v>30000</v>
      </c>
      <c r="F233">
        <f si="78" t="shared"/>
        <v>64000</v>
      </c>
      <c r="N233" t="s">
        <v>212</v>
      </c>
      <c r="O233" s="1075" t="n">
        <v>10000.0</v>
      </c>
      <c r="P233" s="1082" t="n">
        <v>30000.0</v>
      </c>
      <c r="Q233" s="1089" t="n">
        <v>10000.0</v>
      </c>
      <c r="R233" s="1096" t="n">
        <v>30000.0</v>
      </c>
      <c r="S233">
        <f ref="S233:S238" si="79" t="shared">SUM(O233:R233)</f>
        <v>64000</v>
      </c>
    </row>
    <row r="234" spans="1:23" x14ac:dyDescent="0.3">
      <c r="A234" t="s">
        <v>213</v>
      </c>
      <c r="B234">
        <f si="76" t="shared"/>
        <v>6000</v>
      </c>
      <c r="C234">
        <f si="76" t="shared"/>
        <v>33000</v>
      </c>
      <c r="D234">
        <f si="76" t="shared"/>
        <v>32000</v>
      </c>
      <c r="E234">
        <f si="77" t="shared"/>
        <v>88000</v>
      </c>
      <c r="F234">
        <f si="78" t="shared"/>
        <v>159000</v>
      </c>
      <c r="N234" t="s">
        <v>213</v>
      </c>
      <c r="O234" s="1076" t="n">
        <v>20000.0</v>
      </c>
      <c r="P234" s="1083" t="n">
        <v>60000.0</v>
      </c>
      <c r="Q234" s="1090" t="n">
        <v>30000.0</v>
      </c>
      <c r="R234" s="1097" t="n">
        <v>80000.0</v>
      </c>
      <c r="S234">
        <f si="79" t="shared"/>
        <v>159000</v>
      </c>
    </row>
    <row r="235" spans="1:23" x14ac:dyDescent="0.3">
      <c r="A235" t="s">
        <v>36</v>
      </c>
      <c r="B235">
        <f si="76" t="shared"/>
        <v>12000</v>
      </c>
      <c r="C235">
        <f si="76" t="shared"/>
        <v>85000</v>
      </c>
      <c r="D235">
        <f si="76" t="shared"/>
        <v>92000</v>
      </c>
      <c r="E235">
        <f si="77" t="shared"/>
        <v>222000</v>
      </c>
      <c r="F235">
        <f si="78" t="shared"/>
        <v>411000</v>
      </c>
      <c r="N235" t="s">
        <v>36</v>
      </c>
      <c r="O235" s="1077" t="n">
        <v>30000.0</v>
      </c>
      <c r="P235" s="1084" t="n">
        <v>90000.0</v>
      </c>
      <c r="Q235" s="1091" t="n">
        <v>100000.0</v>
      </c>
      <c r="R235" s="1098" t="n">
        <v>230000.0</v>
      </c>
      <c r="S235">
        <f si="79" t="shared"/>
        <v>411000</v>
      </c>
    </row>
    <row r="236" spans="1:23" x14ac:dyDescent="0.3">
      <c r="A236" t="s">
        <v>215</v>
      </c>
      <c r="B236">
        <f si="76" t="shared"/>
        <v>38000</v>
      </c>
      <c r="C236">
        <f si="76" t="shared"/>
        <v>181000</v>
      </c>
      <c r="D236">
        <f si="76" t="shared"/>
        <v>129000</v>
      </c>
      <c r="E236">
        <f si="77" t="shared"/>
        <v>275000</v>
      </c>
      <c r="F236">
        <f si="78" t="shared"/>
        <v>623000</v>
      </c>
      <c r="N236" t="s">
        <v>215</v>
      </c>
      <c r="O236" s="1078" t="n">
        <v>70000.0</v>
      </c>
      <c r="P236" s="1085" t="n">
        <v>110000.0</v>
      </c>
      <c r="Q236" s="1092" t="n">
        <v>100000.0</v>
      </c>
      <c r="R236" s="1099" t="n">
        <v>240000.0</v>
      </c>
      <c r="S236">
        <f si="79" t="shared"/>
        <v>623000</v>
      </c>
    </row>
    <row r="237" spans="1:23" x14ac:dyDescent="0.3">
      <c r="A237" t="s">
        <v>129</v>
      </c>
      <c r="B237">
        <f si="76" t="shared"/>
        <v>22000</v>
      </c>
      <c r="C237">
        <f si="76" t="shared"/>
        <v>140000</v>
      </c>
      <c r="D237">
        <f si="76" t="shared"/>
        <v>103000</v>
      </c>
      <c r="E237">
        <f si="77" t="shared"/>
        <v>290000</v>
      </c>
      <c r="F237">
        <f si="78" t="shared"/>
        <v>555000</v>
      </c>
      <c r="N237" t="s">
        <v>129</v>
      </c>
      <c r="O237" s="1079" t="n">
        <v>60000.0</v>
      </c>
      <c r="P237" s="1086" t="n">
        <v>100000.0</v>
      </c>
      <c r="Q237" s="1093" t="n">
        <v>90000.0</v>
      </c>
      <c r="R237" s="1100" t="n">
        <v>370000.0</v>
      </c>
      <c r="S237">
        <f si="79" t="shared"/>
        <v>555000</v>
      </c>
    </row>
    <row r="238" spans="1:23" x14ac:dyDescent="0.3">
      <c r="A238" t="s">
        <v>130</v>
      </c>
      <c r="B238">
        <f si="76" t="shared"/>
        <v>5000</v>
      </c>
      <c r="C238">
        <f si="76" t="shared"/>
        <v>28000</v>
      </c>
      <c r="D238">
        <f si="76" t="shared"/>
        <v>18000</v>
      </c>
      <c r="E238">
        <f si="77" t="shared"/>
        <v>42000</v>
      </c>
      <c r="F238">
        <f si="78" t="shared"/>
        <v>93000</v>
      </c>
      <c r="N238" t="s">
        <v>130</v>
      </c>
      <c r="O238" s="1080" t="n">
        <v>0.0</v>
      </c>
      <c r="P238" s="1087" t="n">
        <v>30000.0</v>
      </c>
      <c r="Q238" s="1094" t="n">
        <v>10000.0</v>
      </c>
      <c r="R238" s="1101" t="n">
        <v>60000.0</v>
      </c>
      <c r="S238">
        <f si="79" t="shared"/>
        <v>93000</v>
      </c>
    </row>
    <row r="240" spans="1:23" x14ac:dyDescent="0.3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1" x14ac:dyDescent="0.3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1" x14ac:dyDescent="0.3">
      <c r="A242" t="s">
        <v>211</v>
      </c>
      <c r="B242">
        <f ref="B242:D248" si="80" t="shared">O242*$B$1</f>
        <v>0</v>
      </c>
      <c r="C242">
        <f si="80" t="shared"/>
        <v>19000</v>
      </c>
      <c r="D242">
        <f si="80" t="shared"/>
        <v>106000</v>
      </c>
      <c r="E242">
        <f ref="E242:E248" si="81" t="shared">R242*$B$1</f>
        <v>31000</v>
      </c>
      <c r="F242">
        <f ref="F242:F248" si="82" t="shared">S242*$B$1</f>
        <v>156000</v>
      </c>
      <c r="N242" t="s">
        <v>211</v>
      </c>
      <c r="O242" s="1102" t="n">
        <v>0.0</v>
      </c>
      <c r="P242" s="1109" t="n">
        <v>20000.0</v>
      </c>
      <c r="Q242" s="1116" t="n">
        <v>110000.0</v>
      </c>
      <c r="R242" s="1123" t="n">
        <v>10000.0</v>
      </c>
      <c r="S242">
        <f>SUM(O242:R242)</f>
        <v>156000</v>
      </c>
    </row>
    <row r="243" spans="1:21" x14ac:dyDescent="0.3">
      <c r="A243" t="s">
        <v>212</v>
      </c>
      <c r="B243">
        <f si="80" t="shared"/>
        <v>1000</v>
      </c>
      <c r="C243">
        <f si="80" t="shared"/>
        <v>9000</v>
      </c>
      <c r="D243">
        <f si="80" t="shared"/>
        <v>44000</v>
      </c>
      <c r="E243">
        <f si="81" t="shared"/>
        <v>10000</v>
      </c>
      <c r="F243">
        <f si="82" t="shared"/>
        <v>64000</v>
      </c>
      <c r="N243" t="s">
        <v>212</v>
      </c>
      <c r="O243" s="1103" t="n">
        <v>10000.0</v>
      </c>
      <c r="P243" s="1110" t="n">
        <v>20000.0</v>
      </c>
      <c r="Q243" s="1117" t="n">
        <v>30000.0</v>
      </c>
      <c r="R243" s="1124" t="n">
        <v>20000.0</v>
      </c>
      <c r="S243">
        <f ref="S243:S248" si="83" t="shared">SUM(O243:R243)</f>
        <v>64000</v>
      </c>
    </row>
    <row r="244" spans="1:21" x14ac:dyDescent="0.3">
      <c r="A244" t="s">
        <v>213</v>
      </c>
      <c r="B244">
        <f si="80" t="shared"/>
        <v>2000</v>
      </c>
      <c r="C244">
        <f si="80" t="shared"/>
        <v>25000</v>
      </c>
      <c r="D244">
        <f si="80" t="shared"/>
        <v>104000</v>
      </c>
      <c r="E244">
        <f si="81" t="shared"/>
        <v>28000</v>
      </c>
      <c r="F244">
        <f si="82" t="shared"/>
        <v>159000</v>
      </c>
      <c r="N244" t="s">
        <v>213</v>
      </c>
      <c r="O244" s="1104" t="n">
        <v>10000.0</v>
      </c>
      <c r="P244" s="1111" t="n">
        <v>30000.0</v>
      </c>
      <c r="Q244" s="1118" t="n">
        <v>140000.0</v>
      </c>
      <c r="R244" s="1125" t="n">
        <v>10000.0</v>
      </c>
      <c r="S244">
        <f si="83" t="shared"/>
        <v>159000</v>
      </c>
    </row>
    <row r="245" spans="1:21" x14ac:dyDescent="0.3">
      <c r="A245" t="s">
        <v>36</v>
      </c>
      <c r="B245">
        <f si="80" t="shared"/>
        <v>1000</v>
      </c>
      <c r="C245">
        <f si="80" t="shared"/>
        <v>69000</v>
      </c>
      <c r="D245">
        <f si="80" t="shared"/>
        <v>267000</v>
      </c>
      <c r="E245">
        <f si="81" t="shared"/>
        <v>74000</v>
      </c>
      <c r="F245">
        <f si="82" t="shared"/>
        <v>411000</v>
      </c>
      <c r="N245" t="s">
        <v>36</v>
      </c>
      <c r="O245" s="1105" t="n">
        <v>0.0</v>
      </c>
      <c r="P245" s="1112" t="n">
        <v>70000.0</v>
      </c>
      <c r="Q245" s="1119" t="n">
        <v>340000.0</v>
      </c>
      <c r="R245" s="1126" t="n">
        <v>40000.0</v>
      </c>
      <c r="S245">
        <f si="83" t="shared"/>
        <v>411000</v>
      </c>
    </row>
    <row r="246" spans="1:21" x14ac:dyDescent="0.3">
      <c r="A246" t="s">
        <v>215</v>
      </c>
      <c r="B246">
        <f si="80" t="shared"/>
        <v>3000</v>
      </c>
      <c r="C246">
        <f si="80" t="shared"/>
        <v>94000</v>
      </c>
      <c r="D246">
        <f si="80" t="shared"/>
        <v>423000</v>
      </c>
      <c r="E246">
        <f si="81" t="shared"/>
        <v>103000</v>
      </c>
      <c r="F246">
        <f si="82" t="shared"/>
        <v>623000</v>
      </c>
      <c r="N246" t="s">
        <v>215</v>
      </c>
      <c r="O246" s="1106" t="n">
        <v>0.0</v>
      </c>
      <c r="P246" s="1113" t="n">
        <v>70000.0</v>
      </c>
      <c r="Q246" s="1120" t="n">
        <v>410000.0</v>
      </c>
      <c r="R246" s="1127" t="n">
        <v>40000.0</v>
      </c>
      <c r="S246">
        <f si="83" t="shared"/>
        <v>623000</v>
      </c>
    </row>
    <row r="247" spans="1:21" x14ac:dyDescent="0.3">
      <c r="A247" t="s">
        <v>129</v>
      </c>
      <c r="B247">
        <f si="80" t="shared"/>
        <v>2000</v>
      </c>
      <c r="C247">
        <f si="80" t="shared"/>
        <v>90000</v>
      </c>
      <c r="D247">
        <f si="80" t="shared"/>
        <v>366000</v>
      </c>
      <c r="E247">
        <f si="81" t="shared"/>
        <v>97000</v>
      </c>
      <c r="F247">
        <f si="82" t="shared"/>
        <v>555000</v>
      </c>
      <c r="N247" t="s">
        <v>129</v>
      </c>
      <c r="O247" s="1107" t="n">
        <v>10000.0</v>
      </c>
      <c r="P247" s="1114" t="n">
        <v>80000.0</v>
      </c>
      <c r="Q247" s="1121" t="n">
        <v>410000.0</v>
      </c>
      <c r="R247" s="1128" t="n">
        <v>120000.0</v>
      </c>
      <c r="S247">
        <f si="83" t="shared"/>
        <v>555000</v>
      </c>
    </row>
    <row r="248" spans="1:21" x14ac:dyDescent="0.3">
      <c r="A248" t="s">
        <v>130</v>
      </c>
      <c r="B248">
        <f si="80" t="shared"/>
        <v>0</v>
      </c>
      <c r="C248">
        <f si="80" t="shared"/>
        <v>21000</v>
      </c>
      <c r="D248">
        <f si="80" t="shared"/>
        <v>57000</v>
      </c>
      <c r="E248">
        <f si="81" t="shared"/>
        <v>15000</v>
      </c>
      <c r="F248">
        <f si="82" t="shared"/>
        <v>93000</v>
      </c>
      <c r="N248" t="s">
        <v>130</v>
      </c>
      <c r="O248" s="1108" t="n">
        <v>0.0</v>
      </c>
      <c r="P248" s="1115" t="n">
        <v>20000.0</v>
      </c>
      <c r="Q248" s="1122" t="n">
        <v>60000.0</v>
      </c>
      <c r="R248" s="1129" t="n">
        <v>20000.0</v>
      </c>
      <c r="S248">
        <f si="83" t="shared"/>
        <v>93000</v>
      </c>
    </row>
    <row r="250" spans="1:21" x14ac:dyDescent="0.3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3">
      <c r="A251" t="s">
        <v>44</v>
      </c>
      <c r="B251" t="s">
        <v>324</v>
      </c>
      <c r="C251" t="s">
        <v>325</v>
      </c>
      <c r="D251" t="s">
        <v>326</v>
      </c>
      <c r="E251" t="s">
        <v>327</v>
      </c>
      <c r="F251" t="s">
        <v>328</v>
      </c>
      <c r="G251" t="s">
        <v>329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3">
      <c r="A252" t="s">
        <v>211</v>
      </c>
      <c r="B252">
        <f ref="B252:E258" si="84" t="shared">O252*$B$1</f>
        <v>156000</v>
      </c>
      <c r="C252">
        <f si="84" t="shared"/>
        <v>0</v>
      </c>
      <c r="D252">
        <f si="84" t="shared"/>
        <v>0</v>
      </c>
      <c r="E252">
        <f si="84" t="shared"/>
        <v>0</v>
      </c>
      <c r="F252">
        <f ref="F252:F258" si="85" t="shared">U252*$B$1</f>
        <v>0</v>
      </c>
      <c r="G252">
        <f ref="G252:G258" si="86" t="shared">T252*$B$1</f>
        <v>0</v>
      </c>
      <c r="H252">
        <f ref="H252:H258" si="87" t="shared">U252*$B$1</f>
        <v>0</v>
      </c>
      <c r="N252" t="s">
        <v>211</v>
      </c>
      <c r="O252" s="1130" t="n">
        <v>140000.0</v>
      </c>
      <c r="P252" s="1137" t="n">
        <v>0.0</v>
      </c>
      <c r="Q252" s="1144" t="n">
        <v>0.0</v>
      </c>
      <c r="R252" s="1151" t="n">
        <v>0.0</v>
      </c>
      <c r="S252" t="n">
        <v>0.0</v>
      </c>
      <c r="T252" t="n">
        <v>0.0</v>
      </c>
      <c r="U252" t="n">
        <v>0.0</v>
      </c>
    </row>
    <row r="253" spans="1:21" x14ac:dyDescent="0.3">
      <c r="A253" t="s">
        <v>212</v>
      </c>
      <c r="B253">
        <f si="84" t="shared"/>
        <v>64000</v>
      </c>
      <c r="C253">
        <f si="84" t="shared"/>
        <v>0</v>
      </c>
      <c r="D253">
        <f si="84" t="shared"/>
        <v>0</v>
      </c>
      <c r="E253">
        <f si="84" t="shared"/>
        <v>0</v>
      </c>
      <c r="F253">
        <f si="85" t="shared"/>
        <v>0</v>
      </c>
      <c r="G253">
        <f si="86" t="shared"/>
        <v>0</v>
      </c>
      <c r="H253">
        <f si="87" t="shared"/>
        <v>0</v>
      </c>
      <c r="N253" t="s">
        <v>212</v>
      </c>
      <c r="O253" s="1131" t="n">
        <v>80000.0</v>
      </c>
      <c r="P253" s="1138" t="n">
        <v>0.0</v>
      </c>
      <c r="Q253" s="1145" t="n">
        <v>0.0</v>
      </c>
      <c r="R253" s="1152" t="n">
        <v>0.0</v>
      </c>
      <c r="S253" t="n">
        <v>0.0</v>
      </c>
      <c r="T253" t="n">
        <v>0.0</v>
      </c>
      <c r="U253" t="n">
        <v>0.0</v>
      </c>
    </row>
    <row r="254" spans="1:21" x14ac:dyDescent="0.3">
      <c r="A254" t="s">
        <v>213</v>
      </c>
      <c r="B254">
        <f si="84" t="shared"/>
        <v>159000</v>
      </c>
      <c r="C254">
        <f si="84" t="shared"/>
        <v>0</v>
      </c>
      <c r="D254">
        <f si="84" t="shared"/>
        <v>0</v>
      </c>
      <c r="E254">
        <f si="84" t="shared"/>
        <v>0</v>
      </c>
      <c r="F254">
        <f si="85" t="shared"/>
        <v>0</v>
      </c>
      <c r="G254">
        <f si="86" t="shared"/>
        <v>0</v>
      </c>
      <c r="H254">
        <f si="87" t="shared"/>
        <v>0</v>
      </c>
      <c r="N254" t="s">
        <v>213</v>
      </c>
      <c r="O254" s="1132" t="n">
        <v>190000.0</v>
      </c>
      <c r="P254" s="1139" t="n">
        <v>0.0</v>
      </c>
      <c r="Q254" s="1146" t="n">
        <v>0.0</v>
      </c>
      <c r="R254" s="1153" t="n">
        <v>0.0</v>
      </c>
      <c r="S254" t="n">
        <v>0.0</v>
      </c>
      <c r="T254" t="n">
        <v>0.0</v>
      </c>
      <c r="U254" t="n">
        <v>0.0</v>
      </c>
    </row>
    <row r="255" spans="1:21" x14ac:dyDescent="0.3">
      <c r="A255" t="s">
        <v>36</v>
      </c>
      <c r="B255">
        <f si="84" t="shared"/>
        <v>411000</v>
      </c>
      <c r="C255">
        <f si="84" t="shared"/>
        <v>0</v>
      </c>
      <c r="D255">
        <f si="84" t="shared"/>
        <v>0</v>
      </c>
      <c r="E255">
        <f si="84" t="shared"/>
        <v>0</v>
      </c>
      <c r="F255">
        <f si="85" t="shared"/>
        <v>0</v>
      </c>
      <c r="G255">
        <f si="86" t="shared"/>
        <v>0</v>
      </c>
      <c r="H255">
        <f si="87" t="shared"/>
        <v>0</v>
      </c>
      <c r="N255" t="s">
        <v>36</v>
      </c>
      <c r="O255" s="1133" t="n">
        <v>450000.0</v>
      </c>
      <c r="P255" s="1140" t="n">
        <v>0.0</v>
      </c>
      <c r="Q255" s="1147" t="n">
        <v>0.0</v>
      </c>
      <c r="R255" s="1154" t="n">
        <v>0.0</v>
      </c>
      <c r="S255" t="n">
        <v>0.0</v>
      </c>
      <c r="T255" t="n">
        <v>0.0</v>
      </c>
      <c r="U255" t="n">
        <v>0.0</v>
      </c>
    </row>
    <row r="256" spans="1:21" x14ac:dyDescent="0.3">
      <c r="A256" t="s">
        <v>215</v>
      </c>
      <c r="B256">
        <f si="84" t="shared"/>
        <v>623000</v>
      </c>
      <c r="C256">
        <f si="84" t="shared"/>
        <v>0</v>
      </c>
      <c r="D256">
        <f si="84" t="shared"/>
        <v>0</v>
      </c>
      <c r="E256">
        <f si="84" t="shared"/>
        <v>0</v>
      </c>
      <c r="F256">
        <f si="85" t="shared"/>
        <v>0</v>
      </c>
      <c r="G256">
        <f si="86" t="shared"/>
        <v>0</v>
      </c>
      <c r="H256">
        <f si="87" t="shared"/>
        <v>0</v>
      </c>
      <c r="N256" t="s">
        <v>215</v>
      </c>
      <c r="O256" s="1134" t="n">
        <v>520000.0</v>
      </c>
      <c r="P256" s="1141" t="n">
        <v>0.0</v>
      </c>
      <c r="Q256" s="1148" t="n">
        <v>0.0</v>
      </c>
      <c r="R256" s="1155" t="n">
        <v>0.0</v>
      </c>
      <c r="S256" t="n">
        <v>0.0</v>
      </c>
      <c r="T256" t="n">
        <v>0.0</v>
      </c>
      <c r="U256" t="n">
        <v>0.0</v>
      </c>
    </row>
    <row r="257" spans="1:23" x14ac:dyDescent="0.3">
      <c r="A257" t="s">
        <v>129</v>
      </c>
      <c r="B257">
        <f si="84" t="shared"/>
        <v>555000</v>
      </c>
      <c r="C257">
        <f si="84" t="shared"/>
        <v>0</v>
      </c>
      <c r="D257">
        <f si="84" t="shared"/>
        <v>0</v>
      </c>
      <c r="E257">
        <f si="84" t="shared"/>
        <v>0</v>
      </c>
      <c r="F257">
        <f si="85" t="shared"/>
        <v>0</v>
      </c>
      <c r="G257">
        <f si="86" t="shared"/>
        <v>0</v>
      </c>
      <c r="H257">
        <f si="87" t="shared"/>
        <v>0</v>
      </c>
      <c r="N257" t="s">
        <v>129</v>
      </c>
      <c r="O257" s="1135" t="n">
        <v>620000.0</v>
      </c>
      <c r="P257" s="1142" t="n">
        <v>0.0</v>
      </c>
      <c r="Q257" s="1149" t="n">
        <v>0.0</v>
      </c>
      <c r="R257" s="1156" t="n">
        <v>0.0</v>
      </c>
      <c r="S257" t="n">
        <v>0.0</v>
      </c>
      <c r="T257" t="n">
        <v>0.0</v>
      </c>
      <c r="U257" t="n">
        <v>0.0</v>
      </c>
    </row>
    <row r="258" spans="1:23" x14ac:dyDescent="0.3">
      <c r="A258" t="s">
        <v>130</v>
      </c>
      <c r="B258">
        <f si="84" t="shared"/>
        <v>93000</v>
      </c>
      <c r="C258">
        <f si="84" t="shared"/>
        <v>0</v>
      </c>
      <c r="D258">
        <f si="84" t="shared"/>
        <v>0</v>
      </c>
      <c r="E258">
        <f si="84" t="shared"/>
        <v>0</v>
      </c>
      <c r="F258">
        <f si="85" t="shared"/>
        <v>0</v>
      </c>
      <c r="G258">
        <f si="86" t="shared"/>
        <v>0</v>
      </c>
      <c r="H258">
        <f si="87" t="shared"/>
        <v>0</v>
      </c>
      <c r="N258" t="s">
        <v>130</v>
      </c>
      <c r="O258" s="1136" t="n">
        <v>100000.0</v>
      </c>
      <c r="P258" s="1143" t="n">
        <v>0.0</v>
      </c>
      <c r="Q258" s="1150" t="n">
        <v>0.0</v>
      </c>
      <c r="R258" s="1157" t="n">
        <v>0.0</v>
      </c>
      <c r="S258" t="n">
        <v>0.0</v>
      </c>
      <c r="T258" t="n">
        <v>0.0</v>
      </c>
      <c r="U258" t="n">
        <v>0.0</v>
      </c>
    </row>
    <row r="260" spans="1:23" x14ac:dyDescent="0.3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3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3">
      <c r="A262" t="s">
        <v>211</v>
      </c>
      <c r="B262">
        <f ref="B262:H269" si="88" t="shared">O262*$B$1</f>
        <v>1819000</v>
      </c>
      <c r="C262">
        <f si="88" t="shared"/>
        <v>414000</v>
      </c>
      <c r="D262">
        <f si="88" t="shared"/>
        <v>0</v>
      </c>
      <c r="E262">
        <f si="88" t="shared"/>
        <v>0</v>
      </c>
      <c r="F262">
        <f si="88" t="shared"/>
        <v>57000</v>
      </c>
      <c r="G262">
        <f si="88" t="shared"/>
        <v>22000</v>
      </c>
      <c r="H262">
        <f si="88" t="shared"/>
        <v>0</v>
      </c>
      <c r="I262">
        <f ref="I262:I269" si="89" t="shared">V262*$B$1</f>
        <v>0</v>
      </c>
      <c r="J262">
        <f ref="J262:J269" si="90" t="shared">W262*$B$1</f>
        <v>2312000</v>
      </c>
      <c r="N262" t="s">
        <v>211</v>
      </c>
      <c r="O262" s="1158" t="n">
        <v>1700000.0</v>
      </c>
      <c r="P262" s="1166" t="n">
        <v>530000.0</v>
      </c>
      <c r="Q262" s="1174" t="n">
        <v>0.0</v>
      </c>
      <c r="R262" s="1182" t="n">
        <v>0.0</v>
      </c>
      <c r="S262" s="1190" t="n">
        <v>30000.0</v>
      </c>
      <c r="T262" s="1198" t="n">
        <v>80000.0</v>
      </c>
      <c r="U262" s="1206" t="n">
        <v>0.0</v>
      </c>
      <c r="V262" s="1214" t="n">
        <v>0.0</v>
      </c>
      <c r="W262">
        <f>SUM(O262:V262)</f>
        <v>2312000</v>
      </c>
    </row>
    <row r="263" spans="1:23" x14ac:dyDescent="0.3">
      <c r="A263" t="s">
        <v>212</v>
      </c>
      <c r="B263">
        <f si="88" t="shared"/>
        <v>0</v>
      </c>
      <c r="C263">
        <f si="88" t="shared"/>
        <v>0</v>
      </c>
      <c r="D263">
        <f si="88" t="shared"/>
        <v>0</v>
      </c>
      <c r="E263">
        <f si="88" t="shared"/>
        <v>0</v>
      </c>
      <c r="F263">
        <f si="88" t="shared"/>
        <v>119000</v>
      </c>
      <c r="G263">
        <f si="88" t="shared"/>
        <v>212000</v>
      </c>
      <c r="H263">
        <f si="88" t="shared"/>
        <v>591000</v>
      </c>
      <c r="I263">
        <f si="89" t="shared"/>
        <v>0</v>
      </c>
      <c r="J263">
        <f si="90" t="shared"/>
        <v>922000</v>
      </c>
      <c r="N263" t="s">
        <v>212</v>
      </c>
      <c r="O263" s="1159" t="n">
        <v>0.0</v>
      </c>
      <c r="P263" s="1167" t="n">
        <v>0.0</v>
      </c>
      <c r="Q263" s="1175" t="n">
        <v>0.0</v>
      </c>
      <c r="R263" s="1183" t="n">
        <v>0.0</v>
      </c>
      <c r="S263" s="1191" t="n">
        <v>80000.0</v>
      </c>
      <c r="T263" s="1199" t="n">
        <v>230000.0</v>
      </c>
      <c r="U263" s="1207" t="n">
        <v>490000.0</v>
      </c>
      <c r="V263" s="1215" t="n">
        <v>0.0</v>
      </c>
      <c r="W263">
        <f ref="W263:W269" si="91" t="shared">SUM(O263:V263)</f>
        <v>922000</v>
      </c>
    </row>
    <row r="264" spans="1:23" x14ac:dyDescent="0.3">
      <c r="A264" t="s">
        <v>213</v>
      </c>
      <c r="B264">
        <f si="88" t="shared"/>
        <v>424000</v>
      </c>
      <c r="C264">
        <f si="88" t="shared"/>
        <v>157000</v>
      </c>
      <c r="D264">
        <f si="88" t="shared"/>
        <v>79000</v>
      </c>
      <c r="E264">
        <f si="88" t="shared"/>
        <v>466000</v>
      </c>
      <c r="F264">
        <f si="88" t="shared"/>
        <v>74000</v>
      </c>
      <c r="G264">
        <f si="88" t="shared"/>
        <v>38000</v>
      </c>
      <c r="H264">
        <f si="88" t="shared"/>
        <v>154000</v>
      </c>
      <c r="I264">
        <f si="89" t="shared"/>
        <v>0</v>
      </c>
      <c r="J264">
        <f si="90" t="shared"/>
        <v>1392000</v>
      </c>
      <c r="N264" t="s">
        <v>213</v>
      </c>
      <c r="O264" s="1160" t="n">
        <v>370000.0</v>
      </c>
      <c r="P264" s="1168" t="n">
        <v>260000.0</v>
      </c>
      <c r="Q264" s="1176" t="n">
        <v>250000.0</v>
      </c>
      <c r="R264" s="1184" t="n">
        <v>550000.0</v>
      </c>
      <c r="S264" s="1192" t="n">
        <v>80000.0</v>
      </c>
      <c r="T264" s="1200" t="n">
        <v>10000.0</v>
      </c>
      <c r="U264" s="1208" t="n">
        <v>150000.0</v>
      </c>
      <c r="V264" s="1216" t="n">
        <v>0.0</v>
      </c>
      <c r="W264">
        <f si="91" t="shared"/>
        <v>1392000</v>
      </c>
    </row>
    <row r="265" spans="1:23" x14ac:dyDescent="0.3">
      <c r="A265" t="s">
        <v>36</v>
      </c>
      <c r="B265">
        <f si="88" t="shared"/>
        <v>546000</v>
      </c>
      <c r="C265">
        <f si="88" t="shared"/>
        <v>179000</v>
      </c>
      <c r="D265">
        <f si="88" t="shared"/>
        <v>179000</v>
      </c>
      <c r="E265">
        <f si="88" t="shared"/>
        <v>298000</v>
      </c>
      <c r="F265">
        <f si="88" t="shared"/>
        <v>54000</v>
      </c>
      <c r="G265">
        <f si="88" t="shared"/>
        <v>96000</v>
      </c>
      <c r="H265">
        <f si="88" t="shared"/>
        <v>182000</v>
      </c>
      <c r="I265">
        <f si="89" t="shared"/>
        <v>0</v>
      </c>
      <c r="J265">
        <f si="90" t="shared"/>
        <v>1534000</v>
      </c>
      <c r="N265" t="s">
        <v>36</v>
      </c>
      <c r="O265" s="1161" t="n">
        <v>490000.0</v>
      </c>
      <c r="P265" s="1169" t="n">
        <v>250000.0</v>
      </c>
      <c r="Q265" s="1177" t="n">
        <v>230000.0</v>
      </c>
      <c r="R265" s="1185" t="n">
        <v>330000.0</v>
      </c>
      <c r="S265" s="1193" t="n">
        <v>40000.0</v>
      </c>
      <c r="T265" s="1201" t="n">
        <v>40000.0</v>
      </c>
      <c r="U265" s="1209" t="n">
        <v>210000.0</v>
      </c>
      <c r="V265" s="1217" t="n">
        <v>0.0</v>
      </c>
      <c r="W265">
        <f si="91" t="shared"/>
        <v>1534000</v>
      </c>
    </row>
    <row r="266" spans="1:23" x14ac:dyDescent="0.3">
      <c r="A266" t="s">
        <v>215</v>
      </c>
      <c r="B266">
        <f si="88" t="shared"/>
        <v>248000</v>
      </c>
      <c r="C266">
        <f si="88" t="shared"/>
        <v>90000</v>
      </c>
      <c r="D266">
        <f si="88" t="shared"/>
        <v>80000</v>
      </c>
      <c r="E266">
        <f si="88" t="shared"/>
        <v>109000</v>
      </c>
      <c r="F266">
        <f si="88" t="shared"/>
        <v>26000</v>
      </c>
      <c r="G266">
        <f si="88" t="shared"/>
        <v>25000</v>
      </c>
      <c r="H266">
        <f si="88" t="shared"/>
        <v>87000</v>
      </c>
      <c r="I266">
        <f si="89" t="shared"/>
        <v>0</v>
      </c>
      <c r="J266">
        <f si="90" t="shared"/>
        <v>665000</v>
      </c>
      <c r="N266" t="s">
        <v>215</v>
      </c>
      <c r="O266" s="1162" t="n">
        <v>200000.0</v>
      </c>
      <c r="P266" s="1170" t="n">
        <v>50000.0</v>
      </c>
      <c r="Q266" s="1178" t="n">
        <v>160000.0</v>
      </c>
      <c r="R266" s="1186" t="n">
        <v>110000.0</v>
      </c>
      <c r="S266" s="1194" t="n">
        <v>20000.0</v>
      </c>
      <c r="T266" s="1202" t="n">
        <v>0.0</v>
      </c>
      <c r="U266" s="1210" t="n">
        <v>30000.0</v>
      </c>
      <c r="V266" s="1218" t="n">
        <v>0.0</v>
      </c>
      <c r="W266">
        <f si="91" t="shared"/>
        <v>665000</v>
      </c>
    </row>
    <row r="267" spans="1:23" x14ac:dyDescent="0.3">
      <c r="A267" t="s">
        <v>129</v>
      </c>
      <c r="B267">
        <f si="88" t="shared"/>
        <v>350000</v>
      </c>
      <c r="C267">
        <f si="88" t="shared"/>
        <v>96000</v>
      </c>
      <c r="D267">
        <f si="88" t="shared"/>
        <v>72000</v>
      </c>
      <c r="E267">
        <f si="88" t="shared"/>
        <v>89000</v>
      </c>
      <c r="F267">
        <f si="88" t="shared"/>
        <v>39000</v>
      </c>
      <c r="G267">
        <f si="88" t="shared"/>
        <v>49000</v>
      </c>
      <c r="H267">
        <f si="88" t="shared"/>
        <v>78000</v>
      </c>
      <c r="I267">
        <f si="89" t="shared"/>
        <v>0</v>
      </c>
      <c r="J267">
        <f si="90" t="shared"/>
        <v>773000</v>
      </c>
      <c r="N267" t="s">
        <v>129</v>
      </c>
      <c r="O267" s="1163" t="n">
        <v>340000.0</v>
      </c>
      <c r="P267" s="1171" t="n">
        <v>130000.0</v>
      </c>
      <c r="Q267" s="1179" t="n">
        <v>100000.0</v>
      </c>
      <c r="R267" s="1187" t="n">
        <v>100000.0</v>
      </c>
      <c r="S267" s="1195" t="n">
        <v>50000.0</v>
      </c>
      <c r="T267" s="1203" t="n">
        <v>50000.0</v>
      </c>
      <c r="U267" s="1211" t="n">
        <v>80000.0</v>
      </c>
      <c r="V267" s="1219" t="n">
        <v>0.0</v>
      </c>
      <c r="W267">
        <f si="91" t="shared"/>
        <v>773000</v>
      </c>
    </row>
    <row r="268" spans="1:23" x14ac:dyDescent="0.3">
      <c r="A268" t="s">
        <v>130</v>
      </c>
      <c r="B268">
        <f si="88" t="shared"/>
        <v>384000</v>
      </c>
      <c r="C268">
        <f si="88" t="shared"/>
        <v>128000</v>
      </c>
      <c r="D268">
        <f si="88" t="shared"/>
        <v>132000</v>
      </c>
      <c r="E268">
        <f si="88" t="shared"/>
        <v>218000</v>
      </c>
      <c r="F268">
        <f si="88" t="shared"/>
        <v>53000</v>
      </c>
      <c r="G268">
        <f si="88" t="shared"/>
        <v>52000</v>
      </c>
      <c r="H268">
        <f si="88" t="shared"/>
        <v>153000</v>
      </c>
      <c r="I268">
        <f si="89" t="shared"/>
        <v>0</v>
      </c>
      <c r="J268">
        <f si="90" t="shared"/>
        <v>1120000</v>
      </c>
      <c r="N268" t="s">
        <v>130</v>
      </c>
      <c r="O268" s="1164" t="n">
        <v>340000.0</v>
      </c>
      <c r="P268" s="1172" t="n">
        <v>170000.0</v>
      </c>
      <c r="Q268" s="1180" t="n">
        <v>170000.0</v>
      </c>
      <c r="R268" s="1188" t="n">
        <v>100000.0</v>
      </c>
      <c r="S268" s="1196" t="n">
        <v>30000.0</v>
      </c>
      <c r="T268" s="1204" t="n">
        <v>40000.0</v>
      </c>
      <c r="U268" s="1212" t="n">
        <v>120000.0</v>
      </c>
      <c r="V268" s="1220" t="n">
        <v>0.0</v>
      </c>
      <c r="W268">
        <f si="91" t="shared"/>
        <v>1120000</v>
      </c>
    </row>
    <row r="269" spans="1:23" x14ac:dyDescent="0.3">
      <c r="A269" t="s">
        <v>145</v>
      </c>
      <c r="B269">
        <f si="88" t="shared"/>
        <v>1767000</v>
      </c>
      <c r="C269">
        <f si="88" t="shared"/>
        <v>519000</v>
      </c>
      <c r="D269">
        <f si="88" t="shared"/>
        <v>271000</v>
      </c>
      <c r="E269">
        <f si="88" t="shared"/>
        <v>574000</v>
      </c>
      <c r="F269">
        <f si="88" t="shared"/>
        <v>210000</v>
      </c>
      <c r="G269">
        <f si="88" t="shared"/>
        <v>290000</v>
      </c>
      <c r="H269">
        <f si="88" t="shared"/>
        <v>735000</v>
      </c>
      <c r="I269">
        <f si="89" t="shared"/>
        <v>0</v>
      </c>
      <c r="J269">
        <f si="90" t="shared"/>
        <v>4366000</v>
      </c>
      <c r="N269" t="s">
        <v>145</v>
      </c>
      <c r="O269" s="1165" t="n">
        <v>1530000.0</v>
      </c>
      <c r="P269" s="1173" t="n">
        <v>650000.0</v>
      </c>
      <c r="Q269" s="1181" t="n">
        <v>380000.0</v>
      </c>
      <c r="R269" s="1189" t="n">
        <v>490000.0</v>
      </c>
      <c r="S269" s="1197" t="n">
        <v>210000.0</v>
      </c>
      <c r="T269" s="1205" t="n">
        <v>280000.0</v>
      </c>
      <c r="U269" s="1213" t="n">
        <v>550000.0</v>
      </c>
      <c r="V269" s="1221" t="n">
        <v>0.0</v>
      </c>
      <c r="W269">
        <f si="91" t="shared"/>
        <v>4366000</v>
      </c>
    </row>
    <row r="271" spans="1:23" x14ac:dyDescent="0.3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3">
      <c r="A272" t="s">
        <v>44</v>
      </c>
      <c r="B272" t="s">
        <v>298</v>
      </c>
      <c r="C272" t="s">
        <v>299</v>
      </c>
      <c r="D272" t="s">
        <v>300</v>
      </c>
      <c r="E272" t="s">
        <v>301</v>
      </c>
      <c r="F272" t="s">
        <v>27</v>
      </c>
      <c r="N272" t="s">
        <v>44</v>
      </c>
      <c r="O272" t="s">
        <v>298</v>
      </c>
      <c r="P272" t="s">
        <v>299</v>
      </c>
      <c r="Q272" t="s">
        <v>300</v>
      </c>
      <c r="R272" t="s">
        <v>301</v>
      </c>
      <c r="S272" t="s">
        <v>27</v>
      </c>
    </row>
    <row r="273" spans="1:19" x14ac:dyDescent="0.3">
      <c r="A273" t="s">
        <v>211</v>
      </c>
      <c r="B273">
        <f ref="B273:D280" si="92" t="shared">O273*$B$1</f>
        <v>59000</v>
      </c>
      <c r="C273">
        <f si="92" t="shared"/>
        <v>531000</v>
      </c>
      <c r="D273">
        <f si="92" t="shared"/>
        <v>474000</v>
      </c>
      <c r="E273">
        <f ref="E273:E280" si="93" t="shared">R273*$B$1</f>
        <v>1248000</v>
      </c>
      <c r="F273">
        <f ref="F273:F280" si="94" t="shared">S273*$B$1</f>
        <v>2312000</v>
      </c>
      <c r="N273" t="s">
        <v>211</v>
      </c>
      <c r="O273" s="1222" t="n">
        <v>150000.0</v>
      </c>
      <c r="P273" s="1230" t="n">
        <v>410000.0</v>
      </c>
      <c r="Q273" s="1238" t="n">
        <v>610000.0</v>
      </c>
      <c r="R273" s="1246" t="n">
        <v>1170000.0</v>
      </c>
      <c r="S273">
        <f>SUM(O273:R273)</f>
        <v>2312000</v>
      </c>
    </row>
    <row r="274" spans="1:19" x14ac:dyDescent="0.3">
      <c r="A274" t="s">
        <v>212</v>
      </c>
      <c r="B274">
        <f si="92" t="shared"/>
        <v>57000</v>
      </c>
      <c r="C274">
        <f si="92" t="shared"/>
        <v>209000</v>
      </c>
      <c r="D274">
        <f si="92" t="shared"/>
        <v>209000</v>
      </c>
      <c r="E274">
        <f si="93" t="shared"/>
        <v>447000</v>
      </c>
      <c r="F274">
        <f si="94" t="shared"/>
        <v>922000</v>
      </c>
      <c r="N274" t="s">
        <v>212</v>
      </c>
      <c r="O274" s="1223" t="n">
        <v>90000.0</v>
      </c>
      <c r="P274" s="1231" t="n">
        <v>150000.0</v>
      </c>
      <c r="Q274" s="1239" t="n">
        <v>140000.0</v>
      </c>
      <c r="R274" s="1247" t="n">
        <v>420000.0</v>
      </c>
      <c r="S274">
        <f ref="S274:S280" si="95" t="shared">SUM(O274:R274)</f>
        <v>922000</v>
      </c>
    </row>
    <row r="275" spans="1:19" x14ac:dyDescent="0.3">
      <c r="A275" t="s">
        <v>213</v>
      </c>
      <c r="B275">
        <f si="92" t="shared"/>
        <v>67000</v>
      </c>
      <c r="C275">
        <f si="92" t="shared"/>
        <v>310000</v>
      </c>
      <c r="D275">
        <f si="92" t="shared"/>
        <v>313000</v>
      </c>
      <c r="E275">
        <f si="93" t="shared"/>
        <v>702000</v>
      </c>
      <c r="F275">
        <f si="94" t="shared"/>
        <v>1392000</v>
      </c>
      <c r="N275" t="s">
        <v>213</v>
      </c>
      <c r="O275" s="1224" t="n">
        <v>170000.0</v>
      </c>
      <c r="P275" s="1232" t="n">
        <v>410000.0</v>
      </c>
      <c r="Q275" s="1240" t="n">
        <v>310000.0</v>
      </c>
      <c r="R275" s="1248" t="n">
        <v>780000.0</v>
      </c>
      <c r="S275">
        <f si="95" t="shared"/>
        <v>1392000</v>
      </c>
    </row>
    <row r="276" spans="1:19" x14ac:dyDescent="0.3">
      <c r="A276" t="s">
        <v>36</v>
      </c>
      <c r="B276">
        <f si="92" t="shared"/>
        <v>57000</v>
      </c>
      <c r="C276">
        <f si="92" t="shared"/>
        <v>308000</v>
      </c>
      <c r="D276">
        <f si="92" t="shared"/>
        <v>382000</v>
      </c>
      <c r="E276">
        <f si="93" t="shared"/>
        <v>787000</v>
      </c>
      <c r="F276">
        <f si="94" t="shared"/>
        <v>1534000</v>
      </c>
      <c r="N276" t="s">
        <v>36</v>
      </c>
      <c r="O276" s="1225" t="n">
        <v>150000.0</v>
      </c>
      <c r="P276" s="1233" t="n">
        <v>280000.0</v>
      </c>
      <c r="Q276" s="1241" t="n">
        <v>350000.0</v>
      </c>
      <c r="R276" s="1249" t="n">
        <v>810000.0</v>
      </c>
      <c r="S276">
        <f si="95" t="shared"/>
        <v>1534000</v>
      </c>
    </row>
    <row r="277" spans="1:19" x14ac:dyDescent="0.3">
      <c r="A277" t="s">
        <v>215</v>
      </c>
      <c r="B277">
        <f si="92" t="shared"/>
        <v>39000</v>
      </c>
      <c r="C277">
        <f si="92" t="shared"/>
        <v>206000</v>
      </c>
      <c r="D277">
        <f si="92" t="shared"/>
        <v>142000</v>
      </c>
      <c r="E277">
        <f si="93" t="shared"/>
        <v>278000</v>
      </c>
      <c r="F277">
        <f si="94" t="shared"/>
        <v>665000</v>
      </c>
      <c r="N277" t="s">
        <v>215</v>
      </c>
      <c r="O277" s="1226" t="n">
        <v>80000.0</v>
      </c>
      <c r="P277" s="1234" t="n">
        <v>200000.0</v>
      </c>
      <c r="Q277" s="1242" t="n">
        <v>60000.0</v>
      </c>
      <c r="R277" s="1250" t="n">
        <v>230000.0</v>
      </c>
      <c r="S277">
        <f si="95" t="shared"/>
        <v>665000</v>
      </c>
    </row>
    <row r="278" spans="1:19" x14ac:dyDescent="0.3">
      <c r="A278" t="s">
        <v>129</v>
      </c>
      <c r="B278">
        <f si="92" t="shared"/>
        <v>32000</v>
      </c>
      <c r="C278">
        <f si="92" t="shared"/>
        <v>189000</v>
      </c>
      <c r="D278">
        <f si="92" t="shared"/>
        <v>150000</v>
      </c>
      <c r="E278">
        <f si="93" t="shared"/>
        <v>402000</v>
      </c>
      <c r="F278">
        <f si="94" t="shared"/>
        <v>773000</v>
      </c>
      <c r="N278" t="s">
        <v>129</v>
      </c>
      <c r="O278" s="1227" t="n">
        <v>70000.0</v>
      </c>
      <c r="P278" s="1235" t="n">
        <v>200000.0</v>
      </c>
      <c r="Q278" s="1243" t="n">
        <v>110000.0</v>
      </c>
      <c r="R278" s="1251" t="n">
        <v>470000.0</v>
      </c>
      <c r="S278">
        <f si="95" t="shared"/>
        <v>773000</v>
      </c>
    </row>
    <row r="279" spans="1:19" x14ac:dyDescent="0.3">
      <c r="A279" t="s">
        <v>130</v>
      </c>
      <c r="B279">
        <f si="92" t="shared"/>
        <v>61000</v>
      </c>
      <c r="C279">
        <f si="92" t="shared"/>
        <v>344000</v>
      </c>
      <c r="D279">
        <f si="92" t="shared"/>
        <v>237000</v>
      </c>
      <c r="E279">
        <f si="93" t="shared"/>
        <v>478000</v>
      </c>
      <c r="F279">
        <f si="94" t="shared"/>
        <v>1120000</v>
      </c>
      <c r="N279" t="s">
        <v>130</v>
      </c>
      <c r="O279" s="1228" t="n">
        <v>60000.0</v>
      </c>
      <c r="P279" s="1236" t="n">
        <v>210000.0</v>
      </c>
      <c r="Q279" s="1244" t="n">
        <v>240000.0</v>
      </c>
      <c r="R279" s="1252" t="n">
        <v>460000.0</v>
      </c>
      <c r="S279">
        <f si="95" t="shared"/>
        <v>1120000</v>
      </c>
    </row>
    <row r="280" spans="1:19" x14ac:dyDescent="0.3">
      <c r="A280" t="s">
        <v>145</v>
      </c>
      <c r="B280">
        <f si="92" t="shared"/>
        <v>211000</v>
      </c>
      <c r="C280">
        <f si="92" t="shared"/>
        <v>1090000</v>
      </c>
      <c r="D280">
        <f si="92" t="shared"/>
        <v>965000</v>
      </c>
      <c r="E280">
        <f si="93" t="shared"/>
        <v>2100000</v>
      </c>
      <c r="F280">
        <f si="94" t="shared"/>
        <v>4366000</v>
      </c>
      <c r="N280" t="s">
        <v>145</v>
      </c>
      <c r="O280" s="1229" t="n">
        <v>400000.0</v>
      </c>
      <c r="P280" s="1237" t="n">
        <v>830000.0</v>
      </c>
      <c r="Q280" s="1245" t="n">
        <v>920000.0</v>
      </c>
      <c r="R280" s="1253" t="n">
        <v>1940000.0</v>
      </c>
      <c r="S280">
        <f si="95" t="shared"/>
        <v>4366000</v>
      </c>
    </row>
    <row r="282" spans="1:19" x14ac:dyDescent="0.3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3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3">
      <c r="A284" t="s">
        <v>211</v>
      </c>
      <c r="B284">
        <f ref="B284:D291" si="96" t="shared">O284*$B$1</f>
        <v>3000</v>
      </c>
      <c r="C284">
        <f si="96" t="shared"/>
        <v>296000</v>
      </c>
      <c r="D284">
        <f si="96" t="shared"/>
        <v>1544000</v>
      </c>
      <c r="E284">
        <f ref="E284:E291" si="97" t="shared">R284*$B$1</f>
        <v>469000</v>
      </c>
      <c r="F284">
        <f ref="F284:F291" si="98" t="shared">S284*$B$1</f>
        <v>2312000</v>
      </c>
      <c r="N284" t="s">
        <v>211</v>
      </c>
      <c r="O284" s="1254" t="n">
        <v>0.0</v>
      </c>
      <c r="P284" s="1262" t="n">
        <v>290000.0</v>
      </c>
      <c r="Q284" s="1270" t="n">
        <v>1750000.0</v>
      </c>
      <c r="R284" s="1278" t="n">
        <v>300000.0</v>
      </c>
      <c r="S284">
        <f>SUM(O284:R284)</f>
        <v>2312000</v>
      </c>
    </row>
    <row r="285" spans="1:19" x14ac:dyDescent="0.3">
      <c r="A285" t="s">
        <v>212</v>
      </c>
      <c r="B285">
        <f si="96" t="shared"/>
        <v>7000</v>
      </c>
      <c r="C285">
        <f si="96" t="shared"/>
        <v>146000</v>
      </c>
      <c r="D285">
        <f si="96" t="shared"/>
        <v>602000</v>
      </c>
      <c r="E285">
        <f si="97" t="shared"/>
        <v>167000</v>
      </c>
      <c r="F285">
        <f si="98" t="shared"/>
        <v>922000</v>
      </c>
      <c r="N285" t="s">
        <v>212</v>
      </c>
      <c r="O285" s="1255" t="n">
        <v>50000.0</v>
      </c>
      <c r="P285" s="1263" t="n">
        <v>80000.0</v>
      </c>
      <c r="Q285" s="1271" t="n">
        <v>530000.0</v>
      </c>
      <c r="R285" s="1279" t="n">
        <v>140000.0</v>
      </c>
      <c r="S285">
        <f ref="S285:S291" si="99" t="shared">SUM(O285:R285)</f>
        <v>922000</v>
      </c>
    </row>
    <row r="286" spans="1:19" x14ac:dyDescent="0.3">
      <c r="A286" t="s">
        <v>213</v>
      </c>
      <c r="B286">
        <f si="96" t="shared"/>
        <v>19000</v>
      </c>
      <c r="C286">
        <f si="96" t="shared"/>
        <v>222000</v>
      </c>
      <c r="D286">
        <f si="96" t="shared"/>
        <v>920000</v>
      </c>
      <c r="E286">
        <f si="97" t="shared"/>
        <v>231000</v>
      </c>
      <c r="F286">
        <f si="98" t="shared"/>
        <v>1392000</v>
      </c>
      <c r="N286" t="s">
        <v>213</v>
      </c>
      <c r="O286" s="1256" t="n">
        <v>80000.0</v>
      </c>
      <c r="P286" s="1264" t="n">
        <v>180000.0</v>
      </c>
      <c r="Q286" s="1272" t="n">
        <v>1290000.0</v>
      </c>
      <c r="R286" s="1280" t="n">
        <v>120000.0</v>
      </c>
      <c r="S286">
        <f si="99" t="shared"/>
        <v>1392000</v>
      </c>
    </row>
    <row r="287" spans="1:19" x14ac:dyDescent="0.3">
      <c r="A287" t="s">
        <v>36</v>
      </c>
      <c r="B287">
        <f si="96" t="shared"/>
        <v>4000</v>
      </c>
      <c r="C287">
        <f si="96" t="shared"/>
        <v>247000</v>
      </c>
      <c r="D287">
        <f si="96" t="shared"/>
        <v>996000</v>
      </c>
      <c r="E287">
        <f si="97" t="shared"/>
        <v>287000</v>
      </c>
      <c r="F287">
        <f si="98" t="shared"/>
        <v>1534000</v>
      </c>
      <c r="N287" t="s">
        <v>36</v>
      </c>
      <c r="O287" s="1257" t="n">
        <v>0.0</v>
      </c>
      <c r="P287" s="1265" t="n">
        <v>220000.0</v>
      </c>
      <c r="Q287" s="1273" t="n">
        <v>1230000.0</v>
      </c>
      <c r="R287" s="1281" t="n">
        <v>140000.0</v>
      </c>
      <c r="S287">
        <f si="99" t="shared"/>
        <v>1534000</v>
      </c>
    </row>
    <row r="288" spans="1:19" x14ac:dyDescent="0.3">
      <c r="A288" t="s">
        <v>215</v>
      </c>
      <c r="B288">
        <f si="96" t="shared"/>
        <v>5000</v>
      </c>
      <c r="C288">
        <f si="96" t="shared"/>
        <v>104000</v>
      </c>
      <c r="D288">
        <f si="96" t="shared"/>
        <v>451000</v>
      </c>
      <c r="E288">
        <f si="97" t="shared"/>
        <v>105000</v>
      </c>
      <c r="F288">
        <f si="98" t="shared"/>
        <v>665000</v>
      </c>
      <c r="N288" t="s">
        <v>215</v>
      </c>
      <c r="O288" s="1258" t="n">
        <v>0.0</v>
      </c>
      <c r="P288" s="1266" t="n">
        <v>60000.0</v>
      </c>
      <c r="Q288" s="1274" t="n">
        <v>490000.0</v>
      </c>
      <c r="R288" s="1282" t="n">
        <v>20000.0</v>
      </c>
      <c r="S288">
        <f si="99" t="shared"/>
        <v>665000</v>
      </c>
    </row>
    <row r="289" spans="1:21" x14ac:dyDescent="0.3">
      <c r="A289" t="s">
        <v>129</v>
      </c>
      <c r="B289">
        <f si="96" t="shared"/>
        <v>5000</v>
      </c>
      <c r="C289">
        <f si="96" t="shared"/>
        <v>113000</v>
      </c>
      <c r="D289">
        <f si="96" t="shared"/>
        <v>505000</v>
      </c>
      <c r="E289">
        <f si="97" t="shared"/>
        <v>150000</v>
      </c>
      <c r="F289">
        <f si="98" t="shared"/>
        <v>773000</v>
      </c>
      <c r="N289" t="s">
        <v>129</v>
      </c>
      <c r="O289" s="1259" t="n">
        <v>10000.0</v>
      </c>
      <c r="P289" s="1267" t="n">
        <v>100000.0</v>
      </c>
      <c r="Q289" s="1275" t="n">
        <v>570000.0</v>
      </c>
      <c r="R289" s="1283" t="n">
        <v>170000.0</v>
      </c>
      <c r="S289">
        <f si="99" t="shared"/>
        <v>773000</v>
      </c>
    </row>
    <row r="290" spans="1:21" x14ac:dyDescent="0.3">
      <c r="A290" t="s">
        <v>130</v>
      </c>
      <c r="B290">
        <f si="96" t="shared"/>
        <v>3000</v>
      </c>
      <c r="C290">
        <f si="96" t="shared"/>
        <v>200000</v>
      </c>
      <c r="D290">
        <f si="96" t="shared"/>
        <v>718000</v>
      </c>
      <c r="E290">
        <f si="97" t="shared"/>
        <v>199000</v>
      </c>
      <c r="F290">
        <f si="98" t="shared"/>
        <v>1120000</v>
      </c>
      <c r="N290" t="s">
        <v>130</v>
      </c>
      <c r="O290" s="1260" t="n">
        <v>10000.0</v>
      </c>
      <c r="P290" s="1268" t="n">
        <v>130000.0</v>
      </c>
      <c r="Q290" s="1276" t="n">
        <v>650000.0</v>
      </c>
      <c r="R290" s="1284" t="n">
        <v>180000.0</v>
      </c>
      <c r="S290">
        <f si="99" t="shared"/>
        <v>1120000</v>
      </c>
    </row>
    <row r="291" spans="1:21" x14ac:dyDescent="0.3">
      <c r="A291" t="s">
        <v>145</v>
      </c>
      <c r="B291">
        <f si="96" t="shared"/>
        <v>23000</v>
      </c>
      <c r="C291">
        <f si="96" t="shared"/>
        <v>657000</v>
      </c>
      <c r="D291">
        <f si="96" t="shared"/>
        <v>2828000</v>
      </c>
      <c r="E291">
        <f si="97" t="shared"/>
        <v>858000</v>
      </c>
      <c r="F291">
        <f si="98" t="shared"/>
        <v>4366000</v>
      </c>
      <c r="N291" t="s">
        <v>145</v>
      </c>
      <c r="O291" s="1261" t="n">
        <v>70000.0</v>
      </c>
      <c r="P291" s="1269" t="n">
        <v>460000.0</v>
      </c>
      <c r="Q291" s="1277" t="n">
        <v>2930000.0</v>
      </c>
      <c r="R291" s="1285" t="n">
        <v>630000.0</v>
      </c>
      <c r="S291">
        <f si="99" t="shared"/>
        <v>4366000</v>
      </c>
    </row>
    <row r="293" spans="1:21" x14ac:dyDescent="0.3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3">
      <c r="A294" t="s">
        <v>44</v>
      </c>
      <c r="B294" t="s">
        <v>324</v>
      </c>
      <c r="C294" t="s">
        <v>325</v>
      </c>
      <c r="D294" t="s">
        <v>326</v>
      </c>
      <c r="E294" t="s">
        <v>327</v>
      </c>
      <c r="F294" t="s">
        <v>328</v>
      </c>
      <c r="G294" t="s">
        <v>329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3">
      <c r="A295" t="s">
        <v>211</v>
      </c>
      <c r="B295">
        <f ref="B295:F302" si="100" t="shared">O295*$B$1</f>
        <v>2312000</v>
      </c>
      <c r="C295">
        <f si="100" t="shared"/>
        <v>0</v>
      </c>
      <c r="D295">
        <f si="100" t="shared"/>
        <v>0</v>
      </c>
      <c r="E295">
        <f si="100" t="shared"/>
        <v>0</v>
      </c>
      <c r="F295">
        <f si="100" t="shared"/>
        <v>0</v>
      </c>
      <c r="G295">
        <f ref="G295:G302" si="101" t="shared">T295*$B$1</f>
        <v>0</v>
      </c>
      <c r="H295">
        <f ref="H295:H302" si="102" t="shared">U295*$B$1</f>
        <v>0</v>
      </c>
      <c r="N295" t="s">
        <v>211</v>
      </c>
      <c r="O295" s="1286" t="n">
        <v>2340000.0</v>
      </c>
      <c r="P295" s="1294" t="n">
        <v>0.0</v>
      </c>
      <c r="Q295" s="1302" t="n">
        <v>0.0</v>
      </c>
      <c r="R295" s="1310" t="n">
        <v>0.0</v>
      </c>
      <c r="S295" t="n">
        <v>0.0</v>
      </c>
      <c r="T295" t="n">
        <v>0.0</v>
      </c>
      <c r="U295" t="n">
        <v>0.0</v>
      </c>
    </row>
    <row r="296" spans="1:21" x14ac:dyDescent="0.3">
      <c r="A296" t="s">
        <v>212</v>
      </c>
      <c r="B296">
        <f si="100" t="shared"/>
        <v>922000</v>
      </c>
      <c r="C296">
        <f si="100" t="shared"/>
        <v>0</v>
      </c>
      <c r="D296">
        <f si="100" t="shared"/>
        <v>0</v>
      </c>
      <c r="E296">
        <f si="100" t="shared"/>
        <v>0</v>
      </c>
      <c r="F296">
        <f si="100" t="shared"/>
        <v>0</v>
      </c>
      <c r="G296">
        <f si="101" t="shared"/>
        <v>0</v>
      </c>
      <c r="H296">
        <f si="102" t="shared"/>
        <v>0</v>
      </c>
      <c r="N296" t="s">
        <v>212</v>
      </c>
      <c r="O296" s="1287" t="n">
        <v>800000.0</v>
      </c>
      <c r="P296" s="1295" t="n">
        <v>0.0</v>
      </c>
      <c r="Q296" s="1303" t="n">
        <v>0.0</v>
      </c>
      <c r="R296" s="1311" t="n">
        <v>0.0</v>
      </c>
      <c r="S296" t="n">
        <v>0.0</v>
      </c>
      <c r="T296" t="n">
        <v>0.0</v>
      </c>
      <c r="U296" t="n">
        <v>0.0</v>
      </c>
    </row>
    <row r="297" spans="1:21" x14ac:dyDescent="0.3">
      <c r="A297" t="s">
        <v>213</v>
      </c>
      <c r="B297">
        <f si="100" t="shared"/>
        <v>1392000</v>
      </c>
      <c r="C297">
        <f si="100" t="shared"/>
        <v>0</v>
      </c>
      <c r="D297">
        <f si="100" t="shared"/>
        <v>0</v>
      </c>
      <c r="E297">
        <f si="100" t="shared"/>
        <v>0</v>
      </c>
      <c r="F297">
        <f si="100" t="shared"/>
        <v>0</v>
      </c>
      <c r="G297">
        <f si="101" t="shared"/>
        <v>0</v>
      </c>
      <c r="H297">
        <f si="102" t="shared"/>
        <v>0</v>
      </c>
      <c r="N297" t="s">
        <v>213</v>
      </c>
      <c r="O297" s="1288" t="n">
        <v>1670000.0</v>
      </c>
      <c r="P297" s="1296" t="n">
        <v>0.0</v>
      </c>
      <c r="Q297" s="1304" t="n">
        <v>0.0</v>
      </c>
      <c r="R297" s="1312" t="n">
        <v>0.0</v>
      </c>
      <c r="S297" t="n">
        <v>0.0</v>
      </c>
      <c r="T297" t="n">
        <v>0.0</v>
      </c>
      <c r="U297" t="n">
        <v>0.0</v>
      </c>
    </row>
    <row r="298" spans="1:21" x14ac:dyDescent="0.3">
      <c r="A298" t="s">
        <v>36</v>
      </c>
      <c r="B298">
        <f si="100" t="shared"/>
        <v>1534000</v>
      </c>
      <c r="C298">
        <f si="100" t="shared"/>
        <v>0</v>
      </c>
      <c r="D298">
        <f si="100" t="shared"/>
        <v>0</v>
      </c>
      <c r="E298">
        <f si="100" t="shared"/>
        <v>0</v>
      </c>
      <c r="F298">
        <f si="100" t="shared"/>
        <v>0</v>
      </c>
      <c r="G298">
        <f si="101" t="shared"/>
        <v>0</v>
      </c>
      <c r="H298">
        <f si="102" t="shared"/>
        <v>0</v>
      </c>
      <c r="N298" t="s">
        <v>36</v>
      </c>
      <c r="O298" s="1289" t="n">
        <v>1590000.0</v>
      </c>
      <c r="P298" s="1297" t="n">
        <v>0.0</v>
      </c>
      <c r="Q298" s="1305" t="n">
        <v>0.0</v>
      </c>
      <c r="R298" s="1313" t="n">
        <v>0.0</v>
      </c>
      <c r="S298" t="n">
        <v>0.0</v>
      </c>
      <c r="T298" t="n">
        <v>0.0</v>
      </c>
      <c r="U298" t="n">
        <v>0.0</v>
      </c>
    </row>
    <row r="299" spans="1:21" x14ac:dyDescent="0.3">
      <c r="A299" t="s">
        <v>215</v>
      </c>
      <c r="B299">
        <f si="100" t="shared"/>
        <v>665000</v>
      </c>
      <c r="C299">
        <f si="100" t="shared"/>
        <v>0</v>
      </c>
      <c r="D299">
        <f si="100" t="shared"/>
        <v>0</v>
      </c>
      <c r="E299">
        <f si="100" t="shared"/>
        <v>0</v>
      </c>
      <c r="F299">
        <f si="100" t="shared"/>
        <v>0</v>
      </c>
      <c r="G299">
        <f si="101" t="shared"/>
        <v>0</v>
      </c>
      <c r="H299">
        <f si="102" t="shared"/>
        <v>0</v>
      </c>
      <c r="N299" t="s">
        <v>215</v>
      </c>
      <c r="O299" s="1290" t="n">
        <v>570000.0</v>
      </c>
      <c r="P299" s="1298" t="n">
        <v>0.0</v>
      </c>
      <c r="Q299" s="1306" t="n">
        <v>0.0</v>
      </c>
      <c r="R299" s="1314" t="n">
        <v>0.0</v>
      </c>
      <c r="S299" t="n">
        <v>0.0</v>
      </c>
      <c r="T299" t="n">
        <v>0.0</v>
      </c>
      <c r="U299" t="n">
        <v>0.0</v>
      </c>
    </row>
    <row r="300" spans="1:21" x14ac:dyDescent="0.3">
      <c r="A300" t="s">
        <v>129</v>
      </c>
      <c r="B300">
        <f si="100" t="shared"/>
        <v>773000</v>
      </c>
      <c r="C300">
        <f si="100" t="shared"/>
        <v>0</v>
      </c>
      <c r="D300">
        <f si="100" t="shared"/>
        <v>0</v>
      </c>
      <c r="E300">
        <f si="100" t="shared"/>
        <v>0</v>
      </c>
      <c r="F300">
        <f si="100" t="shared"/>
        <v>0</v>
      </c>
      <c r="G300">
        <f si="101" t="shared"/>
        <v>0</v>
      </c>
      <c r="H300">
        <f si="102" t="shared"/>
        <v>0</v>
      </c>
      <c r="N300" t="s">
        <v>129</v>
      </c>
      <c r="O300" s="1291" t="n">
        <v>850000.0</v>
      </c>
      <c r="P300" s="1299" t="n">
        <v>0.0</v>
      </c>
      <c r="Q300" s="1307" t="n">
        <v>0.0</v>
      </c>
      <c r="R300" s="1315" t="n">
        <v>0.0</v>
      </c>
      <c r="S300" t="n">
        <v>0.0</v>
      </c>
      <c r="T300" t="n">
        <v>0.0</v>
      </c>
      <c r="U300" t="n">
        <v>0.0</v>
      </c>
    </row>
    <row r="301" spans="1:21" x14ac:dyDescent="0.3">
      <c r="A301" t="s">
        <v>130</v>
      </c>
      <c r="B301">
        <f si="100" t="shared"/>
        <v>1120000</v>
      </c>
      <c r="C301">
        <f si="100" t="shared"/>
        <v>0</v>
      </c>
      <c r="D301">
        <f si="100" t="shared"/>
        <v>0</v>
      </c>
      <c r="E301">
        <f si="100" t="shared"/>
        <v>0</v>
      </c>
      <c r="F301">
        <f si="100" t="shared"/>
        <v>0</v>
      </c>
      <c r="G301">
        <f si="101" t="shared"/>
        <v>0</v>
      </c>
      <c r="H301">
        <f si="102" t="shared"/>
        <v>0</v>
      </c>
      <c r="N301" t="s">
        <v>130</v>
      </c>
      <c r="O301" s="1292" t="n">
        <v>970000.0</v>
      </c>
      <c r="P301" s="1300" t="n">
        <v>0.0</v>
      </c>
      <c r="Q301" s="1308" t="n">
        <v>0.0</v>
      </c>
      <c r="R301" s="1316" t="n">
        <v>0.0</v>
      </c>
      <c r="S301" t="n">
        <v>0.0</v>
      </c>
      <c r="T301" t="n">
        <v>0.0</v>
      </c>
      <c r="U301" t="n">
        <v>0.0</v>
      </c>
    </row>
    <row r="302" spans="1:21" x14ac:dyDescent="0.3">
      <c r="A302" t="s">
        <v>145</v>
      </c>
      <c r="B302">
        <f si="100" t="shared"/>
        <v>4366000</v>
      </c>
      <c r="C302">
        <f si="100" t="shared"/>
        <v>0</v>
      </c>
      <c r="D302">
        <f si="100" t="shared"/>
        <v>0</v>
      </c>
      <c r="E302">
        <f si="100" t="shared"/>
        <v>0</v>
      </c>
      <c r="F302">
        <f si="100" t="shared"/>
        <v>0</v>
      </c>
      <c r="G302">
        <f si="101" t="shared"/>
        <v>0</v>
      </c>
      <c r="H302">
        <f si="102" t="shared"/>
        <v>0</v>
      </c>
      <c r="N302" t="s">
        <v>145</v>
      </c>
      <c r="O302" s="1293" t="n">
        <v>4090000.0</v>
      </c>
      <c r="P302" s="1301" t="n">
        <v>0.0</v>
      </c>
      <c r="Q302" s="1309" t="n">
        <v>0.0</v>
      </c>
      <c r="R302" s="1317" t="n">
        <v>0.0</v>
      </c>
      <c r="S302" t="n">
        <v>0.0</v>
      </c>
      <c r="T302" t="n">
        <v>0.0</v>
      </c>
      <c r="U302" t="n">
        <v>0.0</v>
      </c>
    </row>
    <row r="304" spans="1:21" x14ac:dyDescent="0.3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3">
      <c r="A305" t="s">
        <v>73</v>
      </c>
      <c r="B305" t="s">
        <v>27</v>
      </c>
      <c r="N305" t="s">
        <v>73</v>
      </c>
      <c r="O305" t="s">
        <v>27</v>
      </c>
    </row>
    <row r="306" spans="1:15" x14ac:dyDescent="0.3">
      <c r="A306" t="s">
        <v>21</v>
      </c>
      <c r="B306">
        <f ref="B306:B313" si="103" t="shared">O306*$B$1</f>
        <v>1234000</v>
      </c>
      <c r="N306" t="s">
        <v>21</v>
      </c>
      <c r="O306" s="1318" t="n">
        <v>1160000.0</v>
      </c>
    </row>
    <row r="307" spans="1:15" x14ac:dyDescent="0.3">
      <c r="A307" t="s">
        <v>22</v>
      </c>
      <c r="B307">
        <f si="103" t="shared"/>
        <v>345000</v>
      </c>
      <c r="N307" t="s">
        <v>22</v>
      </c>
      <c r="O307" s="1319" t="n">
        <v>430000.0</v>
      </c>
    </row>
    <row r="308" spans="1:15" x14ac:dyDescent="0.3">
      <c r="A308" t="s">
        <v>148</v>
      </c>
      <c r="B308">
        <f si="103" t="shared"/>
        <v>314000</v>
      </c>
      <c r="N308" t="s">
        <v>148</v>
      </c>
      <c r="O308" s="1320" t="n">
        <v>310000.0</v>
      </c>
    </row>
    <row r="309" spans="1:15" x14ac:dyDescent="0.3">
      <c r="A309" t="s">
        <v>245</v>
      </c>
      <c r="B309">
        <f si="103" t="shared"/>
        <v>461000</v>
      </c>
      <c r="N309" t="s">
        <v>245</v>
      </c>
      <c r="O309" s="1321" t="n">
        <v>410000.0</v>
      </c>
    </row>
    <row r="310" spans="1:15" x14ac:dyDescent="0.3">
      <c r="A310" t="s">
        <v>23</v>
      </c>
      <c r="B310">
        <f si="103" t="shared"/>
        <v>145000</v>
      </c>
      <c r="N310" t="s">
        <v>23</v>
      </c>
      <c r="O310" s="1322" t="n">
        <v>120000.0</v>
      </c>
    </row>
    <row r="311" spans="1:15" x14ac:dyDescent="0.3">
      <c r="A311" t="s">
        <v>24</v>
      </c>
      <c r="B311">
        <f si="103" t="shared"/>
        <v>193000</v>
      </c>
      <c r="N311" t="s">
        <v>24</v>
      </c>
      <c r="O311" s="1323" t="n">
        <v>190000.0</v>
      </c>
    </row>
    <row r="312" spans="1:15" x14ac:dyDescent="0.3">
      <c r="A312" t="s">
        <v>25</v>
      </c>
      <c r="B312">
        <f si="103" t="shared"/>
        <v>589000</v>
      </c>
      <c r="N312" t="s">
        <v>25</v>
      </c>
      <c r="O312" s="1324" t="n">
        <v>450000.0</v>
      </c>
    </row>
    <row r="313" spans="1:15" x14ac:dyDescent="0.3">
      <c r="A313" t="s">
        <v>26</v>
      </c>
      <c r="B313">
        <f si="103" t="shared"/>
        <v>0</v>
      </c>
      <c r="N313" t="s">
        <v>26</v>
      </c>
      <c r="O313" s="1325" t="n">
        <v>0.0</v>
      </c>
    </row>
    <row r="315" spans="1:15" x14ac:dyDescent="0.3">
      <c r="A315" t="s">
        <v>72</v>
      </c>
      <c r="B315" t="s">
        <v>74</v>
      </c>
      <c r="N315" t="s">
        <v>72</v>
      </c>
      <c r="O315" t="s">
        <v>74</v>
      </c>
    </row>
    <row r="316" spans="1:15" x14ac:dyDescent="0.3">
      <c r="A316" t="s">
        <v>75</v>
      </c>
      <c r="B316" t="s">
        <v>27</v>
      </c>
      <c r="N316" t="s">
        <v>75</v>
      </c>
      <c r="O316" t="s">
        <v>27</v>
      </c>
    </row>
    <row r="317" spans="1:15" x14ac:dyDescent="0.3">
      <c r="A317" t="s">
        <v>298</v>
      </c>
      <c r="B317">
        <f>O317*$B$1</f>
        <v>193000</v>
      </c>
      <c r="N317" t="s">
        <v>298</v>
      </c>
      <c r="O317" s="1326" t="n">
        <v>270000.0</v>
      </c>
    </row>
    <row r="318" spans="1:15" x14ac:dyDescent="0.3">
      <c r="A318" t="s">
        <v>299</v>
      </c>
      <c r="B318">
        <f>O318*$B$1</f>
        <v>846000</v>
      </c>
      <c r="N318" t="s">
        <v>299</v>
      </c>
      <c r="O318" s="1327" t="n">
        <v>670000.0</v>
      </c>
    </row>
    <row r="319" spans="1:15" x14ac:dyDescent="0.3">
      <c r="A319" t="s">
        <v>300</v>
      </c>
      <c r="B319">
        <f>O319*$B$1</f>
        <v>714000</v>
      </c>
      <c r="N319" t="s">
        <v>300</v>
      </c>
      <c r="O319" s="1328" t="n">
        <v>700000.0</v>
      </c>
    </row>
    <row r="320" spans="1:15" x14ac:dyDescent="0.3">
      <c r="A320" t="s">
        <v>301</v>
      </c>
      <c r="B320">
        <f>O320*$B$1</f>
        <v>1528000</v>
      </c>
      <c r="N320" t="s">
        <v>301</v>
      </c>
      <c r="O320" s="1329" t="n">
        <v>1430000.0</v>
      </c>
    </row>
    <row r="322" spans="1:16" x14ac:dyDescent="0.3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3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3">
      <c r="A324" t="s">
        <v>98</v>
      </c>
      <c r="B324">
        <f>O324*$B$1</f>
        <v>20000</v>
      </c>
      <c r="N324" t="s">
        <v>98</v>
      </c>
      <c r="O324" s="1330" t="n">
        <v>40000.0</v>
      </c>
    </row>
    <row r="325" spans="1:16" x14ac:dyDescent="0.3">
      <c r="A325" t="s">
        <v>281</v>
      </c>
      <c r="B325">
        <f>O325*$B$1</f>
        <v>511000</v>
      </c>
      <c r="N325" t="s">
        <v>281</v>
      </c>
      <c r="O325" s="1331" t="n">
        <v>370000.0</v>
      </c>
    </row>
    <row r="326" spans="1:16" x14ac:dyDescent="0.3">
      <c r="A326" t="s">
        <v>282</v>
      </c>
      <c r="B326">
        <f>O326*$B$1</f>
        <v>2128000</v>
      </c>
      <c r="N326" t="s">
        <v>282</v>
      </c>
      <c r="O326" s="1332" t="n">
        <v>2210000.0</v>
      </c>
    </row>
    <row r="327" spans="1:16" x14ac:dyDescent="0.3">
      <c r="A327" t="s">
        <v>283</v>
      </c>
      <c r="B327">
        <f>O327*$B$1</f>
        <v>622000</v>
      </c>
      <c r="N327" t="s">
        <v>283</v>
      </c>
      <c r="O327" s="1333" t="n">
        <v>450000.0</v>
      </c>
    </row>
    <row r="329" spans="1:16" x14ac:dyDescent="0.3">
      <c r="A329" t="s">
        <v>72</v>
      </c>
      <c r="B329" t="s">
        <v>76</v>
      </c>
      <c r="N329" t="s">
        <v>72</v>
      </c>
      <c r="O329" t="s">
        <v>76</v>
      </c>
    </row>
    <row r="330" spans="1:16" x14ac:dyDescent="0.3">
      <c r="A330" t="s">
        <v>302</v>
      </c>
      <c r="B330" t="s">
        <v>27</v>
      </c>
      <c r="N330" t="s">
        <v>302</v>
      </c>
      <c r="O330" t="s">
        <v>27</v>
      </c>
    </row>
    <row r="331" spans="1:16" x14ac:dyDescent="0.3">
      <c r="A331" t="s">
        <v>318</v>
      </c>
      <c r="B331">
        <f>O331*$B$1</f>
        <v>3281000</v>
      </c>
      <c r="N331">
        <v>1</v>
      </c>
      <c r="O331" s="1334" t="n">
        <v>3070000.0</v>
      </c>
    </row>
    <row r="332" spans="1:16" x14ac:dyDescent="0.3">
      <c r="A332" t="s">
        <v>319</v>
      </c>
      <c r="B332">
        <f>O332*$B$1</f>
        <v>0</v>
      </c>
      <c r="N332">
        <v>2</v>
      </c>
      <c r="O332" s="1335" t="n">
        <v>0.0</v>
      </c>
    </row>
    <row r="333" spans="1:16" x14ac:dyDescent="0.3">
      <c r="A333" t="s">
        <v>320</v>
      </c>
      <c r="B333">
        <f>O333*$B$1</f>
        <v>0</v>
      </c>
      <c r="N333">
        <v>3</v>
      </c>
      <c r="O333" s="1336" t="n">
        <v>0.0</v>
      </c>
    </row>
    <row r="334" spans="1:16" x14ac:dyDescent="0.3">
      <c r="A334" t="s">
        <v>321</v>
      </c>
      <c r="B334">
        <f>O334*$B$1</f>
        <v>0</v>
      </c>
      <c r="N334">
        <v>4</v>
      </c>
      <c r="O334" s="1337" t="n">
        <v>0.0</v>
      </c>
    </row>
    <row r="335" spans="1:16" x14ac:dyDescent="0.3">
      <c r="A335" t="s">
        <v>322</v>
      </c>
      <c r="B335">
        <f ref="B335:B337" si="104" t="shared">O335*$B$1</f>
        <v>0</v>
      </c>
      <c r="N335">
        <v>5</v>
      </c>
      <c r="O335" t="n">
        <v>0.0</v>
      </c>
    </row>
    <row r="336" spans="1:16" x14ac:dyDescent="0.3">
      <c r="A336" t="s">
        <v>323</v>
      </c>
      <c r="B336">
        <f si="104" t="shared"/>
        <v>0</v>
      </c>
      <c r="N336">
        <v>6</v>
      </c>
      <c r="O336" t="n">
        <v>0.0</v>
      </c>
    </row>
    <row r="337" spans="1:15" x14ac:dyDescent="0.3">
      <c r="A337" t="s">
        <v>330</v>
      </c>
      <c r="B337">
        <f si="104" t="shared"/>
        <v>0</v>
      </c>
      <c r="N337">
        <v>7</v>
      </c>
      <c r="O337" t="n">
        <v>0.0</v>
      </c>
    </row>
  </sheetData>
  <phoneticPr fontId="4"/>
  <pageMargins bottom="1" footer="0.5" header="0.5" left="0.75" right="0.75" top="1"/>
  <pageSetup orientation="portrait" r:id="rId1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W337"/>
  <sheetViews>
    <sheetView topLeftCell="E191" workbookViewId="0">
      <selection activeCell="W262" sqref="W262:W269"/>
    </sheetView>
  </sheetViews>
  <sheetFormatPr defaultColWidth="11" defaultRowHeight="12.4" x14ac:dyDescent="0.3"/>
  <sheetData>
    <row r="1" spans="1:23" x14ac:dyDescent="0.3">
      <c r="A1" t="s">
        <v>292</v>
      </c>
      <c r="B1">
        <v>1</v>
      </c>
    </row>
    <row r="2" spans="1:23" x14ac:dyDescent="0.3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3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3">
      <c r="A4">
        <v>0</v>
      </c>
      <c r="B4">
        <f ref="B4:J7" si="0" t="shared">O4*$B$1</f>
        <v>66000</v>
      </c>
      <c r="C4">
        <f si="0" t="shared"/>
        <v>34000</v>
      </c>
      <c r="D4">
        <f si="0" t="shared"/>
        <v>113000</v>
      </c>
      <c r="E4">
        <f si="0" t="shared"/>
        <v>113000</v>
      </c>
      <c r="F4">
        <f si="0" t="shared"/>
        <v>13000</v>
      </c>
      <c r="G4">
        <f si="0" t="shared"/>
        <v>4000</v>
      </c>
      <c r="H4">
        <f si="0" t="shared"/>
        <v>33000</v>
      </c>
      <c r="I4">
        <f si="0" t="shared"/>
        <v>0</v>
      </c>
      <c r="J4">
        <f si="0" t="shared"/>
        <v>376000</v>
      </c>
      <c r="N4">
        <v>0</v>
      </c>
      <c r="O4" t="n">
        <v>60000.0</v>
      </c>
      <c r="P4" t="n">
        <v>20000.0</v>
      </c>
      <c r="Q4" t="n">
        <v>40000.0</v>
      </c>
      <c r="R4" t="n">
        <v>100000.0</v>
      </c>
      <c r="S4" t="n">
        <v>10000.0</v>
      </c>
      <c r="T4" t="n">
        <v>10000.0</v>
      </c>
      <c r="U4" t="n">
        <v>20000.0</v>
      </c>
      <c r="V4" t="n">
        <v>0.0</v>
      </c>
      <c r="W4">
        <f>SUM(O4:V4)</f>
        <v>376000</v>
      </c>
    </row>
    <row r="5" spans="1:23" x14ac:dyDescent="0.3">
      <c r="A5">
        <v>1</v>
      </c>
      <c r="B5">
        <f si="0" t="shared"/>
        <v>694000</v>
      </c>
      <c r="C5">
        <f si="0" t="shared"/>
        <v>158000</v>
      </c>
      <c r="D5">
        <f si="0" t="shared"/>
        <v>142000</v>
      </c>
      <c r="E5">
        <f si="0" t="shared"/>
        <v>195000</v>
      </c>
      <c r="F5">
        <f si="0" t="shared"/>
        <v>66000</v>
      </c>
      <c r="G5">
        <f si="0" t="shared"/>
        <v>102000</v>
      </c>
      <c r="H5">
        <f si="0" t="shared"/>
        <v>400000</v>
      </c>
      <c r="I5">
        <f si="0" t="shared"/>
        <v>0</v>
      </c>
      <c r="J5">
        <f si="0" t="shared"/>
        <v>1757000</v>
      </c>
      <c r="N5">
        <v>1</v>
      </c>
      <c r="O5" t="n">
        <v>760000.0</v>
      </c>
      <c r="P5" t="n">
        <v>220000.0</v>
      </c>
      <c r="Q5" t="n">
        <v>180000.0</v>
      </c>
      <c r="R5" t="n">
        <v>170000.0</v>
      </c>
      <c r="S5" t="n">
        <v>40000.0</v>
      </c>
      <c r="T5" t="n">
        <v>90000.0</v>
      </c>
      <c r="U5" t="n">
        <v>330000.0</v>
      </c>
      <c r="V5" t="n">
        <v>0.0</v>
      </c>
      <c r="W5">
        <f>SUM(O5:V5)</f>
        <v>1757000</v>
      </c>
    </row>
    <row r="6" spans="1:23" x14ac:dyDescent="0.3">
      <c r="A6">
        <v>2</v>
      </c>
      <c r="B6">
        <f si="0" t="shared"/>
        <v>370000</v>
      </c>
      <c r="C6">
        <f si="0" t="shared"/>
        <v>109000</v>
      </c>
      <c r="D6">
        <f si="0" t="shared"/>
        <v>49000</v>
      </c>
      <c r="E6">
        <f si="0" t="shared"/>
        <v>97000</v>
      </c>
      <c r="F6">
        <f si="0" t="shared"/>
        <v>56000</v>
      </c>
      <c r="G6">
        <f si="0" t="shared"/>
        <v>76000</v>
      </c>
      <c r="H6">
        <f si="0" t="shared"/>
        <v>138000</v>
      </c>
      <c r="I6">
        <f si="0" t="shared"/>
        <v>0</v>
      </c>
      <c r="J6">
        <f si="0" t="shared"/>
        <v>895000</v>
      </c>
      <c r="N6">
        <v>2</v>
      </c>
      <c r="O6" t="n">
        <v>260000.0</v>
      </c>
      <c r="P6" t="n">
        <v>160000.0</v>
      </c>
      <c r="Q6" t="n">
        <v>70000.0</v>
      </c>
      <c r="R6" t="n">
        <v>110000.0</v>
      </c>
      <c r="S6" t="n">
        <v>40000.0</v>
      </c>
      <c r="T6" t="n">
        <v>80000.0</v>
      </c>
      <c r="U6" t="n">
        <v>80000.0</v>
      </c>
      <c r="V6" t="n">
        <v>0.0</v>
      </c>
      <c r="W6">
        <f>SUM(O6:V6)</f>
        <v>895000</v>
      </c>
    </row>
    <row r="7" spans="1:23" x14ac:dyDescent="0.3">
      <c r="A7">
        <v>3</v>
      </c>
      <c r="B7">
        <f si="0" t="shared"/>
        <v>104000</v>
      </c>
      <c r="C7">
        <f si="0" t="shared"/>
        <v>44000</v>
      </c>
      <c r="D7">
        <f si="0" t="shared"/>
        <v>10000</v>
      </c>
      <c r="E7">
        <f si="0" t="shared"/>
        <v>56000</v>
      </c>
      <c r="F7">
        <f si="0" t="shared"/>
        <v>10000</v>
      </c>
      <c r="G7">
        <f si="0" t="shared"/>
        <v>11000</v>
      </c>
      <c r="H7">
        <f si="0" t="shared"/>
        <v>18000</v>
      </c>
      <c r="I7">
        <f si="0" t="shared"/>
        <v>0</v>
      </c>
      <c r="J7">
        <f si="0" t="shared"/>
        <v>253000</v>
      </c>
      <c r="N7">
        <v>3</v>
      </c>
      <c r="O7" t="n">
        <v>80000.0</v>
      </c>
      <c r="P7" t="n">
        <v>30000.0</v>
      </c>
      <c r="Q7" t="n">
        <v>20000.0</v>
      </c>
      <c r="R7" t="n">
        <v>30000.0</v>
      </c>
      <c r="S7" t="n">
        <v>30000.0</v>
      </c>
      <c r="T7" t="n">
        <v>10000.0</v>
      </c>
      <c r="U7" t="n">
        <v>20000.0</v>
      </c>
      <c r="V7" t="n">
        <v>0.0</v>
      </c>
      <c r="W7">
        <f>SUM(O7:V7)</f>
        <v>253000</v>
      </c>
    </row>
    <row r="9" spans="1:23" x14ac:dyDescent="0.3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3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3">
      <c r="A11" t="s">
        <v>228</v>
      </c>
      <c r="B11">
        <f ref="B11:J23" si="1" t="shared">O11*$B$1</f>
        <v>66000</v>
      </c>
      <c r="C11">
        <f si="1" t="shared"/>
        <v>34000</v>
      </c>
      <c r="D11">
        <f si="1" t="shared"/>
        <v>113000</v>
      </c>
      <c r="E11">
        <f si="1" t="shared"/>
        <v>113000</v>
      </c>
      <c r="F11">
        <f si="1" t="shared"/>
        <v>13000</v>
      </c>
      <c r="G11">
        <f si="1" t="shared"/>
        <v>4000</v>
      </c>
      <c r="H11">
        <f si="1" t="shared"/>
        <v>33000</v>
      </c>
      <c r="I11">
        <f si="1" t="shared"/>
        <v>0</v>
      </c>
      <c r="J11">
        <f si="1" t="shared"/>
        <v>376000</v>
      </c>
      <c r="N11" t="s">
        <v>228</v>
      </c>
      <c r="O11" t="n">
        <v>60000.0</v>
      </c>
      <c r="P11" t="n">
        <v>20000.0</v>
      </c>
      <c r="Q11" t="n">
        <v>40000.0</v>
      </c>
      <c r="R11" t="n">
        <v>100000.0</v>
      </c>
      <c r="S11" t="n">
        <v>10000.0</v>
      </c>
      <c r="T11" t="n">
        <v>10000.0</v>
      </c>
      <c r="U11" t="n">
        <v>20000.0</v>
      </c>
      <c r="V11" t="n">
        <v>0.0</v>
      </c>
      <c r="W11">
        <f>SUM(O11:V11)</f>
        <v>376000</v>
      </c>
    </row>
    <row r="12" spans="1:23" x14ac:dyDescent="0.3">
      <c r="A12" s="95" t="s">
        <v>233</v>
      </c>
      <c r="B12">
        <f si="1" t="shared"/>
        <v>393000</v>
      </c>
      <c r="C12">
        <f si="1" t="shared"/>
        <v>82000</v>
      </c>
      <c r="D12">
        <f si="1" t="shared"/>
        <v>57000</v>
      </c>
      <c r="E12">
        <f si="1" t="shared"/>
        <v>89000</v>
      </c>
      <c r="F12">
        <f si="1" t="shared"/>
        <v>33000</v>
      </c>
      <c r="G12">
        <f si="1" t="shared"/>
        <v>63000</v>
      </c>
      <c r="H12">
        <f si="1" t="shared"/>
        <v>237000</v>
      </c>
      <c r="I12">
        <f si="1" t="shared"/>
        <v>0</v>
      </c>
      <c r="J12">
        <f si="1" t="shared"/>
        <v>954000</v>
      </c>
      <c r="N12" s="95" t="s">
        <v>233</v>
      </c>
      <c r="O12" t="n">
        <v>430000.0</v>
      </c>
      <c r="P12" t="n">
        <v>120000.0</v>
      </c>
      <c r="Q12" t="n">
        <v>60000.0</v>
      </c>
      <c r="R12" t="n">
        <v>70000.0</v>
      </c>
      <c r="S12" t="n">
        <v>20000.0</v>
      </c>
      <c r="T12" t="n">
        <v>40000.0</v>
      </c>
      <c r="U12" t="n">
        <v>200000.0</v>
      </c>
      <c r="V12" t="n">
        <v>0.0</v>
      </c>
      <c r="W12">
        <f ref="W12:W23" si="2" t="shared">SUM(O12:V12)</f>
        <v>954000</v>
      </c>
    </row>
    <row r="13" spans="1:23" x14ac:dyDescent="0.3">
      <c r="A13" s="93" t="s">
        <v>234</v>
      </c>
      <c r="B13">
        <f si="1" t="shared"/>
        <v>201000</v>
      </c>
      <c r="C13">
        <f si="1" t="shared"/>
        <v>33000</v>
      </c>
      <c r="D13">
        <f si="1" t="shared"/>
        <v>56000</v>
      </c>
      <c r="E13">
        <f si="1" t="shared"/>
        <v>62000</v>
      </c>
      <c r="F13">
        <f si="1" t="shared"/>
        <v>20000</v>
      </c>
      <c r="G13">
        <f si="1" t="shared"/>
        <v>21000</v>
      </c>
      <c r="H13">
        <f si="1" t="shared"/>
        <v>104000</v>
      </c>
      <c r="I13">
        <f si="1" t="shared"/>
        <v>0</v>
      </c>
      <c r="J13">
        <f si="1" t="shared"/>
        <v>497000</v>
      </c>
      <c r="N13" s="93" t="s">
        <v>234</v>
      </c>
      <c r="O13" t="n">
        <v>240000.0</v>
      </c>
      <c r="P13" t="n">
        <v>40000.0</v>
      </c>
      <c r="Q13" t="n">
        <v>40000.0</v>
      </c>
      <c r="R13" t="n">
        <v>40000.0</v>
      </c>
      <c r="S13" t="n">
        <v>10000.0</v>
      </c>
      <c r="T13" t="n">
        <v>10000.0</v>
      </c>
      <c r="U13" t="n">
        <v>80000.0</v>
      </c>
      <c r="V13" t="n">
        <v>0.0</v>
      </c>
      <c r="W13">
        <f si="2" t="shared"/>
        <v>497000</v>
      </c>
    </row>
    <row r="14" spans="1:23" x14ac:dyDescent="0.3">
      <c r="A14" s="93" t="s">
        <v>208</v>
      </c>
      <c r="B14">
        <f si="1" t="shared"/>
        <v>69000</v>
      </c>
      <c r="C14">
        <f si="1" t="shared"/>
        <v>36000</v>
      </c>
      <c r="D14">
        <f si="1" t="shared"/>
        <v>22000</v>
      </c>
      <c r="E14">
        <f si="1" t="shared"/>
        <v>34000</v>
      </c>
      <c r="F14">
        <f si="1" t="shared"/>
        <v>12000</v>
      </c>
      <c r="G14">
        <f si="1" t="shared"/>
        <v>12000</v>
      </c>
      <c r="H14">
        <f si="1" t="shared"/>
        <v>52000</v>
      </c>
      <c r="I14">
        <f si="1" t="shared"/>
        <v>0</v>
      </c>
      <c r="J14">
        <f si="1" t="shared"/>
        <v>237000</v>
      </c>
      <c r="N14" s="93" t="s">
        <v>208</v>
      </c>
      <c r="O14" t="n">
        <v>50000.0</v>
      </c>
      <c r="P14" t="n">
        <v>50000.0</v>
      </c>
      <c r="Q14" t="n">
        <v>50000.0</v>
      </c>
      <c r="R14" t="n">
        <v>40000.0</v>
      </c>
      <c r="S14" t="n">
        <v>10000.0</v>
      </c>
      <c r="T14" t="n">
        <v>40000.0</v>
      </c>
      <c r="U14" t="n">
        <v>30000.0</v>
      </c>
      <c r="V14" t="n">
        <v>0.0</v>
      </c>
      <c r="W14">
        <f si="2" t="shared"/>
        <v>237000</v>
      </c>
    </row>
    <row r="15" spans="1:23" x14ac:dyDescent="0.3">
      <c r="A15" t="s">
        <v>9</v>
      </c>
      <c r="B15">
        <f si="1" t="shared"/>
        <v>31000</v>
      </c>
      <c r="C15">
        <f si="1" t="shared"/>
        <v>7000</v>
      </c>
      <c r="D15">
        <f si="1" t="shared"/>
        <v>7000</v>
      </c>
      <c r="E15">
        <f si="1" t="shared"/>
        <v>10000</v>
      </c>
      <c r="F15">
        <f si="1" t="shared"/>
        <v>1000</v>
      </c>
      <c r="G15">
        <f si="1" t="shared"/>
        <v>6000</v>
      </c>
      <c r="H15">
        <f si="1" t="shared"/>
        <v>7000</v>
      </c>
      <c r="I15">
        <f si="1" t="shared"/>
        <v>0</v>
      </c>
      <c r="J15">
        <f si="1" t="shared"/>
        <v>69000</v>
      </c>
      <c r="N15" t="s">
        <v>9</v>
      </c>
      <c r="O15" t="n">
        <v>40000.0</v>
      </c>
      <c r="P15" t="n">
        <v>10000.0</v>
      </c>
      <c r="Q15" t="n">
        <v>30000.0</v>
      </c>
      <c r="R15" t="n">
        <v>20000.0</v>
      </c>
      <c r="S15" t="n">
        <v>0.0</v>
      </c>
      <c r="T15" t="n">
        <v>0.0</v>
      </c>
      <c r="U15" t="n">
        <v>20000.0</v>
      </c>
      <c r="V15" t="n">
        <v>0.0</v>
      </c>
      <c r="W15">
        <f si="2" t="shared"/>
        <v>69000</v>
      </c>
    </row>
    <row r="16" spans="1:23" x14ac:dyDescent="0.3">
      <c r="A16" s="95" t="s">
        <v>235</v>
      </c>
      <c r="B16">
        <f si="1" t="shared"/>
        <v>198000</v>
      </c>
      <c r="C16">
        <f si="1" t="shared"/>
        <v>53000</v>
      </c>
      <c r="D16">
        <f si="1" t="shared"/>
        <v>25000</v>
      </c>
      <c r="E16">
        <f si="1" t="shared"/>
        <v>47000</v>
      </c>
      <c r="F16">
        <f si="1" t="shared"/>
        <v>23000</v>
      </c>
      <c r="G16">
        <f si="1" t="shared"/>
        <v>39000</v>
      </c>
      <c r="H16">
        <f si="1" t="shared"/>
        <v>75000</v>
      </c>
      <c r="I16">
        <f si="1" t="shared"/>
        <v>0</v>
      </c>
      <c r="J16">
        <f si="1" t="shared"/>
        <v>460000</v>
      </c>
      <c r="N16" s="95" t="s">
        <v>235</v>
      </c>
      <c r="O16" t="n">
        <v>130000.0</v>
      </c>
      <c r="P16" t="n">
        <v>80000.0</v>
      </c>
      <c r="Q16" t="n">
        <v>40000.0</v>
      </c>
      <c r="R16" t="n">
        <v>40000.0</v>
      </c>
      <c r="S16" t="n">
        <v>20000.0</v>
      </c>
      <c r="T16" t="n">
        <v>50000.0</v>
      </c>
      <c r="U16" t="n">
        <v>50000.0</v>
      </c>
      <c r="V16" t="n">
        <v>0.0</v>
      </c>
      <c r="W16">
        <f si="2" t="shared"/>
        <v>460000</v>
      </c>
    </row>
    <row r="17" spans="1:23" x14ac:dyDescent="0.3">
      <c r="A17" s="93" t="s">
        <v>236</v>
      </c>
      <c r="B17">
        <f si="1" t="shared"/>
        <v>90000</v>
      </c>
      <c r="C17">
        <f si="1" t="shared"/>
        <v>27000</v>
      </c>
      <c r="D17">
        <f si="1" t="shared"/>
        <v>9000</v>
      </c>
      <c r="E17">
        <f si="1" t="shared"/>
        <v>31000</v>
      </c>
      <c r="F17">
        <f si="1" t="shared"/>
        <v>11000</v>
      </c>
      <c r="G17">
        <f si="1" t="shared"/>
        <v>16000</v>
      </c>
      <c r="H17">
        <f si="1" t="shared"/>
        <v>39000</v>
      </c>
      <c r="I17">
        <f si="1" t="shared"/>
        <v>0</v>
      </c>
      <c r="J17">
        <f si="1" t="shared"/>
        <v>223000</v>
      </c>
      <c r="N17" s="93" t="s">
        <v>236</v>
      </c>
      <c r="O17" t="n">
        <v>60000.0</v>
      </c>
      <c r="P17" t="n">
        <v>50000.0</v>
      </c>
      <c r="Q17" t="n">
        <v>10000.0</v>
      </c>
      <c r="R17" t="n">
        <v>30000.0</v>
      </c>
      <c r="S17" t="n">
        <v>0.0</v>
      </c>
      <c r="T17" t="n">
        <v>30000.0</v>
      </c>
      <c r="U17" t="n">
        <v>20000.0</v>
      </c>
      <c r="V17" t="n">
        <v>0.0</v>
      </c>
      <c r="W17">
        <f si="2" t="shared"/>
        <v>223000</v>
      </c>
    </row>
    <row r="18" spans="1:23" x14ac:dyDescent="0.3">
      <c r="A18" s="93" t="s">
        <v>209</v>
      </c>
      <c r="B18">
        <f si="1" t="shared"/>
        <v>61000</v>
      </c>
      <c r="C18">
        <f si="1" t="shared"/>
        <v>26000</v>
      </c>
      <c r="D18">
        <f si="1" t="shared"/>
        <v>13000</v>
      </c>
      <c r="E18">
        <f si="1" t="shared"/>
        <v>17000</v>
      </c>
      <c r="F18">
        <f si="1" t="shared"/>
        <v>18000</v>
      </c>
      <c r="G18">
        <f si="1" t="shared"/>
        <v>13000</v>
      </c>
      <c r="H18">
        <f si="1" t="shared"/>
        <v>19000</v>
      </c>
      <c r="I18">
        <f si="1" t="shared"/>
        <v>0</v>
      </c>
      <c r="J18">
        <f si="1" t="shared"/>
        <v>167000</v>
      </c>
      <c r="N18" s="93" t="s">
        <v>209</v>
      </c>
      <c r="O18" t="n">
        <v>70000.0</v>
      </c>
      <c r="P18" t="n">
        <v>30000.0</v>
      </c>
      <c r="Q18" t="n">
        <v>20000.0</v>
      </c>
      <c r="R18" t="n">
        <v>40000.0</v>
      </c>
      <c r="S18" t="n">
        <v>20000.0</v>
      </c>
      <c r="T18" t="n">
        <v>0.0</v>
      </c>
      <c r="U18" t="n">
        <v>0.0</v>
      </c>
      <c r="V18" t="n">
        <v>0.0</v>
      </c>
      <c r="W18">
        <f si="2" t="shared"/>
        <v>167000</v>
      </c>
    </row>
    <row r="19" spans="1:23" x14ac:dyDescent="0.3">
      <c r="A19" t="s">
        <v>10</v>
      </c>
      <c r="B19">
        <f si="1" t="shared"/>
        <v>21000</v>
      </c>
      <c r="C19">
        <f si="1" t="shared"/>
        <v>3000</v>
      </c>
      <c r="D19">
        <f si="1" t="shared"/>
        <v>2000</v>
      </c>
      <c r="E19">
        <f si="1" t="shared"/>
        <v>2000</v>
      </c>
      <c r="F19">
        <f si="1" t="shared"/>
        <v>4000</v>
      </c>
      <c r="G19">
        <f si="1" t="shared"/>
        <v>8000</v>
      </c>
      <c r="H19">
        <f si="1" t="shared"/>
        <v>5000</v>
      </c>
      <c r="I19">
        <f si="1" t="shared"/>
        <v>0</v>
      </c>
      <c r="J19">
        <f si="1" t="shared"/>
        <v>45000</v>
      </c>
      <c r="N19" t="s">
        <v>10</v>
      </c>
      <c r="O19" t="n">
        <v>0.0</v>
      </c>
      <c r="P19" t="n">
        <v>0.0</v>
      </c>
      <c r="Q19" t="n">
        <v>0.0</v>
      </c>
      <c r="R19" t="n">
        <v>0.0</v>
      </c>
      <c r="S19" t="n">
        <v>0.0</v>
      </c>
      <c r="T19" t="n">
        <v>0.0</v>
      </c>
      <c r="U19" t="n">
        <v>10000.0</v>
      </c>
      <c r="V19" t="n">
        <v>0.0</v>
      </c>
      <c r="W19">
        <f si="2" t="shared"/>
        <v>45000</v>
      </c>
    </row>
    <row r="20" spans="1:23" x14ac:dyDescent="0.3">
      <c r="A20" s="95" t="s">
        <v>229</v>
      </c>
      <c r="B20">
        <f si="1" t="shared"/>
        <v>57000</v>
      </c>
      <c r="C20">
        <f si="1" t="shared"/>
        <v>18000</v>
      </c>
      <c r="D20">
        <f si="1" t="shared"/>
        <v>5000</v>
      </c>
      <c r="E20">
        <f si="1" t="shared"/>
        <v>20000</v>
      </c>
      <c r="F20">
        <f si="1" t="shared"/>
        <v>6000</v>
      </c>
      <c r="G20">
        <f si="1" t="shared"/>
        <v>6000</v>
      </c>
      <c r="H20">
        <f si="1" t="shared"/>
        <v>12000</v>
      </c>
      <c r="I20">
        <f si="1" t="shared"/>
        <v>0</v>
      </c>
      <c r="J20">
        <f si="1" t="shared"/>
        <v>124000</v>
      </c>
      <c r="N20" s="95" t="s">
        <v>229</v>
      </c>
      <c r="O20" t="n">
        <v>40000.0</v>
      </c>
      <c r="P20" t="n">
        <v>0.0</v>
      </c>
      <c r="Q20" t="n">
        <v>20000.0</v>
      </c>
      <c r="R20" t="n">
        <v>30000.0</v>
      </c>
      <c r="S20" t="n">
        <v>10000.0</v>
      </c>
      <c r="T20" t="n">
        <v>10000.0</v>
      </c>
      <c r="U20" t="n">
        <v>10000.0</v>
      </c>
      <c r="V20" t="n">
        <v>0.0</v>
      </c>
      <c r="W20">
        <f si="2" t="shared"/>
        <v>124000</v>
      </c>
    </row>
    <row r="21" spans="1:23" x14ac:dyDescent="0.3">
      <c r="A21" s="93" t="s">
        <v>232</v>
      </c>
      <c r="B21">
        <f si="1" t="shared"/>
        <v>33000</v>
      </c>
      <c r="C21">
        <f si="1" t="shared"/>
        <v>14000</v>
      </c>
      <c r="D21">
        <f si="1" t="shared"/>
        <v>3000</v>
      </c>
      <c r="E21">
        <f si="1" t="shared"/>
        <v>14000</v>
      </c>
      <c r="F21">
        <f si="1" t="shared"/>
        <v>2000</v>
      </c>
      <c r="G21">
        <f si="1" t="shared"/>
        <v>5000</v>
      </c>
      <c r="H21">
        <f si="1" t="shared"/>
        <v>6000</v>
      </c>
      <c r="I21">
        <f si="1" t="shared"/>
        <v>0</v>
      </c>
      <c r="J21">
        <f si="1" t="shared"/>
        <v>77000</v>
      </c>
      <c r="N21" s="93" t="s">
        <v>232</v>
      </c>
      <c r="O21" t="n">
        <v>30000.0</v>
      </c>
      <c r="P21" t="n">
        <v>10000.0</v>
      </c>
      <c r="Q21" t="n">
        <v>0.0</v>
      </c>
      <c r="R21" t="n">
        <v>0.0</v>
      </c>
      <c r="S21" t="n">
        <v>10000.0</v>
      </c>
      <c r="T21" t="n">
        <v>0.0</v>
      </c>
      <c r="U21" t="n">
        <v>10000.0</v>
      </c>
      <c r="V21" t="n">
        <v>0.0</v>
      </c>
      <c r="W21">
        <f si="2" t="shared"/>
        <v>77000</v>
      </c>
    </row>
    <row r="22" spans="1:23" x14ac:dyDescent="0.3">
      <c r="A22" s="93" t="s">
        <v>11</v>
      </c>
      <c r="B22">
        <f si="1" t="shared"/>
        <v>13000</v>
      </c>
      <c r="C22">
        <f si="1" t="shared"/>
        <v>10000</v>
      </c>
      <c r="D22">
        <f si="1" t="shared"/>
        <v>2000</v>
      </c>
      <c r="E22">
        <f si="1" t="shared"/>
        <v>19000</v>
      </c>
      <c r="F22">
        <f si="1" t="shared"/>
        <v>2000</v>
      </c>
      <c r="G22">
        <f si="1" t="shared"/>
        <v>0</v>
      </c>
      <c r="H22">
        <f si="1" t="shared"/>
        <v>0</v>
      </c>
      <c r="I22">
        <f si="1" t="shared"/>
        <v>0</v>
      </c>
      <c r="J22">
        <f si="1" t="shared"/>
        <v>46000</v>
      </c>
      <c r="N22" s="93" t="s">
        <v>11</v>
      </c>
      <c r="O22" t="n">
        <v>10000.0</v>
      </c>
      <c r="P22" t="n">
        <v>20000.0</v>
      </c>
      <c r="Q22" t="n">
        <v>0.0</v>
      </c>
      <c r="R22" t="n">
        <v>0.0</v>
      </c>
      <c r="S22" t="n">
        <v>10000.0</v>
      </c>
      <c r="T22" t="n">
        <v>0.0</v>
      </c>
      <c r="U22" t="n">
        <v>0.0</v>
      </c>
      <c r="V22" t="n">
        <v>0.0</v>
      </c>
      <c r="W22">
        <f si="2" t="shared"/>
        <v>46000</v>
      </c>
    </row>
    <row r="23" spans="1:23" x14ac:dyDescent="0.3">
      <c r="A23" t="s">
        <v>207</v>
      </c>
      <c r="B23">
        <f si="1" t="shared"/>
        <v>1000</v>
      </c>
      <c r="C23">
        <f si="1" t="shared"/>
        <v>2000</v>
      </c>
      <c r="D23">
        <f si="1" t="shared"/>
        <v>0</v>
      </c>
      <c r="E23">
        <f si="1" t="shared"/>
        <v>3000</v>
      </c>
      <c r="F23">
        <f si="1" t="shared"/>
        <v>0</v>
      </c>
      <c r="G23">
        <f si="1" t="shared"/>
        <v>0</v>
      </c>
      <c r="H23">
        <f si="1" t="shared"/>
        <v>0</v>
      </c>
      <c r="I23">
        <f si="1" t="shared"/>
        <v>0</v>
      </c>
      <c r="J23">
        <f si="1" t="shared"/>
        <v>6000</v>
      </c>
      <c r="N23" t="s">
        <v>207</v>
      </c>
      <c r="O23" t="n">
        <v>0.0</v>
      </c>
      <c r="P23" t="n">
        <v>0.0</v>
      </c>
      <c r="Q23" t="n">
        <v>0.0</v>
      </c>
      <c r="R23" t="n">
        <v>0.0</v>
      </c>
      <c r="S23" t="n">
        <v>0.0</v>
      </c>
      <c r="T23" t="n">
        <v>0.0</v>
      </c>
      <c r="U23" t="n">
        <v>0.0</v>
      </c>
      <c r="V23" t="n">
        <v>0.0</v>
      </c>
      <c r="W23">
        <f si="2" t="shared"/>
        <v>6000</v>
      </c>
    </row>
    <row r="25" spans="1:23" x14ac:dyDescent="0.3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3">
      <c r="A27" t="s">
        <v>211</v>
      </c>
      <c r="N27" t="s">
        <v>211</v>
      </c>
    </row>
    <row r="28" spans="1:23" x14ac:dyDescent="0.3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3">
      <c r="A29" t="s">
        <v>228</v>
      </c>
      <c r="B29">
        <f ref="B29:J32" si="3" t="shared">O29*$B$1</f>
        <v>200000</v>
      </c>
      <c r="C29">
        <f si="3" t="shared"/>
        <v>97000</v>
      </c>
      <c r="D29">
        <f si="3" t="shared"/>
        <v>314000</v>
      </c>
      <c r="E29">
        <f si="3" t="shared"/>
        <v>461000</v>
      </c>
      <c r="F29">
        <f si="3" t="shared"/>
        <v>117000</v>
      </c>
      <c r="G29">
        <f si="3" t="shared"/>
        <v>179000</v>
      </c>
      <c r="H29">
        <f si="3" t="shared"/>
        <v>589000</v>
      </c>
      <c r="I29">
        <f si="3" t="shared"/>
        <v>0</v>
      </c>
      <c r="J29">
        <f si="3" t="shared"/>
        <v>1957000</v>
      </c>
      <c r="N29" t="s">
        <v>228</v>
      </c>
      <c r="O29" t="n">
        <v>160000.0</v>
      </c>
      <c r="P29" t="n">
        <v>80000.0</v>
      </c>
      <c r="Q29" t="n">
        <v>310000.0</v>
      </c>
      <c r="R29" t="n">
        <v>410000.0</v>
      </c>
      <c r="S29" t="n">
        <v>90000.0</v>
      </c>
      <c r="T29" t="n">
        <v>160000.0</v>
      </c>
      <c r="U29" t="n">
        <v>450000.0</v>
      </c>
      <c r="V29" t="n">
        <v>0.0</v>
      </c>
      <c r="W29">
        <f>SUM(O29:V29)</f>
        <v>1957000</v>
      </c>
    </row>
    <row r="30" spans="1:23" x14ac:dyDescent="0.3">
      <c r="A30" t="s">
        <v>237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2000</v>
      </c>
      <c r="G30">
        <f si="3" t="shared"/>
        <v>0</v>
      </c>
      <c r="H30">
        <f si="3" t="shared"/>
        <v>0</v>
      </c>
      <c r="I30">
        <f si="3" t="shared"/>
        <v>0</v>
      </c>
      <c r="J30">
        <f si="3" t="shared"/>
        <v>2000</v>
      </c>
      <c r="N30" t="s">
        <v>237</v>
      </c>
      <c r="O30" t="n">
        <v>0.0</v>
      </c>
      <c r="P30" t="n">
        <v>0.0</v>
      </c>
      <c r="Q30" t="n">
        <v>0.0</v>
      </c>
      <c r="R30" t="n">
        <v>0.0</v>
      </c>
      <c r="S30" t="n">
        <v>0.0</v>
      </c>
      <c r="T30" t="n">
        <v>0.0</v>
      </c>
      <c r="U30" t="n">
        <v>0.0</v>
      </c>
      <c r="V30" t="n">
        <v>0.0</v>
      </c>
      <c r="W30">
        <f>SUM(O30:V30)</f>
        <v>2000</v>
      </c>
    </row>
    <row r="31" spans="1:23" x14ac:dyDescent="0.3">
      <c r="A31" t="s">
        <v>238</v>
      </c>
      <c r="B31">
        <f si="3" t="shared"/>
        <v>909000</v>
      </c>
      <c r="C31">
        <f si="3" t="shared"/>
        <v>223000</v>
      </c>
      <c r="D31">
        <f si="3" t="shared"/>
        <v>0</v>
      </c>
      <c r="E31">
        <f si="3" t="shared"/>
        <v>0</v>
      </c>
      <c r="F31">
        <f si="3" t="shared"/>
        <v>23000</v>
      </c>
      <c r="G31">
        <f si="3" t="shared"/>
        <v>13000</v>
      </c>
      <c r="H31">
        <f si="3" t="shared"/>
        <v>0</v>
      </c>
      <c r="I31">
        <f si="3" t="shared"/>
        <v>0</v>
      </c>
      <c r="J31">
        <f si="3" t="shared"/>
        <v>1168000</v>
      </c>
      <c r="N31" t="s">
        <v>238</v>
      </c>
      <c r="O31" t="n">
        <v>890000.0</v>
      </c>
      <c r="P31" t="n">
        <v>330000.0</v>
      </c>
      <c r="Q31" t="n">
        <v>0.0</v>
      </c>
      <c r="R31" t="n">
        <v>0.0</v>
      </c>
      <c r="S31" t="n">
        <v>30000.0</v>
      </c>
      <c r="T31" t="n">
        <v>20000.0</v>
      </c>
      <c r="U31" t="n">
        <v>0.0</v>
      </c>
      <c r="V31" t="n">
        <v>0.0</v>
      </c>
      <c r="W31">
        <f>SUM(O31:V31)</f>
        <v>1168000</v>
      </c>
    </row>
    <row r="32" spans="1:23" x14ac:dyDescent="0.3">
      <c r="A32" t="s">
        <v>173</v>
      </c>
      <c r="B32">
        <f si="3" t="shared"/>
        <v>125000</v>
      </c>
      <c r="C32">
        <f si="3" t="shared"/>
        <v>25000</v>
      </c>
      <c r="D32">
        <f si="3" t="shared"/>
        <v>0</v>
      </c>
      <c r="E32">
        <f si="3" t="shared"/>
        <v>0</v>
      </c>
      <c r="F32">
        <f si="3" t="shared"/>
        <v>3000</v>
      </c>
      <c r="G32">
        <f si="3" t="shared"/>
        <v>1000</v>
      </c>
      <c r="H32">
        <f si="3" t="shared"/>
        <v>0</v>
      </c>
      <c r="I32">
        <f si="3" t="shared"/>
        <v>0</v>
      </c>
      <c r="J32">
        <f si="3" t="shared"/>
        <v>154000</v>
      </c>
      <c r="N32" t="s">
        <v>173</v>
      </c>
      <c r="O32" t="n">
        <v>110000.0</v>
      </c>
      <c r="P32" t="n">
        <v>20000.0</v>
      </c>
      <c r="Q32" t="n">
        <v>0.0</v>
      </c>
      <c r="R32" t="n">
        <v>0.0</v>
      </c>
      <c r="S32" t="n">
        <v>0.0</v>
      </c>
      <c r="T32" t="n">
        <v>10000.0</v>
      </c>
      <c r="U32" t="n">
        <v>0.0</v>
      </c>
      <c r="V32" t="n">
        <v>0.0</v>
      </c>
      <c r="W32">
        <f>SUM(O32:V32)</f>
        <v>154000</v>
      </c>
    </row>
    <row r="34" spans="1:23" x14ac:dyDescent="0.3">
      <c r="A34" t="s">
        <v>212</v>
      </c>
      <c r="N34" t="s">
        <v>212</v>
      </c>
    </row>
    <row r="35" spans="1:23" x14ac:dyDescent="0.3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3">
      <c r="A36" t="s">
        <v>228</v>
      </c>
      <c r="B36">
        <f ref="B36:J39" si="4" t="shared">O36*$B$1</f>
        <v>1234000</v>
      </c>
      <c r="C36">
        <f si="4" t="shared"/>
        <v>345000</v>
      </c>
      <c r="D36">
        <f si="4" t="shared"/>
        <v>314000</v>
      </c>
      <c r="E36">
        <f si="4" t="shared"/>
        <v>461000</v>
      </c>
      <c r="F36">
        <f si="4" t="shared"/>
        <v>48000</v>
      </c>
      <c r="G36">
        <f si="4" t="shared"/>
        <v>20000</v>
      </c>
      <c r="H36">
        <f si="4" t="shared"/>
        <v>87000</v>
      </c>
      <c r="I36">
        <f si="4" t="shared"/>
        <v>0</v>
      </c>
      <c r="J36">
        <f si="4" t="shared"/>
        <v>2509000</v>
      </c>
      <c r="N36" t="s">
        <v>228</v>
      </c>
      <c r="O36" t="n">
        <v>1160000.0</v>
      </c>
      <c r="P36" t="n">
        <v>430000.0</v>
      </c>
      <c r="Q36" t="n">
        <v>310000.0</v>
      </c>
      <c r="R36" t="n">
        <v>410000.0</v>
      </c>
      <c r="S36" t="n">
        <v>50000.0</v>
      </c>
      <c r="T36" t="n">
        <v>30000.0</v>
      </c>
      <c r="U36" t="n">
        <v>40000.0</v>
      </c>
      <c r="V36" t="n">
        <v>0.0</v>
      </c>
      <c r="W36">
        <f>SUM(O36:V36)</f>
        <v>2509000</v>
      </c>
    </row>
    <row r="37" spans="1:23" x14ac:dyDescent="0.3">
      <c r="A37" t="s">
        <v>237</v>
      </c>
      <c r="B37">
        <f si="4" t="shared"/>
        <v>0</v>
      </c>
      <c r="C37">
        <f si="4" t="shared"/>
        <v>0</v>
      </c>
      <c r="D37">
        <f si="4" t="shared"/>
        <v>0</v>
      </c>
      <c r="E37">
        <f si="4" t="shared"/>
        <v>0</v>
      </c>
      <c r="F37">
        <f si="4" t="shared"/>
        <v>4000</v>
      </c>
      <c r="G37">
        <f si="4" t="shared"/>
        <v>5000</v>
      </c>
      <c r="H37">
        <f si="4" t="shared"/>
        <v>0</v>
      </c>
      <c r="I37">
        <f si="4" t="shared"/>
        <v>0</v>
      </c>
      <c r="J37">
        <f si="4" t="shared"/>
        <v>9000</v>
      </c>
      <c r="N37" t="s">
        <v>237</v>
      </c>
      <c r="O37" t="n">
        <v>0.0</v>
      </c>
      <c r="P37" t="n">
        <v>0.0</v>
      </c>
      <c r="Q37" t="n">
        <v>0.0</v>
      </c>
      <c r="R37" t="n">
        <v>0.0</v>
      </c>
      <c r="S37" t="n">
        <v>0.0</v>
      </c>
      <c r="T37" t="n">
        <v>10000.0</v>
      </c>
      <c r="U37" t="n">
        <v>0.0</v>
      </c>
      <c r="V37" t="n">
        <v>0.0</v>
      </c>
      <c r="W37">
        <f>SUM(O37:V37)</f>
        <v>9000</v>
      </c>
    </row>
    <row r="38" spans="1:23" x14ac:dyDescent="0.3">
      <c r="A38" t="s">
        <v>238</v>
      </c>
      <c r="B38">
        <f si="4" t="shared"/>
        <v>0</v>
      </c>
      <c r="C38">
        <f si="4" t="shared"/>
        <v>0</v>
      </c>
      <c r="D38">
        <f si="4" t="shared"/>
        <v>0</v>
      </c>
      <c r="E38">
        <f si="4" t="shared"/>
        <v>0</v>
      </c>
      <c r="F38">
        <f si="4" t="shared"/>
        <v>88000</v>
      </c>
      <c r="G38">
        <f si="4" t="shared"/>
        <v>156000</v>
      </c>
      <c r="H38">
        <f si="4" t="shared"/>
        <v>464000</v>
      </c>
      <c r="I38">
        <f si="4" t="shared"/>
        <v>0</v>
      </c>
      <c r="J38">
        <f si="4" t="shared"/>
        <v>708000</v>
      </c>
      <c r="N38" t="s">
        <v>238</v>
      </c>
      <c r="O38" t="n">
        <v>0.0</v>
      </c>
      <c r="P38" t="n">
        <v>0.0</v>
      </c>
      <c r="Q38" t="n">
        <v>0.0</v>
      </c>
      <c r="R38" t="n">
        <v>0.0</v>
      </c>
      <c r="S38" t="n">
        <v>70000.0</v>
      </c>
      <c r="T38" t="n">
        <v>120000.0</v>
      </c>
      <c r="U38" t="n">
        <v>370000.0</v>
      </c>
      <c r="V38" t="n">
        <v>0.0</v>
      </c>
      <c r="W38">
        <f>SUM(O38:V38)</f>
        <v>708000</v>
      </c>
    </row>
    <row r="39" spans="1:23" x14ac:dyDescent="0.3">
      <c r="A39" t="s">
        <v>173</v>
      </c>
      <c r="B39">
        <f si="4" t="shared"/>
        <v>0</v>
      </c>
      <c r="C39">
        <f si="4" t="shared"/>
        <v>0</v>
      </c>
      <c r="D39">
        <f si="4" t="shared"/>
        <v>0</v>
      </c>
      <c r="E39">
        <f si="4" t="shared"/>
        <v>0</v>
      </c>
      <c r="F39">
        <f si="4" t="shared"/>
        <v>5000</v>
      </c>
      <c r="G39">
        <f si="4" t="shared"/>
        <v>12000</v>
      </c>
      <c r="H39">
        <f si="4" t="shared"/>
        <v>38000</v>
      </c>
      <c r="I39">
        <f si="4" t="shared"/>
        <v>0</v>
      </c>
      <c r="J39">
        <f si="4" t="shared"/>
        <v>55000</v>
      </c>
      <c r="N39" t="s">
        <v>173</v>
      </c>
      <c r="O39" t="n">
        <v>0.0</v>
      </c>
      <c r="P39" t="n">
        <v>0.0</v>
      </c>
      <c r="Q39" t="n">
        <v>0.0</v>
      </c>
      <c r="R39" t="n">
        <v>0.0</v>
      </c>
      <c r="S39" t="n">
        <v>0.0</v>
      </c>
      <c r="T39" t="n">
        <v>30000.0</v>
      </c>
      <c r="U39" t="n">
        <v>40000.0</v>
      </c>
      <c r="V39" t="n">
        <v>0.0</v>
      </c>
      <c r="W39">
        <f>SUM(O39:V39)</f>
        <v>55000</v>
      </c>
    </row>
    <row r="41" spans="1:23" x14ac:dyDescent="0.3">
      <c r="A41" t="s">
        <v>213</v>
      </c>
      <c r="N41" t="s">
        <v>213</v>
      </c>
    </row>
    <row r="42" spans="1:23" x14ac:dyDescent="0.3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3">
      <c r="A43" t="s">
        <v>228</v>
      </c>
      <c r="B43">
        <f ref="B43:J46" si="5" t="shared">O43*$B$1</f>
        <v>1084000</v>
      </c>
      <c r="C43">
        <f si="5" t="shared"/>
        <v>280000</v>
      </c>
      <c r="D43">
        <f si="5" t="shared"/>
        <v>268000</v>
      </c>
      <c r="E43">
        <f si="5" t="shared"/>
        <v>282000</v>
      </c>
      <c r="F43">
        <f si="5" t="shared"/>
        <v>123000</v>
      </c>
      <c r="G43">
        <f si="5" t="shared"/>
        <v>170000</v>
      </c>
      <c r="H43">
        <f si="5" t="shared"/>
        <v>522000</v>
      </c>
      <c r="I43">
        <f si="5" t="shared"/>
        <v>0</v>
      </c>
      <c r="J43">
        <f si="5" t="shared"/>
        <v>2729000</v>
      </c>
      <c r="N43" t="s">
        <v>228</v>
      </c>
      <c r="O43" t="n">
        <v>1050000.0</v>
      </c>
      <c r="P43" t="n">
        <v>340000.0</v>
      </c>
      <c r="Q43" t="n">
        <v>240000.0</v>
      </c>
      <c r="R43" t="n">
        <v>260000.0</v>
      </c>
      <c r="S43" t="n">
        <v>100000.0</v>
      </c>
      <c r="T43" t="n">
        <v>170000.0</v>
      </c>
      <c r="U43" t="n">
        <v>400000.0</v>
      </c>
      <c r="V43" t="n">
        <v>0.0</v>
      </c>
      <c r="W43">
        <f>SUM(O43:V43)</f>
        <v>2729000</v>
      </c>
    </row>
    <row r="44" spans="1:23" x14ac:dyDescent="0.3">
      <c r="A44" t="s">
        <v>237</v>
      </c>
      <c r="B44">
        <f si="5" t="shared"/>
        <v>39000</v>
      </c>
      <c r="C44">
        <f si="5" t="shared"/>
        <v>13000</v>
      </c>
      <c r="D44">
        <f si="5" t="shared"/>
        <v>1000</v>
      </c>
      <c r="E44">
        <f si="5" t="shared"/>
        <v>3000</v>
      </c>
      <c r="F44">
        <f si="5" t="shared"/>
        <v>7000</v>
      </c>
      <c r="G44">
        <f si="5" t="shared"/>
        <v>10000</v>
      </c>
      <c r="H44">
        <f si="5" t="shared"/>
        <v>20000</v>
      </c>
      <c r="I44">
        <f si="5" t="shared"/>
        <v>0</v>
      </c>
      <c r="J44">
        <f si="5" t="shared"/>
        <v>93000</v>
      </c>
      <c r="N44" t="s">
        <v>237</v>
      </c>
      <c r="O44" t="n">
        <v>40000.0</v>
      </c>
      <c r="P44" t="n">
        <v>20000.0</v>
      </c>
      <c r="Q44" t="n">
        <v>0.0</v>
      </c>
      <c r="R44" t="n">
        <v>0.0</v>
      </c>
      <c r="S44" t="n">
        <v>0.0</v>
      </c>
      <c r="T44" t="n">
        <v>10000.0</v>
      </c>
      <c r="U44" t="n">
        <v>10000.0</v>
      </c>
      <c r="V44" t="n">
        <v>0.0</v>
      </c>
      <c r="W44">
        <f>SUM(O44:V44)</f>
        <v>93000</v>
      </c>
    </row>
    <row r="45" spans="1:23" x14ac:dyDescent="0.3">
      <c r="A45" t="s">
        <v>238</v>
      </c>
      <c r="B45">
        <f si="5" t="shared"/>
        <v>94000</v>
      </c>
      <c r="C45">
        <f si="5" t="shared"/>
        <v>46000</v>
      </c>
      <c r="D45">
        <f si="5" t="shared"/>
        <v>41000</v>
      </c>
      <c r="E45">
        <f si="5" t="shared"/>
        <v>148000</v>
      </c>
      <c r="F45">
        <f si="5" t="shared"/>
        <v>12000</v>
      </c>
      <c r="G45">
        <f si="5" t="shared"/>
        <v>12000</v>
      </c>
      <c r="H45">
        <f si="5" t="shared"/>
        <v>40000</v>
      </c>
      <c r="I45">
        <f si="5" t="shared"/>
        <v>0</v>
      </c>
      <c r="J45">
        <f si="5" t="shared"/>
        <v>393000</v>
      </c>
      <c r="N45" t="s">
        <v>238</v>
      </c>
      <c r="O45" t="n">
        <v>60000.0</v>
      </c>
      <c r="P45" t="n">
        <v>60000.0</v>
      </c>
      <c r="Q45" t="n">
        <v>50000.0</v>
      </c>
      <c r="R45" t="n">
        <v>100000.0</v>
      </c>
      <c r="S45" t="n">
        <v>10000.0</v>
      </c>
      <c r="T45" t="n">
        <v>10000.0</v>
      </c>
      <c r="U45" t="n">
        <v>30000.0</v>
      </c>
      <c r="V45" t="n">
        <v>0.0</v>
      </c>
      <c r="W45">
        <f>SUM(O45:V45)</f>
        <v>393000</v>
      </c>
    </row>
    <row r="46" spans="1:23" x14ac:dyDescent="0.3">
      <c r="A46" t="s">
        <v>173</v>
      </c>
      <c r="B46">
        <f si="5" t="shared"/>
        <v>17000</v>
      </c>
      <c r="C46">
        <f si="5" t="shared"/>
        <v>6000</v>
      </c>
      <c r="D46">
        <f si="5" t="shared"/>
        <v>4000</v>
      </c>
      <c r="E46">
        <f si="5" t="shared"/>
        <v>28000</v>
      </c>
      <c r="F46">
        <f si="5" t="shared"/>
        <v>3000</v>
      </c>
      <c r="G46">
        <f si="5" t="shared"/>
        <v>1000</v>
      </c>
      <c r="H46">
        <f si="5" t="shared"/>
        <v>7000</v>
      </c>
      <c r="I46">
        <f si="5" t="shared"/>
        <v>0</v>
      </c>
      <c r="J46">
        <f si="5" t="shared"/>
        <v>66000</v>
      </c>
      <c r="N46" t="s">
        <v>173</v>
      </c>
      <c r="O46" t="n">
        <v>10000.0</v>
      </c>
      <c r="P46" t="n">
        <v>10000.0</v>
      </c>
      <c r="Q46" t="n">
        <v>20000.0</v>
      </c>
      <c r="R46" t="n">
        <v>50000.0</v>
      </c>
      <c r="S46" t="n">
        <v>10000.0</v>
      </c>
      <c r="T46" t="n">
        <v>0.0</v>
      </c>
      <c r="U46" t="n">
        <v>10000.0</v>
      </c>
      <c r="V46" t="n">
        <v>0.0</v>
      </c>
      <c r="W46">
        <f>SUM(O46:V46)</f>
        <v>66000</v>
      </c>
    </row>
    <row r="48" spans="1:23" x14ac:dyDescent="0.3">
      <c r="A48" t="s">
        <v>36</v>
      </c>
      <c r="N48" t="s">
        <v>36</v>
      </c>
    </row>
    <row r="49" spans="1:23" x14ac:dyDescent="0.3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3">
      <c r="A50" t="s">
        <v>228</v>
      </c>
      <c r="B50">
        <f ref="B50:J53" si="6" t="shared">O50*$B$1</f>
        <v>992000</v>
      </c>
      <c r="C50">
        <f si="6" t="shared"/>
        <v>260000</v>
      </c>
      <c r="D50">
        <f si="6" t="shared"/>
        <v>240000</v>
      </c>
      <c r="E50">
        <f si="6" t="shared"/>
        <v>342000</v>
      </c>
      <c r="F50">
        <f si="6" t="shared"/>
        <v>116000</v>
      </c>
      <c r="G50">
        <f si="6" t="shared"/>
        <v>143000</v>
      </c>
      <c r="H50">
        <f si="6" t="shared"/>
        <v>507000</v>
      </c>
      <c r="I50">
        <f si="6" t="shared"/>
        <v>0</v>
      </c>
      <c r="J50">
        <f si="6" t="shared"/>
        <v>2600000</v>
      </c>
      <c r="N50" t="s">
        <v>228</v>
      </c>
      <c r="O50" t="n">
        <v>890000.0</v>
      </c>
      <c r="P50" t="n">
        <v>320000.0</v>
      </c>
      <c r="Q50" t="n">
        <v>210000.0</v>
      </c>
      <c r="R50" t="n">
        <v>310000.0</v>
      </c>
      <c r="S50" t="n">
        <v>80000.0</v>
      </c>
      <c r="T50" t="n">
        <v>160000.0</v>
      </c>
      <c r="U50" t="n">
        <v>350000.0</v>
      </c>
      <c r="V50" t="n">
        <v>0.0</v>
      </c>
      <c r="W50">
        <f>SUM(O50:V50)</f>
        <v>2600000</v>
      </c>
    </row>
    <row r="51" spans="1:23" x14ac:dyDescent="0.3">
      <c r="A51" t="s">
        <v>237</v>
      </c>
      <c r="B51">
        <f si="6" t="shared"/>
        <v>111000</v>
      </c>
      <c r="C51">
        <f si="6" t="shared"/>
        <v>37000</v>
      </c>
      <c r="D51">
        <f si="6" t="shared"/>
        <v>29000</v>
      </c>
      <c r="E51">
        <f si="6" t="shared"/>
        <v>53000</v>
      </c>
      <c r="F51">
        <f si="6" t="shared"/>
        <v>12000</v>
      </c>
      <c r="G51">
        <f si="6" t="shared"/>
        <v>22000</v>
      </c>
      <c r="H51">
        <f si="6" t="shared"/>
        <v>47000</v>
      </c>
      <c r="I51">
        <f si="6" t="shared"/>
        <v>0</v>
      </c>
      <c r="J51">
        <f si="6" t="shared"/>
        <v>311000</v>
      </c>
      <c r="N51" t="s">
        <v>237</v>
      </c>
      <c r="O51" t="n">
        <v>120000.0</v>
      </c>
      <c r="P51" t="n">
        <v>60000.0</v>
      </c>
      <c r="Q51" t="n">
        <v>50000.0</v>
      </c>
      <c r="R51" t="n">
        <v>20000.0</v>
      </c>
      <c r="S51" t="n">
        <v>10000.0</v>
      </c>
      <c r="T51" t="n">
        <v>10000.0</v>
      </c>
      <c r="U51" t="n">
        <v>60000.0</v>
      </c>
      <c r="V51" t="n">
        <v>0.0</v>
      </c>
      <c r="W51">
        <f>SUM(O51:V51)</f>
        <v>311000</v>
      </c>
    </row>
    <row r="52" spans="1:23" x14ac:dyDescent="0.3">
      <c r="A52" t="s">
        <v>238</v>
      </c>
      <c r="B52">
        <f si="6" t="shared"/>
        <v>96000</v>
      </c>
      <c r="C52">
        <f si="6" t="shared"/>
        <v>38000</v>
      </c>
      <c r="D52">
        <f si="6" t="shared"/>
        <v>29000</v>
      </c>
      <c r="E52">
        <f si="6" t="shared"/>
        <v>41000</v>
      </c>
      <c r="F52">
        <f si="6" t="shared"/>
        <v>15000</v>
      </c>
      <c r="G52">
        <f si="6" t="shared"/>
        <v>23000</v>
      </c>
      <c r="H52">
        <f si="6" t="shared"/>
        <v>28000</v>
      </c>
      <c r="I52">
        <f si="6" t="shared"/>
        <v>0</v>
      </c>
      <c r="J52">
        <f si="6" t="shared"/>
        <v>270000</v>
      </c>
      <c r="N52" t="s">
        <v>238</v>
      </c>
      <c r="O52" t="n">
        <v>130000.0</v>
      </c>
      <c r="P52" t="n">
        <v>30000.0</v>
      </c>
      <c r="Q52" t="n">
        <v>30000.0</v>
      </c>
      <c r="R52" t="n">
        <v>30000.0</v>
      </c>
      <c r="S52" t="n">
        <v>30000.0</v>
      </c>
      <c r="T52" t="n">
        <v>20000.0</v>
      </c>
      <c r="U52" t="n">
        <v>30000.0</v>
      </c>
      <c r="V52" t="n">
        <v>0.0</v>
      </c>
      <c r="W52">
        <f>SUM(O52:V52)</f>
        <v>270000</v>
      </c>
    </row>
    <row r="53" spans="1:23" x14ac:dyDescent="0.3">
      <c r="A53" t="s">
        <v>173</v>
      </c>
      <c r="B53">
        <f si="6" t="shared"/>
        <v>35000</v>
      </c>
      <c r="C53">
        <f si="6" t="shared"/>
        <v>10000</v>
      </c>
      <c r="D53">
        <f si="6" t="shared"/>
        <v>16000</v>
      </c>
      <c r="E53">
        <f si="6" t="shared"/>
        <v>25000</v>
      </c>
      <c r="F53">
        <f si="6" t="shared"/>
        <v>2000</v>
      </c>
      <c r="G53">
        <f si="6" t="shared"/>
        <v>5000</v>
      </c>
      <c r="H53">
        <f si="6" t="shared"/>
        <v>7000</v>
      </c>
      <c r="I53">
        <f si="6" t="shared"/>
        <v>0</v>
      </c>
      <c r="J53">
        <f si="6" t="shared"/>
        <v>100000</v>
      </c>
      <c r="N53" t="s">
        <v>173</v>
      </c>
      <c r="O53" t="n">
        <v>20000.0</v>
      </c>
      <c r="P53" t="n">
        <v>20000.0</v>
      </c>
      <c r="Q53" t="n">
        <v>20000.0</v>
      </c>
      <c r="R53" t="n">
        <v>50000.0</v>
      </c>
      <c r="S53" t="n">
        <v>0.0</v>
      </c>
      <c r="T53" t="n">
        <v>0.0</v>
      </c>
      <c r="U53" t="n">
        <v>10000.0</v>
      </c>
      <c r="V53" t="n">
        <v>0.0</v>
      </c>
      <c r="W53">
        <f>SUM(O53:V53)</f>
        <v>100000</v>
      </c>
    </row>
    <row r="55" spans="1:23" x14ac:dyDescent="0.3">
      <c r="A55" t="s">
        <v>215</v>
      </c>
      <c r="N55" t="s">
        <v>215</v>
      </c>
    </row>
    <row r="56" spans="1:23" x14ac:dyDescent="0.3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3">
      <c r="A57" t="s">
        <v>228</v>
      </c>
      <c r="B57">
        <f ref="B57:J60" si="7" t="shared">O57*$B$1</f>
        <v>998000</v>
      </c>
      <c r="C57">
        <f si="7" t="shared"/>
        <v>251000</v>
      </c>
      <c r="D57">
        <f si="7" t="shared"/>
        <v>234000</v>
      </c>
      <c r="E57">
        <f si="7" t="shared"/>
        <v>328000</v>
      </c>
      <c r="F57">
        <f si="7" t="shared"/>
        <v>110000</v>
      </c>
      <c r="G57">
        <f si="7" t="shared"/>
        <v>161000</v>
      </c>
      <c r="H57">
        <f si="7" t="shared"/>
        <v>480000</v>
      </c>
      <c r="I57">
        <f si="7" t="shared"/>
        <v>0</v>
      </c>
      <c r="J57">
        <f si="7" t="shared"/>
        <v>2562000</v>
      </c>
      <c r="N57" t="s">
        <v>228</v>
      </c>
      <c r="O57" t="n">
        <v>1000000.0</v>
      </c>
      <c r="P57" t="n">
        <v>350000.0</v>
      </c>
      <c r="Q57" t="n">
        <v>170000.0</v>
      </c>
      <c r="R57" t="n">
        <v>290000.0</v>
      </c>
      <c r="S57" t="n">
        <v>100000.0</v>
      </c>
      <c r="T57" t="n">
        <v>180000.0</v>
      </c>
      <c r="U57" t="n">
        <v>400000.0</v>
      </c>
      <c r="V57" t="n">
        <v>0.0</v>
      </c>
      <c r="W57">
        <f>SUM(O57:V57)</f>
        <v>2562000</v>
      </c>
    </row>
    <row r="58" spans="1:23" x14ac:dyDescent="0.3">
      <c r="A58" t="s">
        <v>237</v>
      </c>
      <c r="B58">
        <f si="7" t="shared"/>
        <v>202000</v>
      </c>
      <c r="C58">
        <f si="7" t="shared"/>
        <v>83000</v>
      </c>
      <c r="D58">
        <f si="7" t="shared"/>
        <v>49000</v>
      </c>
      <c r="E58">
        <f si="7" t="shared"/>
        <v>89000</v>
      </c>
      <c r="F58">
        <f si="7" t="shared"/>
        <v>32000</v>
      </c>
      <c r="G58">
        <f si="7" t="shared"/>
        <v>29000</v>
      </c>
      <c r="H58">
        <f si="7" t="shared"/>
        <v>103000</v>
      </c>
      <c r="I58">
        <f si="7" t="shared"/>
        <v>0</v>
      </c>
      <c r="J58">
        <f si="7" t="shared"/>
        <v>587000</v>
      </c>
      <c r="N58" t="s">
        <v>237</v>
      </c>
      <c r="O58" t="n">
        <v>150000.0</v>
      </c>
      <c r="P58" t="n">
        <v>80000.0</v>
      </c>
      <c r="Q58" t="n">
        <v>80000.0</v>
      </c>
      <c r="R58" t="n">
        <v>80000.0</v>
      </c>
      <c r="S58" t="n">
        <v>20000.0</v>
      </c>
      <c r="T58" t="n">
        <v>10000.0</v>
      </c>
      <c r="U58" t="n">
        <v>50000.0</v>
      </c>
      <c r="V58" t="n">
        <v>0.0</v>
      </c>
      <c r="W58">
        <f>SUM(O58:V58)</f>
        <v>587000</v>
      </c>
    </row>
    <row r="59" spans="1:23" x14ac:dyDescent="0.3">
      <c r="A59" t="s">
        <v>238</v>
      </c>
      <c r="B59">
        <f si="7" t="shared"/>
        <v>25000</v>
      </c>
      <c r="C59">
        <f si="7" t="shared"/>
        <v>8000</v>
      </c>
      <c r="D59">
        <f si="7" t="shared"/>
        <v>18000</v>
      </c>
      <c r="E59">
        <f si="7" t="shared"/>
        <v>34000</v>
      </c>
      <c r="F59">
        <f si="7" t="shared"/>
        <v>3000</v>
      </c>
      <c r="G59">
        <f si="7" t="shared"/>
        <v>2000</v>
      </c>
      <c r="H59">
        <f si="7" t="shared"/>
        <v>6000</v>
      </c>
      <c r="I59">
        <f si="7" t="shared"/>
        <v>0</v>
      </c>
      <c r="J59">
        <f si="7" t="shared"/>
        <v>96000</v>
      </c>
      <c r="N59" t="s">
        <v>238</v>
      </c>
      <c r="O59" t="n">
        <v>10000.0</v>
      </c>
      <c r="P59" t="n">
        <v>0.0</v>
      </c>
      <c r="Q59" t="n">
        <v>20000.0</v>
      </c>
      <c r="R59" t="n">
        <v>30000.0</v>
      </c>
      <c r="S59" t="n">
        <v>0.0</v>
      </c>
      <c r="T59" t="n">
        <v>0.0</v>
      </c>
      <c r="U59" t="n">
        <v>0.0</v>
      </c>
      <c r="V59" t="n">
        <v>0.0</v>
      </c>
      <c r="W59">
        <f>SUM(O59:V59)</f>
        <v>96000</v>
      </c>
    </row>
    <row r="60" spans="1:23" x14ac:dyDescent="0.3">
      <c r="A60" t="s">
        <v>173</v>
      </c>
      <c r="B60">
        <f si="7" t="shared"/>
        <v>9000</v>
      </c>
      <c r="C60">
        <f si="7" t="shared"/>
        <v>3000</v>
      </c>
      <c r="D60">
        <f si="7" t="shared"/>
        <v>13000</v>
      </c>
      <c r="E60">
        <f si="7" t="shared"/>
        <v>10000</v>
      </c>
      <c r="F60">
        <f si="7" t="shared"/>
        <v>0</v>
      </c>
      <c r="G60">
        <f si="7" t="shared"/>
        <v>1000</v>
      </c>
      <c r="H60">
        <f si="7" t="shared"/>
        <v>0</v>
      </c>
      <c r="I60">
        <f si="7" t="shared"/>
        <v>0</v>
      </c>
      <c r="J60">
        <f si="7" t="shared"/>
        <v>36000</v>
      </c>
      <c r="N60" t="s">
        <v>173</v>
      </c>
      <c r="O60" t="n">
        <v>0.0</v>
      </c>
      <c r="P60" t="n">
        <v>0.0</v>
      </c>
      <c r="Q60" t="n">
        <v>40000.0</v>
      </c>
      <c r="R60" t="n">
        <v>10000.0</v>
      </c>
      <c r="S60" t="n">
        <v>0.0</v>
      </c>
      <c r="T60" t="n">
        <v>0.0</v>
      </c>
      <c r="U60" t="n">
        <v>0.0</v>
      </c>
      <c r="V60" t="n">
        <v>0.0</v>
      </c>
      <c r="W60">
        <f>SUM(O60:V60)</f>
        <v>36000</v>
      </c>
    </row>
    <row r="62" spans="1:23" x14ac:dyDescent="0.3">
      <c r="A62" t="s">
        <v>129</v>
      </c>
      <c r="N62" t="s">
        <v>129</v>
      </c>
    </row>
    <row r="63" spans="1:23" x14ac:dyDescent="0.3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3">
      <c r="A64" t="s">
        <v>228</v>
      </c>
      <c r="B64">
        <f ref="B64:J67" si="8" t="shared">O64*$B$1</f>
        <v>932000</v>
      </c>
      <c r="C64">
        <f si="8" t="shared"/>
        <v>254000</v>
      </c>
      <c r="D64">
        <f si="8" t="shared"/>
        <v>231000</v>
      </c>
      <c r="E64">
        <f si="8" t="shared"/>
        <v>345000</v>
      </c>
      <c r="F64">
        <f si="8" t="shared"/>
        <v>102000</v>
      </c>
      <c r="G64">
        <f si="8" t="shared"/>
        <v>131000</v>
      </c>
      <c r="H64">
        <f si="8" t="shared"/>
        <v>480000</v>
      </c>
      <c r="I64">
        <f si="8" t="shared"/>
        <v>0</v>
      </c>
      <c r="J64">
        <f si="8" t="shared"/>
        <v>2475000</v>
      </c>
      <c r="N64" t="s">
        <v>228</v>
      </c>
      <c r="O64" t="n">
        <v>910000.0</v>
      </c>
      <c r="P64" t="n">
        <v>300000.0</v>
      </c>
      <c r="Q64" t="n">
        <v>200000.0</v>
      </c>
      <c r="R64" t="n">
        <v>250000.0</v>
      </c>
      <c r="S64" t="n">
        <v>50000.0</v>
      </c>
      <c r="T64" t="n">
        <v>130000.0</v>
      </c>
      <c r="U64" t="n">
        <v>370000.0</v>
      </c>
      <c r="V64" t="n">
        <v>0.0</v>
      </c>
      <c r="W64">
        <f>SUM(O64:V64)</f>
        <v>2475000</v>
      </c>
    </row>
    <row r="65" spans="1:23" x14ac:dyDescent="0.3">
      <c r="A65" t="s">
        <v>237</v>
      </c>
      <c r="B65">
        <f si="8" t="shared"/>
        <v>195000</v>
      </c>
      <c r="C65">
        <f si="8" t="shared"/>
        <v>63000</v>
      </c>
      <c r="D65">
        <f si="8" t="shared"/>
        <v>43000</v>
      </c>
      <c r="E65">
        <f si="8" t="shared"/>
        <v>61000</v>
      </c>
      <c r="F65">
        <f si="8" t="shared"/>
        <v>34000</v>
      </c>
      <c r="G65">
        <f si="8" t="shared"/>
        <v>45000</v>
      </c>
      <c r="H65">
        <f si="8" t="shared"/>
        <v>89000</v>
      </c>
      <c r="I65">
        <f si="8" t="shared"/>
        <v>0</v>
      </c>
      <c r="J65">
        <f si="8" t="shared"/>
        <v>530000</v>
      </c>
      <c r="N65" t="s">
        <v>237</v>
      </c>
      <c r="O65" t="n">
        <v>220000.0</v>
      </c>
      <c r="P65" t="n">
        <v>100000.0</v>
      </c>
      <c r="Q65" t="n">
        <v>50000.0</v>
      </c>
      <c r="R65" t="n">
        <v>80000.0</v>
      </c>
      <c r="S65" t="n">
        <v>50000.0</v>
      </c>
      <c r="T65" t="n">
        <v>40000.0</v>
      </c>
      <c r="U65" t="n">
        <v>70000.0</v>
      </c>
      <c r="V65" t="n">
        <v>0.0</v>
      </c>
      <c r="W65">
        <f>SUM(O65:V65)</f>
        <v>530000</v>
      </c>
    </row>
    <row r="66" spans="1:23" x14ac:dyDescent="0.3">
      <c r="A66" t="s">
        <v>238</v>
      </c>
      <c r="B66">
        <f si="8" t="shared"/>
        <v>99000</v>
      </c>
      <c r="C66">
        <f si="8" t="shared"/>
        <v>25000</v>
      </c>
      <c r="D66">
        <f si="8" t="shared"/>
        <v>35000</v>
      </c>
      <c r="E66">
        <f si="8" t="shared"/>
        <v>53000</v>
      </c>
      <c r="F66">
        <f si="8" t="shared"/>
        <v>6000</v>
      </c>
      <c r="G66">
        <f si="8" t="shared"/>
        <v>17000</v>
      </c>
      <c r="H66">
        <f si="8" t="shared"/>
        <v>16000</v>
      </c>
      <c r="I66">
        <f si="8" t="shared"/>
        <v>0</v>
      </c>
      <c r="J66">
        <f si="8" t="shared"/>
        <v>251000</v>
      </c>
      <c r="N66" t="s">
        <v>238</v>
      </c>
      <c r="O66" t="n">
        <v>30000.0</v>
      </c>
      <c r="P66" t="n">
        <v>30000.0</v>
      </c>
      <c r="Q66" t="n">
        <v>60000.0</v>
      </c>
      <c r="R66" t="n">
        <v>80000.0</v>
      </c>
      <c r="S66" t="n">
        <v>10000.0</v>
      </c>
      <c r="T66" t="n">
        <v>20000.0</v>
      </c>
      <c r="U66" t="n">
        <v>10000.0</v>
      </c>
      <c r="V66" t="n">
        <v>0.0</v>
      </c>
      <c r="W66">
        <f>SUM(O66:V66)</f>
        <v>251000</v>
      </c>
    </row>
    <row r="67" spans="1:23" x14ac:dyDescent="0.3">
      <c r="A67" t="s">
        <v>173</v>
      </c>
      <c r="B67">
        <f si="8" t="shared"/>
        <v>8000</v>
      </c>
      <c r="C67">
        <f si="8" t="shared"/>
        <v>3000</v>
      </c>
      <c r="D67">
        <f si="8" t="shared"/>
        <v>5000</v>
      </c>
      <c r="E67">
        <f si="8" t="shared"/>
        <v>2000</v>
      </c>
      <c r="F67">
        <f si="8" t="shared"/>
        <v>3000</v>
      </c>
      <c r="G67">
        <f si="8" t="shared"/>
        <v>0</v>
      </c>
      <c r="H67">
        <f si="8" t="shared"/>
        <v>4000</v>
      </c>
      <c r="I67">
        <f si="8" t="shared"/>
        <v>0</v>
      </c>
      <c r="J67">
        <f si="8" t="shared"/>
        <v>25000</v>
      </c>
      <c r="N67" t="s">
        <v>173</v>
      </c>
      <c r="O67" t="n">
        <v>0.0</v>
      </c>
      <c r="P67" t="n">
        <v>0.0</v>
      </c>
      <c r="Q67" t="n">
        <v>0.0</v>
      </c>
      <c r="R67" t="n">
        <v>0.0</v>
      </c>
      <c r="S67" t="n">
        <v>10000.0</v>
      </c>
      <c r="T67" t="n">
        <v>0.0</v>
      </c>
      <c r="U67" t="n">
        <v>0.0</v>
      </c>
      <c r="V67" t="n">
        <v>0.0</v>
      </c>
      <c r="W67">
        <f>SUM(O67:V67)</f>
        <v>25000</v>
      </c>
    </row>
    <row r="69" spans="1:23" x14ac:dyDescent="0.3">
      <c r="A69" t="s">
        <v>130</v>
      </c>
      <c r="N69" t="s">
        <v>130</v>
      </c>
    </row>
    <row r="70" spans="1:23" x14ac:dyDescent="0.3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3">
      <c r="A71" t="s">
        <v>228</v>
      </c>
      <c r="B71">
        <f ref="B71:J74" si="9" t="shared">O71*$B$1</f>
        <v>958000</v>
      </c>
      <c r="C71">
        <f si="9" t="shared"/>
        <v>257000</v>
      </c>
      <c r="D71">
        <f si="9" t="shared"/>
        <v>223000</v>
      </c>
      <c r="E71">
        <f si="9" t="shared"/>
        <v>321000</v>
      </c>
      <c r="F71">
        <f si="9" t="shared"/>
        <v>108000</v>
      </c>
      <c r="G71">
        <f si="9" t="shared"/>
        <v>152000</v>
      </c>
      <c r="H71">
        <f si="9" t="shared"/>
        <v>469000</v>
      </c>
      <c r="I71">
        <f si="9" t="shared"/>
        <v>0</v>
      </c>
      <c r="J71">
        <f si="9" t="shared"/>
        <v>2488000</v>
      </c>
      <c r="N71" t="s">
        <v>228</v>
      </c>
      <c r="O71" t="n">
        <v>920000.0</v>
      </c>
      <c r="P71" t="n">
        <v>340000.0</v>
      </c>
      <c r="Q71" t="n">
        <v>210000.0</v>
      </c>
      <c r="R71" t="n">
        <v>340000.0</v>
      </c>
      <c r="S71" t="n">
        <v>100000.0</v>
      </c>
      <c r="T71" t="n">
        <v>150000.0</v>
      </c>
      <c r="U71" t="n">
        <v>380000.0</v>
      </c>
      <c r="V71" t="n">
        <v>0.0</v>
      </c>
      <c r="W71">
        <f>SUM(O71:V71)</f>
        <v>2488000</v>
      </c>
    </row>
    <row r="72" spans="1:23" x14ac:dyDescent="0.3">
      <c r="A72" t="s">
        <v>237</v>
      </c>
      <c r="B72">
        <f si="9" t="shared"/>
        <v>22000</v>
      </c>
      <c r="C72">
        <f si="9" t="shared"/>
        <v>6000</v>
      </c>
      <c r="D72">
        <f si="9" t="shared"/>
        <v>6000</v>
      </c>
      <c r="E72">
        <f si="9" t="shared"/>
        <v>13000</v>
      </c>
      <c r="F72">
        <f si="9" t="shared"/>
        <v>3000</v>
      </c>
      <c r="G72">
        <f si="9" t="shared"/>
        <v>3000</v>
      </c>
      <c r="H72">
        <f si="9" t="shared"/>
        <v>14000</v>
      </c>
      <c r="I72">
        <f si="9" t="shared"/>
        <v>0</v>
      </c>
      <c r="J72">
        <f si="9" t="shared"/>
        <v>67000</v>
      </c>
      <c r="N72" t="s">
        <v>237</v>
      </c>
      <c r="O72" t="n">
        <v>20000.0</v>
      </c>
      <c r="P72" t="n">
        <v>0.0</v>
      </c>
      <c r="Q72" t="n">
        <v>10000.0</v>
      </c>
      <c r="R72" t="n">
        <v>0.0</v>
      </c>
      <c r="S72" t="n">
        <v>0.0</v>
      </c>
      <c r="T72" t="n">
        <v>0.0</v>
      </c>
      <c r="U72" t="n">
        <v>20000.0</v>
      </c>
      <c r="V72" t="n">
        <v>0.0</v>
      </c>
      <c r="W72">
        <f>SUM(O72:V72)</f>
        <v>67000</v>
      </c>
    </row>
    <row r="73" spans="1:23" x14ac:dyDescent="0.3">
      <c r="A73" t="s">
        <v>238</v>
      </c>
      <c r="B73">
        <f si="9" t="shared"/>
        <v>247000</v>
      </c>
      <c r="C73">
        <f si="9" t="shared"/>
        <v>77000</v>
      </c>
      <c r="D73">
        <f si="9" t="shared"/>
        <v>82000</v>
      </c>
      <c r="E73">
        <f si="9" t="shared"/>
        <v>119000</v>
      </c>
      <c r="F73">
        <f si="9" t="shared"/>
        <v>32000</v>
      </c>
      <c r="G73">
        <f si="9" t="shared"/>
        <v>37000</v>
      </c>
      <c r="H73">
        <f si="9" t="shared"/>
        <v>106000</v>
      </c>
      <c r="I73">
        <f si="9" t="shared"/>
        <v>0</v>
      </c>
      <c r="J73">
        <f si="9" t="shared"/>
        <v>700000</v>
      </c>
      <c r="N73" t="s">
        <v>238</v>
      </c>
      <c r="O73" t="n">
        <v>200000.0</v>
      </c>
      <c r="P73" t="n">
        <v>70000.0</v>
      </c>
      <c r="Q73" t="n">
        <v>80000.0</v>
      </c>
      <c r="R73" t="n">
        <v>70000.0</v>
      </c>
      <c r="S73" t="n">
        <v>20000.0</v>
      </c>
      <c r="T73" t="n">
        <v>40000.0</v>
      </c>
      <c r="U73" t="n">
        <v>50000.0</v>
      </c>
      <c r="V73" t="n">
        <v>0.0</v>
      </c>
      <c r="W73">
        <f>SUM(O73:V73)</f>
        <v>700000</v>
      </c>
    </row>
    <row r="74" spans="1:23" x14ac:dyDescent="0.3">
      <c r="A74" t="s">
        <v>173</v>
      </c>
      <c r="B74">
        <f si="9" t="shared"/>
        <v>7000</v>
      </c>
      <c r="C74">
        <f si="9" t="shared"/>
        <v>5000</v>
      </c>
      <c r="D74">
        <f si="9" t="shared"/>
        <v>3000</v>
      </c>
      <c r="E74">
        <f si="9" t="shared"/>
        <v>8000</v>
      </c>
      <c r="F74">
        <f si="9" t="shared"/>
        <v>2000</v>
      </c>
      <c r="G74">
        <f si="9" t="shared"/>
        <v>1000</v>
      </c>
      <c r="H74">
        <f si="9" t="shared"/>
        <v>0</v>
      </c>
      <c r="I74">
        <f si="9" t="shared"/>
        <v>0</v>
      </c>
      <c r="J74">
        <f si="9" t="shared"/>
        <v>26000</v>
      </c>
      <c r="N74" t="s">
        <v>173</v>
      </c>
      <c r="O74" t="n">
        <v>20000.0</v>
      </c>
      <c r="P74" t="n">
        <v>20000.0</v>
      </c>
      <c r="Q74" t="n">
        <v>10000.0</v>
      </c>
      <c r="R74" t="n">
        <v>0.0</v>
      </c>
      <c r="S74" t="n">
        <v>0.0</v>
      </c>
      <c r="T74" t="n">
        <v>0.0</v>
      </c>
      <c r="U74" t="n">
        <v>0.0</v>
      </c>
      <c r="V74" t="n">
        <v>0.0</v>
      </c>
      <c r="W74">
        <f>SUM(O74:V74)</f>
        <v>26000</v>
      </c>
    </row>
    <row r="76" spans="1:23" x14ac:dyDescent="0.3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3">
      <c r="A78" t="s">
        <v>211</v>
      </c>
      <c r="N78" t="s">
        <v>211</v>
      </c>
    </row>
    <row r="79" spans="1:23" x14ac:dyDescent="0.3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3">
      <c r="A80">
        <v>0</v>
      </c>
      <c r="B80">
        <f ref="B80:J83" si="10" t="shared">O80*$B$1</f>
        <v>200000</v>
      </c>
      <c r="C80">
        <f si="10" t="shared"/>
        <v>97000</v>
      </c>
      <c r="D80">
        <f si="10" t="shared"/>
        <v>314000</v>
      </c>
      <c r="E80">
        <f si="10" t="shared"/>
        <v>461000</v>
      </c>
      <c r="F80">
        <f si="10" t="shared"/>
        <v>119000</v>
      </c>
      <c r="G80">
        <f si="10" t="shared"/>
        <v>179000</v>
      </c>
      <c r="H80">
        <f si="10" t="shared"/>
        <v>589000</v>
      </c>
      <c r="I80">
        <f si="10" t="shared"/>
        <v>0</v>
      </c>
      <c r="J80">
        <f si="10" t="shared"/>
        <v>1959000</v>
      </c>
      <c r="N80">
        <v>0</v>
      </c>
      <c r="O80" t="n">
        <v>160000.0</v>
      </c>
      <c r="P80" t="n">
        <v>80000.0</v>
      </c>
      <c r="Q80" t="n">
        <v>310000.0</v>
      </c>
      <c r="R80" t="n">
        <v>410000.0</v>
      </c>
      <c r="S80" t="n">
        <v>90000.0</v>
      </c>
      <c r="T80" t="n">
        <v>160000.0</v>
      </c>
      <c r="U80" t="n">
        <v>450000.0</v>
      </c>
      <c r="V80" t="n">
        <v>0.0</v>
      </c>
      <c r="W80">
        <f>SUM(O80:V80)</f>
        <v>1959000</v>
      </c>
    </row>
    <row r="81" spans="1:23" x14ac:dyDescent="0.3">
      <c r="A81">
        <v>1</v>
      </c>
      <c r="B81">
        <f si="10" t="shared"/>
        <v>1007000</v>
      </c>
      <c r="C81">
        <f si="10" t="shared"/>
        <v>237000</v>
      </c>
      <c r="D81">
        <f si="10" t="shared"/>
        <v>0</v>
      </c>
      <c r="E81">
        <f si="10" t="shared"/>
        <v>0</v>
      </c>
      <c r="F81">
        <f si="10" t="shared"/>
        <v>25000</v>
      </c>
      <c r="G81">
        <f si="10" t="shared"/>
        <v>14000</v>
      </c>
      <c r="H81">
        <f si="10" t="shared"/>
        <v>0</v>
      </c>
      <c r="I81">
        <f si="10" t="shared"/>
        <v>0</v>
      </c>
      <c r="J81">
        <f si="10" t="shared"/>
        <v>1283000</v>
      </c>
      <c r="N81">
        <v>1</v>
      </c>
      <c r="O81" t="n">
        <v>1000000.0</v>
      </c>
      <c r="P81" t="n">
        <v>320000.0</v>
      </c>
      <c r="Q81" t="n">
        <v>0.0</v>
      </c>
      <c r="R81" t="n">
        <v>0.0</v>
      </c>
      <c r="S81" t="n">
        <v>30000.0</v>
      </c>
      <c r="T81" t="n">
        <v>30000.0</v>
      </c>
      <c r="U81" t="n">
        <v>0.0</v>
      </c>
      <c r="V81" t="n">
        <v>0.0</v>
      </c>
      <c r="W81">
        <f>SUM(O81:V81)</f>
        <v>1283000</v>
      </c>
    </row>
    <row r="82" spans="1:23" x14ac:dyDescent="0.3">
      <c r="A82">
        <v>2</v>
      </c>
      <c r="B82">
        <f si="10" t="shared"/>
        <v>26000</v>
      </c>
      <c r="C82">
        <f si="10" t="shared"/>
        <v>11000</v>
      </c>
      <c r="D82">
        <f si="10" t="shared"/>
        <v>0</v>
      </c>
      <c r="E82">
        <f si="10" t="shared"/>
        <v>0</v>
      </c>
      <c r="F82">
        <f si="10" t="shared"/>
        <v>1000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38000</v>
      </c>
      <c r="N82">
        <v>2</v>
      </c>
      <c r="O82" t="n">
        <v>0.0</v>
      </c>
      <c r="P82" t="n">
        <v>30000.0</v>
      </c>
      <c r="Q82" t="n">
        <v>0.0</v>
      </c>
      <c r="R82" t="n">
        <v>0.0</v>
      </c>
      <c r="S82" t="n">
        <v>0.0</v>
      </c>
      <c r="T82" t="n">
        <v>0.0</v>
      </c>
      <c r="U82" t="n">
        <v>0.0</v>
      </c>
      <c r="V82" t="n">
        <v>0.0</v>
      </c>
      <c r="W82">
        <f>SUM(O82:V82)</f>
        <v>38000</v>
      </c>
    </row>
    <row r="83" spans="1:23" x14ac:dyDescent="0.3">
      <c r="A83" t="s">
        <v>116</v>
      </c>
      <c r="B83">
        <f si="10" t="shared"/>
        <v>1000</v>
      </c>
      <c r="C83">
        <f si="10" t="shared"/>
        <v>0</v>
      </c>
      <c r="D83">
        <f si="10" t="shared"/>
        <v>0</v>
      </c>
      <c r="E83">
        <f si="10" t="shared"/>
        <v>0</v>
      </c>
      <c r="F83">
        <f si="10" t="shared"/>
        <v>0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1000</v>
      </c>
      <c r="N83" t="s">
        <v>116</v>
      </c>
      <c r="O83" t="n">
        <v>0.0</v>
      </c>
      <c r="P83" t="n">
        <v>0.0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1000</v>
      </c>
    </row>
    <row r="85" spans="1:23" x14ac:dyDescent="0.3">
      <c r="A85" t="s">
        <v>212</v>
      </c>
      <c r="N85" t="s">
        <v>212</v>
      </c>
    </row>
    <row r="86" spans="1:23" x14ac:dyDescent="0.3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3">
      <c r="A87">
        <v>0</v>
      </c>
      <c r="B87">
        <f ref="B87:J90" si="11" t="shared">O87*$B$1</f>
        <v>1234000</v>
      </c>
      <c r="C87">
        <f si="11" t="shared"/>
        <v>345000</v>
      </c>
      <c r="D87">
        <f si="11" t="shared"/>
        <v>314000</v>
      </c>
      <c r="E87">
        <f si="11" t="shared"/>
        <v>461000</v>
      </c>
      <c r="F87">
        <f si="11" t="shared"/>
        <v>52000</v>
      </c>
      <c r="G87">
        <f si="11" t="shared"/>
        <v>25000</v>
      </c>
      <c r="H87">
        <f si="11" t="shared"/>
        <v>87000</v>
      </c>
      <c r="I87">
        <f si="11" t="shared"/>
        <v>0</v>
      </c>
      <c r="J87">
        <f si="11" t="shared"/>
        <v>2518000</v>
      </c>
      <c r="N87">
        <v>0</v>
      </c>
      <c r="O87" t="n">
        <v>1160000.0</v>
      </c>
      <c r="P87" t="n">
        <v>430000.0</v>
      </c>
      <c r="Q87" t="n">
        <v>310000.0</v>
      </c>
      <c r="R87" t="n">
        <v>410000.0</v>
      </c>
      <c r="S87" t="n">
        <v>50000.0</v>
      </c>
      <c r="T87" t="n">
        <v>40000.0</v>
      </c>
      <c r="U87" t="n">
        <v>40000.0</v>
      </c>
      <c r="V87" t="n">
        <v>0.0</v>
      </c>
      <c r="W87">
        <f>SUM(O87:V87)</f>
        <v>2518000</v>
      </c>
    </row>
    <row r="88" spans="1:23" x14ac:dyDescent="0.3">
      <c r="A88">
        <v>1</v>
      </c>
      <c r="B88">
        <f si="11" t="shared"/>
        <v>0</v>
      </c>
      <c r="C88">
        <f si="11" t="shared"/>
        <v>0</v>
      </c>
      <c r="D88">
        <f si="11" t="shared"/>
        <v>0</v>
      </c>
      <c r="E88">
        <f si="11" t="shared"/>
        <v>0</v>
      </c>
      <c r="F88">
        <f si="11" t="shared"/>
        <v>89000</v>
      </c>
      <c r="G88">
        <f si="11" t="shared"/>
        <v>163000</v>
      </c>
      <c r="H88">
        <f si="11" t="shared"/>
        <v>496000</v>
      </c>
      <c r="I88">
        <f si="11" t="shared"/>
        <v>0</v>
      </c>
      <c r="J88">
        <f si="11" t="shared"/>
        <v>748000</v>
      </c>
      <c r="N88">
        <v>1</v>
      </c>
      <c r="O88" t="n">
        <v>0.0</v>
      </c>
      <c r="P88" t="n">
        <v>0.0</v>
      </c>
      <c r="Q88" t="n">
        <v>0.0</v>
      </c>
      <c r="R88" t="n">
        <v>0.0</v>
      </c>
      <c r="S88" t="n">
        <v>60000.0</v>
      </c>
      <c r="T88" t="n">
        <v>140000.0</v>
      </c>
      <c r="U88" t="n">
        <v>410000.0</v>
      </c>
      <c r="V88" t="n">
        <v>0.0</v>
      </c>
      <c r="W88">
        <f>SUM(O88:V88)</f>
        <v>748000</v>
      </c>
    </row>
    <row r="89" spans="1:23" x14ac:dyDescent="0.3">
      <c r="A89">
        <v>2</v>
      </c>
      <c r="B89">
        <f si="11" t="shared"/>
        <v>0</v>
      </c>
      <c r="C89">
        <f si="11" t="shared"/>
        <v>0</v>
      </c>
      <c r="D89">
        <f si="11" t="shared"/>
        <v>0</v>
      </c>
      <c r="E89">
        <f si="11" t="shared"/>
        <v>0</v>
      </c>
      <c r="F89">
        <f si="11" t="shared"/>
        <v>4000</v>
      </c>
      <c r="G89">
        <f si="11" t="shared"/>
        <v>5000</v>
      </c>
      <c r="H89">
        <f si="11" t="shared"/>
        <v>6000</v>
      </c>
      <c r="I89">
        <f si="11" t="shared"/>
        <v>0</v>
      </c>
      <c r="J89">
        <f si="11" t="shared"/>
        <v>15000</v>
      </c>
      <c r="N89">
        <v>2</v>
      </c>
      <c r="O89" t="n">
        <v>0.0</v>
      </c>
      <c r="P89" t="n">
        <v>0.0</v>
      </c>
      <c r="Q89" t="n">
        <v>0.0</v>
      </c>
      <c r="R89" t="n">
        <v>0.0</v>
      </c>
      <c r="S89" t="n">
        <v>10000.0</v>
      </c>
      <c r="T89" t="n">
        <v>10000.0</v>
      </c>
      <c r="U89" t="n">
        <v>0.0</v>
      </c>
      <c r="V89" t="n">
        <v>0.0</v>
      </c>
      <c r="W89">
        <f>SUM(O89:V89)</f>
        <v>15000</v>
      </c>
    </row>
    <row r="90" spans="1:23" x14ac:dyDescent="0.3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0</v>
      </c>
      <c r="G90">
        <f si="11" t="shared"/>
        <v>0</v>
      </c>
      <c r="H90">
        <f si="11" t="shared"/>
        <v>0</v>
      </c>
      <c r="I90">
        <f si="11" t="shared"/>
        <v>0</v>
      </c>
      <c r="J90">
        <f si="11" t="shared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3">
      <c r="A92" t="s">
        <v>213</v>
      </c>
      <c r="N92" t="s">
        <v>213</v>
      </c>
    </row>
    <row r="93" spans="1:23" x14ac:dyDescent="0.3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3">
      <c r="A94">
        <v>0</v>
      </c>
      <c r="B94">
        <f ref="B94:J97" si="12" t="shared">O94*$B$1</f>
        <v>1123000</v>
      </c>
      <c r="C94">
        <f si="12" t="shared"/>
        <v>293000</v>
      </c>
      <c r="D94">
        <f si="12" t="shared"/>
        <v>269000</v>
      </c>
      <c r="E94">
        <f si="12" t="shared"/>
        <v>285000</v>
      </c>
      <c r="F94">
        <f si="12" t="shared"/>
        <v>130000</v>
      </c>
      <c r="G94">
        <f si="12" t="shared"/>
        <v>180000</v>
      </c>
      <c r="H94">
        <f si="12" t="shared"/>
        <v>542000</v>
      </c>
      <c r="I94">
        <f si="12" t="shared"/>
        <v>0</v>
      </c>
      <c r="J94">
        <f si="12" t="shared"/>
        <v>2822000</v>
      </c>
      <c r="N94">
        <v>0</v>
      </c>
      <c r="O94" t="n">
        <v>1090000.0</v>
      </c>
      <c r="P94" t="n">
        <v>360000.0</v>
      </c>
      <c r="Q94" t="n">
        <v>240000.0</v>
      </c>
      <c r="R94" t="n">
        <v>260000.0</v>
      </c>
      <c r="S94" t="n">
        <v>100000.0</v>
      </c>
      <c r="T94" t="n">
        <v>180000.0</v>
      </c>
      <c r="U94" t="n">
        <v>410000.0</v>
      </c>
      <c r="V94" t="n">
        <v>0.0</v>
      </c>
      <c r="W94">
        <f>SUM(O94:V94)</f>
        <v>2822000</v>
      </c>
    </row>
    <row r="95" spans="1:23" x14ac:dyDescent="0.3">
      <c r="A95">
        <v>1</v>
      </c>
      <c r="B95">
        <f si="12" t="shared"/>
        <v>97000</v>
      </c>
      <c r="C95">
        <f si="12" t="shared"/>
        <v>38000</v>
      </c>
      <c r="D95">
        <f si="12" t="shared"/>
        <v>41000</v>
      </c>
      <c r="E95">
        <f si="12" t="shared"/>
        <v>118000</v>
      </c>
      <c r="F95">
        <f si="12" t="shared"/>
        <v>12000</v>
      </c>
      <c r="G95">
        <f si="12" t="shared"/>
        <v>13000</v>
      </c>
      <c r="H95">
        <f si="12" t="shared"/>
        <v>44000</v>
      </c>
      <c r="I95">
        <f si="12" t="shared"/>
        <v>0</v>
      </c>
      <c r="J95">
        <f si="12" t="shared"/>
        <v>363000</v>
      </c>
      <c r="N95">
        <v>1</v>
      </c>
      <c r="O95" t="n">
        <v>50000.0</v>
      </c>
      <c r="P95" t="n">
        <v>60000.0</v>
      </c>
      <c r="Q95" t="n">
        <v>60000.0</v>
      </c>
      <c r="R95" t="n">
        <v>120000.0</v>
      </c>
      <c r="S95" t="n">
        <v>20000.0</v>
      </c>
      <c r="T95" t="n">
        <v>10000.0</v>
      </c>
      <c r="U95" t="n">
        <v>40000.0</v>
      </c>
      <c r="V95" t="n">
        <v>0.0</v>
      </c>
      <c r="W95">
        <f>SUM(O95:V95)</f>
        <v>363000</v>
      </c>
    </row>
    <row r="96" spans="1:23" x14ac:dyDescent="0.3">
      <c r="A96">
        <v>2</v>
      </c>
      <c r="B96">
        <f si="12" t="shared"/>
        <v>10000</v>
      </c>
      <c r="C96">
        <f si="12" t="shared"/>
        <v>10000</v>
      </c>
      <c r="D96">
        <f si="12" t="shared"/>
        <v>3000</v>
      </c>
      <c r="E96">
        <f si="12" t="shared"/>
        <v>45000</v>
      </c>
      <c r="F96">
        <f si="12" t="shared"/>
        <v>3000</v>
      </c>
      <c r="G96">
        <f si="12" t="shared"/>
        <v>0</v>
      </c>
      <c r="H96">
        <f si="12" t="shared"/>
        <v>3000</v>
      </c>
      <c r="I96">
        <f si="12" t="shared"/>
        <v>0</v>
      </c>
      <c r="J96">
        <f si="12" t="shared"/>
        <v>74000</v>
      </c>
      <c r="N96">
        <v>2</v>
      </c>
      <c r="O96" t="n">
        <v>20000.0</v>
      </c>
      <c r="P96" t="n">
        <v>0.0</v>
      </c>
      <c r="Q96" t="n">
        <v>10000.0</v>
      </c>
      <c r="R96" t="n">
        <v>30000.0</v>
      </c>
      <c r="S96" t="n">
        <v>0.0</v>
      </c>
      <c r="T96" t="n">
        <v>0.0</v>
      </c>
      <c r="U96" t="n">
        <v>0.0</v>
      </c>
      <c r="V96" t="n">
        <v>0.0</v>
      </c>
      <c r="W96">
        <f>SUM(O96:V96)</f>
        <v>74000</v>
      </c>
    </row>
    <row r="97" spans="1:23" x14ac:dyDescent="0.3">
      <c r="A97" t="s">
        <v>116</v>
      </c>
      <c r="B97">
        <f si="12" t="shared"/>
        <v>4000</v>
      </c>
      <c r="C97">
        <f si="12" t="shared"/>
        <v>4000</v>
      </c>
      <c r="D97">
        <f si="12" t="shared"/>
        <v>1000</v>
      </c>
      <c r="E97">
        <f si="12" t="shared"/>
        <v>13000</v>
      </c>
      <c r="F97">
        <f si="12" t="shared"/>
        <v>0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22000</v>
      </c>
      <c r="N97" t="s">
        <v>116</v>
      </c>
      <c r="O97" t="n">
        <v>0.0</v>
      </c>
      <c r="P97" t="n">
        <v>10000.0</v>
      </c>
      <c r="Q97" t="n">
        <v>0.0</v>
      </c>
      <c r="R97" t="n">
        <v>0.0</v>
      </c>
      <c r="S97" t="n">
        <v>0.0</v>
      </c>
      <c r="T97" t="n">
        <v>0.0</v>
      </c>
      <c r="U97" t="n">
        <v>0.0</v>
      </c>
      <c r="V97" t="n">
        <v>0.0</v>
      </c>
      <c r="W97">
        <f>SUM(O97:V97)</f>
        <v>22000</v>
      </c>
    </row>
    <row r="99" spans="1:23" x14ac:dyDescent="0.3">
      <c r="A99" t="s">
        <v>36</v>
      </c>
      <c r="N99" t="s">
        <v>36</v>
      </c>
    </row>
    <row r="100" spans="1:23" x14ac:dyDescent="0.3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3">
      <c r="A101">
        <v>0</v>
      </c>
      <c r="B101">
        <f ref="B101:J104" si="13" t="shared">O101*$B$1</f>
        <v>1103000</v>
      </c>
      <c r="C101">
        <f si="13" t="shared"/>
        <v>297000</v>
      </c>
      <c r="D101">
        <f si="13" t="shared"/>
        <v>269000</v>
      </c>
      <c r="E101">
        <f si="13" t="shared"/>
        <v>395000</v>
      </c>
      <c r="F101">
        <f si="13" t="shared"/>
        <v>128000</v>
      </c>
      <c r="G101">
        <f si="13" t="shared"/>
        <v>165000</v>
      </c>
      <c r="H101">
        <f si="13" t="shared"/>
        <v>554000</v>
      </c>
      <c r="I101">
        <f si="13" t="shared"/>
        <v>0</v>
      </c>
      <c r="J101">
        <f si="13" t="shared"/>
        <v>2911000</v>
      </c>
      <c r="N101">
        <v>0</v>
      </c>
      <c r="O101" t="n">
        <v>1010000.0</v>
      </c>
      <c r="P101" t="n">
        <v>380000.0</v>
      </c>
      <c r="Q101" t="n">
        <v>260000.0</v>
      </c>
      <c r="R101" t="n">
        <v>330000.0</v>
      </c>
      <c r="S101" t="n">
        <v>90000.0</v>
      </c>
      <c r="T101" t="n">
        <v>170000.0</v>
      </c>
      <c r="U101" t="n">
        <v>410000.0</v>
      </c>
      <c r="V101" t="n">
        <v>0.0</v>
      </c>
      <c r="W101">
        <f>SUM(O101:V101)</f>
        <v>2911000</v>
      </c>
    </row>
    <row r="102" spans="1:23" x14ac:dyDescent="0.3">
      <c r="A102">
        <v>1</v>
      </c>
      <c r="B102">
        <f si="13" t="shared"/>
        <v>114000</v>
      </c>
      <c r="C102">
        <f si="13" t="shared"/>
        <v>40000</v>
      </c>
      <c r="D102">
        <f si="13" t="shared"/>
        <v>41000</v>
      </c>
      <c r="E102">
        <f si="13" t="shared"/>
        <v>60000</v>
      </c>
      <c r="F102">
        <f si="13" t="shared"/>
        <v>15000</v>
      </c>
      <c r="G102">
        <f si="13" t="shared"/>
        <v>26000</v>
      </c>
      <c r="H102">
        <f si="13" t="shared"/>
        <v>31000</v>
      </c>
      <c r="I102">
        <f si="13" t="shared"/>
        <v>0</v>
      </c>
      <c r="J102">
        <f si="13" t="shared"/>
        <v>327000</v>
      </c>
      <c r="N102">
        <v>1</v>
      </c>
      <c r="O102" t="n">
        <v>130000.0</v>
      </c>
      <c r="P102" t="n">
        <v>50000.0</v>
      </c>
      <c r="Q102" t="n">
        <v>40000.0</v>
      </c>
      <c r="R102" t="n">
        <v>80000.0</v>
      </c>
      <c r="S102" t="n">
        <v>30000.0</v>
      </c>
      <c r="T102" t="n">
        <v>20000.0</v>
      </c>
      <c r="U102" t="n">
        <v>40000.0</v>
      </c>
      <c r="V102" t="n">
        <v>0.0</v>
      </c>
      <c r="W102">
        <f>SUM(O102:V102)</f>
        <v>327000</v>
      </c>
    </row>
    <row r="103" spans="1:23" x14ac:dyDescent="0.3">
      <c r="A103">
        <v>2</v>
      </c>
      <c r="B103">
        <f si="13" t="shared"/>
        <v>13000</v>
      </c>
      <c r="C103">
        <f si="13" t="shared"/>
        <v>8000</v>
      </c>
      <c r="D103">
        <f si="13" t="shared"/>
        <v>4000</v>
      </c>
      <c r="E103">
        <f si="13" t="shared"/>
        <v>4000</v>
      </c>
      <c r="F103">
        <f si="13" t="shared"/>
        <v>2000</v>
      </c>
      <c r="G103">
        <f si="13" t="shared"/>
        <v>2000</v>
      </c>
      <c r="H103">
        <f si="13" t="shared"/>
        <v>4000</v>
      </c>
      <c r="I103">
        <f si="13" t="shared"/>
        <v>0</v>
      </c>
      <c r="J103">
        <f si="13" t="shared"/>
        <v>37000</v>
      </c>
      <c r="N103">
        <v>2</v>
      </c>
      <c r="O103" t="n">
        <v>20000.0</v>
      </c>
      <c r="P103" t="n">
        <v>0.0</v>
      </c>
      <c r="Q103" t="n">
        <v>10000.0</v>
      </c>
      <c r="R103" t="n">
        <v>0.0</v>
      </c>
      <c r="S103" t="n">
        <v>0.0</v>
      </c>
      <c r="T103" t="n">
        <v>0.0</v>
      </c>
      <c r="U103" t="n">
        <v>0.0</v>
      </c>
      <c r="V103" t="n">
        <v>0.0</v>
      </c>
      <c r="W103">
        <f>SUM(O103:V103)</f>
        <v>37000</v>
      </c>
    </row>
    <row r="104" spans="1:23" x14ac:dyDescent="0.3">
      <c r="A104" t="s">
        <v>116</v>
      </c>
      <c r="B104">
        <f si="13" t="shared"/>
        <v>4000</v>
      </c>
      <c r="C104">
        <f si="13" t="shared"/>
        <v>0</v>
      </c>
      <c r="D104">
        <f si="13" t="shared"/>
        <v>0</v>
      </c>
      <c r="E104">
        <f si="13" t="shared"/>
        <v>2000</v>
      </c>
      <c r="F104">
        <f si="13" t="shared"/>
        <v>0</v>
      </c>
      <c r="G104">
        <f si="13" t="shared"/>
        <v>0</v>
      </c>
      <c r="H104">
        <f si="13" t="shared"/>
        <v>0</v>
      </c>
      <c r="I104">
        <f si="13" t="shared"/>
        <v>0</v>
      </c>
      <c r="J104">
        <f si="13" t="shared"/>
        <v>6000</v>
      </c>
      <c r="N104" t="s">
        <v>116</v>
      </c>
      <c r="O104" t="n">
        <v>0.0</v>
      </c>
      <c r="P104" t="n">
        <v>0.0</v>
      </c>
      <c r="Q104" t="n">
        <v>0.0</v>
      </c>
      <c r="R104" t="n">
        <v>0.0</v>
      </c>
      <c r="S104" t="n">
        <v>0.0</v>
      </c>
      <c r="T104" t="n">
        <v>0.0</v>
      </c>
      <c r="U104" t="n">
        <v>0.0</v>
      </c>
      <c r="V104" t="n">
        <v>0.0</v>
      </c>
      <c r="W104">
        <f>SUM(O104:V104)</f>
        <v>6000</v>
      </c>
    </row>
    <row r="106" spans="1:23" x14ac:dyDescent="0.3">
      <c r="A106" t="s">
        <v>215</v>
      </c>
      <c r="N106" t="s">
        <v>215</v>
      </c>
    </row>
    <row r="107" spans="1:23" x14ac:dyDescent="0.3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3">
      <c r="A108">
        <v>0</v>
      </c>
      <c r="B108">
        <f ref="B108:J111" si="14" t="shared">O108*$B$1</f>
        <v>1200000</v>
      </c>
      <c r="C108">
        <f si="14" t="shared"/>
        <v>334000</v>
      </c>
      <c r="D108">
        <f si="14" t="shared"/>
        <v>283000</v>
      </c>
      <c r="E108">
        <f si="14" t="shared"/>
        <v>417000</v>
      </c>
      <c r="F108">
        <f si="14" t="shared"/>
        <v>142000</v>
      </c>
      <c r="G108">
        <f si="14" t="shared"/>
        <v>190000</v>
      </c>
      <c r="H108">
        <f si="14" t="shared"/>
        <v>583000</v>
      </c>
      <c r="I108">
        <f si="14" t="shared"/>
        <v>0</v>
      </c>
      <c r="J108">
        <f si="14" t="shared"/>
        <v>3149000</v>
      </c>
      <c r="N108">
        <v>0</v>
      </c>
      <c r="O108" t="n">
        <v>1150000.0</v>
      </c>
      <c r="P108" t="n">
        <v>430000.0</v>
      </c>
      <c r="Q108" t="n">
        <v>250000.0</v>
      </c>
      <c r="R108" t="n">
        <v>370000.0</v>
      </c>
      <c r="S108" t="n">
        <v>120000.0</v>
      </c>
      <c r="T108" t="n">
        <v>190000.0</v>
      </c>
      <c r="U108" t="n">
        <v>450000.0</v>
      </c>
      <c r="V108" t="n">
        <v>0.0</v>
      </c>
      <c r="W108">
        <f>SUM(O108:V108)</f>
        <v>3149000</v>
      </c>
    </row>
    <row r="109" spans="1:23" x14ac:dyDescent="0.3">
      <c r="A109">
        <v>1</v>
      </c>
      <c r="B109">
        <f si="14" t="shared"/>
        <v>34000</v>
      </c>
      <c r="C109">
        <f si="14" t="shared"/>
        <v>9000</v>
      </c>
      <c r="D109">
        <f si="14" t="shared"/>
        <v>31000</v>
      </c>
      <c r="E109">
        <f si="14" t="shared"/>
        <v>41000</v>
      </c>
      <c r="F109">
        <f si="14" t="shared"/>
        <v>3000</v>
      </c>
      <c r="G109">
        <f si="14" t="shared"/>
        <v>3000</v>
      </c>
      <c r="H109">
        <f si="14" t="shared"/>
        <v>6000</v>
      </c>
      <c r="I109">
        <f si="14" t="shared"/>
        <v>0</v>
      </c>
      <c r="J109">
        <f si="14" t="shared"/>
        <v>127000</v>
      </c>
      <c r="N109">
        <v>1</v>
      </c>
      <c r="O109" t="n">
        <v>10000.0</v>
      </c>
      <c r="P109" t="n">
        <v>0.0</v>
      </c>
      <c r="Q109" t="n">
        <v>60000.0</v>
      </c>
      <c r="R109" t="n">
        <v>30000.0</v>
      </c>
      <c r="S109" t="n">
        <v>0.0</v>
      </c>
      <c r="T109" t="n">
        <v>0.0</v>
      </c>
      <c r="U109" t="n">
        <v>0.0</v>
      </c>
      <c r="V109" t="n">
        <v>0.0</v>
      </c>
      <c r="W109">
        <f>SUM(O109:V109)</f>
        <v>127000</v>
      </c>
    </row>
    <row r="110" spans="1:23" x14ac:dyDescent="0.3">
      <c r="A110">
        <v>2</v>
      </c>
      <c r="B110">
        <f si="14" t="shared"/>
        <v>0</v>
      </c>
      <c r="C110">
        <f si="14" t="shared"/>
        <v>2000</v>
      </c>
      <c r="D110">
        <f si="14" t="shared"/>
        <v>0</v>
      </c>
      <c r="E110">
        <f si="14" t="shared"/>
        <v>3000</v>
      </c>
      <c r="F110">
        <f si="14" t="shared"/>
        <v>0</v>
      </c>
      <c r="G110">
        <f si="14" t="shared"/>
        <v>0</v>
      </c>
      <c r="H110">
        <f si="14" t="shared"/>
        <v>0</v>
      </c>
      <c r="I110">
        <f si="14" t="shared"/>
        <v>0</v>
      </c>
      <c r="J110">
        <f si="14" t="shared"/>
        <v>5000</v>
      </c>
      <c r="N110">
        <v>2</v>
      </c>
      <c r="O110" t="n">
        <v>0.0</v>
      </c>
      <c r="P110" t="n">
        <v>0.0</v>
      </c>
      <c r="Q110" t="n">
        <v>0.0</v>
      </c>
      <c r="R110" t="n">
        <v>10000.0</v>
      </c>
      <c r="S110" t="n">
        <v>0.0</v>
      </c>
      <c r="T110" t="n">
        <v>0.0</v>
      </c>
      <c r="U110" t="n">
        <v>0.0</v>
      </c>
      <c r="V110" t="n">
        <v>0.0</v>
      </c>
      <c r="W110">
        <f>SUM(O110:V110)</f>
        <v>5000</v>
      </c>
    </row>
    <row r="111" spans="1:23" x14ac:dyDescent="0.3">
      <c r="A111" t="s">
        <v>116</v>
      </c>
      <c r="B111">
        <f si="14" t="shared"/>
        <v>0</v>
      </c>
      <c r="C111">
        <f si="14" t="shared"/>
        <v>0</v>
      </c>
      <c r="D111">
        <f si="14" t="shared"/>
        <v>0</v>
      </c>
      <c r="E111">
        <f si="14" t="shared"/>
        <v>0</v>
      </c>
      <c r="F111">
        <f si="14" t="shared"/>
        <v>0</v>
      </c>
      <c r="G111">
        <f si="14" t="shared"/>
        <v>0</v>
      </c>
      <c r="H111">
        <f si="14" t="shared"/>
        <v>0</v>
      </c>
      <c r="I111">
        <f si="14" t="shared"/>
        <v>0</v>
      </c>
      <c r="J111">
        <f si="14" t="shared"/>
        <v>0</v>
      </c>
      <c r="N111" t="s">
        <v>116</v>
      </c>
      <c r="O111" t="n">
        <v>0.0</v>
      </c>
      <c r="P111" t="n">
        <v>0.0</v>
      </c>
      <c r="Q111" t="n">
        <v>0.0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0</v>
      </c>
    </row>
    <row r="113" spans="1:23" x14ac:dyDescent="0.3">
      <c r="A113" t="s">
        <v>129</v>
      </c>
      <c r="N113" t="s">
        <v>129</v>
      </c>
    </row>
    <row r="114" spans="1:23" x14ac:dyDescent="0.3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3">
      <c r="A115">
        <v>0</v>
      </c>
      <c r="B115">
        <f ref="B115:J118" si="15" t="shared">O115*$B$1</f>
        <v>1127000</v>
      </c>
      <c r="C115">
        <f si="15" t="shared"/>
        <v>317000</v>
      </c>
      <c r="D115">
        <f si="15" t="shared"/>
        <v>274000</v>
      </c>
      <c r="E115">
        <f si="15" t="shared"/>
        <v>406000</v>
      </c>
      <c r="F115">
        <f si="15" t="shared"/>
        <v>136000</v>
      </c>
      <c r="G115">
        <f si="15" t="shared"/>
        <v>176000</v>
      </c>
      <c r="H115">
        <f si="15" t="shared"/>
        <v>569000</v>
      </c>
      <c r="I115">
        <f si="15" t="shared"/>
        <v>0</v>
      </c>
      <c r="J115">
        <f si="15" t="shared"/>
        <v>3005000</v>
      </c>
      <c r="N115">
        <v>0</v>
      </c>
      <c r="O115" t="n">
        <v>1130000.0</v>
      </c>
      <c r="P115" t="n">
        <v>400000.0</v>
      </c>
      <c r="Q115" t="n">
        <v>250000.0</v>
      </c>
      <c r="R115" t="n">
        <v>330000.0</v>
      </c>
      <c r="S115" t="n">
        <v>100000.0</v>
      </c>
      <c r="T115" t="n">
        <v>170000.0</v>
      </c>
      <c r="U115" t="n">
        <v>440000.0</v>
      </c>
      <c r="V115" t="n">
        <v>0.0</v>
      </c>
      <c r="W115">
        <f>SUM(O115:V115)</f>
        <v>3005000</v>
      </c>
    </row>
    <row r="116" spans="1:23" x14ac:dyDescent="0.3">
      <c r="A116">
        <v>1</v>
      </c>
      <c r="B116">
        <f si="15" t="shared"/>
        <v>105000</v>
      </c>
      <c r="C116">
        <f si="15" t="shared"/>
        <v>25000</v>
      </c>
      <c r="D116">
        <f si="15" t="shared"/>
        <v>37000</v>
      </c>
      <c r="E116">
        <f si="15" t="shared"/>
        <v>49000</v>
      </c>
      <c r="F116">
        <f si="15" t="shared"/>
        <v>9000</v>
      </c>
      <c r="G116">
        <f si="15" t="shared"/>
        <v>17000</v>
      </c>
      <c r="H116">
        <f si="15" t="shared"/>
        <v>20000</v>
      </c>
      <c r="I116">
        <f si="15" t="shared"/>
        <v>0</v>
      </c>
      <c r="J116">
        <f si="15" t="shared"/>
        <v>262000</v>
      </c>
      <c r="N116">
        <v>1</v>
      </c>
      <c r="O116" t="n">
        <v>30000.0</v>
      </c>
      <c r="P116" t="n">
        <v>20000.0</v>
      </c>
      <c r="Q116" t="n">
        <v>50000.0</v>
      </c>
      <c r="R116" t="n">
        <v>80000.0</v>
      </c>
      <c r="S116" t="n">
        <v>20000.0</v>
      </c>
      <c r="T116" t="n">
        <v>20000.0</v>
      </c>
      <c r="U116" t="n">
        <v>10000.0</v>
      </c>
      <c r="V116" t="n">
        <v>0.0</v>
      </c>
      <c r="W116">
        <f>SUM(O116:V116)</f>
        <v>262000</v>
      </c>
    </row>
    <row r="117" spans="1:23" x14ac:dyDescent="0.3">
      <c r="A117">
        <v>2</v>
      </c>
      <c r="B117">
        <f si="15" t="shared"/>
        <v>2000</v>
      </c>
      <c r="C117">
        <f si="15" t="shared"/>
        <v>3000</v>
      </c>
      <c r="D117">
        <f si="15" t="shared"/>
        <v>3000</v>
      </c>
      <c r="E117">
        <f si="15" t="shared"/>
        <v>6000</v>
      </c>
      <c r="F117">
        <f si="15" t="shared"/>
        <v>0</v>
      </c>
      <c r="G117">
        <f si="15" t="shared"/>
        <v>0</v>
      </c>
      <c r="H117">
        <f si="15" t="shared"/>
        <v>0</v>
      </c>
      <c r="I117">
        <f si="15" t="shared"/>
        <v>0</v>
      </c>
      <c r="J117">
        <f si="15" t="shared"/>
        <v>14000</v>
      </c>
      <c r="N117">
        <v>2</v>
      </c>
      <c r="O117" t="n">
        <v>0.0</v>
      </c>
      <c r="P117" t="n">
        <v>10000.0</v>
      </c>
      <c r="Q117" t="n">
        <v>10000.0</v>
      </c>
      <c r="R117" t="n">
        <v>0.0</v>
      </c>
      <c r="S117" t="n">
        <v>0.0</v>
      </c>
      <c r="T117" t="n">
        <v>0.0</v>
      </c>
      <c r="U117" t="n">
        <v>0.0</v>
      </c>
      <c r="V117" t="n">
        <v>0.0</v>
      </c>
      <c r="W117">
        <f>SUM(O117:V117)</f>
        <v>14000</v>
      </c>
    </row>
    <row r="118" spans="1:23" x14ac:dyDescent="0.3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0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0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0</v>
      </c>
    </row>
    <row r="120" spans="1:23" x14ac:dyDescent="0.3">
      <c r="A120" t="s">
        <v>130</v>
      </c>
      <c r="N120" t="s">
        <v>130</v>
      </c>
    </row>
    <row r="121" spans="1:23" x14ac:dyDescent="0.3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3">
      <c r="A122">
        <v>0</v>
      </c>
      <c r="B122">
        <f ref="B122:J125" si="16" t="shared">O122*$B$1</f>
        <v>980000</v>
      </c>
      <c r="C122">
        <f si="16" t="shared"/>
        <v>263000</v>
      </c>
      <c r="D122">
        <f si="16" t="shared"/>
        <v>229000</v>
      </c>
      <c r="E122">
        <f si="16" t="shared"/>
        <v>334000</v>
      </c>
      <c r="F122">
        <f si="16" t="shared"/>
        <v>111000</v>
      </c>
      <c r="G122">
        <f si="16" t="shared"/>
        <v>155000</v>
      </c>
      <c r="H122">
        <f si="16" t="shared"/>
        <v>483000</v>
      </c>
      <c r="I122">
        <f si="16" t="shared"/>
        <v>0</v>
      </c>
      <c r="J122">
        <f si="16" t="shared"/>
        <v>2555000</v>
      </c>
      <c r="N122">
        <v>0</v>
      </c>
      <c r="O122" t="n">
        <v>940000.0</v>
      </c>
      <c r="P122" t="n">
        <v>340000.0</v>
      </c>
      <c r="Q122" t="n">
        <v>220000.0</v>
      </c>
      <c r="R122" t="n">
        <v>340000.0</v>
      </c>
      <c r="S122" t="n">
        <v>100000.0</v>
      </c>
      <c r="T122" t="n">
        <v>150000.0</v>
      </c>
      <c r="U122" t="n">
        <v>400000.0</v>
      </c>
      <c r="V122" t="n">
        <v>0.0</v>
      </c>
      <c r="W122">
        <f>SUM(O122:V122)</f>
        <v>2555000</v>
      </c>
    </row>
    <row r="123" spans="1:23" x14ac:dyDescent="0.3">
      <c r="A123">
        <v>1</v>
      </c>
      <c r="B123">
        <f si="16" t="shared"/>
        <v>227000</v>
      </c>
      <c r="C123">
        <f si="16" t="shared"/>
        <v>74000</v>
      </c>
      <c r="D123">
        <f si="16" t="shared"/>
        <v>74000</v>
      </c>
      <c r="E123">
        <f si="16" t="shared"/>
        <v>111000</v>
      </c>
      <c r="F123">
        <f si="16" t="shared"/>
        <v>31000</v>
      </c>
      <c r="G123">
        <f si="16" t="shared"/>
        <v>36000</v>
      </c>
      <c r="H123">
        <f si="16" t="shared"/>
        <v>100000</v>
      </c>
      <c r="I123">
        <f si="16" t="shared"/>
        <v>0</v>
      </c>
      <c r="J123">
        <f si="16" t="shared"/>
        <v>653000</v>
      </c>
      <c r="N123">
        <v>1</v>
      </c>
      <c r="O123" t="n">
        <v>210000.0</v>
      </c>
      <c r="P123" t="n">
        <v>90000.0</v>
      </c>
      <c r="Q123" t="n">
        <v>80000.0</v>
      </c>
      <c r="R123" t="n">
        <v>50000.0</v>
      </c>
      <c r="S123" t="n">
        <v>10000.0</v>
      </c>
      <c r="T123" t="n">
        <v>40000.0</v>
      </c>
      <c r="U123" t="n">
        <v>50000.0</v>
      </c>
      <c r="V123" t="n">
        <v>0.0</v>
      </c>
      <c r="W123">
        <f>SUM(O123:V123)</f>
        <v>653000</v>
      </c>
    </row>
    <row r="124" spans="1:23" x14ac:dyDescent="0.3">
      <c r="A124">
        <v>2</v>
      </c>
      <c r="B124">
        <f si="16" t="shared"/>
        <v>27000</v>
      </c>
      <c r="C124">
        <f si="16" t="shared"/>
        <v>8000</v>
      </c>
      <c r="D124">
        <f si="16" t="shared"/>
        <v>9000</v>
      </c>
      <c r="E124">
        <f si="16" t="shared"/>
        <v>14000</v>
      </c>
      <c r="F124">
        <f si="16" t="shared"/>
        <v>3000</v>
      </c>
      <c r="G124">
        <f si="16" t="shared"/>
        <v>2000</v>
      </c>
      <c r="H124">
        <f si="16" t="shared"/>
        <v>6000</v>
      </c>
      <c r="I124">
        <f si="16" t="shared"/>
        <v>0</v>
      </c>
      <c r="J124">
        <f si="16" t="shared"/>
        <v>69000</v>
      </c>
      <c r="N124">
        <v>2</v>
      </c>
      <c r="O124" t="n">
        <v>10000.0</v>
      </c>
      <c r="P124" t="n">
        <v>0.0</v>
      </c>
      <c r="Q124" t="n">
        <v>0.0</v>
      </c>
      <c r="R124" t="n">
        <v>10000.0</v>
      </c>
      <c r="S124" t="n">
        <v>10000.0</v>
      </c>
      <c r="T124" t="n">
        <v>0.0</v>
      </c>
      <c r="U124" t="n">
        <v>0.0</v>
      </c>
      <c r="V124" t="n">
        <v>0.0</v>
      </c>
      <c r="W124">
        <f>SUM(O124:V124)</f>
        <v>69000</v>
      </c>
    </row>
    <row r="125" spans="1:23" x14ac:dyDescent="0.3">
      <c r="A125" t="s">
        <v>116</v>
      </c>
      <c r="B125">
        <f si="16" t="shared"/>
        <v>0</v>
      </c>
      <c r="C125">
        <f si="16" t="shared"/>
        <v>0</v>
      </c>
      <c r="D125">
        <f si="16" t="shared"/>
        <v>2000</v>
      </c>
      <c r="E125">
        <f si="16" t="shared"/>
        <v>2000</v>
      </c>
      <c r="F125">
        <f si="16" t="shared"/>
        <v>0</v>
      </c>
      <c r="G125">
        <f si="16" t="shared"/>
        <v>0</v>
      </c>
      <c r="H125">
        <f si="16" t="shared"/>
        <v>0</v>
      </c>
      <c r="I125">
        <f si="16" t="shared"/>
        <v>0</v>
      </c>
      <c r="J125">
        <f si="16" t="shared"/>
        <v>4000</v>
      </c>
      <c r="N125" t="s">
        <v>116</v>
      </c>
      <c r="O125" t="n">
        <v>0.0</v>
      </c>
      <c r="P125" t="n">
        <v>0.0</v>
      </c>
      <c r="Q125" t="n">
        <v>10000.0</v>
      </c>
      <c r="R125" t="n">
        <v>10000.0</v>
      </c>
      <c r="S125" t="n">
        <v>0.0</v>
      </c>
      <c r="T125" t="n">
        <v>0.0</v>
      </c>
      <c r="U125" t="n">
        <v>0.0</v>
      </c>
      <c r="V125" t="n">
        <v>0.0</v>
      </c>
      <c r="W125">
        <f>SUM(O125:V125)</f>
        <v>4000</v>
      </c>
    </row>
    <row r="127" spans="1:23" x14ac:dyDescent="0.3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3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3">
      <c r="A129">
        <v>0</v>
      </c>
      <c r="B129">
        <f ref="B129:D132" si="17" t="shared">O129*$B$1</f>
        <v>834000</v>
      </c>
      <c r="C129">
        <f si="17" t="shared"/>
        <v>234000</v>
      </c>
      <c r="D129">
        <f si="17" t="shared"/>
        <v>1068000</v>
      </c>
      <c r="N129">
        <v>0</v>
      </c>
      <c r="O129" t="n">
        <v>740000.0</v>
      </c>
      <c r="P129" t="n">
        <v>360000.0</v>
      </c>
      <c r="Q129">
        <f>SUM(O129:P129)</f>
        <v>1068000</v>
      </c>
    </row>
    <row r="130" spans="1:17" x14ac:dyDescent="0.3">
      <c r="A130">
        <v>1</v>
      </c>
      <c r="B130">
        <f si="17" t="shared"/>
        <v>314000</v>
      </c>
      <c r="C130">
        <f si="17" t="shared"/>
        <v>80000</v>
      </c>
      <c r="D130">
        <f si="17" t="shared"/>
        <v>394000</v>
      </c>
      <c r="N130">
        <v>1</v>
      </c>
      <c r="O130" t="n">
        <v>330000.0</v>
      </c>
      <c r="P130" t="n">
        <v>90000.0</v>
      </c>
      <c r="Q130">
        <f>SUM(O130:P130)</f>
        <v>394000</v>
      </c>
    </row>
    <row r="131" spans="1:17" x14ac:dyDescent="0.3">
      <c r="A131">
        <v>2</v>
      </c>
      <c r="B131">
        <f si="17" t="shared"/>
        <v>0</v>
      </c>
      <c r="C131">
        <f si="17" t="shared"/>
        <v>0</v>
      </c>
      <c r="D131">
        <f si="17" t="shared"/>
        <v>0</v>
      </c>
      <c r="N131">
        <v>2</v>
      </c>
      <c r="O131" t="n">
        <v>0.0</v>
      </c>
      <c r="P131" t="n">
        <v>0.0</v>
      </c>
      <c r="Q131">
        <f>SUM(O131:P131)</f>
        <v>0</v>
      </c>
    </row>
    <row r="132" spans="1:17" x14ac:dyDescent="0.3">
      <c r="A132" t="s">
        <v>116</v>
      </c>
      <c r="B132">
        <f si="17" t="shared"/>
        <v>0</v>
      </c>
      <c r="C132">
        <f si="17" t="shared"/>
        <v>0</v>
      </c>
      <c r="D132">
        <f si="17" t="shared"/>
        <v>0</v>
      </c>
      <c r="N132" t="s">
        <v>116</v>
      </c>
      <c r="O132" t="n">
        <v>0.0</v>
      </c>
      <c r="P132" t="n">
        <v>0.0</v>
      </c>
      <c r="Q132">
        <f>SUM(O132:P132)</f>
        <v>0</v>
      </c>
    </row>
    <row r="134" spans="1:17" x14ac:dyDescent="0.3">
      <c r="A134" t="s">
        <v>46</v>
      </c>
      <c r="B134" t="s">
        <v>47</v>
      </c>
      <c r="N134" t="s">
        <v>46</v>
      </c>
      <c r="O134" t="s">
        <v>47</v>
      </c>
    </row>
    <row r="135" spans="1:17" x14ac:dyDescent="0.3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3">
      <c r="A136" t="s">
        <v>211</v>
      </c>
      <c r="B136">
        <f ref="B136:D142" si="18" t="shared">O136*$B$1</f>
        <v>86000</v>
      </c>
      <c r="C136">
        <f si="18" t="shared"/>
        <v>14000</v>
      </c>
      <c r="D136">
        <f si="18" t="shared"/>
        <v>100000</v>
      </c>
      <c r="N136" t="s">
        <v>211</v>
      </c>
      <c r="O136" t="n">
        <v>70000.0</v>
      </c>
      <c r="P136" t="n">
        <v>10000.0</v>
      </c>
      <c r="Q136">
        <f>SUM(O136:P136)</f>
        <v>100000</v>
      </c>
    </row>
    <row r="137" spans="1:17" x14ac:dyDescent="0.3">
      <c r="A137" t="s">
        <v>212</v>
      </c>
      <c r="B137">
        <f si="18" t="shared"/>
        <v>0</v>
      </c>
      <c r="C137">
        <f si="18" t="shared"/>
        <v>3000</v>
      </c>
      <c r="D137">
        <f si="18" t="shared"/>
        <v>3000</v>
      </c>
      <c r="N137" t="s">
        <v>212</v>
      </c>
      <c r="O137" t="n">
        <v>0.0</v>
      </c>
      <c r="P137" t="n">
        <v>0.0</v>
      </c>
      <c r="Q137">
        <f ref="Q137:Q142" si="19" t="shared">SUM(O137:P137)</f>
        <v>3000</v>
      </c>
    </row>
    <row r="138" spans="1:17" x14ac:dyDescent="0.3">
      <c r="A138" t="s">
        <v>213</v>
      </c>
      <c r="B138">
        <f si="18" t="shared"/>
        <v>22000</v>
      </c>
      <c r="C138">
        <f si="18" t="shared"/>
        <v>5000</v>
      </c>
      <c r="D138">
        <f si="18" t="shared"/>
        <v>27000</v>
      </c>
      <c r="N138" t="s">
        <v>213</v>
      </c>
      <c r="O138" t="n">
        <v>20000.0</v>
      </c>
      <c r="P138" t="n">
        <v>10000.0</v>
      </c>
      <c r="Q138">
        <f si="19" t="shared"/>
        <v>27000</v>
      </c>
    </row>
    <row r="139" spans="1:17" x14ac:dyDescent="0.3">
      <c r="A139" t="s">
        <v>36</v>
      </c>
      <c r="B139">
        <f si="18" t="shared"/>
        <v>40000</v>
      </c>
      <c r="C139">
        <f si="18" t="shared"/>
        <v>10000</v>
      </c>
      <c r="D139">
        <f si="18" t="shared"/>
        <v>50000</v>
      </c>
      <c r="N139" t="s">
        <v>36</v>
      </c>
      <c r="O139" t="n">
        <v>40000.0</v>
      </c>
      <c r="P139" t="n">
        <v>0.0</v>
      </c>
      <c r="Q139">
        <f si="19" t="shared"/>
        <v>50000</v>
      </c>
    </row>
    <row r="140" spans="1:17" x14ac:dyDescent="0.3">
      <c r="A140" t="s">
        <v>215</v>
      </c>
      <c r="B140">
        <f si="18" t="shared"/>
        <v>70000</v>
      </c>
      <c r="C140">
        <f si="18" t="shared"/>
        <v>18000</v>
      </c>
      <c r="D140">
        <f si="18" t="shared"/>
        <v>88000</v>
      </c>
      <c r="N140" t="s">
        <v>215</v>
      </c>
      <c r="O140" t="n">
        <v>70000.0</v>
      </c>
      <c r="P140" t="n">
        <v>30000.0</v>
      </c>
      <c r="Q140">
        <f si="19" t="shared"/>
        <v>88000</v>
      </c>
    </row>
    <row r="141" spans="1:17" x14ac:dyDescent="0.3">
      <c r="A141" t="s">
        <v>129</v>
      </c>
      <c r="B141">
        <f si="18" t="shared"/>
        <v>85000</v>
      </c>
      <c r="C141">
        <f si="18" t="shared"/>
        <v>26000</v>
      </c>
      <c r="D141">
        <f si="18" t="shared"/>
        <v>111000</v>
      </c>
      <c r="N141" t="s">
        <v>129</v>
      </c>
      <c r="O141" t="n">
        <v>120000.0</v>
      </c>
      <c r="P141" t="n">
        <v>30000.0</v>
      </c>
      <c r="Q141">
        <f si="19" t="shared"/>
        <v>111000</v>
      </c>
    </row>
    <row r="142" spans="1:17" x14ac:dyDescent="0.3">
      <c r="A142" t="s">
        <v>130</v>
      </c>
      <c r="B142">
        <f si="18" t="shared"/>
        <v>11000</v>
      </c>
      <c r="C142">
        <f si="18" t="shared"/>
        <v>4000</v>
      </c>
      <c r="D142">
        <f si="18" t="shared"/>
        <v>15000</v>
      </c>
      <c r="N142" t="s">
        <v>130</v>
      </c>
      <c r="O142" t="n">
        <v>10000.0</v>
      </c>
      <c r="P142" t="n">
        <v>10000.0</v>
      </c>
      <c r="Q142">
        <f si="19" t="shared"/>
        <v>15000</v>
      </c>
    </row>
    <row r="144" spans="1:17" x14ac:dyDescent="0.3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3">
      <c r="A146" t="s">
        <v>52</v>
      </c>
      <c r="N146" t="s">
        <v>52</v>
      </c>
    </row>
    <row r="147" spans="1:22" x14ac:dyDescent="0.3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3">
      <c r="A148">
        <v>0</v>
      </c>
      <c r="B148">
        <f ref="B148:I154" si="20" t="shared">O148*$B$1</f>
        <v>879000</v>
      </c>
      <c r="C148">
        <f si="20" t="shared"/>
        <v>503000</v>
      </c>
      <c r="D148">
        <f si="20" t="shared"/>
        <v>405000</v>
      </c>
      <c r="E148">
        <f si="20" t="shared"/>
        <v>343000</v>
      </c>
      <c r="F148">
        <f si="20" t="shared"/>
        <v>171000</v>
      </c>
      <c r="G148">
        <f si="20" t="shared"/>
        <v>350000</v>
      </c>
      <c r="H148">
        <f si="20" t="shared"/>
        <v>703000</v>
      </c>
      <c r="I148">
        <f si="20" t="shared"/>
        <v>3354000</v>
      </c>
      <c r="N148">
        <v>0</v>
      </c>
      <c r="O148" t="n">
        <v>910000.0</v>
      </c>
      <c r="P148" t="n">
        <v>440000.0</v>
      </c>
      <c r="Q148" t="n">
        <v>330000.0</v>
      </c>
      <c r="R148" t="n">
        <v>300000.0</v>
      </c>
      <c r="S148" t="n">
        <v>150000.0</v>
      </c>
      <c r="T148" t="n">
        <v>390000.0</v>
      </c>
      <c r="U148" t="n">
        <v>580000.0</v>
      </c>
      <c r="V148">
        <f>SUM(O148:U148)</f>
        <v>3354000</v>
      </c>
    </row>
    <row r="149" spans="1:22" x14ac:dyDescent="0.3">
      <c r="A149">
        <v>1</v>
      </c>
      <c r="B149">
        <f si="20" t="shared"/>
        <v>182000</v>
      </c>
      <c r="C149">
        <f si="20" t="shared"/>
        <v>84000</v>
      </c>
      <c r="D149">
        <f si="20" t="shared"/>
        <v>53000</v>
      </c>
      <c r="E149">
        <f si="20" t="shared"/>
        <v>58000</v>
      </c>
      <c r="F149">
        <f si="20" t="shared"/>
        <v>38000</v>
      </c>
      <c r="G149">
        <f si="20" t="shared"/>
        <v>32000</v>
      </c>
      <c r="H149">
        <f si="20" t="shared"/>
        <v>68000</v>
      </c>
      <c r="I149">
        <f si="20" t="shared"/>
        <v>515000</v>
      </c>
      <c r="N149">
        <v>1</v>
      </c>
      <c r="O149" t="n">
        <v>210000.0</v>
      </c>
      <c r="P149" t="n">
        <v>50000.0</v>
      </c>
      <c r="Q149" t="n">
        <v>50000.0</v>
      </c>
      <c r="R149" t="n">
        <v>90000.0</v>
      </c>
      <c r="S149" t="n">
        <v>40000.0</v>
      </c>
      <c r="T149" t="n">
        <v>20000.0</v>
      </c>
      <c r="U149" t="n">
        <v>50000.0</v>
      </c>
      <c r="V149">
        <f ref="V149:V154" si="21" t="shared">SUM(O149:U149)</f>
        <v>515000</v>
      </c>
    </row>
    <row r="150" spans="1:22" x14ac:dyDescent="0.3">
      <c r="A150">
        <v>2</v>
      </c>
      <c r="B150">
        <f si="20" t="shared"/>
        <v>136000</v>
      </c>
      <c r="C150">
        <f si="20" t="shared"/>
        <v>76000</v>
      </c>
      <c r="D150">
        <f si="20" t="shared"/>
        <v>30000</v>
      </c>
      <c r="E150">
        <f si="20" t="shared"/>
        <v>17000</v>
      </c>
      <c r="F150">
        <f si="20" t="shared"/>
        <v>7000</v>
      </c>
      <c r="G150">
        <f si="20" t="shared"/>
        <v>4000</v>
      </c>
      <c r="H150">
        <f si="20" t="shared"/>
        <v>21000</v>
      </c>
      <c r="I150">
        <f si="20" t="shared"/>
        <v>291000</v>
      </c>
      <c r="N150">
        <v>2</v>
      </c>
      <c r="O150" t="n">
        <v>130000.0</v>
      </c>
      <c r="P150" t="n">
        <v>50000.0</v>
      </c>
      <c r="Q150" t="n">
        <v>40000.0</v>
      </c>
      <c r="R150" t="n">
        <v>30000.0</v>
      </c>
      <c r="S150" t="n">
        <v>0.0</v>
      </c>
      <c r="T150" t="n">
        <v>10000.0</v>
      </c>
      <c r="U150" t="n">
        <v>20000.0</v>
      </c>
      <c r="V150">
        <f si="21" t="shared"/>
        <v>291000</v>
      </c>
    </row>
    <row r="151" spans="1:22" x14ac:dyDescent="0.3">
      <c r="A151">
        <v>3</v>
      </c>
      <c r="B151">
        <f si="20" t="shared"/>
        <v>107000</v>
      </c>
      <c r="C151">
        <f si="20" t="shared"/>
        <v>52000</v>
      </c>
      <c r="D151">
        <f si="20" t="shared"/>
        <v>37000</v>
      </c>
      <c r="E151">
        <f si="20" t="shared"/>
        <v>16000</v>
      </c>
      <c r="F151">
        <f si="20" t="shared"/>
        <v>2000</v>
      </c>
      <c r="G151">
        <f si="20" t="shared"/>
        <v>8000</v>
      </c>
      <c r="H151">
        <f si="20" t="shared"/>
        <v>12000</v>
      </c>
      <c r="I151">
        <f si="20" t="shared"/>
        <v>234000</v>
      </c>
      <c r="N151">
        <v>3</v>
      </c>
      <c r="O151" t="n">
        <v>100000.0</v>
      </c>
      <c r="P151" t="n">
        <v>30000.0</v>
      </c>
      <c r="Q151" t="n">
        <v>20000.0</v>
      </c>
      <c r="R151" t="n">
        <v>10000.0</v>
      </c>
      <c r="S151" t="n">
        <v>10000.0</v>
      </c>
      <c r="T151" t="n">
        <v>0.0</v>
      </c>
      <c r="U151" t="n">
        <v>0.0</v>
      </c>
      <c r="V151">
        <f si="21" t="shared"/>
        <v>234000</v>
      </c>
    </row>
    <row r="152" spans="1:22" x14ac:dyDescent="0.3">
      <c r="A152">
        <v>4</v>
      </c>
      <c r="B152">
        <f si="20" t="shared"/>
        <v>98000</v>
      </c>
      <c r="C152">
        <f si="20" t="shared"/>
        <v>41000</v>
      </c>
      <c r="D152">
        <f si="20" t="shared"/>
        <v>30000</v>
      </c>
      <c r="E152">
        <f si="20" t="shared"/>
        <v>16000</v>
      </c>
      <c r="F152">
        <f si="20" t="shared"/>
        <v>4000</v>
      </c>
      <c r="G152">
        <f si="20" t="shared"/>
        <v>5000</v>
      </c>
      <c r="H152">
        <f si="20" t="shared"/>
        <v>6000</v>
      </c>
      <c r="I152">
        <f si="20" t="shared"/>
        <v>200000</v>
      </c>
      <c r="N152">
        <v>4</v>
      </c>
      <c r="O152" t="n">
        <v>140000.0</v>
      </c>
      <c r="P152" t="n">
        <v>40000.0</v>
      </c>
      <c r="Q152" t="n">
        <v>10000.0</v>
      </c>
      <c r="R152" t="n">
        <v>20000.0</v>
      </c>
      <c r="S152" t="n">
        <v>10000.0</v>
      </c>
      <c r="T152" t="n">
        <v>0.0</v>
      </c>
      <c r="U152" t="n">
        <v>0.0</v>
      </c>
      <c r="V152">
        <f si="21" t="shared"/>
        <v>200000</v>
      </c>
    </row>
    <row r="153" spans="1:22" x14ac:dyDescent="0.3">
      <c r="A153">
        <v>5</v>
      </c>
      <c r="B153">
        <f si="20" t="shared"/>
        <v>37000</v>
      </c>
      <c r="C153">
        <f si="20" t="shared"/>
        <v>10000</v>
      </c>
      <c r="D153">
        <f si="20" t="shared"/>
        <v>8000</v>
      </c>
      <c r="E153">
        <f si="20" t="shared"/>
        <v>12000</v>
      </c>
      <c r="F153">
        <f si="20" t="shared"/>
        <v>1000</v>
      </c>
      <c r="G153">
        <f si="20" t="shared"/>
        <v>2000</v>
      </c>
      <c r="H153">
        <f si="20" t="shared"/>
        <v>5000</v>
      </c>
      <c r="I153">
        <f si="20" t="shared"/>
        <v>75000</v>
      </c>
      <c r="N153">
        <v>5</v>
      </c>
      <c r="O153" t="n">
        <v>20000.0</v>
      </c>
      <c r="P153" t="n">
        <v>30000.0</v>
      </c>
      <c r="Q153" t="n">
        <v>20000.0</v>
      </c>
      <c r="R153" t="n">
        <v>30000.0</v>
      </c>
      <c r="S153" t="n">
        <v>0.0</v>
      </c>
      <c r="T153" t="n">
        <v>0.0</v>
      </c>
      <c r="U153" t="n">
        <v>0.0</v>
      </c>
      <c r="V153">
        <f si="21" t="shared"/>
        <v>75000</v>
      </c>
    </row>
    <row r="154" spans="1:22" x14ac:dyDescent="0.3">
      <c r="A154" t="s">
        <v>210</v>
      </c>
      <c r="B154">
        <f si="20" t="shared"/>
        <v>23000</v>
      </c>
      <c r="C154">
        <f si="20" t="shared"/>
        <v>15000</v>
      </c>
      <c r="D154">
        <f si="20" t="shared"/>
        <v>41000</v>
      </c>
      <c r="E154">
        <f si="20" t="shared"/>
        <v>7000</v>
      </c>
      <c r="F154">
        <f si="20" t="shared"/>
        <v>2000</v>
      </c>
      <c r="G154">
        <f si="20" t="shared"/>
        <v>0</v>
      </c>
      <c r="H154">
        <f si="20" t="shared"/>
        <v>3000</v>
      </c>
      <c r="I154">
        <f si="20" t="shared"/>
        <v>91000</v>
      </c>
      <c r="N154" t="s">
        <v>210</v>
      </c>
      <c r="O154" t="n">
        <v>10000.0</v>
      </c>
      <c r="P154" t="n">
        <v>10000.0</v>
      </c>
      <c r="Q154" t="n">
        <v>70000.0</v>
      </c>
      <c r="R154" t="n">
        <v>10000.0</v>
      </c>
      <c r="S154" t="n">
        <v>10000.0</v>
      </c>
      <c r="T154" t="n">
        <v>0.0</v>
      </c>
      <c r="U154" t="n">
        <v>20000.0</v>
      </c>
      <c r="V154">
        <f si="21" t="shared"/>
        <v>91000</v>
      </c>
    </row>
    <row r="156" spans="1:22" x14ac:dyDescent="0.3">
      <c r="A156" t="s">
        <v>56</v>
      </c>
      <c r="N156" t="s">
        <v>56</v>
      </c>
    </row>
    <row r="157" spans="1:22" x14ac:dyDescent="0.3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3">
      <c r="A158">
        <v>0</v>
      </c>
      <c r="B158">
        <f ref="B158:I164" si="22" t="shared">O158*$B$1</f>
        <v>1045000</v>
      </c>
      <c r="C158">
        <f si="22" t="shared"/>
        <v>606000</v>
      </c>
      <c r="D158">
        <f si="22" t="shared"/>
        <v>466000</v>
      </c>
      <c r="E158">
        <f si="22" t="shared"/>
        <v>376000</v>
      </c>
      <c r="F158">
        <f si="22" t="shared"/>
        <v>188000</v>
      </c>
      <c r="G158">
        <f si="22" t="shared"/>
        <v>369000</v>
      </c>
      <c r="H158">
        <f si="22" t="shared"/>
        <v>752000</v>
      </c>
      <c r="I158">
        <f si="22" t="shared"/>
        <v>3802000</v>
      </c>
      <c r="N158">
        <v>0</v>
      </c>
      <c r="O158" t="n">
        <v>1110000.0</v>
      </c>
      <c r="P158" t="n">
        <v>530000.0</v>
      </c>
      <c r="Q158" t="n">
        <v>380000.0</v>
      </c>
      <c r="R158" t="n">
        <v>320000.0</v>
      </c>
      <c r="S158" t="n">
        <v>170000.0</v>
      </c>
      <c r="T158" t="n">
        <v>390000.0</v>
      </c>
      <c r="U158" t="n">
        <v>590000.0</v>
      </c>
      <c r="V158">
        <f>SUM(O158:U158)</f>
        <v>3802000</v>
      </c>
    </row>
    <row r="159" spans="1:22" x14ac:dyDescent="0.3">
      <c r="A159">
        <v>1</v>
      </c>
      <c r="B159">
        <f si="22" t="shared"/>
        <v>198000</v>
      </c>
      <c r="C159">
        <f si="22" t="shared"/>
        <v>93000</v>
      </c>
      <c r="D159">
        <f si="22" t="shared"/>
        <v>45000</v>
      </c>
      <c r="E159">
        <f si="22" t="shared"/>
        <v>53000</v>
      </c>
      <c r="F159">
        <f si="22" t="shared"/>
        <v>29000</v>
      </c>
      <c r="G159">
        <f si="22" t="shared"/>
        <v>22000</v>
      </c>
      <c r="H159">
        <f si="22" t="shared"/>
        <v>38000</v>
      </c>
      <c r="I159">
        <f si="22" t="shared"/>
        <v>478000</v>
      </c>
      <c r="N159">
        <v>1</v>
      </c>
      <c r="O159" t="n">
        <v>190000.0</v>
      </c>
      <c r="P159" t="n">
        <v>40000.0</v>
      </c>
      <c r="Q159" t="n">
        <v>50000.0</v>
      </c>
      <c r="R159" t="n">
        <v>90000.0</v>
      </c>
      <c r="S159" t="n">
        <v>20000.0</v>
      </c>
      <c r="T159" t="n">
        <v>20000.0</v>
      </c>
      <c r="U159" t="n">
        <v>50000.0</v>
      </c>
      <c r="V159">
        <f ref="V159:V164" si="23" t="shared">SUM(O159:U159)</f>
        <v>478000</v>
      </c>
    </row>
    <row r="160" spans="1:22" x14ac:dyDescent="0.3">
      <c r="A160">
        <v>2</v>
      </c>
      <c r="B160">
        <f si="22" t="shared"/>
        <v>110000</v>
      </c>
      <c r="C160">
        <f si="22" t="shared"/>
        <v>53000</v>
      </c>
      <c r="D160">
        <f si="22" t="shared"/>
        <v>31000</v>
      </c>
      <c r="E160">
        <f si="22" t="shared"/>
        <v>19000</v>
      </c>
      <c r="F160">
        <f si="22" t="shared"/>
        <v>4000</v>
      </c>
      <c r="G160">
        <f si="22" t="shared"/>
        <v>7000</v>
      </c>
      <c r="H160">
        <f si="22" t="shared"/>
        <v>19000</v>
      </c>
      <c r="I160">
        <f si="22" t="shared"/>
        <v>243000</v>
      </c>
      <c r="N160">
        <v>2</v>
      </c>
      <c r="O160" t="n">
        <v>90000.0</v>
      </c>
      <c r="P160" t="n">
        <v>50000.0</v>
      </c>
      <c r="Q160" t="n">
        <v>20000.0</v>
      </c>
      <c r="R160" t="n">
        <v>30000.0</v>
      </c>
      <c r="S160" t="n">
        <v>10000.0</v>
      </c>
      <c r="T160" t="n">
        <v>10000.0</v>
      </c>
      <c r="U160" t="n">
        <v>10000.0</v>
      </c>
      <c r="V160">
        <f si="23" t="shared"/>
        <v>243000</v>
      </c>
    </row>
    <row r="161" spans="1:22" x14ac:dyDescent="0.3">
      <c r="A161">
        <v>3</v>
      </c>
      <c r="B161">
        <f si="22" t="shared"/>
        <v>79000</v>
      </c>
      <c r="C161">
        <f si="22" t="shared"/>
        <v>23000</v>
      </c>
      <c r="D161">
        <f si="22" t="shared"/>
        <v>30000</v>
      </c>
      <c r="E161">
        <f si="22" t="shared"/>
        <v>11000</v>
      </c>
      <c r="F161">
        <f si="22" t="shared"/>
        <v>4000</v>
      </c>
      <c r="G161">
        <f si="22" t="shared"/>
        <v>2000</v>
      </c>
      <c r="H161">
        <f si="22" t="shared"/>
        <v>6000</v>
      </c>
      <c r="I161">
        <f si="22" t="shared"/>
        <v>155000</v>
      </c>
      <c r="N161">
        <v>3</v>
      </c>
      <c r="O161" t="n">
        <v>80000.0</v>
      </c>
      <c r="P161" t="n">
        <v>20000.0</v>
      </c>
      <c r="Q161" t="n">
        <v>30000.0</v>
      </c>
      <c r="R161" t="n">
        <v>20000.0</v>
      </c>
      <c r="S161" t="n">
        <v>20000.0</v>
      </c>
      <c r="T161" t="n">
        <v>0.0</v>
      </c>
      <c r="U161" t="n">
        <v>0.0</v>
      </c>
      <c r="V161">
        <f si="23" t="shared"/>
        <v>155000</v>
      </c>
    </row>
    <row r="162" spans="1:22" x14ac:dyDescent="0.3">
      <c r="A162">
        <v>4</v>
      </c>
      <c r="B162">
        <f si="22" t="shared"/>
        <v>27000</v>
      </c>
      <c r="C162">
        <f si="22" t="shared"/>
        <v>6000</v>
      </c>
      <c r="D162">
        <f si="22" t="shared"/>
        <v>27000</v>
      </c>
      <c r="E162">
        <f si="22" t="shared"/>
        <v>10000</v>
      </c>
      <c r="F162">
        <f si="22" t="shared"/>
        <v>0</v>
      </c>
      <c r="G162">
        <f si="22" t="shared"/>
        <v>1000</v>
      </c>
      <c r="H162">
        <f si="22" t="shared"/>
        <v>3000</v>
      </c>
      <c r="I162">
        <f si="22" t="shared"/>
        <v>74000</v>
      </c>
      <c r="N162">
        <v>4</v>
      </c>
      <c r="O162" t="n">
        <v>40000.0</v>
      </c>
      <c r="P162" t="n">
        <v>10000.0</v>
      </c>
      <c r="Q162" t="n">
        <v>40000.0</v>
      </c>
      <c r="R162" t="n">
        <v>30000.0</v>
      </c>
      <c r="S162" t="n">
        <v>0.0</v>
      </c>
      <c r="T162" t="n">
        <v>0.0</v>
      </c>
      <c r="U162" t="n">
        <v>20000.0</v>
      </c>
      <c r="V162">
        <f si="23" t="shared"/>
        <v>74000</v>
      </c>
    </row>
    <row r="163" spans="1:22" x14ac:dyDescent="0.3">
      <c r="A163">
        <v>5</v>
      </c>
      <c r="B163">
        <f si="22" t="shared"/>
        <v>2000</v>
      </c>
      <c r="C163">
        <f si="22" t="shared"/>
        <v>0</v>
      </c>
      <c r="D163">
        <f si="22" t="shared"/>
        <v>0</v>
      </c>
      <c r="E163">
        <f si="22" t="shared"/>
        <v>0</v>
      </c>
      <c r="F163">
        <f si="22" t="shared"/>
        <v>0</v>
      </c>
      <c r="G163">
        <f si="22" t="shared"/>
        <v>0</v>
      </c>
      <c r="H163">
        <f si="22" t="shared"/>
        <v>0</v>
      </c>
      <c r="I163">
        <f si="22" t="shared"/>
        <v>2000</v>
      </c>
      <c r="N163">
        <v>5</v>
      </c>
      <c r="O163" t="n">
        <v>10000.0</v>
      </c>
      <c r="P163" t="n">
        <v>0.0</v>
      </c>
      <c r="Q163" t="n">
        <v>0.0</v>
      </c>
      <c r="R163" t="n">
        <v>0.0</v>
      </c>
      <c r="S163" t="n">
        <v>0.0</v>
      </c>
      <c r="T163" t="n">
        <v>0.0</v>
      </c>
      <c r="U163" t="n">
        <v>0.0</v>
      </c>
      <c r="V163">
        <f si="23" t="shared"/>
        <v>2000</v>
      </c>
    </row>
    <row r="164" spans="1:22" x14ac:dyDescent="0.3">
      <c r="A164" t="s">
        <v>210</v>
      </c>
      <c r="B164">
        <f si="22" t="shared"/>
        <v>1000</v>
      </c>
      <c r="C164">
        <f si="22" t="shared"/>
        <v>0</v>
      </c>
      <c r="D164">
        <f si="22" t="shared"/>
        <v>5000</v>
      </c>
      <c r="E164">
        <f si="22" t="shared"/>
        <v>0</v>
      </c>
      <c r="F164">
        <f si="22" t="shared"/>
        <v>0</v>
      </c>
      <c r="G164">
        <f si="22" t="shared"/>
        <v>0</v>
      </c>
      <c r="H164">
        <f si="22" t="shared"/>
        <v>0</v>
      </c>
      <c r="I164">
        <f si="22" t="shared"/>
        <v>6000</v>
      </c>
      <c r="N164" t="s">
        <v>210</v>
      </c>
      <c r="O164" t="n">
        <v>0.0</v>
      </c>
      <c r="P164" t="n">
        <v>0.0</v>
      </c>
      <c r="Q164" t="n">
        <v>20000.0</v>
      </c>
      <c r="R164" t="n">
        <v>0.0</v>
      </c>
      <c r="S164" t="n">
        <v>0.0</v>
      </c>
      <c r="T164" t="n">
        <v>0.0</v>
      </c>
      <c r="U164" t="n">
        <v>0.0</v>
      </c>
      <c r="V164">
        <f si="23" t="shared"/>
        <v>6000</v>
      </c>
    </row>
    <row r="166" spans="1:22" x14ac:dyDescent="0.3">
      <c r="A166" t="s">
        <v>57</v>
      </c>
      <c r="N166" t="s">
        <v>57</v>
      </c>
    </row>
    <row r="167" spans="1:22" x14ac:dyDescent="0.3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3">
      <c r="A168">
        <v>0</v>
      </c>
      <c r="B168">
        <f ref="B168:I174" si="24" t="shared">O168*$B$1</f>
        <v>1063000</v>
      </c>
      <c r="C168">
        <f si="24" t="shared"/>
        <v>561000</v>
      </c>
      <c r="D168">
        <f si="24" t="shared"/>
        <v>459000</v>
      </c>
      <c r="E168">
        <f si="24" t="shared"/>
        <v>393000</v>
      </c>
      <c r="F168">
        <f si="24" t="shared"/>
        <v>196000</v>
      </c>
      <c r="G168">
        <f si="24" t="shared"/>
        <v>371000</v>
      </c>
      <c r="H168">
        <f si="24" t="shared"/>
        <v>743000</v>
      </c>
      <c r="I168">
        <f si="24" t="shared"/>
        <v>3786000</v>
      </c>
      <c r="N168">
        <v>0</v>
      </c>
      <c r="O168" t="n">
        <v>1130000.0</v>
      </c>
      <c r="P168" t="n">
        <v>450000.0</v>
      </c>
      <c r="Q168" t="n">
        <v>370000.0</v>
      </c>
      <c r="R168" t="n">
        <v>400000.0</v>
      </c>
      <c r="S168" t="n">
        <v>170000.0</v>
      </c>
      <c r="T168" t="n">
        <v>420000.0</v>
      </c>
      <c r="U168" t="n">
        <v>630000.0</v>
      </c>
      <c r="V168">
        <f>SUM(O168:U168)</f>
        <v>3786000</v>
      </c>
    </row>
    <row r="169" spans="1:22" x14ac:dyDescent="0.3">
      <c r="A169">
        <v>1</v>
      </c>
      <c r="B169">
        <f si="24" t="shared"/>
        <v>197000</v>
      </c>
      <c r="C169">
        <f si="24" t="shared"/>
        <v>99000</v>
      </c>
      <c r="D169">
        <f si="24" t="shared"/>
        <v>47000</v>
      </c>
      <c r="E169">
        <f si="24" t="shared"/>
        <v>34000</v>
      </c>
      <c r="F169">
        <f si="24" t="shared"/>
        <v>20000</v>
      </c>
      <c r="G169">
        <f si="24" t="shared"/>
        <v>19000</v>
      </c>
      <c r="H169">
        <f si="24" t="shared"/>
        <v>52000</v>
      </c>
      <c r="I169">
        <f si="24" t="shared"/>
        <v>468000</v>
      </c>
      <c r="N169">
        <v>1</v>
      </c>
      <c r="O169" t="n">
        <v>200000.0</v>
      </c>
      <c r="P169" t="n">
        <v>70000.0</v>
      </c>
      <c r="Q169" t="n">
        <v>30000.0</v>
      </c>
      <c r="R169" t="n">
        <v>60000.0</v>
      </c>
      <c r="S169" t="n">
        <v>40000.0</v>
      </c>
      <c r="T169" t="n">
        <v>0.0</v>
      </c>
      <c r="U169" t="n">
        <v>20000.0</v>
      </c>
      <c r="V169">
        <f ref="V169:V174" si="25" t="shared">SUM(O169:U169)</f>
        <v>468000</v>
      </c>
    </row>
    <row r="170" spans="1:22" x14ac:dyDescent="0.3">
      <c r="A170">
        <v>2</v>
      </c>
      <c r="B170">
        <f si="24" t="shared"/>
        <v>104000</v>
      </c>
      <c r="C170">
        <f si="24" t="shared"/>
        <v>64000</v>
      </c>
      <c r="D170">
        <f si="24" t="shared"/>
        <v>27000</v>
      </c>
      <c r="E170">
        <f si="24" t="shared"/>
        <v>18000</v>
      </c>
      <c r="F170">
        <f si="24" t="shared"/>
        <v>6000</v>
      </c>
      <c r="G170">
        <f si="24" t="shared"/>
        <v>5000</v>
      </c>
      <c r="H170">
        <f si="24" t="shared"/>
        <v>13000</v>
      </c>
      <c r="I170">
        <f si="24" t="shared"/>
        <v>237000</v>
      </c>
      <c r="N170">
        <v>2</v>
      </c>
      <c r="O170" t="n">
        <v>120000.0</v>
      </c>
      <c r="P170" t="n">
        <v>90000.0</v>
      </c>
      <c r="Q170" t="n">
        <v>70000.0</v>
      </c>
      <c r="R170" t="n">
        <v>10000.0</v>
      </c>
      <c r="S170" t="n">
        <v>0.0</v>
      </c>
      <c r="T170" t="n">
        <v>0.0</v>
      </c>
      <c r="U170" t="n">
        <v>10000.0</v>
      </c>
      <c r="V170">
        <f si="25" t="shared"/>
        <v>237000</v>
      </c>
    </row>
    <row r="171" spans="1:22" x14ac:dyDescent="0.3">
      <c r="A171">
        <v>3</v>
      </c>
      <c r="B171">
        <f si="24" t="shared"/>
        <v>79000</v>
      </c>
      <c r="C171">
        <f si="24" t="shared"/>
        <v>46000</v>
      </c>
      <c r="D171">
        <f si="24" t="shared"/>
        <v>41000</v>
      </c>
      <c r="E171">
        <f si="24" t="shared"/>
        <v>21000</v>
      </c>
      <c r="F171">
        <f si="24" t="shared"/>
        <v>2000</v>
      </c>
      <c r="G171">
        <f si="24" t="shared"/>
        <v>5000</v>
      </c>
      <c r="H171">
        <f si="24" t="shared"/>
        <v>10000</v>
      </c>
      <c r="I171">
        <f si="24" t="shared"/>
        <v>204000</v>
      </c>
      <c r="N171">
        <v>3</v>
      </c>
      <c r="O171" t="n">
        <v>50000.0</v>
      </c>
      <c r="P171" t="n">
        <v>30000.0</v>
      </c>
      <c r="Q171" t="n">
        <v>30000.0</v>
      </c>
      <c r="R171" t="n">
        <v>20000.0</v>
      </c>
      <c r="S171" t="n">
        <v>10000.0</v>
      </c>
      <c r="T171" t="n">
        <v>0.0</v>
      </c>
      <c r="U171" t="n">
        <v>10000.0</v>
      </c>
      <c r="V171">
        <f si="25" t="shared"/>
        <v>204000</v>
      </c>
    </row>
    <row r="172" spans="1:22" x14ac:dyDescent="0.3">
      <c r="A172">
        <v>4</v>
      </c>
      <c r="B172">
        <f si="24" t="shared"/>
        <v>17000</v>
      </c>
      <c r="C172">
        <f si="24" t="shared"/>
        <v>11000</v>
      </c>
      <c r="D172">
        <f si="24" t="shared"/>
        <v>24000</v>
      </c>
      <c r="E172">
        <f si="24" t="shared"/>
        <v>2000</v>
      </c>
      <c r="F172">
        <f si="24" t="shared"/>
        <v>1000</v>
      </c>
      <c r="G172">
        <f si="24" t="shared"/>
        <v>1000</v>
      </c>
      <c r="H172">
        <f si="24" t="shared"/>
        <v>0</v>
      </c>
      <c r="I172">
        <f si="24" t="shared"/>
        <v>56000</v>
      </c>
      <c r="N172">
        <v>4</v>
      </c>
      <c r="O172" t="n">
        <v>20000.0</v>
      </c>
      <c r="P172" t="n">
        <v>10000.0</v>
      </c>
      <c r="Q172" t="n">
        <v>30000.0</v>
      </c>
      <c r="R172" t="n">
        <v>0.0</v>
      </c>
      <c r="S172" t="n">
        <v>0.0</v>
      </c>
      <c r="T172" t="n">
        <v>0.0</v>
      </c>
      <c r="U172" t="n">
        <v>0.0</v>
      </c>
      <c r="V172">
        <f si="25" t="shared"/>
        <v>56000</v>
      </c>
    </row>
    <row r="173" spans="1:22" x14ac:dyDescent="0.3">
      <c r="A173">
        <v>5</v>
      </c>
      <c r="B173">
        <f si="24" t="shared"/>
        <v>0</v>
      </c>
      <c r="C173">
        <f si="24" t="shared"/>
        <v>0</v>
      </c>
      <c r="D173">
        <f si="24" t="shared"/>
        <v>0</v>
      </c>
      <c r="E173">
        <f si="24" t="shared"/>
        <v>0</v>
      </c>
      <c r="F173">
        <f si="24" t="shared"/>
        <v>0</v>
      </c>
      <c r="G173">
        <f si="24" t="shared"/>
        <v>0</v>
      </c>
      <c r="H173">
        <f si="24" t="shared"/>
        <v>0</v>
      </c>
      <c r="I173">
        <f si="24" t="shared"/>
        <v>0</v>
      </c>
      <c r="N173">
        <v>5</v>
      </c>
      <c r="O173" t="n">
        <v>0.0</v>
      </c>
      <c r="P173" t="n">
        <v>0.0</v>
      </c>
      <c r="Q173" t="n">
        <v>0.0</v>
      </c>
      <c r="R173" t="n">
        <v>0.0</v>
      </c>
      <c r="S173" t="n">
        <v>0.0</v>
      </c>
      <c r="T173" t="n">
        <v>0.0</v>
      </c>
      <c r="U173" t="n">
        <v>0.0</v>
      </c>
      <c r="V173">
        <f si="25" t="shared"/>
        <v>0</v>
      </c>
    </row>
    <row r="174" spans="1:22" x14ac:dyDescent="0.3">
      <c r="A174" t="s">
        <v>210</v>
      </c>
      <c r="B174">
        <f si="24" t="shared"/>
        <v>2000</v>
      </c>
      <c r="C174">
        <f si="24" t="shared"/>
        <v>0</v>
      </c>
      <c r="D174">
        <f si="24" t="shared"/>
        <v>6000</v>
      </c>
      <c r="E174">
        <f si="24" t="shared"/>
        <v>1000</v>
      </c>
      <c r="F174">
        <f si="24" t="shared"/>
        <v>0</v>
      </c>
      <c r="G174">
        <f si="24" t="shared"/>
        <v>0</v>
      </c>
      <c r="H174">
        <f si="24" t="shared"/>
        <v>0</v>
      </c>
      <c r="I174">
        <f si="24" t="shared"/>
        <v>9000</v>
      </c>
      <c r="N174" t="s">
        <v>210</v>
      </c>
      <c r="O174" t="n">
        <v>0.0</v>
      </c>
      <c r="P174" t="n">
        <v>0.0</v>
      </c>
      <c r="Q174" t="n">
        <v>10000.0</v>
      </c>
      <c r="R174" t="n">
        <v>0.0</v>
      </c>
      <c r="S174" t="n">
        <v>0.0</v>
      </c>
      <c r="T174" t="n">
        <v>0.0</v>
      </c>
      <c r="U174" t="n">
        <v>0.0</v>
      </c>
      <c r="V174">
        <f si="25" t="shared"/>
        <v>9000</v>
      </c>
    </row>
    <row r="176" spans="1:22" x14ac:dyDescent="0.3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3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3">
      <c r="A178" t="s">
        <v>211</v>
      </c>
      <c r="B178">
        <f ref="B178:J185" si="26" t="shared">O178*$B$1</f>
        <v>1062000</v>
      </c>
      <c r="C178">
        <f si="26" t="shared"/>
        <v>259000</v>
      </c>
      <c r="D178">
        <f si="26" t="shared"/>
        <v>0</v>
      </c>
      <c r="E178">
        <f si="26" t="shared"/>
        <v>0</v>
      </c>
      <c r="F178">
        <f si="26" t="shared"/>
        <v>27000</v>
      </c>
      <c r="G178">
        <f si="26" t="shared"/>
        <v>14000</v>
      </c>
      <c r="H178">
        <f si="26" t="shared"/>
        <v>0</v>
      </c>
      <c r="I178">
        <f si="26" t="shared"/>
        <v>0</v>
      </c>
      <c r="J178">
        <f si="26" t="shared"/>
        <v>1362000</v>
      </c>
      <c r="N178" t="s">
        <v>211</v>
      </c>
      <c r="O178" t="n">
        <v>1000000.0</v>
      </c>
      <c r="P178" t="n">
        <v>380000.0</v>
      </c>
      <c r="Q178" t="n">
        <v>0.0</v>
      </c>
      <c r="R178" t="n">
        <v>0.0</v>
      </c>
      <c r="S178" t="n">
        <v>30000.0</v>
      </c>
      <c r="T178" t="n">
        <v>30000.0</v>
      </c>
      <c r="U178" t="n">
        <v>0.0</v>
      </c>
      <c r="V178" t="n">
        <v>0.0</v>
      </c>
      <c r="W178">
        <f>SUM(O178:V178)</f>
        <v>1362000</v>
      </c>
    </row>
    <row r="179" spans="1:23" x14ac:dyDescent="0.3">
      <c r="A179" t="s">
        <v>212</v>
      </c>
      <c r="B179">
        <f si="26" t="shared"/>
        <v>0</v>
      </c>
      <c r="C179">
        <f si="26" t="shared"/>
        <v>0</v>
      </c>
      <c r="D179">
        <f si="26" t="shared"/>
        <v>0</v>
      </c>
      <c r="E179">
        <f si="26" t="shared"/>
        <v>0</v>
      </c>
      <c r="F179">
        <f si="26" t="shared"/>
        <v>97000</v>
      </c>
      <c r="G179">
        <f si="26" t="shared"/>
        <v>173000</v>
      </c>
      <c r="H179">
        <f si="26" t="shared"/>
        <v>508000</v>
      </c>
      <c r="I179">
        <f si="26" t="shared"/>
        <v>0</v>
      </c>
      <c r="J179">
        <f si="26" t="shared"/>
        <v>778000</v>
      </c>
      <c r="N179" t="s">
        <v>212</v>
      </c>
      <c r="O179" t="n">
        <v>0.0</v>
      </c>
      <c r="P179" t="n">
        <v>0.0</v>
      </c>
      <c r="Q179" t="n">
        <v>0.0</v>
      </c>
      <c r="R179" t="n">
        <v>0.0</v>
      </c>
      <c r="S179" t="n">
        <v>80000.0</v>
      </c>
      <c r="T179" t="n">
        <v>160000.0</v>
      </c>
      <c r="U179" t="n">
        <v>410000.0</v>
      </c>
      <c r="V179" t="n">
        <v>0.0</v>
      </c>
      <c r="W179">
        <f ref="W179:W185" si="27" t="shared">SUM(O179:V179)</f>
        <v>778000</v>
      </c>
    </row>
    <row r="180" spans="1:23" x14ac:dyDescent="0.3">
      <c r="A180" t="s">
        <v>213</v>
      </c>
      <c r="B180">
        <f si="26" t="shared"/>
        <v>129000</v>
      </c>
      <c r="C180">
        <f si="26" t="shared"/>
        <v>70000</v>
      </c>
      <c r="D180">
        <f si="26" t="shared"/>
        <v>50000</v>
      </c>
      <c r="E180">
        <f si="26" t="shared"/>
        <v>247000</v>
      </c>
      <c r="F180">
        <f si="26" t="shared"/>
        <v>18000</v>
      </c>
      <c r="G180">
        <f si="26" t="shared"/>
        <v>13000</v>
      </c>
      <c r="H180">
        <f si="26" t="shared"/>
        <v>50000</v>
      </c>
      <c r="I180">
        <f si="26" t="shared"/>
        <v>0</v>
      </c>
      <c r="J180">
        <f>W180*$B$1*1.2</f>
        <v>692400</v>
      </c>
      <c r="N180" t="s">
        <v>213</v>
      </c>
      <c r="O180" t="n">
        <v>90000.0</v>
      </c>
      <c r="P180" t="n">
        <v>90000.0</v>
      </c>
      <c r="Q180" t="n">
        <v>80000.0</v>
      </c>
      <c r="R180" t="n">
        <v>180000.0</v>
      </c>
      <c r="S180" t="n">
        <v>20000.0</v>
      </c>
      <c r="T180" t="n">
        <v>10000.0</v>
      </c>
      <c r="U180" t="n">
        <v>40000.0</v>
      </c>
      <c r="V180" t="n">
        <v>0.0</v>
      </c>
      <c r="W180">
        <f si="27" t="shared"/>
        <v>577000</v>
      </c>
    </row>
    <row r="181" spans="1:23" x14ac:dyDescent="0.3">
      <c r="A181" t="s">
        <v>36</v>
      </c>
      <c r="B181">
        <f si="26" t="shared"/>
        <v>152000</v>
      </c>
      <c r="C181">
        <f si="26" t="shared"/>
        <v>56000</v>
      </c>
      <c r="D181">
        <f si="26" t="shared"/>
        <v>49000</v>
      </c>
      <c r="E181">
        <f si="26" t="shared"/>
        <v>74000</v>
      </c>
      <c r="F181">
        <f si="26" t="shared"/>
        <v>19000</v>
      </c>
      <c r="G181">
        <f si="26" t="shared"/>
        <v>30000</v>
      </c>
      <c r="H181">
        <f si="26" t="shared"/>
        <v>39000</v>
      </c>
      <c r="I181">
        <f si="26" t="shared"/>
        <v>0</v>
      </c>
      <c r="J181">
        <f>W181*$B$1*1.2</f>
        <v>502800</v>
      </c>
      <c r="N181" t="s">
        <v>36</v>
      </c>
      <c r="O181" t="n">
        <v>170000.0</v>
      </c>
      <c r="P181" t="n">
        <v>50000.0</v>
      </c>
      <c r="Q181" t="n">
        <v>60000.0</v>
      </c>
      <c r="R181" t="n">
        <v>80000.0</v>
      </c>
      <c r="S181" t="n">
        <v>30000.0</v>
      </c>
      <c r="T181" t="n">
        <v>20000.0</v>
      </c>
      <c r="U181" t="n">
        <v>40000.0</v>
      </c>
      <c r="V181" t="n">
        <v>0.0</v>
      </c>
      <c r="W181">
        <f si="27" t="shared"/>
        <v>419000</v>
      </c>
    </row>
    <row r="182" spans="1:23" x14ac:dyDescent="0.3">
      <c r="A182" t="s">
        <v>215</v>
      </c>
      <c r="B182">
        <f si="26" t="shared"/>
        <v>34000</v>
      </c>
      <c r="C182">
        <f si="26" t="shared"/>
        <v>13000</v>
      </c>
      <c r="D182">
        <f si="26" t="shared"/>
        <v>31000</v>
      </c>
      <c r="E182">
        <f si="26" t="shared"/>
        <v>47000</v>
      </c>
      <c r="F182">
        <f si="26" t="shared"/>
        <v>3000</v>
      </c>
      <c r="G182">
        <f si="26" t="shared"/>
        <v>3000</v>
      </c>
      <c r="H182">
        <f si="26" t="shared"/>
        <v>6000</v>
      </c>
      <c r="I182">
        <f si="26" t="shared"/>
        <v>0</v>
      </c>
      <c r="J182">
        <f>W182*$B$1*1.2</f>
        <v>164400</v>
      </c>
      <c r="N182" t="s">
        <v>215</v>
      </c>
      <c r="O182" t="n">
        <v>10000.0</v>
      </c>
      <c r="P182" t="n">
        <v>0.0</v>
      </c>
      <c r="Q182" t="n">
        <v>60000.0</v>
      </c>
      <c r="R182" t="n">
        <v>50000.0</v>
      </c>
      <c r="S182" t="n">
        <v>0.0</v>
      </c>
      <c r="T182" t="n">
        <v>0.0</v>
      </c>
      <c r="U182" t="n">
        <v>0.0</v>
      </c>
      <c r="V182" t="n">
        <v>0.0</v>
      </c>
      <c r="W182">
        <f si="27" t="shared"/>
        <v>137000</v>
      </c>
    </row>
    <row r="183" spans="1:23" x14ac:dyDescent="0.3">
      <c r="A183" t="s">
        <v>129</v>
      </c>
      <c r="B183">
        <f si="26" t="shared"/>
        <v>109000</v>
      </c>
      <c r="C183">
        <f si="26" t="shared"/>
        <v>31000</v>
      </c>
      <c r="D183">
        <f si="26" t="shared"/>
        <v>43000</v>
      </c>
      <c r="E183">
        <f si="26" t="shared"/>
        <v>61000</v>
      </c>
      <c r="F183">
        <f si="26" t="shared"/>
        <v>9000</v>
      </c>
      <c r="G183">
        <f si="26" t="shared"/>
        <v>17000</v>
      </c>
      <c r="H183">
        <f si="26" t="shared"/>
        <v>20000</v>
      </c>
      <c r="I183">
        <f si="26" t="shared"/>
        <v>0</v>
      </c>
      <c r="J183">
        <f>W183*$B$1*1.2</f>
        <v>348000</v>
      </c>
      <c r="N183" t="s">
        <v>129</v>
      </c>
      <c r="O183" t="n">
        <v>30000.0</v>
      </c>
      <c r="P183" t="n">
        <v>40000.0</v>
      </c>
      <c r="Q183" t="n">
        <v>70000.0</v>
      </c>
      <c r="R183" t="n">
        <v>80000.0</v>
      </c>
      <c r="S183" t="n">
        <v>20000.0</v>
      </c>
      <c r="T183" t="n">
        <v>20000.0</v>
      </c>
      <c r="U183" t="n">
        <v>10000.0</v>
      </c>
      <c r="V183" t="n">
        <v>0.0</v>
      </c>
      <c r="W183">
        <f si="27" t="shared"/>
        <v>290000</v>
      </c>
    </row>
    <row r="184" spans="1:23" x14ac:dyDescent="0.3">
      <c r="A184" t="s">
        <v>130</v>
      </c>
      <c r="B184">
        <f si="26" t="shared"/>
        <v>281000</v>
      </c>
      <c r="C184">
        <f si="26" t="shared"/>
        <v>90000</v>
      </c>
      <c r="D184">
        <f si="26" t="shared"/>
        <v>98000</v>
      </c>
      <c r="E184">
        <f si="26" t="shared"/>
        <v>145000</v>
      </c>
      <c r="F184">
        <f si="26" t="shared"/>
        <v>37000</v>
      </c>
      <c r="G184">
        <f si="26" t="shared"/>
        <v>40000</v>
      </c>
      <c r="H184">
        <f si="26" t="shared"/>
        <v>112000</v>
      </c>
      <c r="I184">
        <f si="26" t="shared"/>
        <v>0</v>
      </c>
      <c r="J184">
        <f>W184*$B$1*1.2</f>
        <v>963600</v>
      </c>
      <c r="N184" t="s">
        <v>130</v>
      </c>
      <c r="O184" t="n">
        <v>230000.0</v>
      </c>
      <c r="P184" t="n">
        <v>90000.0</v>
      </c>
      <c r="Q184" t="n">
        <v>110000.0</v>
      </c>
      <c r="R184" t="n">
        <v>100000.0</v>
      </c>
      <c r="S184" t="n">
        <v>30000.0</v>
      </c>
      <c r="T184" t="n">
        <v>40000.0</v>
      </c>
      <c r="U184" t="n">
        <v>50000.0</v>
      </c>
      <c r="V184" t="n">
        <v>0.0</v>
      </c>
      <c r="W184">
        <f si="27" t="shared"/>
        <v>803000</v>
      </c>
    </row>
    <row r="185" spans="1:23" x14ac:dyDescent="0.3">
      <c r="A185" t="s">
        <v>249</v>
      </c>
      <c r="B185">
        <f si="26" t="shared"/>
        <v>314000</v>
      </c>
      <c r="C185">
        <f si="26" t="shared"/>
        <v>64000</v>
      </c>
      <c r="D185">
        <f si="26" t="shared"/>
        <v>0</v>
      </c>
      <c r="E185">
        <f si="26" t="shared"/>
        <v>0</v>
      </c>
      <c r="F185">
        <f si="26" t="shared"/>
        <v>12000</v>
      </c>
      <c r="G185">
        <f si="26" t="shared"/>
        <v>4000</v>
      </c>
      <c r="H185">
        <f si="26" t="shared"/>
        <v>0</v>
      </c>
      <c r="I185">
        <f si="26" t="shared"/>
        <v>0</v>
      </c>
      <c r="J185">
        <f si="26" t="shared"/>
        <v>394000</v>
      </c>
      <c r="N185" t="s">
        <v>249</v>
      </c>
      <c r="O185" t="n">
        <v>330000.0</v>
      </c>
      <c r="P185" t="n">
        <v>80000.0</v>
      </c>
      <c r="Q185" t="n">
        <v>0.0</v>
      </c>
      <c r="R185" t="n">
        <v>0.0</v>
      </c>
      <c r="S185" t="n">
        <v>0.0</v>
      </c>
      <c r="T185" t="n">
        <v>10000.0</v>
      </c>
      <c r="U185" t="n">
        <v>0.0</v>
      </c>
      <c r="V185" t="n">
        <v>0.0</v>
      </c>
      <c r="W185">
        <f si="27" t="shared"/>
        <v>394000</v>
      </c>
    </row>
    <row r="187" spans="1:23" x14ac:dyDescent="0.3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3">
      <c r="A188" t="s">
        <v>44</v>
      </c>
      <c r="B188" t="s">
        <v>298</v>
      </c>
      <c r="C188" t="s">
        <v>299</v>
      </c>
      <c r="D188" t="s">
        <v>300</v>
      </c>
      <c r="E188" t="s">
        <v>301</v>
      </c>
      <c r="F188" t="s">
        <v>27</v>
      </c>
      <c r="N188" t="s">
        <v>44</v>
      </c>
      <c r="O188" t="s">
        <v>298</v>
      </c>
      <c r="P188" t="s">
        <v>299</v>
      </c>
      <c r="Q188" t="s">
        <v>300</v>
      </c>
      <c r="R188" t="s">
        <v>301</v>
      </c>
      <c r="S188" t="s">
        <v>27</v>
      </c>
    </row>
    <row r="189" spans="1:23" x14ac:dyDescent="0.3">
      <c r="A189" t="s">
        <v>211</v>
      </c>
      <c r="B189">
        <f ref="B189:F196" si="28" t="shared">O189*$B$1</f>
        <v>35000</v>
      </c>
      <c r="C189">
        <f si="28" t="shared"/>
        <v>309000</v>
      </c>
      <c r="D189">
        <f si="28" t="shared"/>
        <v>291000</v>
      </c>
      <c r="E189">
        <f si="28" t="shared"/>
        <v>727000</v>
      </c>
      <c r="F189">
        <f si="28" t="shared"/>
        <v>1362000</v>
      </c>
      <c r="N189" t="s">
        <v>211</v>
      </c>
      <c r="O189" t="n">
        <v>120000.0</v>
      </c>
      <c r="P189" t="n">
        <v>230000.0</v>
      </c>
      <c r="Q189" t="n">
        <v>380000.0</v>
      </c>
      <c r="R189" t="n">
        <v>710000.0</v>
      </c>
      <c r="S189">
        <f>SUM(O189:R189)</f>
        <v>1362000</v>
      </c>
    </row>
    <row r="190" spans="1:23" x14ac:dyDescent="0.3">
      <c r="A190" t="s">
        <v>212</v>
      </c>
      <c r="B190">
        <f si="28" t="shared"/>
        <v>46000</v>
      </c>
      <c r="C190">
        <f si="28" t="shared"/>
        <v>176000</v>
      </c>
      <c r="D190">
        <f si="28" t="shared"/>
        <v>179000</v>
      </c>
      <c r="E190">
        <f si="28" t="shared"/>
        <v>377000</v>
      </c>
      <c r="F190">
        <f si="28" t="shared"/>
        <v>778000</v>
      </c>
      <c r="N190" t="s">
        <v>212</v>
      </c>
      <c r="O190" t="n">
        <v>70000.0</v>
      </c>
      <c r="P190" t="n">
        <v>90000.0</v>
      </c>
      <c r="Q190" t="n">
        <v>130000.0</v>
      </c>
      <c r="R190" t="n">
        <v>360000.0</v>
      </c>
      <c r="S190">
        <f ref="S190:S196" si="29" t="shared">SUM(O190:R190)</f>
        <v>778000</v>
      </c>
    </row>
    <row r="191" spans="1:23" x14ac:dyDescent="0.3">
      <c r="A191" t="s">
        <v>213</v>
      </c>
      <c r="B191">
        <f si="28" t="shared"/>
        <v>31000</v>
      </c>
      <c r="C191">
        <f si="28" t="shared"/>
        <v>144000</v>
      </c>
      <c r="D191">
        <f si="28" t="shared"/>
        <v>129000</v>
      </c>
      <c r="E191">
        <f si="28" t="shared"/>
        <v>273000</v>
      </c>
      <c r="F191">
        <f si="28" t="shared"/>
        <v>577000</v>
      </c>
      <c r="N191" t="s">
        <v>213</v>
      </c>
      <c r="O191" t="n">
        <v>60000.0</v>
      </c>
      <c r="P191" t="n">
        <v>150000.0</v>
      </c>
      <c r="Q191" t="n">
        <v>70000.0</v>
      </c>
      <c r="R191" t="n">
        <v>230000.0</v>
      </c>
      <c r="S191">
        <f si="29" t="shared"/>
        <v>577000</v>
      </c>
    </row>
    <row r="192" spans="1:23" x14ac:dyDescent="0.3">
      <c r="A192" t="s">
        <v>36</v>
      </c>
      <c r="B192">
        <f si="28" t="shared"/>
        <v>23000</v>
      </c>
      <c r="C192">
        <f si="28" t="shared"/>
        <v>93000</v>
      </c>
      <c r="D192">
        <f si="28" t="shared"/>
        <v>103000</v>
      </c>
      <c r="E192">
        <f si="28" t="shared"/>
        <v>200000</v>
      </c>
      <c r="F192">
        <f si="28" t="shared"/>
        <v>419000</v>
      </c>
      <c r="N192" t="s">
        <v>36</v>
      </c>
      <c r="O192" t="n">
        <v>40000.0</v>
      </c>
      <c r="P192" t="n">
        <v>70000.0</v>
      </c>
      <c r="Q192" t="n">
        <v>110000.0</v>
      </c>
      <c r="R192" t="n">
        <v>230000.0</v>
      </c>
      <c r="S192">
        <f si="29" t="shared"/>
        <v>419000</v>
      </c>
    </row>
    <row r="193" spans="1:19" x14ac:dyDescent="0.3">
      <c r="A193" t="s">
        <v>215</v>
      </c>
      <c r="B193">
        <f si="28" t="shared"/>
        <v>13000</v>
      </c>
      <c r="C193">
        <f si="28" t="shared"/>
        <v>49000</v>
      </c>
      <c r="D193">
        <f si="28" t="shared"/>
        <v>27000</v>
      </c>
      <c r="E193">
        <f si="28" t="shared"/>
        <v>48000</v>
      </c>
      <c r="F193">
        <f si="28" t="shared"/>
        <v>137000</v>
      </c>
      <c r="N193" t="s">
        <v>215</v>
      </c>
      <c r="O193" t="n">
        <v>20000.0</v>
      </c>
      <c r="P193" t="n">
        <v>70000.0</v>
      </c>
      <c r="Q193" t="n">
        <v>0.0</v>
      </c>
      <c r="R193" t="n">
        <v>30000.0</v>
      </c>
      <c r="S193">
        <f si="29" t="shared"/>
        <v>137000</v>
      </c>
    </row>
    <row r="194" spans="1:19" x14ac:dyDescent="0.3">
      <c r="A194" t="s">
        <v>129</v>
      </c>
      <c r="B194">
        <f si="28" t="shared"/>
        <v>17000</v>
      </c>
      <c r="C194">
        <f si="28" t="shared"/>
        <v>74000</v>
      </c>
      <c r="D194">
        <f si="28" t="shared"/>
        <v>62000</v>
      </c>
      <c r="E194">
        <f si="28" t="shared"/>
        <v>137000</v>
      </c>
      <c r="F194">
        <f si="28" t="shared"/>
        <v>290000</v>
      </c>
      <c r="N194" t="s">
        <v>129</v>
      </c>
      <c r="O194" t="n">
        <v>30000.0</v>
      </c>
      <c r="P194" t="n">
        <v>110000.0</v>
      </c>
      <c r="Q194" t="n">
        <v>30000.0</v>
      </c>
      <c r="R194" t="n">
        <v>100000.0</v>
      </c>
      <c r="S194">
        <f si="29" t="shared"/>
        <v>290000</v>
      </c>
    </row>
    <row r="195" spans="1:19" x14ac:dyDescent="0.3">
      <c r="A195" t="s">
        <v>130</v>
      </c>
      <c r="B195">
        <f si="28" t="shared"/>
        <v>46000</v>
      </c>
      <c r="C195">
        <f si="28" t="shared"/>
        <v>245000</v>
      </c>
      <c r="D195">
        <f si="28" t="shared"/>
        <v>174000</v>
      </c>
      <c r="E195">
        <f si="28" t="shared"/>
        <v>338000</v>
      </c>
      <c r="F195">
        <f si="28" t="shared"/>
        <v>803000</v>
      </c>
      <c r="N195" t="s">
        <v>130</v>
      </c>
      <c r="O195" t="n">
        <v>60000.0</v>
      </c>
      <c r="P195" t="n">
        <v>110000.0</v>
      </c>
      <c r="Q195" t="n">
        <v>200000.0</v>
      </c>
      <c r="R195" t="n">
        <v>280000.0</v>
      </c>
      <c r="S195">
        <f si="29" t="shared"/>
        <v>803000</v>
      </c>
    </row>
    <row r="196" spans="1:19" x14ac:dyDescent="0.3">
      <c r="A196" t="s">
        <v>249</v>
      </c>
      <c r="B196">
        <f si="28" t="shared"/>
        <v>4000</v>
      </c>
      <c r="C196">
        <f si="28" t="shared"/>
        <v>97000</v>
      </c>
      <c r="D196">
        <f si="28" t="shared"/>
        <v>78000</v>
      </c>
      <c r="E196">
        <f si="28" t="shared"/>
        <v>215000</v>
      </c>
      <c r="F196">
        <f si="28" t="shared"/>
        <v>394000</v>
      </c>
      <c r="N196" t="s">
        <v>249</v>
      </c>
      <c r="O196" t="n">
        <v>0.0</v>
      </c>
      <c r="P196" t="n">
        <v>70000.0</v>
      </c>
      <c r="Q196" t="n">
        <v>90000.0</v>
      </c>
      <c r="R196" t="n">
        <v>260000.0</v>
      </c>
      <c r="S196">
        <f si="29" t="shared"/>
        <v>394000</v>
      </c>
    </row>
    <row r="198" spans="1:19" x14ac:dyDescent="0.3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3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3">
      <c r="A200" t="s">
        <v>211</v>
      </c>
      <c r="B200">
        <f ref="B200:F207" si="30" t="shared">O200*$B$1</f>
        <v>2000</v>
      </c>
      <c r="C200">
        <f si="30" t="shared"/>
        <v>178000</v>
      </c>
      <c r="D200">
        <f si="30" t="shared"/>
        <v>893000</v>
      </c>
      <c r="E200">
        <f si="30" t="shared"/>
        <v>289000</v>
      </c>
      <c r="F200">
        <f si="30" t="shared"/>
        <v>1362000</v>
      </c>
      <c r="N200" t="s">
        <v>211</v>
      </c>
      <c r="O200" t="n">
        <v>0.0</v>
      </c>
      <c r="P200" t="n">
        <v>180000.0</v>
      </c>
      <c r="Q200" t="n">
        <v>1040000.0</v>
      </c>
      <c r="R200" t="n">
        <v>220000.0</v>
      </c>
      <c r="S200">
        <f>SUM(O200:R200)</f>
        <v>1362000</v>
      </c>
    </row>
    <row r="201" spans="1:19" x14ac:dyDescent="0.3">
      <c r="A201" t="s">
        <v>212</v>
      </c>
      <c r="B201">
        <f si="30" t="shared"/>
        <v>5000</v>
      </c>
      <c r="C201">
        <f si="30" t="shared"/>
        <v>124000</v>
      </c>
      <c r="D201">
        <f si="30" t="shared"/>
        <v>504000</v>
      </c>
      <c r="E201">
        <f si="30" t="shared"/>
        <v>145000</v>
      </c>
      <c r="F201">
        <f si="30" t="shared"/>
        <v>778000</v>
      </c>
      <c r="N201" t="s">
        <v>212</v>
      </c>
      <c r="O201" t="n">
        <v>30000.0</v>
      </c>
      <c r="P201" t="n">
        <v>40000.0</v>
      </c>
      <c r="Q201" t="n">
        <v>490000.0</v>
      </c>
      <c r="R201" t="n">
        <v>90000.0</v>
      </c>
      <c r="S201">
        <f ref="S201:S207" si="31" t="shared">SUM(O201:R201)</f>
        <v>778000</v>
      </c>
    </row>
    <row r="202" spans="1:19" x14ac:dyDescent="0.3">
      <c r="A202" t="s">
        <v>213</v>
      </c>
      <c r="B202">
        <f si="30" t="shared"/>
        <v>6000</v>
      </c>
      <c r="C202">
        <f si="30" t="shared"/>
        <v>103000</v>
      </c>
      <c r="D202">
        <f si="30" t="shared"/>
        <v>361000</v>
      </c>
      <c r="E202">
        <f si="30" t="shared"/>
        <v>107000</v>
      </c>
      <c r="F202">
        <f si="30" t="shared"/>
        <v>577000</v>
      </c>
      <c r="N202" t="s">
        <v>213</v>
      </c>
      <c r="O202" t="n">
        <v>20000.0</v>
      </c>
      <c r="P202" t="n">
        <v>70000.0</v>
      </c>
      <c r="Q202" t="n">
        <v>340000.0</v>
      </c>
      <c r="R202" t="n">
        <v>80000.0</v>
      </c>
      <c r="S202">
        <f si="31" t="shared"/>
        <v>577000</v>
      </c>
    </row>
    <row r="203" spans="1:19" x14ac:dyDescent="0.3">
      <c r="A203" t="s">
        <v>36</v>
      </c>
      <c r="B203">
        <f si="30" t="shared"/>
        <v>2000</v>
      </c>
      <c r="C203">
        <f si="30" t="shared"/>
        <v>63000</v>
      </c>
      <c r="D203">
        <f si="30" t="shared"/>
        <v>277000</v>
      </c>
      <c r="E203">
        <f si="30" t="shared"/>
        <v>77000</v>
      </c>
      <c r="F203">
        <f si="30" t="shared"/>
        <v>419000</v>
      </c>
      <c r="N203" t="s">
        <v>36</v>
      </c>
      <c r="O203" t="n">
        <v>0.0</v>
      </c>
      <c r="P203" t="n">
        <v>40000.0</v>
      </c>
      <c r="Q203" t="n">
        <v>370000.0</v>
      </c>
      <c r="R203" t="n">
        <v>40000.0</v>
      </c>
      <c r="S203">
        <f si="31" t="shared"/>
        <v>419000</v>
      </c>
    </row>
    <row r="204" spans="1:19" x14ac:dyDescent="0.3">
      <c r="A204" t="s">
        <v>215</v>
      </c>
      <c r="B204">
        <f si="30" t="shared"/>
        <v>1000</v>
      </c>
      <c r="C204">
        <f si="30" t="shared"/>
        <v>22000</v>
      </c>
      <c r="D204">
        <f si="30" t="shared"/>
        <v>92000</v>
      </c>
      <c r="E204">
        <f si="30" t="shared"/>
        <v>22000</v>
      </c>
      <c r="F204">
        <f si="30" t="shared"/>
        <v>137000</v>
      </c>
      <c r="N204" t="s">
        <v>215</v>
      </c>
      <c r="O204" t="n">
        <v>0.0</v>
      </c>
      <c r="P204" t="n">
        <v>30000.0</v>
      </c>
      <c r="Q204" t="n">
        <v>80000.0</v>
      </c>
      <c r="R204" t="n">
        <v>10000.0</v>
      </c>
      <c r="S204">
        <f si="31" t="shared"/>
        <v>137000</v>
      </c>
    </row>
    <row r="205" spans="1:19" x14ac:dyDescent="0.3">
      <c r="A205" t="s">
        <v>129</v>
      </c>
      <c r="B205">
        <f si="30" t="shared"/>
        <v>4000</v>
      </c>
      <c r="C205">
        <f si="30" t="shared"/>
        <v>36000</v>
      </c>
      <c r="D205">
        <f si="30" t="shared"/>
        <v>183000</v>
      </c>
      <c r="E205">
        <f si="30" t="shared"/>
        <v>67000</v>
      </c>
      <c r="F205">
        <f si="30" t="shared"/>
        <v>290000</v>
      </c>
      <c r="N205" t="s">
        <v>129</v>
      </c>
      <c r="O205" t="n">
        <v>10000.0</v>
      </c>
      <c r="P205" t="n">
        <v>30000.0</v>
      </c>
      <c r="Q205" t="n">
        <v>170000.0</v>
      </c>
      <c r="R205" t="n">
        <v>60000.0</v>
      </c>
      <c r="S205">
        <f si="31" t="shared"/>
        <v>290000</v>
      </c>
    </row>
    <row r="206" spans="1:19" x14ac:dyDescent="0.3">
      <c r="A206" t="s">
        <v>130</v>
      </c>
      <c r="B206">
        <f si="30" t="shared"/>
        <v>3000</v>
      </c>
      <c r="C206">
        <f si="30" t="shared"/>
        <v>131000</v>
      </c>
      <c r="D206">
        <f si="30" t="shared"/>
        <v>518000</v>
      </c>
      <c r="E206">
        <f si="30" t="shared"/>
        <v>151000</v>
      </c>
      <c r="F206">
        <f si="30" t="shared"/>
        <v>803000</v>
      </c>
      <c r="N206" t="s">
        <v>130</v>
      </c>
      <c r="O206" t="n">
        <v>10000.0</v>
      </c>
      <c r="P206" t="n">
        <v>70000.0</v>
      </c>
      <c r="Q206" t="n">
        <v>440000.0</v>
      </c>
      <c r="R206" t="n">
        <v>130000.0</v>
      </c>
      <c r="S206">
        <f si="31" t="shared"/>
        <v>803000</v>
      </c>
    </row>
    <row r="207" spans="1:19" x14ac:dyDescent="0.3">
      <c r="A207" t="s">
        <v>249</v>
      </c>
      <c r="B207">
        <f si="30" t="shared"/>
        <v>1000</v>
      </c>
      <c r="C207">
        <f si="30" t="shared"/>
        <v>53000</v>
      </c>
      <c r="D207">
        <f si="30" t="shared"/>
        <v>268000</v>
      </c>
      <c r="E207">
        <f si="30" t="shared"/>
        <v>72000</v>
      </c>
      <c r="F207">
        <f si="30" t="shared"/>
        <v>394000</v>
      </c>
      <c r="N207" t="s">
        <v>249</v>
      </c>
      <c r="O207" t="n">
        <v>0.0</v>
      </c>
      <c r="P207" t="n">
        <v>40000.0</v>
      </c>
      <c r="Q207" t="n">
        <v>320000.0</v>
      </c>
      <c r="R207" t="n">
        <v>60000.0</v>
      </c>
      <c r="S207">
        <f si="31" t="shared"/>
        <v>394000</v>
      </c>
    </row>
    <row r="209" spans="1:23" x14ac:dyDescent="0.3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3">
      <c r="A210" t="s">
        <v>44</v>
      </c>
      <c r="B210" t="s">
        <v>318</v>
      </c>
      <c r="C210" t="s">
        <v>319</v>
      </c>
      <c r="D210" t="s">
        <v>320</v>
      </c>
      <c r="E210" t="s">
        <v>321</v>
      </c>
      <c r="F210" t="s">
        <v>322</v>
      </c>
      <c r="G210" t="s">
        <v>323</v>
      </c>
      <c r="H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 t="s">
        <v>27</v>
      </c>
    </row>
    <row r="211" spans="1:23" x14ac:dyDescent="0.3">
      <c r="A211" t="s">
        <v>211</v>
      </c>
      <c r="B211">
        <f ref="B211:E218" si="32" t="shared">O211*$B$1</f>
        <v>1362000</v>
      </c>
      <c r="C211">
        <f si="32" t="shared"/>
        <v>0</v>
      </c>
      <c r="D211">
        <f si="32" t="shared"/>
        <v>0</v>
      </c>
      <c r="E211">
        <f si="32" t="shared"/>
        <v>0</v>
      </c>
      <c r="F211">
        <f ref="F211:F218" si="33" t="shared">S211*$B$1</f>
        <v>0</v>
      </c>
      <c r="G211">
        <f ref="G211:G218" si="34" t="shared">T211*$B$1</f>
        <v>0</v>
      </c>
      <c r="H211">
        <f ref="H211:H218" si="35" t="shared">U211*$B$1</f>
        <v>0</v>
      </c>
      <c r="N211" t="s">
        <v>211</v>
      </c>
      <c r="O211" t="n">
        <v>1440000.0</v>
      </c>
      <c r="P211" t="n">
        <v>0.0</v>
      </c>
      <c r="Q211" t="n">
        <v>0.0</v>
      </c>
      <c r="R211" t="n">
        <v>0.0</v>
      </c>
      <c r="S211" t="n">
        <v>0.0</v>
      </c>
      <c r="T211" t="n">
        <v>0.0</v>
      </c>
      <c r="U211" t="n">
        <v>0.0</v>
      </c>
    </row>
    <row r="212" spans="1:23" x14ac:dyDescent="0.3">
      <c r="A212" t="s">
        <v>212</v>
      </c>
      <c r="B212">
        <f si="32" t="shared"/>
        <v>778000</v>
      </c>
      <c r="C212">
        <f si="32" t="shared"/>
        <v>0</v>
      </c>
      <c r="D212">
        <f si="32" t="shared"/>
        <v>0</v>
      </c>
      <c r="E212">
        <f si="32" t="shared"/>
        <v>0</v>
      </c>
      <c r="F212">
        <f si="33" t="shared"/>
        <v>0</v>
      </c>
      <c r="G212">
        <f si="34" t="shared"/>
        <v>0</v>
      </c>
      <c r="H212">
        <f si="35" t="shared"/>
        <v>0</v>
      </c>
      <c r="N212" t="s">
        <v>212</v>
      </c>
      <c r="O212" t="n">
        <v>650000.0</v>
      </c>
      <c r="P212" t="n">
        <v>0.0</v>
      </c>
      <c r="Q212" t="n">
        <v>0.0</v>
      </c>
      <c r="R212" t="n">
        <v>0.0</v>
      </c>
      <c r="S212" t="n">
        <v>0.0</v>
      </c>
      <c r="T212" t="n">
        <v>0.0</v>
      </c>
      <c r="U212" t="n">
        <v>0.0</v>
      </c>
    </row>
    <row r="213" spans="1:23" x14ac:dyDescent="0.3">
      <c r="A213" t="s">
        <v>213</v>
      </c>
      <c r="B213">
        <f si="32" t="shared"/>
        <v>577000</v>
      </c>
      <c r="C213">
        <f si="32" t="shared"/>
        <v>0</v>
      </c>
      <c r="D213">
        <f si="32" t="shared"/>
        <v>0</v>
      </c>
      <c r="E213">
        <f si="32" t="shared"/>
        <v>0</v>
      </c>
      <c r="F213">
        <f si="33" t="shared"/>
        <v>0</v>
      </c>
      <c r="G213">
        <f si="34" t="shared"/>
        <v>0</v>
      </c>
      <c r="H213">
        <f si="35" t="shared"/>
        <v>0</v>
      </c>
      <c r="N213" t="s">
        <v>213</v>
      </c>
      <c r="O213" t="n">
        <v>510000.0</v>
      </c>
      <c r="P213" t="n">
        <v>0.0</v>
      </c>
      <c r="Q213" t="n">
        <v>0.0</v>
      </c>
      <c r="R213" t="n">
        <v>0.0</v>
      </c>
      <c r="S213" t="n">
        <v>0.0</v>
      </c>
      <c r="T213" t="n">
        <v>0.0</v>
      </c>
      <c r="U213" t="n">
        <v>0.0</v>
      </c>
    </row>
    <row r="214" spans="1:23" x14ac:dyDescent="0.3">
      <c r="A214" t="s">
        <v>36</v>
      </c>
      <c r="B214">
        <f si="32" t="shared"/>
        <v>419000</v>
      </c>
      <c r="C214">
        <f si="32" t="shared"/>
        <v>0</v>
      </c>
      <c r="D214">
        <f si="32" t="shared"/>
        <v>0</v>
      </c>
      <c r="E214">
        <f si="32" t="shared"/>
        <v>0</v>
      </c>
      <c r="F214">
        <f si="33" t="shared"/>
        <v>0</v>
      </c>
      <c r="G214">
        <f si="34" t="shared"/>
        <v>0</v>
      </c>
      <c r="H214">
        <f si="35" t="shared"/>
        <v>0</v>
      </c>
      <c r="N214" t="s">
        <v>36</v>
      </c>
      <c r="O214" t="n">
        <v>450000.0</v>
      </c>
      <c r="P214" t="n">
        <v>0.0</v>
      </c>
      <c r="Q214" t="n">
        <v>0.0</v>
      </c>
      <c r="R214" t="n">
        <v>0.0</v>
      </c>
      <c r="S214" t="n">
        <v>0.0</v>
      </c>
      <c r="T214" t="n">
        <v>0.0</v>
      </c>
      <c r="U214" t="n">
        <v>0.0</v>
      </c>
    </row>
    <row r="215" spans="1:23" x14ac:dyDescent="0.3">
      <c r="A215" t="s">
        <v>215</v>
      </c>
      <c r="B215">
        <f si="32" t="shared"/>
        <v>137000</v>
      </c>
      <c r="C215">
        <f si="32" t="shared"/>
        <v>0</v>
      </c>
      <c r="D215">
        <f si="32" t="shared"/>
        <v>0</v>
      </c>
      <c r="E215">
        <f si="32" t="shared"/>
        <v>0</v>
      </c>
      <c r="F215">
        <f si="33" t="shared"/>
        <v>0</v>
      </c>
      <c r="G215">
        <f si="34" t="shared"/>
        <v>0</v>
      </c>
      <c r="H215">
        <f si="35" t="shared"/>
        <v>0</v>
      </c>
      <c r="N215" t="s">
        <v>215</v>
      </c>
      <c r="O215" t="n">
        <v>120000.0</v>
      </c>
      <c r="P215" t="n">
        <v>0.0</v>
      </c>
      <c r="Q215" t="n">
        <v>0.0</v>
      </c>
      <c r="R215" t="n">
        <v>0.0</v>
      </c>
      <c r="S215" t="n">
        <v>0.0</v>
      </c>
      <c r="T215" t="n">
        <v>0.0</v>
      </c>
      <c r="U215" t="n">
        <v>0.0</v>
      </c>
    </row>
    <row r="216" spans="1:23" x14ac:dyDescent="0.3">
      <c r="A216" t="s">
        <v>129</v>
      </c>
      <c r="B216">
        <f si="32" t="shared"/>
        <v>290000</v>
      </c>
      <c r="C216">
        <f si="32" t="shared"/>
        <v>0</v>
      </c>
      <c r="D216">
        <f si="32" t="shared"/>
        <v>0</v>
      </c>
      <c r="E216">
        <f si="32" t="shared"/>
        <v>0</v>
      </c>
      <c r="F216">
        <f si="33" t="shared"/>
        <v>0</v>
      </c>
      <c r="G216">
        <f si="34" t="shared"/>
        <v>0</v>
      </c>
      <c r="H216">
        <f si="35" t="shared"/>
        <v>0</v>
      </c>
      <c r="N216" t="s">
        <v>129</v>
      </c>
      <c r="O216" t="n">
        <v>270000.0</v>
      </c>
      <c r="P216" t="n">
        <v>0.0</v>
      </c>
      <c r="Q216" t="n">
        <v>0.0</v>
      </c>
      <c r="R216" t="n">
        <v>0.0</v>
      </c>
      <c r="S216" t="n">
        <v>0.0</v>
      </c>
      <c r="T216" t="n">
        <v>0.0</v>
      </c>
      <c r="U216" t="n">
        <v>0.0</v>
      </c>
    </row>
    <row r="217" spans="1:23" x14ac:dyDescent="0.3">
      <c r="A217" t="s">
        <v>130</v>
      </c>
      <c r="B217">
        <f si="32" t="shared"/>
        <v>803000</v>
      </c>
      <c r="C217">
        <f si="32" t="shared"/>
        <v>0</v>
      </c>
      <c r="D217">
        <f si="32" t="shared"/>
        <v>0</v>
      </c>
      <c r="E217">
        <f si="32" t="shared"/>
        <v>0</v>
      </c>
      <c r="F217">
        <f si="33" t="shared"/>
        <v>0</v>
      </c>
      <c r="G217">
        <f si="34" t="shared"/>
        <v>0</v>
      </c>
      <c r="H217">
        <f si="35" t="shared"/>
        <v>0</v>
      </c>
      <c r="N217" t="s">
        <v>130</v>
      </c>
      <c r="O217" t="n">
        <v>650000.0</v>
      </c>
      <c r="P217" t="n">
        <v>0.0</v>
      </c>
      <c r="Q217" t="n">
        <v>0.0</v>
      </c>
      <c r="R217" t="n">
        <v>0.0</v>
      </c>
      <c r="S217" t="n">
        <v>0.0</v>
      </c>
      <c r="T217" t="n">
        <v>0.0</v>
      </c>
      <c r="U217" t="n">
        <v>0.0</v>
      </c>
    </row>
    <row r="218" spans="1:23" x14ac:dyDescent="0.3">
      <c r="A218" t="s">
        <v>249</v>
      </c>
      <c r="B218">
        <f si="32" t="shared"/>
        <v>394000</v>
      </c>
      <c r="C218">
        <f si="32" t="shared"/>
        <v>0</v>
      </c>
      <c r="D218">
        <f si="32" t="shared"/>
        <v>0</v>
      </c>
      <c r="E218">
        <f si="32" t="shared"/>
        <v>0</v>
      </c>
      <c r="F218">
        <f si="33" t="shared"/>
        <v>0</v>
      </c>
      <c r="G218">
        <f si="34" t="shared"/>
        <v>0</v>
      </c>
      <c r="H218">
        <f si="35" t="shared"/>
        <v>0</v>
      </c>
      <c r="N218" t="s">
        <v>249</v>
      </c>
      <c r="O218" t="n">
        <v>420000.0</v>
      </c>
      <c r="P218" t="n">
        <v>0.0</v>
      </c>
      <c r="Q218" t="n">
        <v>0.0</v>
      </c>
      <c r="R218" t="n">
        <v>0.0</v>
      </c>
      <c r="S218" t="n">
        <v>0.0</v>
      </c>
      <c r="T218" t="n">
        <v>0.0</v>
      </c>
      <c r="U218" t="n">
        <v>0.0</v>
      </c>
    </row>
    <row r="220" spans="1:23" x14ac:dyDescent="0.3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3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3">
      <c r="A222" t="s">
        <v>211</v>
      </c>
      <c r="B222">
        <f ref="B222:J228" si="36" t="shared">O222*$B$1</f>
        <v>125000</v>
      </c>
      <c r="C222">
        <f si="36" t="shared"/>
        <v>25000</v>
      </c>
      <c r="D222">
        <f si="36" t="shared"/>
        <v>0</v>
      </c>
      <c r="E222">
        <f si="36" t="shared"/>
        <v>0</v>
      </c>
      <c r="F222">
        <f si="36" t="shared"/>
        <v>5000</v>
      </c>
      <c r="G222">
        <f si="36" t="shared"/>
        <v>1000</v>
      </c>
      <c r="H222">
        <f si="36" t="shared"/>
        <v>0</v>
      </c>
      <c r="I222">
        <f si="36" t="shared"/>
        <v>0</v>
      </c>
      <c r="J222">
        <f si="36" t="shared"/>
        <v>156000</v>
      </c>
      <c r="N222" t="s">
        <v>211</v>
      </c>
      <c r="O222" s="104" t="n">
        <v>110000.0</v>
      </c>
      <c r="P222" s="104" t="n">
        <v>20000.0</v>
      </c>
      <c r="Q222" s="104" t="n">
        <v>0.0</v>
      </c>
      <c r="R222" s="104" t="n">
        <v>0.0</v>
      </c>
      <c r="S222" s="104" t="n">
        <v>0.0</v>
      </c>
      <c r="T222" s="104" t="n">
        <v>10000.0</v>
      </c>
      <c r="U222" s="104" t="n">
        <v>0.0</v>
      </c>
      <c r="V222" t="n">
        <v>0.0</v>
      </c>
      <c r="W222" s="104">
        <f>SUM(O222:V222)</f>
        <v>156000</v>
      </c>
    </row>
    <row r="223" spans="1:23" x14ac:dyDescent="0.3">
      <c r="A223" t="s">
        <v>212</v>
      </c>
      <c r="B223">
        <f si="36" t="shared"/>
        <v>0</v>
      </c>
      <c r="C223">
        <f si="36" t="shared"/>
        <v>0</v>
      </c>
      <c r="D223">
        <f si="36" t="shared"/>
        <v>0</v>
      </c>
      <c r="E223">
        <f si="36" t="shared"/>
        <v>0</v>
      </c>
      <c r="F223">
        <f si="36" t="shared"/>
        <v>9000</v>
      </c>
      <c r="G223">
        <f si="36" t="shared"/>
        <v>17000</v>
      </c>
      <c r="H223">
        <f si="36" t="shared"/>
        <v>38000</v>
      </c>
      <c r="I223">
        <f si="36" t="shared"/>
        <v>0</v>
      </c>
      <c r="J223">
        <f si="36" t="shared"/>
        <v>64000</v>
      </c>
      <c r="N223" t="s">
        <v>212</v>
      </c>
      <c r="O223" s="104" t="n">
        <v>0.0</v>
      </c>
      <c r="P223" s="104" t="n">
        <v>0.0</v>
      </c>
      <c r="Q223" s="104" t="n">
        <v>0.0</v>
      </c>
      <c r="R223" s="104" t="n">
        <v>0.0</v>
      </c>
      <c r="S223" s="104" t="n">
        <v>0.0</v>
      </c>
      <c r="T223" s="104" t="n">
        <v>40000.0</v>
      </c>
      <c r="U223" s="104" t="n">
        <v>40000.0</v>
      </c>
      <c r="V223" t="n">
        <v>0.0</v>
      </c>
      <c r="W223" s="104">
        <f ref="W223:W228" si="37" t="shared">SUM(O223:V223)</f>
        <v>64000</v>
      </c>
    </row>
    <row r="224" spans="1:23" x14ac:dyDescent="0.3">
      <c r="A224" t="s">
        <v>213</v>
      </c>
      <c r="B224">
        <f si="36" t="shared"/>
        <v>56000</v>
      </c>
      <c r="C224">
        <f si="36" t="shared"/>
        <v>19000</v>
      </c>
      <c r="D224">
        <f si="36" t="shared"/>
        <v>5000</v>
      </c>
      <c r="E224">
        <f si="36" t="shared"/>
        <v>31000</v>
      </c>
      <c r="F224">
        <f si="36" t="shared"/>
        <v>10000</v>
      </c>
      <c r="G224">
        <f si="36" t="shared"/>
        <v>11000</v>
      </c>
      <c r="H224">
        <f si="36" t="shared"/>
        <v>27000</v>
      </c>
      <c r="I224">
        <f si="36" t="shared"/>
        <v>0</v>
      </c>
      <c r="J224">
        <f si="36" t="shared"/>
        <v>159000</v>
      </c>
      <c r="N224" t="s">
        <v>213</v>
      </c>
      <c r="O224" s="104" t="n">
        <v>50000.0</v>
      </c>
      <c r="P224" s="104" t="n">
        <v>30000.0</v>
      </c>
      <c r="Q224" s="104" t="n">
        <v>20000.0</v>
      </c>
      <c r="R224" s="104" t="n">
        <v>50000.0</v>
      </c>
      <c r="S224" s="104" t="n">
        <v>10000.0</v>
      </c>
      <c r="T224" s="104" t="n">
        <v>10000.0</v>
      </c>
      <c r="U224" s="104" t="n">
        <v>20000.0</v>
      </c>
      <c r="V224" t="n">
        <v>0.0</v>
      </c>
      <c r="W224" s="104">
        <f si="37" t="shared"/>
        <v>159000</v>
      </c>
    </row>
    <row r="225" spans="1:23" x14ac:dyDescent="0.3">
      <c r="A225" t="s">
        <v>36</v>
      </c>
      <c r="B225">
        <f si="36" t="shared"/>
        <v>146000</v>
      </c>
      <c r="C225">
        <f si="36" t="shared"/>
        <v>47000</v>
      </c>
      <c r="D225">
        <f si="36" t="shared"/>
        <v>45000</v>
      </c>
      <c r="E225">
        <f si="36" t="shared"/>
        <v>78000</v>
      </c>
      <c r="F225">
        <f si="36" t="shared"/>
        <v>14000</v>
      </c>
      <c r="G225">
        <f si="36" t="shared"/>
        <v>27000</v>
      </c>
      <c r="H225">
        <f si="36" t="shared"/>
        <v>54000</v>
      </c>
      <c r="I225">
        <f si="36" t="shared"/>
        <v>0</v>
      </c>
      <c r="J225">
        <f si="36" t="shared"/>
        <v>411000</v>
      </c>
      <c r="N225" t="s">
        <v>36</v>
      </c>
      <c r="O225" s="104" t="n">
        <v>140000.0</v>
      </c>
      <c r="P225" s="104" t="n">
        <v>80000.0</v>
      </c>
      <c r="Q225" s="104" t="n">
        <v>70000.0</v>
      </c>
      <c r="R225" s="104" t="n">
        <v>70000.0</v>
      </c>
      <c r="S225" s="104" t="n">
        <v>10000.0</v>
      </c>
      <c r="T225" s="104" t="n">
        <v>10000.0</v>
      </c>
      <c r="U225" s="104" t="n">
        <v>70000.0</v>
      </c>
      <c r="V225" t="n">
        <v>0.0</v>
      </c>
      <c r="W225" s="104">
        <f si="37" t="shared"/>
        <v>411000</v>
      </c>
    </row>
    <row r="226" spans="1:23" x14ac:dyDescent="0.3">
      <c r="A226" t="s">
        <v>215</v>
      </c>
      <c r="B226">
        <f si="36" t="shared"/>
        <v>211000</v>
      </c>
      <c r="C226">
        <f si="36" t="shared"/>
        <v>86000</v>
      </c>
      <c r="D226">
        <f si="36" t="shared"/>
        <v>62000</v>
      </c>
      <c r="E226">
        <f si="36" t="shared"/>
        <v>99000</v>
      </c>
      <c r="F226">
        <f si="36" t="shared"/>
        <v>32000</v>
      </c>
      <c r="G226">
        <f si="36" t="shared"/>
        <v>30000</v>
      </c>
      <c r="H226">
        <f si="36" t="shared"/>
        <v>103000</v>
      </c>
      <c r="I226">
        <f si="36" t="shared"/>
        <v>0</v>
      </c>
      <c r="J226">
        <f si="36" t="shared"/>
        <v>623000</v>
      </c>
      <c r="N226" t="s">
        <v>215</v>
      </c>
      <c r="O226" s="104" t="n">
        <v>150000.0</v>
      </c>
      <c r="P226" s="104" t="n">
        <v>80000.0</v>
      </c>
      <c r="Q226" s="104" t="n">
        <v>120000.0</v>
      </c>
      <c r="R226" s="104" t="n">
        <v>90000.0</v>
      </c>
      <c r="S226" s="104" t="n">
        <v>20000.0</v>
      </c>
      <c r="T226" s="104" t="n">
        <v>10000.0</v>
      </c>
      <c r="U226" s="104" t="n">
        <v>50000.0</v>
      </c>
      <c r="V226" t="n">
        <v>0.0</v>
      </c>
      <c r="W226" s="104">
        <f si="37" t="shared"/>
        <v>623000</v>
      </c>
    </row>
    <row r="227" spans="1:23" x14ac:dyDescent="0.3">
      <c r="A227" t="s">
        <v>129</v>
      </c>
      <c r="B227">
        <f si="36" t="shared"/>
        <v>203000</v>
      </c>
      <c r="C227">
        <f si="36" t="shared"/>
        <v>66000</v>
      </c>
      <c r="D227">
        <f si="36" t="shared"/>
        <v>48000</v>
      </c>
      <c r="E227">
        <f si="36" t="shared"/>
        <v>63000</v>
      </c>
      <c r="F227">
        <f si="36" t="shared"/>
        <v>37000</v>
      </c>
      <c r="G227">
        <f si="36" t="shared"/>
        <v>45000</v>
      </c>
      <c r="H227">
        <f si="36" t="shared"/>
        <v>93000</v>
      </c>
      <c r="I227">
        <f si="36" t="shared"/>
        <v>0</v>
      </c>
      <c r="J227">
        <f si="36" t="shared"/>
        <v>555000</v>
      </c>
      <c r="N227" t="s">
        <v>129</v>
      </c>
      <c r="O227" s="104" t="n">
        <v>220000.0</v>
      </c>
      <c r="P227" s="104" t="n">
        <v>100000.0</v>
      </c>
      <c r="Q227" s="104" t="n">
        <v>50000.0</v>
      </c>
      <c r="R227" s="104" t="n">
        <v>80000.0</v>
      </c>
      <c r="S227" s="104" t="n">
        <v>60000.0</v>
      </c>
      <c r="T227" s="104" t="n">
        <v>40000.0</v>
      </c>
      <c r="U227" s="104" t="n">
        <v>70000.0</v>
      </c>
      <c r="V227" t="n">
        <v>0.0</v>
      </c>
      <c r="W227" s="104">
        <f si="37" t="shared"/>
        <v>555000</v>
      </c>
    </row>
    <row r="228" spans="1:23" x14ac:dyDescent="0.3">
      <c r="A228" t="s">
        <v>130</v>
      </c>
      <c r="B228">
        <f si="36" t="shared"/>
        <v>29000</v>
      </c>
      <c r="C228">
        <f si="36" t="shared"/>
        <v>11000</v>
      </c>
      <c r="D228">
        <f si="36" t="shared"/>
        <v>9000</v>
      </c>
      <c r="E228">
        <f si="36" t="shared"/>
        <v>21000</v>
      </c>
      <c r="F228">
        <f si="36" t="shared"/>
        <v>5000</v>
      </c>
      <c r="G228">
        <f si="36" t="shared"/>
        <v>4000</v>
      </c>
      <c r="H228">
        <f si="36" t="shared"/>
        <v>14000</v>
      </c>
      <c r="I228">
        <f si="36" t="shared"/>
        <v>0</v>
      </c>
      <c r="J228">
        <f si="36" t="shared"/>
        <v>93000</v>
      </c>
      <c r="N228" t="s">
        <v>130</v>
      </c>
      <c r="O228" s="104" t="n">
        <v>40000.0</v>
      </c>
      <c r="P228" s="104" t="n">
        <v>20000.0</v>
      </c>
      <c r="Q228" s="104" t="n">
        <v>20000.0</v>
      </c>
      <c r="R228" s="104" t="n">
        <v>0.0</v>
      </c>
      <c r="S228" s="104" t="n">
        <v>0.0</v>
      </c>
      <c r="T228" s="104" t="n">
        <v>0.0</v>
      </c>
      <c r="U228" s="104" t="n">
        <v>20000.0</v>
      </c>
      <c r="V228" t="n">
        <v>0.0</v>
      </c>
      <c r="W228" s="104">
        <f si="37" t="shared"/>
        <v>93000</v>
      </c>
    </row>
    <row r="230" spans="1:23" x14ac:dyDescent="0.3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3">
      <c r="A231" t="s">
        <v>44</v>
      </c>
      <c r="B231" t="s">
        <v>298</v>
      </c>
      <c r="C231" t="s">
        <v>299</v>
      </c>
      <c r="D231" t="s">
        <v>300</v>
      </c>
      <c r="E231" t="s">
        <v>301</v>
      </c>
      <c r="F231" t="s">
        <v>27</v>
      </c>
      <c r="N231" t="s">
        <v>44</v>
      </c>
      <c r="O231" t="s">
        <v>298</v>
      </c>
      <c r="P231" t="s">
        <v>299</v>
      </c>
      <c r="Q231" t="s">
        <v>300</v>
      </c>
      <c r="R231" t="s">
        <v>301</v>
      </c>
      <c r="S231" t="s">
        <v>27</v>
      </c>
    </row>
    <row r="232" spans="1:23" x14ac:dyDescent="0.3">
      <c r="A232" t="s">
        <v>211</v>
      </c>
      <c r="B232">
        <f ref="B232:F238" si="38" t="shared">O232*$B$1</f>
        <v>4000</v>
      </c>
      <c r="C232">
        <f si="38" t="shared"/>
        <v>36000</v>
      </c>
      <c r="D232">
        <f si="38" t="shared"/>
        <v>31000</v>
      </c>
      <c r="E232">
        <f si="38" t="shared"/>
        <v>85000</v>
      </c>
      <c r="F232">
        <f si="38" t="shared"/>
        <v>156000</v>
      </c>
      <c r="N232" t="s">
        <v>211</v>
      </c>
      <c r="O232" s="104" t="n">
        <v>10000.0</v>
      </c>
      <c r="P232" s="104" t="n">
        <v>30000.0</v>
      </c>
      <c r="Q232" s="104" t="n">
        <v>40000.0</v>
      </c>
      <c r="R232" s="104" t="n">
        <v>60000.0</v>
      </c>
      <c r="S232" s="104">
        <f>SUM(O232:R232)</f>
        <v>156000</v>
      </c>
    </row>
    <row r="233" spans="1:23" x14ac:dyDescent="0.3">
      <c r="A233" t="s">
        <v>212</v>
      </c>
      <c r="B233">
        <f si="38" t="shared"/>
        <v>5000</v>
      </c>
      <c r="C233">
        <f si="38" t="shared"/>
        <v>15000</v>
      </c>
      <c r="D233">
        <f si="38" t="shared"/>
        <v>14000</v>
      </c>
      <c r="E233">
        <f si="38" t="shared"/>
        <v>30000</v>
      </c>
      <c r="F233">
        <f si="38" t="shared"/>
        <v>64000</v>
      </c>
      <c r="N233" t="s">
        <v>212</v>
      </c>
      <c r="O233" s="104" t="n">
        <v>10000.0</v>
      </c>
      <c r="P233" s="104" t="n">
        <v>30000.0</v>
      </c>
      <c r="Q233" s="104" t="n">
        <v>10000.0</v>
      </c>
      <c r="R233" s="104" t="n">
        <v>30000.0</v>
      </c>
      <c r="S233" s="104">
        <f ref="S233:S238" si="39" t="shared">SUM(O233:R233)</f>
        <v>64000</v>
      </c>
    </row>
    <row r="234" spans="1:23" x14ac:dyDescent="0.3">
      <c r="A234" t="s">
        <v>213</v>
      </c>
      <c r="B234">
        <f si="38" t="shared"/>
        <v>6000</v>
      </c>
      <c r="C234">
        <f si="38" t="shared"/>
        <v>33000</v>
      </c>
      <c r="D234">
        <f si="38" t="shared"/>
        <v>32000</v>
      </c>
      <c r="E234">
        <f si="38" t="shared"/>
        <v>88000</v>
      </c>
      <c r="F234">
        <f si="38" t="shared"/>
        <v>159000</v>
      </c>
      <c r="N234" t="s">
        <v>213</v>
      </c>
      <c r="O234" s="104" t="n">
        <v>20000.0</v>
      </c>
      <c r="P234" s="104" t="n">
        <v>60000.0</v>
      </c>
      <c r="Q234" s="104" t="n">
        <v>30000.0</v>
      </c>
      <c r="R234" s="104" t="n">
        <v>80000.0</v>
      </c>
      <c r="S234" s="104">
        <f si="39" t="shared"/>
        <v>159000</v>
      </c>
    </row>
    <row r="235" spans="1:23" x14ac:dyDescent="0.3">
      <c r="A235" t="s">
        <v>36</v>
      </c>
      <c r="B235">
        <f si="38" t="shared"/>
        <v>12000</v>
      </c>
      <c r="C235">
        <f si="38" t="shared"/>
        <v>85000</v>
      </c>
      <c r="D235">
        <f si="38" t="shared"/>
        <v>92000</v>
      </c>
      <c r="E235">
        <f si="38" t="shared"/>
        <v>222000</v>
      </c>
      <c r="F235">
        <f si="38" t="shared"/>
        <v>411000</v>
      </c>
      <c r="N235" t="s">
        <v>36</v>
      </c>
      <c r="O235" s="104" t="n">
        <v>30000.0</v>
      </c>
      <c r="P235" s="104" t="n">
        <v>90000.0</v>
      </c>
      <c r="Q235" s="104" t="n">
        <v>100000.0</v>
      </c>
      <c r="R235" s="104" t="n">
        <v>230000.0</v>
      </c>
      <c r="S235" s="104">
        <f si="39" t="shared"/>
        <v>411000</v>
      </c>
    </row>
    <row r="236" spans="1:23" x14ac:dyDescent="0.3">
      <c r="A236" t="s">
        <v>215</v>
      </c>
      <c r="B236">
        <f si="38" t="shared"/>
        <v>38000</v>
      </c>
      <c r="C236">
        <f si="38" t="shared"/>
        <v>181000</v>
      </c>
      <c r="D236">
        <f si="38" t="shared"/>
        <v>129000</v>
      </c>
      <c r="E236">
        <f si="38" t="shared"/>
        <v>275000</v>
      </c>
      <c r="F236">
        <f si="38" t="shared"/>
        <v>623000</v>
      </c>
      <c r="N236" t="s">
        <v>215</v>
      </c>
      <c r="O236" s="104" t="n">
        <v>70000.0</v>
      </c>
      <c r="P236" s="104" t="n">
        <v>110000.0</v>
      </c>
      <c r="Q236" s="104" t="n">
        <v>100000.0</v>
      </c>
      <c r="R236" s="104" t="n">
        <v>240000.0</v>
      </c>
      <c r="S236" s="104">
        <f si="39" t="shared"/>
        <v>623000</v>
      </c>
    </row>
    <row r="237" spans="1:23" x14ac:dyDescent="0.3">
      <c r="A237" t="s">
        <v>129</v>
      </c>
      <c r="B237">
        <f si="38" t="shared"/>
        <v>22000</v>
      </c>
      <c r="C237">
        <f si="38" t="shared"/>
        <v>140000</v>
      </c>
      <c r="D237">
        <f si="38" t="shared"/>
        <v>103000</v>
      </c>
      <c r="E237">
        <f si="38" t="shared"/>
        <v>290000</v>
      </c>
      <c r="F237">
        <f si="38" t="shared"/>
        <v>555000</v>
      </c>
      <c r="N237" t="s">
        <v>129</v>
      </c>
      <c r="O237" s="104" t="n">
        <v>60000.0</v>
      </c>
      <c r="P237" s="104" t="n">
        <v>100000.0</v>
      </c>
      <c r="Q237" s="104" t="n">
        <v>90000.0</v>
      </c>
      <c r="R237" s="104" t="n">
        <v>370000.0</v>
      </c>
      <c r="S237" s="104">
        <f si="39" t="shared"/>
        <v>555000</v>
      </c>
    </row>
    <row r="238" spans="1:23" x14ac:dyDescent="0.3">
      <c r="A238" t="s">
        <v>130</v>
      </c>
      <c r="B238">
        <f si="38" t="shared"/>
        <v>5000</v>
      </c>
      <c r="C238">
        <f si="38" t="shared"/>
        <v>28000</v>
      </c>
      <c r="D238">
        <f si="38" t="shared"/>
        <v>18000</v>
      </c>
      <c r="E238">
        <f si="38" t="shared"/>
        <v>42000</v>
      </c>
      <c r="F238">
        <f si="38" t="shared"/>
        <v>93000</v>
      </c>
      <c r="N238" t="s">
        <v>130</v>
      </c>
      <c r="O238" s="104" t="n">
        <v>0.0</v>
      </c>
      <c r="P238" s="104" t="n">
        <v>30000.0</v>
      </c>
      <c r="Q238" s="104" t="n">
        <v>10000.0</v>
      </c>
      <c r="R238" s="104" t="n">
        <v>60000.0</v>
      </c>
      <c r="S238" s="104">
        <f si="39" t="shared"/>
        <v>93000</v>
      </c>
    </row>
    <row r="240" spans="1:23" x14ac:dyDescent="0.3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1" x14ac:dyDescent="0.3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1" x14ac:dyDescent="0.3">
      <c r="A242" t="s">
        <v>211</v>
      </c>
      <c r="B242">
        <f ref="B242:F248" si="40" t="shared">O242*$B$1</f>
        <v>0</v>
      </c>
      <c r="C242">
        <f si="40" t="shared"/>
        <v>19000</v>
      </c>
      <c r="D242">
        <f si="40" t="shared"/>
        <v>106000</v>
      </c>
      <c r="E242">
        <f si="40" t="shared"/>
        <v>31000</v>
      </c>
      <c r="F242">
        <f si="40" t="shared"/>
        <v>156000</v>
      </c>
      <c r="N242" t="s">
        <v>211</v>
      </c>
      <c r="O242" s="104" t="n">
        <v>0.0</v>
      </c>
      <c r="P242" s="104" t="n">
        <v>20000.0</v>
      </c>
      <c r="Q242" s="104" t="n">
        <v>110000.0</v>
      </c>
      <c r="R242" s="104" t="n">
        <v>10000.0</v>
      </c>
      <c r="S242" s="104">
        <f>SUM(O242:R242)</f>
        <v>156000</v>
      </c>
    </row>
    <row r="243" spans="1:21" x14ac:dyDescent="0.3">
      <c r="A243" t="s">
        <v>212</v>
      </c>
      <c r="B243">
        <f si="40" t="shared"/>
        <v>1000</v>
      </c>
      <c r="C243">
        <f si="40" t="shared"/>
        <v>9000</v>
      </c>
      <c r="D243">
        <f si="40" t="shared"/>
        <v>44000</v>
      </c>
      <c r="E243">
        <f si="40" t="shared"/>
        <v>10000</v>
      </c>
      <c r="F243">
        <f si="40" t="shared"/>
        <v>64000</v>
      </c>
      <c r="N243" t="s">
        <v>212</v>
      </c>
      <c r="O243" s="104" t="n">
        <v>10000.0</v>
      </c>
      <c r="P243" s="104" t="n">
        <v>20000.0</v>
      </c>
      <c r="Q243" s="104" t="n">
        <v>30000.0</v>
      </c>
      <c r="R243" s="104" t="n">
        <v>20000.0</v>
      </c>
      <c r="S243" s="104">
        <f ref="S243:S248" si="41" t="shared">SUM(O243:R243)</f>
        <v>64000</v>
      </c>
    </row>
    <row r="244" spans="1:21" x14ac:dyDescent="0.3">
      <c r="A244" t="s">
        <v>213</v>
      </c>
      <c r="B244">
        <f si="40" t="shared"/>
        <v>2000</v>
      </c>
      <c r="C244">
        <f si="40" t="shared"/>
        <v>25000</v>
      </c>
      <c r="D244">
        <f si="40" t="shared"/>
        <v>104000</v>
      </c>
      <c r="E244">
        <f si="40" t="shared"/>
        <v>28000</v>
      </c>
      <c r="F244">
        <f si="40" t="shared"/>
        <v>159000</v>
      </c>
      <c r="N244" t="s">
        <v>213</v>
      </c>
      <c r="O244" s="104" t="n">
        <v>10000.0</v>
      </c>
      <c r="P244" s="104" t="n">
        <v>30000.0</v>
      </c>
      <c r="Q244" s="104" t="n">
        <v>140000.0</v>
      </c>
      <c r="R244" s="104" t="n">
        <v>10000.0</v>
      </c>
      <c r="S244" s="104">
        <f si="41" t="shared"/>
        <v>159000</v>
      </c>
    </row>
    <row r="245" spans="1:21" x14ac:dyDescent="0.3">
      <c r="A245" t="s">
        <v>36</v>
      </c>
      <c r="B245">
        <f si="40" t="shared"/>
        <v>1000</v>
      </c>
      <c r="C245">
        <f si="40" t="shared"/>
        <v>69000</v>
      </c>
      <c r="D245">
        <f si="40" t="shared"/>
        <v>267000</v>
      </c>
      <c r="E245">
        <f si="40" t="shared"/>
        <v>74000</v>
      </c>
      <c r="F245">
        <f si="40" t="shared"/>
        <v>411000</v>
      </c>
      <c r="N245" t="s">
        <v>36</v>
      </c>
      <c r="O245" s="104" t="n">
        <v>0.0</v>
      </c>
      <c r="P245" s="104" t="n">
        <v>70000.0</v>
      </c>
      <c r="Q245" s="104" t="n">
        <v>340000.0</v>
      </c>
      <c r="R245" s="104" t="n">
        <v>40000.0</v>
      </c>
      <c r="S245" s="104">
        <f si="41" t="shared"/>
        <v>411000</v>
      </c>
    </row>
    <row r="246" spans="1:21" x14ac:dyDescent="0.3">
      <c r="A246" t="s">
        <v>215</v>
      </c>
      <c r="B246">
        <f si="40" t="shared"/>
        <v>3000</v>
      </c>
      <c r="C246">
        <f si="40" t="shared"/>
        <v>94000</v>
      </c>
      <c r="D246">
        <f si="40" t="shared"/>
        <v>423000</v>
      </c>
      <c r="E246">
        <f si="40" t="shared"/>
        <v>103000</v>
      </c>
      <c r="F246">
        <f si="40" t="shared"/>
        <v>623000</v>
      </c>
      <c r="N246" t="s">
        <v>215</v>
      </c>
      <c r="O246" s="104" t="n">
        <v>0.0</v>
      </c>
      <c r="P246" s="104" t="n">
        <v>70000.0</v>
      </c>
      <c r="Q246" s="104" t="n">
        <v>410000.0</v>
      </c>
      <c r="R246" s="104" t="n">
        <v>40000.0</v>
      </c>
      <c r="S246" s="104">
        <f si="41" t="shared"/>
        <v>623000</v>
      </c>
    </row>
    <row r="247" spans="1:21" x14ac:dyDescent="0.3">
      <c r="A247" t="s">
        <v>129</v>
      </c>
      <c r="B247">
        <f si="40" t="shared"/>
        <v>2000</v>
      </c>
      <c r="C247">
        <f si="40" t="shared"/>
        <v>90000</v>
      </c>
      <c r="D247">
        <f si="40" t="shared"/>
        <v>366000</v>
      </c>
      <c r="E247">
        <f si="40" t="shared"/>
        <v>97000</v>
      </c>
      <c r="F247">
        <f si="40" t="shared"/>
        <v>555000</v>
      </c>
      <c r="N247" t="s">
        <v>129</v>
      </c>
      <c r="O247" s="104" t="n">
        <v>10000.0</v>
      </c>
      <c r="P247" s="104" t="n">
        <v>80000.0</v>
      </c>
      <c r="Q247" s="104" t="n">
        <v>410000.0</v>
      </c>
      <c r="R247" s="104" t="n">
        <v>120000.0</v>
      </c>
      <c r="S247" s="104">
        <f si="41" t="shared"/>
        <v>555000</v>
      </c>
    </row>
    <row r="248" spans="1:21" x14ac:dyDescent="0.3">
      <c r="A248" t="s">
        <v>130</v>
      </c>
      <c r="B248">
        <f si="40" t="shared"/>
        <v>0</v>
      </c>
      <c r="C248">
        <f si="40" t="shared"/>
        <v>21000</v>
      </c>
      <c r="D248">
        <f si="40" t="shared"/>
        <v>57000</v>
      </c>
      <c r="E248">
        <f si="40" t="shared"/>
        <v>15000</v>
      </c>
      <c r="F248">
        <f si="40" t="shared"/>
        <v>93000</v>
      </c>
      <c r="N248" t="s">
        <v>130</v>
      </c>
      <c r="O248" s="104" t="n">
        <v>0.0</v>
      </c>
      <c r="P248" s="104" t="n">
        <v>20000.0</v>
      </c>
      <c r="Q248" s="104" t="n">
        <v>60000.0</v>
      </c>
      <c r="R248" s="104" t="n">
        <v>20000.0</v>
      </c>
      <c r="S248" s="104">
        <f si="41" t="shared"/>
        <v>93000</v>
      </c>
    </row>
    <row r="250" spans="1:21" x14ac:dyDescent="0.3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3">
      <c r="A251" t="s">
        <v>44</v>
      </c>
      <c r="B251" t="s">
        <v>318</v>
      </c>
      <c r="C251" t="s">
        <v>319</v>
      </c>
      <c r="D251" t="s">
        <v>320</v>
      </c>
      <c r="E251" t="s">
        <v>321</v>
      </c>
      <c r="F251" t="s">
        <v>322</v>
      </c>
      <c r="G251" t="s">
        <v>323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3">
      <c r="A252" t="s">
        <v>211</v>
      </c>
      <c r="B252">
        <f ref="B252:G258" si="42" t="shared">O252*$B$1</f>
        <v>156000</v>
      </c>
      <c r="C252">
        <f si="42" t="shared"/>
        <v>0</v>
      </c>
      <c r="D252">
        <f si="42" t="shared"/>
        <v>0</v>
      </c>
      <c r="E252">
        <f si="42" t="shared"/>
        <v>0</v>
      </c>
      <c r="F252">
        <f si="42" t="shared"/>
        <v>0</v>
      </c>
      <c r="G252">
        <f si="42" t="shared"/>
        <v>0</v>
      </c>
      <c r="H252">
        <f ref="H252:H258" si="43" t="shared">U252*$B$1</f>
        <v>0</v>
      </c>
      <c r="N252" t="s">
        <v>211</v>
      </c>
      <c r="O252" s="104" t="n">
        <v>140000.0</v>
      </c>
      <c r="P252" s="104" t="n">
        <v>0.0</v>
      </c>
      <c r="Q252" s="104" t="n">
        <v>0.0</v>
      </c>
      <c r="R252" s="104" t="n">
        <v>0.0</v>
      </c>
      <c r="S252" s="104" t="n">
        <v>0.0</v>
      </c>
      <c r="T252" s="104" t="n">
        <v>0.0</v>
      </c>
      <c r="U252" s="104" t="n">
        <v>0.0</v>
      </c>
    </row>
    <row r="253" spans="1:21" x14ac:dyDescent="0.3">
      <c r="A253" t="s">
        <v>212</v>
      </c>
      <c r="B253">
        <f si="42" t="shared"/>
        <v>64000</v>
      </c>
      <c r="C253">
        <f si="42" t="shared"/>
        <v>0</v>
      </c>
      <c r="D253">
        <f si="42" t="shared"/>
        <v>0</v>
      </c>
      <c r="E253">
        <f si="42" t="shared"/>
        <v>0</v>
      </c>
      <c r="F253">
        <f ref="F253:F258" si="44" t="shared">S253*$B$1</f>
        <v>0</v>
      </c>
      <c r="G253">
        <f ref="G253:G258" si="45" t="shared">T253*$B$1</f>
        <v>0</v>
      </c>
      <c r="H253">
        <f si="43" t="shared"/>
        <v>0</v>
      </c>
      <c r="N253" t="s">
        <v>212</v>
      </c>
      <c r="O253" s="104" t="n">
        <v>80000.0</v>
      </c>
      <c r="P253" s="104" t="n">
        <v>0.0</v>
      </c>
      <c r="Q253" s="104" t="n">
        <v>0.0</v>
      </c>
      <c r="R253" s="104" t="n">
        <v>0.0</v>
      </c>
      <c r="S253" s="104" t="n">
        <v>0.0</v>
      </c>
      <c r="T253" s="104" t="n">
        <v>0.0</v>
      </c>
      <c r="U253" s="104" t="n">
        <v>0.0</v>
      </c>
    </row>
    <row r="254" spans="1:21" x14ac:dyDescent="0.3">
      <c r="A254" t="s">
        <v>213</v>
      </c>
      <c r="B254">
        <f si="42" t="shared"/>
        <v>159000</v>
      </c>
      <c r="C254">
        <f si="42" t="shared"/>
        <v>0</v>
      </c>
      <c r="D254">
        <f si="42" t="shared"/>
        <v>0</v>
      </c>
      <c r="E254">
        <f si="42" t="shared"/>
        <v>0</v>
      </c>
      <c r="F254">
        <f si="44" t="shared"/>
        <v>0</v>
      </c>
      <c r="G254">
        <f si="45" t="shared"/>
        <v>0</v>
      </c>
      <c r="H254">
        <f si="43" t="shared"/>
        <v>0</v>
      </c>
      <c r="N254" t="s">
        <v>213</v>
      </c>
      <c r="O254" s="104" t="n">
        <v>190000.0</v>
      </c>
      <c r="P254" s="104" t="n">
        <v>0.0</v>
      </c>
      <c r="Q254" s="104" t="n">
        <v>0.0</v>
      </c>
      <c r="R254" s="104" t="n">
        <v>0.0</v>
      </c>
      <c r="S254" s="104" t="n">
        <v>0.0</v>
      </c>
      <c r="T254" s="104" t="n">
        <v>0.0</v>
      </c>
      <c r="U254" s="104" t="n">
        <v>0.0</v>
      </c>
    </row>
    <row r="255" spans="1:21" x14ac:dyDescent="0.3">
      <c r="A255" t="s">
        <v>36</v>
      </c>
      <c r="B255">
        <f si="42" t="shared"/>
        <v>411000</v>
      </c>
      <c r="C255">
        <f si="42" t="shared"/>
        <v>0</v>
      </c>
      <c r="D255">
        <f si="42" t="shared"/>
        <v>0</v>
      </c>
      <c r="E255">
        <f si="42" t="shared"/>
        <v>0</v>
      </c>
      <c r="F255">
        <f si="44" t="shared"/>
        <v>0</v>
      </c>
      <c r="G255">
        <f si="45" t="shared"/>
        <v>0</v>
      </c>
      <c r="H255">
        <f si="43" t="shared"/>
        <v>0</v>
      </c>
      <c r="N255" t="s">
        <v>36</v>
      </c>
      <c r="O255" s="104" t="n">
        <v>450000.0</v>
      </c>
      <c r="P255" s="104" t="n">
        <v>0.0</v>
      </c>
      <c r="Q255" s="104" t="n">
        <v>0.0</v>
      </c>
      <c r="R255" s="104" t="n">
        <v>0.0</v>
      </c>
      <c r="S255" s="104" t="n">
        <v>0.0</v>
      </c>
      <c r="T255" s="104" t="n">
        <v>0.0</v>
      </c>
      <c r="U255" s="104" t="n">
        <v>0.0</v>
      </c>
    </row>
    <row r="256" spans="1:21" x14ac:dyDescent="0.3">
      <c r="A256" t="s">
        <v>215</v>
      </c>
      <c r="B256">
        <f si="42" t="shared"/>
        <v>623000</v>
      </c>
      <c r="C256">
        <f si="42" t="shared"/>
        <v>0</v>
      </c>
      <c r="D256">
        <f si="42" t="shared"/>
        <v>0</v>
      </c>
      <c r="E256">
        <f si="42" t="shared"/>
        <v>0</v>
      </c>
      <c r="F256">
        <f si="44" t="shared"/>
        <v>0</v>
      </c>
      <c r="G256">
        <f si="45" t="shared"/>
        <v>0</v>
      </c>
      <c r="H256">
        <f si="43" t="shared"/>
        <v>0</v>
      </c>
      <c r="N256" t="s">
        <v>215</v>
      </c>
      <c r="O256" s="104" t="n">
        <v>520000.0</v>
      </c>
      <c r="P256" s="104" t="n">
        <v>0.0</v>
      </c>
      <c r="Q256" s="104" t="n">
        <v>0.0</v>
      </c>
      <c r="R256" s="104" t="n">
        <v>0.0</v>
      </c>
      <c r="S256" s="104" t="n">
        <v>0.0</v>
      </c>
      <c r="T256" s="104" t="n">
        <v>0.0</v>
      </c>
      <c r="U256" s="104" t="n">
        <v>0.0</v>
      </c>
    </row>
    <row r="257" spans="1:23" x14ac:dyDescent="0.3">
      <c r="A257" t="s">
        <v>129</v>
      </c>
      <c r="B257">
        <f si="42" t="shared"/>
        <v>555000</v>
      </c>
      <c r="C257">
        <f si="42" t="shared"/>
        <v>0</v>
      </c>
      <c r="D257">
        <f si="42" t="shared"/>
        <v>0</v>
      </c>
      <c r="E257">
        <f si="42" t="shared"/>
        <v>0</v>
      </c>
      <c r="F257">
        <f si="44" t="shared"/>
        <v>0</v>
      </c>
      <c r="G257">
        <f si="45" t="shared"/>
        <v>0</v>
      </c>
      <c r="H257">
        <f si="43" t="shared"/>
        <v>0</v>
      </c>
      <c r="N257" t="s">
        <v>129</v>
      </c>
      <c r="O257" s="104" t="n">
        <v>620000.0</v>
      </c>
      <c r="P257" s="104" t="n">
        <v>0.0</v>
      </c>
      <c r="Q257" s="104" t="n">
        <v>0.0</v>
      </c>
      <c r="R257" s="104" t="n">
        <v>0.0</v>
      </c>
      <c r="S257" s="104" t="n">
        <v>0.0</v>
      </c>
      <c r="T257" s="104" t="n">
        <v>0.0</v>
      </c>
      <c r="U257" s="104" t="n">
        <v>0.0</v>
      </c>
    </row>
    <row r="258" spans="1:23" x14ac:dyDescent="0.3">
      <c r="A258" t="s">
        <v>130</v>
      </c>
      <c r="B258">
        <f si="42" t="shared"/>
        <v>93000</v>
      </c>
      <c r="C258">
        <f si="42" t="shared"/>
        <v>0</v>
      </c>
      <c r="D258">
        <f si="42" t="shared"/>
        <v>0</v>
      </c>
      <c r="E258">
        <f si="42" t="shared"/>
        <v>0</v>
      </c>
      <c r="F258">
        <f si="44" t="shared"/>
        <v>0</v>
      </c>
      <c r="G258">
        <f si="45" t="shared"/>
        <v>0</v>
      </c>
      <c r="H258">
        <f si="43" t="shared"/>
        <v>0</v>
      </c>
      <c r="N258" t="s">
        <v>130</v>
      </c>
      <c r="O258" s="104" t="n">
        <v>100000.0</v>
      </c>
      <c r="P258" s="104" t="n">
        <v>0.0</v>
      </c>
      <c r="Q258" s="104" t="n">
        <v>0.0</v>
      </c>
      <c r="R258" s="104" t="n">
        <v>0.0</v>
      </c>
      <c r="S258" s="104" t="n">
        <v>0.0</v>
      </c>
      <c r="T258" s="104" t="n">
        <v>0.0</v>
      </c>
      <c r="U258" s="104" t="n">
        <v>0.0</v>
      </c>
    </row>
    <row r="260" spans="1:23" x14ac:dyDescent="0.3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3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3">
      <c r="A262" t="s">
        <v>211</v>
      </c>
      <c r="B262">
        <f ref="B262:J269" si="46" t="shared">O262*$B$1</f>
        <v>1819000</v>
      </c>
      <c r="C262">
        <f si="46" t="shared"/>
        <v>414000</v>
      </c>
      <c r="D262">
        <f si="46" t="shared"/>
        <v>0</v>
      </c>
      <c r="E262">
        <f si="46" t="shared"/>
        <v>0</v>
      </c>
      <c r="F262">
        <f si="46" t="shared"/>
        <v>57000</v>
      </c>
      <c r="G262">
        <f si="46" t="shared"/>
        <v>22000</v>
      </c>
      <c r="H262">
        <f si="46" t="shared"/>
        <v>0</v>
      </c>
      <c r="I262">
        <f si="46" t="shared"/>
        <v>0</v>
      </c>
      <c r="J262">
        <f si="46" t="shared"/>
        <v>2312000</v>
      </c>
      <c r="N262" t="s">
        <v>211</v>
      </c>
      <c r="O262" t="n">
        <v>1700000.0</v>
      </c>
      <c r="P262" t="n">
        <v>530000.0</v>
      </c>
      <c r="Q262" t="n">
        <v>0.0</v>
      </c>
      <c r="R262" t="n">
        <v>0.0</v>
      </c>
      <c r="S262" t="n">
        <v>30000.0</v>
      </c>
      <c r="T262" t="n">
        <v>80000.0</v>
      </c>
      <c r="U262" t="n">
        <v>0.0</v>
      </c>
      <c r="V262" t="n">
        <v>0.0</v>
      </c>
      <c r="W262">
        <f>SUM(O262:V262)</f>
        <v>2312000</v>
      </c>
    </row>
    <row r="263" spans="1:23" x14ac:dyDescent="0.3">
      <c r="A263" t="s">
        <v>212</v>
      </c>
      <c r="B263">
        <f si="46" t="shared"/>
        <v>0</v>
      </c>
      <c r="C263">
        <f si="46" t="shared"/>
        <v>0</v>
      </c>
      <c r="D263">
        <f si="46" t="shared"/>
        <v>0</v>
      </c>
      <c r="E263">
        <f si="46" t="shared"/>
        <v>0</v>
      </c>
      <c r="F263">
        <f si="46" t="shared"/>
        <v>119000</v>
      </c>
      <c r="G263">
        <f si="46" t="shared"/>
        <v>212000</v>
      </c>
      <c r="H263">
        <f si="46" t="shared"/>
        <v>591000</v>
      </c>
      <c r="I263">
        <f si="46" t="shared"/>
        <v>0</v>
      </c>
      <c r="J263">
        <f si="46" t="shared"/>
        <v>922000</v>
      </c>
      <c r="N263" t="s">
        <v>212</v>
      </c>
      <c r="O263" t="n">
        <v>0.0</v>
      </c>
      <c r="P263" t="n">
        <v>0.0</v>
      </c>
      <c r="Q263" t="n">
        <v>0.0</v>
      </c>
      <c r="R263" t="n">
        <v>0.0</v>
      </c>
      <c r="S263" t="n">
        <v>80000.0</v>
      </c>
      <c r="T263" t="n">
        <v>230000.0</v>
      </c>
      <c r="U263" t="n">
        <v>490000.0</v>
      </c>
      <c r="V263" t="n">
        <v>0.0</v>
      </c>
      <c r="W263">
        <f ref="W263:W269" si="47" t="shared">SUM(O263:V263)</f>
        <v>922000</v>
      </c>
    </row>
    <row r="264" spans="1:23" x14ac:dyDescent="0.3">
      <c r="A264" t="s">
        <v>213</v>
      </c>
      <c r="B264">
        <f si="46" t="shared"/>
        <v>424000</v>
      </c>
      <c r="C264">
        <f si="46" t="shared"/>
        <v>157000</v>
      </c>
      <c r="D264">
        <f si="46" t="shared"/>
        <v>79000</v>
      </c>
      <c r="E264">
        <f si="46" t="shared"/>
        <v>466000</v>
      </c>
      <c r="F264">
        <f si="46" t="shared"/>
        <v>74000</v>
      </c>
      <c r="G264">
        <f si="46" t="shared"/>
        <v>38000</v>
      </c>
      <c r="H264">
        <f si="46" t="shared"/>
        <v>154000</v>
      </c>
      <c r="I264">
        <f si="46" t="shared"/>
        <v>0</v>
      </c>
      <c r="J264">
        <f>W264*$B$1*1.2</f>
        <v>1670400</v>
      </c>
      <c r="N264" t="s">
        <v>213</v>
      </c>
      <c r="O264" t="n">
        <v>370000.0</v>
      </c>
      <c r="P264" t="n">
        <v>260000.0</v>
      </c>
      <c r="Q264" t="n">
        <v>250000.0</v>
      </c>
      <c r="R264" t="n">
        <v>550000.0</v>
      </c>
      <c r="S264" t="n">
        <v>80000.0</v>
      </c>
      <c r="T264" t="n">
        <v>10000.0</v>
      </c>
      <c r="U264" t="n">
        <v>150000.0</v>
      </c>
      <c r="V264" t="n">
        <v>0.0</v>
      </c>
      <c r="W264">
        <f si="47" t="shared"/>
        <v>1392000</v>
      </c>
    </row>
    <row r="265" spans="1:23" x14ac:dyDescent="0.3">
      <c r="A265" t="s">
        <v>36</v>
      </c>
      <c r="B265">
        <f si="46" t="shared"/>
        <v>546000</v>
      </c>
      <c r="C265">
        <f si="46" t="shared"/>
        <v>179000</v>
      </c>
      <c r="D265">
        <f si="46" t="shared"/>
        <v>179000</v>
      </c>
      <c r="E265">
        <f si="46" t="shared"/>
        <v>298000</v>
      </c>
      <c r="F265">
        <f si="46" t="shared"/>
        <v>54000</v>
      </c>
      <c r="G265">
        <f si="46" t="shared"/>
        <v>96000</v>
      </c>
      <c r="H265">
        <f si="46" t="shared"/>
        <v>182000</v>
      </c>
      <c r="I265">
        <f si="46" t="shared"/>
        <v>0</v>
      </c>
      <c r="J265">
        <f>W265*$B$1*1.2</f>
        <v>1840800</v>
      </c>
      <c r="N265" t="s">
        <v>36</v>
      </c>
      <c r="O265" t="n">
        <v>490000.0</v>
      </c>
      <c r="P265" t="n">
        <v>250000.0</v>
      </c>
      <c r="Q265" t="n">
        <v>230000.0</v>
      </c>
      <c r="R265" t="n">
        <v>330000.0</v>
      </c>
      <c r="S265" t="n">
        <v>40000.0</v>
      </c>
      <c r="T265" t="n">
        <v>40000.0</v>
      </c>
      <c r="U265" t="n">
        <v>210000.0</v>
      </c>
      <c r="V265" t="n">
        <v>0.0</v>
      </c>
      <c r="W265">
        <f si="47" t="shared"/>
        <v>1534000</v>
      </c>
    </row>
    <row r="266" spans="1:23" x14ac:dyDescent="0.3">
      <c r="A266" t="s">
        <v>215</v>
      </c>
      <c r="B266">
        <f si="46" t="shared"/>
        <v>248000</v>
      </c>
      <c r="C266">
        <f si="46" t="shared"/>
        <v>90000</v>
      </c>
      <c r="D266">
        <f si="46" t="shared"/>
        <v>80000</v>
      </c>
      <c r="E266">
        <f si="46" t="shared"/>
        <v>109000</v>
      </c>
      <c r="F266">
        <f si="46" t="shared"/>
        <v>26000</v>
      </c>
      <c r="G266">
        <f si="46" t="shared"/>
        <v>25000</v>
      </c>
      <c r="H266">
        <f si="46" t="shared"/>
        <v>87000</v>
      </c>
      <c r="I266">
        <f si="46" t="shared"/>
        <v>0</v>
      </c>
      <c r="J266">
        <f>W266*$B$1*1.2</f>
        <v>798000</v>
      </c>
      <c r="N266" t="s">
        <v>215</v>
      </c>
      <c r="O266" t="n">
        <v>200000.0</v>
      </c>
      <c r="P266" t="n">
        <v>50000.0</v>
      </c>
      <c r="Q266" t="n">
        <v>160000.0</v>
      </c>
      <c r="R266" t="n">
        <v>110000.0</v>
      </c>
      <c r="S266" t="n">
        <v>20000.0</v>
      </c>
      <c r="T266" t="n">
        <v>0.0</v>
      </c>
      <c r="U266" t="n">
        <v>30000.0</v>
      </c>
      <c r="V266" t="n">
        <v>0.0</v>
      </c>
      <c r="W266">
        <f si="47" t="shared"/>
        <v>665000</v>
      </c>
    </row>
    <row r="267" spans="1:23" x14ac:dyDescent="0.3">
      <c r="A267" t="s">
        <v>129</v>
      </c>
      <c r="B267">
        <f si="46" t="shared"/>
        <v>350000</v>
      </c>
      <c r="C267">
        <f si="46" t="shared"/>
        <v>96000</v>
      </c>
      <c r="D267">
        <f si="46" t="shared"/>
        <v>72000</v>
      </c>
      <c r="E267">
        <f si="46" t="shared"/>
        <v>89000</v>
      </c>
      <c r="F267">
        <f si="46" t="shared"/>
        <v>39000</v>
      </c>
      <c r="G267">
        <f si="46" t="shared"/>
        <v>49000</v>
      </c>
      <c r="H267">
        <f si="46" t="shared"/>
        <v>78000</v>
      </c>
      <c r="I267">
        <f si="46" t="shared"/>
        <v>0</v>
      </c>
      <c r="J267">
        <f>W267*$B$1*1.2</f>
        <v>927600</v>
      </c>
      <c r="N267" t="s">
        <v>129</v>
      </c>
      <c r="O267" t="n">
        <v>340000.0</v>
      </c>
      <c r="P267" t="n">
        <v>130000.0</v>
      </c>
      <c r="Q267" t="n">
        <v>100000.0</v>
      </c>
      <c r="R267" t="n">
        <v>100000.0</v>
      </c>
      <c r="S267" t="n">
        <v>50000.0</v>
      </c>
      <c r="T267" t="n">
        <v>50000.0</v>
      </c>
      <c r="U267" t="n">
        <v>80000.0</v>
      </c>
      <c r="V267" t="n">
        <v>0.0</v>
      </c>
      <c r="W267">
        <f si="47" t="shared"/>
        <v>773000</v>
      </c>
    </row>
    <row r="268" spans="1:23" x14ac:dyDescent="0.3">
      <c r="A268" t="s">
        <v>130</v>
      </c>
      <c r="B268">
        <f si="46" t="shared"/>
        <v>384000</v>
      </c>
      <c r="C268">
        <f si="46" t="shared"/>
        <v>128000</v>
      </c>
      <c r="D268">
        <f si="46" t="shared"/>
        <v>132000</v>
      </c>
      <c r="E268">
        <f si="46" t="shared"/>
        <v>218000</v>
      </c>
      <c r="F268">
        <f si="46" t="shared"/>
        <v>53000</v>
      </c>
      <c r="G268">
        <f si="46" t="shared"/>
        <v>52000</v>
      </c>
      <c r="H268">
        <f si="46" t="shared"/>
        <v>153000</v>
      </c>
      <c r="I268">
        <f si="46" t="shared"/>
        <v>0</v>
      </c>
      <c r="J268">
        <f>W268*$B$1*1.2</f>
        <v>1344000</v>
      </c>
      <c r="N268" t="s">
        <v>130</v>
      </c>
      <c r="O268" t="n">
        <v>340000.0</v>
      </c>
      <c r="P268" t="n">
        <v>170000.0</v>
      </c>
      <c r="Q268" t="n">
        <v>170000.0</v>
      </c>
      <c r="R268" t="n">
        <v>100000.0</v>
      </c>
      <c r="S268" t="n">
        <v>30000.0</v>
      </c>
      <c r="T268" t="n">
        <v>40000.0</v>
      </c>
      <c r="U268" t="n">
        <v>120000.0</v>
      </c>
      <c r="V268" t="n">
        <v>0.0</v>
      </c>
      <c r="W268">
        <f si="47" t="shared"/>
        <v>1120000</v>
      </c>
    </row>
    <row r="269" spans="1:23" x14ac:dyDescent="0.3">
      <c r="A269" t="s">
        <v>145</v>
      </c>
      <c r="B269">
        <f si="46" t="shared"/>
        <v>1767000</v>
      </c>
      <c r="C269">
        <f si="46" t="shared"/>
        <v>519000</v>
      </c>
      <c r="D269">
        <f si="46" t="shared"/>
        <v>271000</v>
      </c>
      <c r="E269">
        <f si="46" t="shared"/>
        <v>574000</v>
      </c>
      <c r="F269">
        <f si="46" t="shared"/>
        <v>210000</v>
      </c>
      <c r="G269">
        <f si="46" t="shared"/>
        <v>290000</v>
      </c>
      <c r="H269">
        <f si="46" t="shared"/>
        <v>735000</v>
      </c>
      <c r="I269">
        <f si="46" t="shared"/>
        <v>0</v>
      </c>
      <c r="J269">
        <f si="46" t="shared"/>
        <v>4366000</v>
      </c>
      <c r="N269" t="s">
        <v>145</v>
      </c>
      <c r="O269" t="n">
        <v>1530000.0</v>
      </c>
      <c r="P269" t="n">
        <v>650000.0</v>
      </c>
      <c r="Q269" t="n">
        <v>380000.0</v>
      </c>
      <c r="R269" t="n">
        <v>490000.0</v>
      </c>
      <c r="S269" t="n">
        <v>210000.0</v>
      </c>
      <c r="T269" t="n">
        <v>280000.0</v>
      </c>
      <c r="U269" t="n">
        <v>550000.0</v>
      </c>
      <c r="V269" t="n">
        <v>0.0</v>
      </c>
      <c r="W269">
        <f si="47" t="shared"/>
        <v>4366000</v>
      </c>
    </row>
    <row r="271" spans="1:23" x14ac:dyDescent="0.3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3">
      <c r="A272" t="s">
        <v>44</v>
      </c>
      <c r="B272" t="s">
        <v>298</v>
      </c>
      <c r="C272" t="s">
        <v>299</v>
      </c>
      <c r="D272" t="s">
        <v>300</v>
      </c>
      <c r="E272" t="s">
        <v>301</v>
      </c>
      <c r="F272" t="s">
        <v>27</v>
      </c>
      <c r="N272" t="s">
        <v>44</v>
      </c>
      <c r="O272" t="s">
        <v>298</v>
      </c>
      <c r="P272" t="s">
        <v>299</v>
      </c>
      <c r="Q272" t="s">
        <v>300</v>
      </c>
      <c r="R272" t="s">
        <v>301</v>
      </c>
      <c r="S272" t="s">
        <v>27</v>
      </c>
    </row>
    <row r="273" spans="1:19" x14ac:dyDescent="0.3">
      <c r="A273" t="s">
        <v>211</v>
      </c>
      <c r="B273">
        <f ref="B273:F280" si="48" t="shared">O273*$B$1</f>
        <v>59000</v>
      </c>
      <c r="C273">
        <f si="48" t="shared"/>
        <v>531000</v>
      </c>
      <c r="D273">
        <f si="48" t="shared"/>
        <v>474000</v>
      </c>
      <c r="E273">
        <f si="48" t="shared"/>
        <v>1248000</v>
      </c>
      <c r="F273">
        <f si="48" t="shared"/>
        <v>2312000</v>
      </c>
      <c r="N273" t="s">
        <v>211</v>
      </c>
      <c r="O273" t="n">
        <v>150000.0</v>
      </c>
      <c r="P273" t="n">
        <v>410000.0</v>
      </c>
      <c r="Q273" t="n">
        <v>610000.0</v>
      </c>
      <c r="R273" t="n">
        <v>1170000.0</v>
      </c>
      <c r="S273">
        <f>SUM(O273:R273)</f>
        <v>2312000</v>
      </c>
    </row>
    <row r="274" spans="1:19" x14ac:dyDescent="0.3">
      <c r="A274" t="s">
        <v>212</v>
      </c>
      <c r="B274">
        <f si="48" t="shared"/>
        <v>57000</v>
      </c>
      <c r="C274">
        <f si="48" t="shared"/>
        <v>209000</v>
      </c>
      <c r="D274">
        <f si="48" t="shared"/>
        <v>209000</v>
      </c>
      <c r="E274">
        <f si="48" t="shared"/>
        <v>447000</v>
      </c>
      <c r="F274">
        <f si="48" t="shared"/>
        <v>922000</v>
      </c>
      <c r="N274" t="s">
        <v>212</v>
      </c>
      <c r="O274" t="n">
        <v>90000.0</v>
      </c>
      <c r="P274" t="n">
        <v>150000.0</v>
      </c>
      <c r="Q274" t="n">
        <v>140000.0</v>
      </c>
      <c r="R274" t="n">
        <v>420000.0</v>
      </c>
      <c r="S274">
        <f ref="S274:S280" si="49" t="shared">SUM(O274:R274)</f>
        <v>922000</v>
      </c>
    </row>
    <row r="275" spans="1:19" x14ac:dyDescent="0.3">
      <c r="A275" t="s">
        <v>213</v>
      </c>
      <c r="B275">
        <f si="48" t="shared"/>
        <v>67000</v>
      </c>
      <c r="C275">
        <f si="48" t="shared"/>
        <v>310000</v>
      </c>
      <c r="D275">
        <f si="48" t="shared"/>
        <v>313000</v>
      </c>
      <c r="E275">
        <f si="48" t="shared"/>
        <v>702000</v>
      </c>
      <c r="F275">
        <f si="48" t="shared"/>
        <v>1392000</v>
      </c>
      <c r="N275" t="s">
        <v>213</v>
      </c>
      <c r="O275" t="n">
        <v>170000.0</v>
      </c>
      <c r="P275" t="n">
        <v>410000.0</v>
      </c>
      <c r="Q275" t="n">
        <v>310000.0</v>
      </c>
      <c r="R275" t="n">
        <v>780000.0</v>
      </c>
      <c r="S275">
        <f si="49" t="shared"/>
        <v>1392000</v>
      </c>
    </row>
    <row r="276" spans="1:19" x14ac:dyDescent="0.3">
      <c r="A276" t="s">
        <v>36</v>
      </c>
      <c r="B276">
        <f si="48" t="shared"/>
        <v>57000</v>
      </c>
      <c r="C276">
        <f si="48" t="shared"/>
        <v>308000</v>
      </c>
      <c r="D276">
        <f si="48" t="shared"/>
        <v>382000</v>
      </c>
      <c r="E276">
        <f si="48" t="shared"/>
        <v>787000</v>
      </c>
      <c r="F276">
        <f si="48" t="shared"/>
        <v>1534000</v>
      </c>
      <c r="N276" t="s">
        <v>36</v>
      </c>
      <c r="O276" t="n">
        <v>150000.0</v>
      </c>
      <c r="P276" t="n">
        <v>280000.0</v>
      </c>
      <c r="Q276" t="n">
        <v>350000.0</v>
      </c>
      <c r="R276" t="n">
        <v>810000.0</v>
      </c>
      <c r="S276">
        <f si="49" t="shared"/>
        <v>1534000</v>
      </c>
    </row>
    <row r="277" spans="1:19" x14ac:dyDescent="0.3">
      <c r="A277" t="s">
        <v>215</v>
      </c>
      <c r="B277">
        <f si="48" t="shared"/>
        <v>39000</v>
      </c>
      <c r="C277">
        <f si="48" t="shared"/>
        <v>206000</v>
      </c>
      <c r="D277">
        <f si="48" t="shared"/>
        <v>142000</v>
      </c>
      <c r="E277">
        <f si="48" t="shared"/>
        <v>278000</v>
      </c>
      <c r="F277">
        <f si="48" t="shared"/>
        <v>665000</v>
      </c>
      <c r="N277" t="s">
        <v>215</v>
      </c>
      <c r="O277" t="n">
        <v>80000.0</v>
      </c>
      <c r="P277" t="n">
        <v>200000.0</v>
      </c>
      <c r="Q277" t="n">
        <v>60000.0</v>
      </c>
      <c r="R277" t="n">
        <v>230000.0</v>
      </c>
      <c r="S277">
        <f si="49" t="shared"/>
        <v>665000</v>
      </c>
    </row>
    <row r="278" spans="1:19" x14ac:dyDescent="0.3">
      <c r="A278" t="s">
        <v>129</v>
      </c>
      <c r="B278">
        <f si="48" t="shared"/>
        <v>32000</v>
      </c>
      <c r="C278">
        <f si="48" t="shared"/>
        <v>189000</v>
      </c>
      <c r="D278">
        <f si="48" t="shared"/>
        <v>150000</v>
      </c>
      <c r="E278">
        <f si="48" t="shared"/>
        <v>402000</v>
      </c>
      <c r="F278">
        <f si="48" t="shared"/>
        <v>773000</v>
      </c>
      <c r="N278" t="s">
        <v>129</v>
      </c>
      <c r="O278" t="n">
        <v>70000.0</v>
      </c>
      <c r="P278" t="n">
        <v>200000.0</v>
      </c>
      <c r="Q278" t="n">
        <v>110000.0</v>
      </c>
      <c r="R278" t="n">
        <v>470000.0</v>
      </c>
      <c r="S278">
        <f si="49" t="shared"/>
        <v>773000</v>
      </c>
    </row>
    <row r="279" spans="1:19" x14ac:dyDescent="0.3">
      <c r="A279" t="s">
        <v>130</v>
      </c>
      <c r="B279">
        <f si="48" t="shared"/>
        <v>61000</v>
      </c>
      <c r="C279">
        <f si="48" t="shared"/>
        <v>344000</v>
      </c>
      <c r="D279">
        <f si="48" t="shared"/>
        <v>237000</v>
      </c>
      <c r="E279">
        <f si="48" t="shared"/>
        <v>478000</v>
      </c>
      <c r="F279">
        <f si="48" t="shared"/>
        <v>1120000</v>
      </c>
      <c r="N279" t="s">
        <v>130</v>
      </c>
      <c r="O279" t="n">
        <v>60000.0</v>
      </c>
      <c r="P279" t="n">
        <v>210000.0</v>
      </c>
      <c r="Q279" t="n">
        <v>240000.0</v>
      </c>
      <c r="R279" t="n">
        <v>460000.0</v>
      </c>
      <c r="S279">
        <f si="49" t="shared"/>
        <v>1120000</v>
      </c>
    </row>
    <row r="280" spans="1:19" x14ac:dyDescent="0.3">
      <c r="A280" t="s">
        <v>145</v>
      </c>
      <c r="B280">
        <f si="48" t="shared"/>
        <v>211000</v>
      </c>
      <c r="C280">
        <f si="48" t="shared"/>
        <v>1090000</v>
      </c>
      <c r="D280">
        <f si="48" t="shared"/>
        <v>965000</v>
      </c>
      <c r="E280">
        <f si="48" t="shared"/>
        <v>2100000</v>
      </c>
      <c r="F280">
        <f si="48" t="shared"/>
        <v>4366000</v>
      </c>
      <c r="N280" t="s">
        <v>145</v>
      </c>
      <c r="O280" t="n">
        <v>400000.0</v>
      </c>
      <c r="P280" t="n">
        <v>830000.0</v>
      </c>
      <c r="Q280" t="n">
        <v>920000.0</v>
      </c>
      <c r="R280" t="n">
        <v>1940000.0</v>
      </c>
      <c r="S280">
        <f si="49" t="shared"/>
        <v>4366000</v>
      </c>
    </row>
    <row r="282" spans="1:19" x14ac:dyDescent="0.3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3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3">
      <c r="A284" t="s">
        <v>211</v>
      </c>
      <c r="B284">
        <f ref="B284:F291" si="50" t="shared">O284*$B$1</f>
        <v>3000</v>
      </c>
      <c r="C284">
        <f si="50" t="shared"/>
        <v>296000</v>
      </c>
      <c r="D284">
        <f si="50" t="shared"/>
        <v>1544000</v>
      </c>
      <c r="E284">
        <f si="50" t="shared"/>
        <v>469000</v>
      </c>
      <c r="F284">
        <f si="50" t="shared"/>
        <v>2312000</v>
      </c>
      <c r="N284" t="s">
        <v>211</v>
      </c>
      <c r="O284" t="n">
        <v>0.0</v>
      </c>
      <c r="P284" t="n">
        <v>290000.0</v>
      </c>
      <c r="Q284" t="n">
        <v>1750000.0</v>
      </c>
      <c r="R284" t="n">
        <v>300000.0</v>
      </c>
      <c r="S284">
        <f>SUM(O284:R284)</f>
        <v>2312000</v>
      </c>
    </row>
    <row r="285" spans="1:19" x14ac:dyDescent="0.3">
      <c r="A285" t="s">
        <v>212</v>
      </c>
      <c r="B285">
        <f si="50" t="shared"/>
        <v>7000</v>
      </c>
      <c r="C285">
        <f si="50" t="shared"/>
        <v>146000</v>
      </c>
      <c r="D285">
        <f si="50" t="shared"/>
        <v>602000</v>
      </c>
      <c r="E285">
        <f si="50" t="shared"/>
        <v>167000</v>
      </c>
      <c r="F285">
        <f si="50" t="shared"/>
        <v>922000</v>
      </c>
      <c r="N285" t="s">
        <v>212</v>
      </c>
      <c r="O285" t="n">
        <v>50000.0</v>
      </c>
      <c r="P285" t="n">
        <v>80000.0</v>
      </c>
      <c r="Q285" t="n">
        <v>530000.0</v>
      </c>
      <c r="R285" t="n">
        <v>140000.0</v>
      </c>
      <c r="S285">
        <f ref="S285:S291" si="51" t="shared">SUM(O285:R285)</f>
        <v>922000</v>
      </c>
    </row>
    <row r="286" spans="1:19" x14ac:dyDescent="0.3">
      <c r="A286" t="s">
        <v>213</v>
      </c>
      <c r="B286">
        <f si="50" t="shared"/>
        <v>19000</v>
      </c>
      <c r="C286">
        <f si="50" t="shared"/>
        <v>222000</v>
      </c>
      <c r="D286">
        <f si="50" t="shared"/>
        <v>920000</v>
      </c>
      <c r="E286">
        <f si="50" t="shared"/>
        <v>231000</v>
      </c>
      <c r="F286">
        <f si="50" t="shared"/>
        <v>1392000</v>
      </c>
      <c r="N286" t="s">
        <v>213</v>
      </c>
      <c r="O286" t="n">
        <v>80000.0</v>
      </c>
      <c r="P286" t="n">
        <v>180000.0</v>
      </c>
      <c r="Q286" t="n">
        <v>1290000.0</v>
      </c>
      <c r="R286" t="n">
        <v>120000.0</v>
      </c>
      <c r="S286">
        <f si="51" t="shared"/>
        <v>1392000</v>
      </c>
    </row>
    <row r="287" spans="1:19" x14ac:dyDescent="0.3">
      <c r="A287" t="s">
        <v>36</v>
      </c>
      <c r="B287">
        <f si="50" t="shared"/>
        <v>4000</v>
      </c>
      <c r="C287">
        <f si="50" t="shared"/>
        <v>247000</v>
      </c>
      <c r="D287">
        <f si="50" t="shared"/>
        <v>996000</v>
      </c>
      <c r="E287">
        <f si="50" t="shared"/>
        <v>287000</v>
      </c>
      <c r="F287">
        <f si="50" t="shared"/>
        <v>1534000</v>
      </c>
      <c r="N287" t="s">
        <v>36</v>
      </c>
      <c r="O287" t="n">
        <v>0.0</v>
      </c>
      <c r="P287" t="n">
        <v>220000.0</v>
      </c>
      <c r="Q287" t="n">
        <v>1230000.0</v>
      </c>
      <c r="R287" t="n">
        <v>140000.0</v>
      </c>
      <c r="S287">
        <f si="51" t="shared"/>
        <v>1534000</v>
      </c>
    </row>
    <row r="288" spans="1:19" x14ac:dyDescent="0.3">
      <c r="A288" t="s">
        <v>215</v>
      </c>
      <c r="B288">
        <f si="50" t="shared"/>
        <v>5000</v>
      </c>
      <c r="C288">
        <f si="50" t="shared"/>
        <v>104000</v>
      </c>
      <c r="D288">
        <f si="50" t="shared"/>
        <v>451000</v>
      </c>
      <c r="E288">
        <f si="50" t="shared"/>
        <v>105000</v>
      </c>
      <c r="F288">
        <f si="50" t="shared"/>
        <v>665000</v>
      </c>
      <c r="N288" t="s">
        <v>215</v>
      </c>
      <c r="O288" t="n">
        <v>0.0</v>
      </c>
      <c r="P288" t="n">
        <v>60000.0</v>
      </c>
      <c r="Q288" t="n">
        <v>490000.0</v>
      </c>
      <c r="R288" t="n">
        <v>20000.0</v>
      </c>
      <c r="S288">
        <f si="51" t="shared"/>
        <v>665000</v>
      </c>
    </row>
    <row r="289" spans="1:21" x14ac:dyDescent="0.3">
      <c r="A289" t="s">
        <v>129</v>
      </c>
      <c r="B289">
        <f si="50" t="shared"/>
        <v>5000</v>
      </c>
      <c r="C289">
        <f si="50" t="shared"/>
        <v>113000</v>
      </c>
      <c r="D289">
        <f si="50" t="shared"/>
        <v>505000</v>
      </c>
      <c r="E289">
        <f si="50" t="shared"/>
        <v>150000</v>
      </c>
      <c r="F289">
        <f si="50" t="shared"/>
        <v>773000</v>
      </c>
      <c r="N289" t="s">
        <v>129</v>
      </c>
      <c r="O289" t="n">
        <v>10000.0</v>
      </c>
      <c r="P289" t="n">
        <v>100000.0</v>
      </c>
      <c r="Q289" t="n">
        <v>570000.0</v>
      </c>
      <c r="R289" t="n">
        <v>170000.0</v>
      </c>
      <c r="S289">
        <f si="51" t="shared"/>
        <v>773000</v>
      </c>
    </row>
    <row r="290" spans="1:21" x14ac:dyDescent="0.3">
      <c r="A290" t="s">
        <v>130</v>
      </c>
      <c r="B290">
        <f si="50" t="shared"/>
        <v>3000</v>
      </c>
      <c r="C290">
        <f si="50" t="shared"/>
        <v>200000</v>
      </c>
      <c r="D290">
        <f si="50" t="shared"/>
        <v>718000</v>
      </c>
      <c r="E290">
        <f si="50" t="shared"/>
        <v>199000</v>
      </c>
      <c r="F290">
        <f si="50" t="shared"/>
        <v>1120000</v>
      </c>
      <c r="N290" t="s">
        <v>130</v>
      </c>
      <c r="O290" t="n">
        <v>10000.0</v>
      </c>
      <c r="P290" t="n">
        <v>130000.0</v>
      </c>
      <c r="Q290" t="n">
        <v>650000.0</v>
      </c>
      <c r="R290" t="n">
        <v>180000.0</v>
      </c>
      <c r="S290">
        <f si="51" t="shared"/>
        <v>1120000</v>
      </c>
    </row>
    <row r="291" spans="1:21" x14ac:dyDescent="0.3">
      <c r="A291" t="s">
        <v>145</v>
      </c>
      <c r="B291">
        <f si="50" t="shared"/>
        <v>23000</v>
      </c>
      <c r="C291">
        <f si="50" t="shared"/>
        <v>657000</v>
      </c>
      <c r="D291">
        <f si="50" t="shared"/>
        <v>2828000</v>
      </c>
      <c r="E291">
        <f si="50" t="shared"/>
        <v>858000</v>
      </c>
      <c r="F291">
        <f si="50" t="shared"/>
        <v>4366000</v>
      </c>
      <c r="N291" t="s">
        <v>145</v>
      </c>
      <c r="O291" t="n">
        <v>70000.0</v>
      </c>
      <c r="P291" t="n">
        <v>460000.0</v>
      </c>
      <c r="Q291" t="n">
        <v>2930000.0</v>
      </c>
      <c r="R291" t="n">
        <v>630000.0</v>
      </c>
      <c r="S291">
        <f si="51" t="shared"/>
        <v>4366000</v>
      </c>
    </row>
    <row r="293" spans="1:21" x14ac:dyDescent="0.3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3">
      <c r="A294" t="s">
        <v>44</v>
      </c>
      <c r="B294" t="s">
        <v>324</v>
      </c>
      <c r="C294" t="s">
        <v>325</v>
      </c>
      <c r="D294" t="s">
        <v>326</v>
      </c>
      <c r="E294" t="s">
        <v>327</v>
      </c>
      <c r="F294" t="s">
        <v>328</v>
      </c>
      <c r="G294" t="s">
        <v>329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3">
      <c r="A295" t="s">
        <v>211</v>
      </c>
      <c r="B295">
        <f ref="B295:F302" si="52" t="shared">O295*$B$1</f>
        <v>2312000</v>
      </c>
      <c r="C295">
        <f si="52" t="shared"/>
        <v>0</v>
      </c>
      <c r="D295">
        <f si="52" t="shared"/>
        <v>0</v>
      </c>
      <c r="E295">
        <f si="52" t="shared"/>
        <v>0</v>
      </c>
      <c r="F295">
        <f si="52" t="shared"/>
        <v>0</v>
      </c>
      <c r="G295">
        <f ref="G295:G302" si="53" t="shared">T295*$B$1</f>
        <v>0</v>
      </c>
      <c r="H295">
        <f ref="H295:H302" si="54" t="shared">U295*$B$1</f>
        <v>0</v>
      </c>
      <c r="N295" t="s">
        <v>211</v>
      </c>
      <c r="O295" t="n">
        <v>2340000.0</v>
      </c>
      <c r="P295" t="n">
        <v>0.0</v>
      </c>
      <c r="Q295" t="n">
        <v>0.0</v>
      </c>
      <c r="R295" t="n">
        <v>0.0</v>
      </c>
      <c r="S295" t="n">
        <v>0.0</v>
      </c>
      <c r="T295" t="n">
        <v>0.0</v>
      </c>
      <c r="U295" t="n">
        <v>0.0</v>
      </c>
    </row>
    <row r="296" spans="1:21" x14ac:dyDescent="0.3">
      <c r="A296" t="s">
        <v>212</v>
      </c>
      <c r="B296">
        <f si="52" t="shared"/>
        <v>922000</v>
      </c>
      <c r="C296">
        <f si="52" t="shared"/>
        <v>0</v>
      </c>
      <c r="D296">
        <f si="52" t="shared"/>
        <v>0</v>
      </c>
      <c r="E296">
        <f si="52" t="shared"/>
        <v>0</v>
      </c>
      <c r="F296">
        <f si="52" t="shared"/>
        <v>0</v>
      </c>
      <c r="G296">
        <f si="53" t="shared"/>
        <v>0</v>
      </c>
      <c r="H296">
        <f si="54" t="shared"/>
        <v>0</v>
      </c>
      <c r="N296" t="s">
        <v>212</v>
      </c>
      <c r="O296" t="n">
        <v>800000.0</v>
      </c>
      <c r="P296" t="n">
        <v>0.0</v>
      </c>
      <c r="Q296" t="n">
        <v>0.0</v>
      </c>
      <c r="R296" t="n">
        <v>0.0</v>
      </c>
      <c r="S296" t="n">
        <v>0.0</v>
      </c>
      <c r="T296" t="n">
        <v>0.0</v>
      </c>
      <c r="U296" t="n">
        <v>0.0</v>
      </c>
    </row>
    <row r="297" spans="1:21" x14ac:dyDescent="0.3">
      <c r="A297" t="s">
        <v>213</v>
      </c>
      <c r="B297">
        <f si="52" t="shared"/>
        <v>1392000</v>
      </c>
      <c r="C297">
        <f si="52" t="shared"/>
        <v>0</v>
      </c>
      <c r="D297">
        <f si="52" t="shared"/>
        <v>0</v>
      </c>
      <c r="E297">
        <f si="52" t="shared"/>
        <v>0</v>
      </c>
      <c r="F297">
        <f si="52" t="shared"/>
        <v>0</v>
      </c>
      <c r="G297">
        <f si="53" t="shared"/>
        <v>0</v>
      </c>
      <c r="H297">
        <f si="54" t="shared"/>
        <v>0</v>
      </c>
      <c r="N297" t="s">
        <v>213</v>
      </c>
      <c r="O297" t="n">
        <v>1670000.0</v>
      </c>
      <c r="P297" t="n">
        <v>0.0</v>
      </c>
      <c r="Q297" t="n">
        <v>0.0</v>
      </c>
      <c r="R297" t="n">
        <v>0.0</v>
      </c>
      <c r="S297" t="n">
        <v>0.0</v>
      </c>
      <c r="T297" t="n">
        <v>0.0</v>
      </c>
      <c r="U297" t="n">
        <v>0.0</v>
      </c>
    </row>
    <row r="298" spans="1:21" x14ac:dyDescent="0.3">
      <c r="A298" t="s">
        <v>36</v>
      </c>
      <c r="B298">
        <f si="52" t="shared"/>
        <v>1534000</v>
      </c>
      <c r="C298">
        <f si="52" t="shared"/>
        <v>0</v>
      </c>
      <c r="D298">
        <f si="52" t="shared"/>
        <v>0</v>
      </c>
      <c r="E298">
        <f si="52" t="shared"/>
        <v>0</v>
      </c>
      <c r="F298">
        <f si="52" t="shared"/>
        <v>0</v>
      </c>
      <c r="G298">
        <f si="53" t="shared"/>
        <v>0</v>
      </c>
      <c r="H298">
        <f si="54" t="shared"/>
        <v>0</v>
      </c>
      <c r="N298" t="s">
        <v>36</v>
      </c>
      <c r="O298" t="n">
        <v>1590000.0</v>
      </c>
      <c r="P298" t="n">
        <v>0.0</v>
      </c>
      <c r="Q298" t="n">
        <v>0.0</v>
      </c>
      <c r="R298" t="n">
        <v>0.0</v>
      </c>
      <c r="S298" t="n">
        <v>0.0</v>
      </c>
      <c r="T298" t="n">
        <v>0.0</v>
      </c>
      <c r="U298" t="n">
        <v>0.0</v>
      </c>
    </row>
    <row r="299" spans="1:21" x14ac:dyDescent="0.3">
      <c r="A299" t="s">
        <v>215</v>
      </c>
      <c r="B299">
        <f si="52" t="shared"/>
        <v>665000</v>
      </c>
      <c r="C299">
        <f si="52" t="shared"/>
        <v>0</v>
      </c>
      <c r="D299">
        <f si="52" t="shared"/>
        <v>0</v>
      </c>
      <c r="E299">
        <f si="52" t="shared"/>
        <v>0</v>
      </c>
      <c r="F299">
        <f si="52" t="shared"/>
        <v>0</v>
      </c>
      <c r="G299">
        <f si="53" t="shared"/>
        <v>0</v>
      </c>
      <c r="H299">
        <f si="54" t="shared"/>
        <v>0</v>
      </c>
      <c r="N299" t="s">
        <v>215</v>
      </c>
      <c r="O299" t="n">
        <v>570000.0</v>
      </c>
      <c r="P299" t="n">
        <v>0.0</v>
      </c>
      <c r="Q299" t="n">
        <v>0.0</v>
      </c>
      <c r="R299" t="n">
        <v>0.0</v>
      </c>
      <c r="S299" t="n">
        <v>0.0</v>
      </c>
      <c r="T299" t="n">
        <v>0.0</v>
      </c>
      <c r="U299" t="n">
        <v>0.0</v>
      </c>
    </row>
    <row r="300" spans="1:21" x14ac:dyDescent="0.3">
      <c r="A300" t="s">
        <v>129</v>
      </c>
      <c r="B300">
        <f si="52" t="shared"/>
        <v>773000</v>
      </c>
      <c r="C300">
        <f si="52" t="shared"/>
        <v>0</v>
      </c>
      <c r="D300">
        <f si="52" t="shared"/>
        <v>0</v>
      </c>
      <c r="E300">
        <f si="52" t="shared"/>
        <v>0</v>
      </c>
      <c r="F300">
        <f si="52" t="shared"/>
        <v>0</v>
      </c>
      <c r="G300">
        <f si="53" t="shared"/>
        <v>0</v>
      </c>
      <c r="H300">
        <f si="54" t="shared"/>
        <v>0</v>
      </c>
      <c r="N300" t="s">
        <v>129</v>
      </c>
      <c r="O300" t="n">
        <v>850000.0</v>
      </c>
      <c r="P300" t="n">
        <v>0.0</v>
      </c>
      <c r="Q300" t="n">
        <v>0.0</v>
      </c>
      <c r="R300" t="n">
        <v>0.0</v>
      </c>
      <c r="S300" t="n">
        <v>0.0</v>
      </c>
      <c r="T300" t="n">
        <v>0.0</v>
      </c>
      <c r="U300" t="n">
        <v>0.0</v>
      </c>
    </row>
    <row r="301" spans="1:21" x14ac:dyDescent="0.3">
      <c r="A301" t="s">
        <v>130</v>
      </c>
      <c r="B301">
        <f si="52" t="shared"/>
        <v>1120000</v>
      </c>
      <c r="C301">
        <f si="52" t="shared"/>
        <v>0</v>
      </c>
      <c r="D301">
        <f si="52" t="shared"/>
        <v>0</v>
      </c>
      <c r="E301">
        <f si="52" t="shared"/>
        <v>0</v>
      </c>
      <c r="F301">
        <f si="52" t="shared"/>
        <v>0</v>
      </c>
      <c r="G301">
        <f si="53" t="shared"/>
        <v>0</v>
      </c>
      <c r="H301">
        <f si="54" t="shared"/>
        <v>0</v>
      </c>
      <c r="N301" t="s">
        <v>130</v>
      </c>
      <c r="O301" t="n">
        <v>970000.0</v>
      </c>
      <c r="P301" t="n">
        <v>0.0</v>
      </c>
      <c r="Q301" t="n">
        <v>0.0</v>
      </c>
      <c r="R301" t="n">
        <v>0.0</v>
      </c>
      <c r="S301" t="n">
        <v>0.0</v>
      </c>
      <c r="T301" t="n">
        <v>0.0</v>
      </c>
      <c r="U301" t="n">
        <v>0.0</v>
      </c>
    </row>
    <row r="302" spans="1:21" x14ac:dyDescent="0.3">
      <c r="A302" t="s">
        <v>145</v>
      </c>
      <c r="B302">
        <f si="52" t="shared"/>
        <v>4366000</v>
      </c>
      <c r="C302">
        <f si="52" t="shared"/>
        <v>0</v>
      </c>
      <c r="D302">
        <f si="52" t="shared"/>
        <v>0</v>
      </c>
      <c r="E302">
        <f si="52" t="shared"/>
        <v>0</v>
      </c>
      <c r="F302">
        <f si="52" t="shared"/>
        <v>0</v>
      </c>
      <c r="G302">
        <f si="53" t="shared"/>
        <v>0</v>
      </c>
      <c r="H302">
        <f si="54" t="shared"/>
        <v>0</v>
      </c>
      <c r="N302" t="s">
        <v>145</v>
      </c>
      <c r="O302" t="n">
        <v>4090000.0</v>
      </c>
      <c r="P302" t="n">
        <v>0.0</v>
      </c>
      <c r="Q302" t="n">
        <v>0.0</v>
      </c>
      <c r="R302" t="n">
        <v>0.0</v>
      </c>
      <c r="S302" t="n">
        <v>0.0</v>
      </c>
      <c r="T302" t="n">
        <v>0.0</v>
      </c>
      <c r="U302" t="n">
        <v>0.0</v>
      </c>
    </row>
    <row r="304" spans="1:21" x14ac:dyDescent="0.3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3">
      <c r="A305" t="s">
        <v>73</v>
      </c>
      <c r="B305" t="s">
        <v>27</v>
      </c>
      <c r="N305" t="s">
        <v>73</v>
      </c>
      <c r="O305" t="s">
        <v>27</v>
      </c>
    </row>
    <row r="306" spans="1:15" x14ac:dyDescent="0.3">
      <c r="A306" t="s">
        <v>21</v>
      </c>
      <c r="B306">
        <f ref="B306:B313" si="55" t="shared">O306*$B$1</f>
        <v>1234000</v>
      </c>
      <c r="N306" t="s">
        <v>21</v>
      </c>
      <c r="O306" t="n">
        <v>1160000.0</v>
      </c>
    </row>
    <row r="307" spans="1:15" x14ac:dyDescent="0.3">
      <c r="A307" t="s">
        <v>22</v>
      </c>
      <c r="B307">
        <f si="55" t="shared"/>
        <v>345000</v>
      </c>
      <c r="N307" t="s">
        <v>22</v>
      </c>
      <c r="O307" t="n">
        <v>430000.0</v>
      </c>
    </row>
    <row r="308" spans="1:15" x14ac:dyDescent="0.3">
      <c r="A308" t="s">
        <v>148</v>
      </c>
      <c r="B308">
        <f si="55" t="shared"/>
        <v>314000</v>
      </c>
      <c r="N308" t="s">
        <v>148</v>
      </c>
      <c r="O308" t="n">
        <v>310000.0</v>
      </c>
    </row>
    <row r="309" spans="1:15" x14ac:dyDescent="0.3">
      <c r="A309" t="s">
        <v>245</v>
      </c>
      <c r="B309">
        <f si="55" t="shared"/>
        <v>461000</v>
      </c>
      <c r="N309" t="s">
        <v>245</v>
      </c>
      <c r="O309" t="n">
        <v>410000.0</v>
      </c>
    </row>
    <row r="310" spans="1:15" x14ac:dyDescent="0.3">
      <c r="A310" t="s">
        <v>23</v>
      </c>
      <c r="B310">
        <f si="55" t="shared"/>
        <v>145000</v>
      </c>
      <c r="N310" t="s">
        <v>23</v>
      </c>
      <c r="O310" t="n">
        <v>120000.0</v>
      </c>
    </row>
    <row r="311" spans="1:15" x14ac:dyDescent="0.3">
      <c r="A311" t="s">
        <v>24</v>
      </c>
      <c r="B311">
        <f si="55" t="shared"/>
        <v>193000</v>
      </c>
      <c r="N311" t="s">
        <v>24</v>
      </c>
      <c r="O311" t="n">
        <v>190000.0</v>
      </c>
    </row>
    <row r="312" spans="1:15" x14ac:dyDescent="0.3">
      <c r="A312" t="s">
        <v>25</v>
      </c>
      <c r="B312">
        <f si="55" t="shared"/>
        <v>589000</v>
      </c>
      <c r="N312" t="s">
        <v>25</v>
      </c>
      <c r="O312" t="n">
        <v>450000.0</v>
      </c>
    </row>
    <row r="313" spans="1:15" x14ac:dyDescent="0.3">
      <c r="A313" t="s">
        <v>26</v>
      </c>
      <c r="B313">
        <f si="55" t="shared"/>
        <v>0</v>
      </c>
      <c r="N313" t="s">
        <v>26</v>
      </c>
      <c r="O313" t="n">
        <v>0.0</v>
      </c>
    </row>
    <row r="315" spans="1:15" x14ac:dyDescent="0.3">
      <c r="A315" t="s">
        <v>72</v>
      </c>
      <c r="B315" t="s">
        <v>74</v>
      </c>
      <c r="N315" t="s">
        <v>72</v>
      </c>
      <c r="O315" t="s">
        <v>74</v>
      </c>
    </row>
    <row r="316" spans="1:15" x14ac:dyDescent="0.3">
      <c r="A316" t="s">
        <v>75</v>
      </c>
      <c r="B316" t="s">
        <v>27</v>
      </c>
      <c r="N316" t="s">
        <v>75</v>
      </c>
      <c r="O316" t="s">
        <v>27</v>
      </c>
    </row>
    <row r="317" spans="1:15" x14ac:dyDescent="0.3">
      <c r="A317" t="s">
        <v>298</v>
      </c>
      <c r="B317">
        <f>O317*$B$1</f>
        <v>193000</v>
      </c>
      <c r="N317" t="s">
        <v>298</v>
      </c>
      <c r="O317" s="104" t="n">
        <v>270000.0</v>
      </c>
    </row>
    <row r="318" spans="1:15" x14ac:dyDescent="0.3">
      <c r="A318" t="s">
        <v>299</v>
      </c>
      <c r="B318">
        <f>O318*$B$1</f>
        <v>846000</v>
      </c>
      <c r="N318" t="s">
        <v>299</v>
      </c>
      <c r="O318" s="104" t="n">
        <v>670000.0</v>
      </c>
    </row>
    <row r="319" spans="1:15" x14ac:dyDescent="0.3">
      <c r="A319" t="s">
        <v>300</v>
      </c>
      <c r="B319">
        <f>O319*$B$1</f>
        <v>714000</v>
      </c>
      <c r="N319" t="s">
        <v>300</v>
      </c>
      <c r="O319" s="104" t="n">
        <v>700000.0</v>
      </c>
    </row>
    <row r="320" spans="1:15" x14ac:dyDescent="0.3">
      <c r="A320" t="s">
        <v>301</v>
      </c>
      <c r="B320">
        <f>O320*$B$1</f>
        <v>1528000</v>
      </c>
      <c r="N320" t="s">
        <v>301</v>
      </c>
      <c r="O320" s="104" t="n">
        <v>1430000.0</v>
      </c>
    </row>
    <row r="322" spans="1:16" x14ac:dyDescent="0.3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3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3">
      <c r="A324" t="s">
        <v>98</v>
      </c>
      <c r="B324">
        <f>O324*$B$1</f>
        <v>20000</v>
      </c>
      <c r="N324" t="s">
        <v>98</v>
      </c>
      <c r="O324" s="104" t="n">
        <v>40000.0</v>
      </c>
    </row>
    <row r="325" spans="1:16" x14ac:dyDescent="0.3">
      <c r="A325" t="s">
        <v>281</v>
      </c>
      <c r="B325">
        <f>O325*$B$1</f>
        <v>511000</v>
      </c>
      <c r="N325" t="s">
        <v>281</v>
      </c>
      <c r="O325" s="104" t="n">
        <v>370000.0</v>
      </c>
    </row>
    <row r="326" spans="1:16" x14ac:dyDescent="0.3">
      <c r="A326" t="s">
        <v>282</v>
      </c>
      <c r="B326">
        <f>O326*$B$1</f>
        <v>2128000</v>
      </c>
      <c r="N326" t="s">
        <v>282</v>
      </c>
      <c r="O326" s="104" t="n">
        <v>2210000.0</v>
      </c>
    </row>
    <row r="327" spans="1:16" x14ac:dyDescent="0.3">
      <c r="A327" t="s">
        <v>283</v>
      </c>
      <c r="B327">
        <f>O327*$B$1</f>
        <v>622000</v>
      </c>
      <c r="N327" t="s">
        <v>283</v>
      </c>
      <c r="O327" s="104" t="n">
        <v>450000.0</v>
      </c>
    </row>
    <row r="329" spans="1:16" x14ac:dyDescent="0.3">
      <c r="A329" t="s">
        <v>72</v>
      </c>
      <c r="B329" t="s">
        <v>76</v>
      </c>
      <c r="N329" t="s">
        <v>72</v>
      </c>
      <c r="O329" t="s">
        <v>76</v>
      </c>
    </row>
    <row r="330" spans="1:16" x14ac:dyDescent="0.3">
      <c r="A330" t="s">
        <v>302</v>
      </c>
      <c r="B330" t="s">
        <v>27</v>
      </c>
      <c r="N330" t="s">
        <v>302</v>
      </c>
      <c r="O330" t="s">
        <v>27</v>
      </c>
    </row>
    <row r="331" spans="1:16" x14ac:dyDescent="0.3">
      <c r="A331" t="s">
        <v>318</v>
      </c>
      <c r="B331">
        <f>O331*$B$1</f>
        <v>3281000</v>
      </c>
      <c r="N331">
        <v>1</v>
      </c>
      <c r="O331" s="104" t="n">
        <v>3070000.0</v>
      </c>
    </row>
    <row r="332" spans="1:16" x14ac:dyDescent="0.3">
      <c r="A332" t="s">
        <v>319</v>
      </c>
      <c r="B332">
        <f>O332*$B$1</f>
        <v>0</v>
      </c>
      <c r="N332">
        <v>2</v>
      </c>
      <c r="O332" s="104" t="n">
        <v>0.0</v>
      </c>
    </row>
    <row r="333" spans="1:16" x14ac:dyDescent="0.3">
      <c r="A333" t="s">
        <v>320</v>
      </c>
      <c r="B333">
        <f>O333*$B$1</f>
        <v>0</v>
      </c>
      <c r="N333">
        <v>3</v>
      </c>
      <c r="O333" s="104" t="n">
        <v>0.0</v>
      </c>
    </row>
    <row r="334" spans="1:16" x14ac:dyDescent="0.3">
      <c r="A334" t="s">
        <v>321</v>
      </c>
      <c r="B334">
        <f>O334*$B$1</f>
        <v>0</v>
      </c>
      <c r="N334">
        <v>4</v>
      </c>
      <c r="O334" s="104" t="n">
        <v>0.0</v>
      </c>
    </row>
    <row r="335" spans="1:16" x14ac:dyDescent="0.3">
      <c r="A335" t="s">
        <v>322</v>
      </c>
      <c r="B335">
        <f ref="B335:B337" si="56" t="shared">O335*$B$1</f>
        <v>0</v>
      </c>
      <c r="N335">
        <v>5</v>
      </c>
      <c r="O335" s="104" t="n">
        <v>0.0</v>
      </c>
    </row>
    <row r="336" spans="1:16" x14ac:dyDescent="0.3">
      <c r="A336" t="s">
        <v>323</v>
      </c>
      <c r="B336">
        <f si="56" t="shared"/>
        <v>0</v>
      </c>
      <c r="N336">
        <v>6</v>
      </c>
      <c r="O336" s="104" t="n">
        <v>0.0</v>
      </c>
    </row>
    <row r="337" spans="1:15" x14ac:dyDescent="0.3">
      <c r="A337" t="s">
        <v>330</v>
      </c>
      <c r="B337">
        <f si="56" t="shared"/>
        <v>0</v>
      </c>
      <c r="N337">
        <v>7</v>
      </c>
      <c r="O337" t="n">
        <v>0.0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363"/>
  <sheetViews>
    <sheetView workbookViewId="0">
      <selection activeCell="P33" sqref="P33"/>
    </sheetView>
  </sheetViews>
  <sheetFormatPr defaultRowHeight="12.4" x14ac:dyDescent="0.3"/>
  <sheetData>
    <row ht="14.25" r="1" spans="1:5" x14ac:dyDescent="0.45">
      <c r="A1" s="1342" t="s">
        <v>1044</v>
      </c>
      <c r="B1" s="1342" t="s">
        <v>340</v>
      </c>
      <c r="C1" s="1342" t="s">
        <v>341</v>
      </c>
      <c r="D1" s="1343" t="s">
        <v>342</v>
      </c>
      <c r="E1" s="1344" t="s">
        <v>343</v>
      </c>
    </row>
    <row ht="14.25" r="2" spans="1:5" x14ac:dyDescent="0.45">
      <c r="A2" s="1340">
        <v>100</v>
      </c>
      <c r="B2" s="1340" t="s">
        <v>344</v>
      </c>
      <c r="C2" s="1340" t="s">
        <v>345</v>
      </c>
      <c r="D2" s="1345">
        <v>0.59360162660100002</v>
      </c>
      <c r="E2" s="1339" t="s">
        <v>346</v>
      </c>
    </row>
    <row ht="14.25" r="3" spans="1:5" x14ac:dyDescent="0.45">
      <c r="A3" s="1340">
        <v>101</v>
      </c>
      <c r="B3" s="1340" t="s">
        <v>347</v>
      </c>
      <c r="C3" s="1340" t="s">
        <v>345</v>
      </c>
      <c r="D3" s="1345">
        <v>2.2607629985500002</v>
      </c>
      <c r="E3" s="1339" t="s">
        <v>348</v>
      </c>
    </row>
    <row ht="14.25" r="4" spans="1:5" x14ac:dyDescent="0.45">
      <c r="A4" s="1340">
        <v>102</v>
      </c>
      <c r="B4" s="1340" t="s">
        <v>349</v>
      </c>
      <c r="C4" s="1340" t="s">
        <v>345</v>
      </c>
      <c r="D4" s="1341">
        <v>-0.67702180034500004</v>
      </c>
      <c r="E4" s="1339" t="s">
        <v>350</v>
      </c>
    </row>
    <row ht="14.25" r="5" spans="1:5" x14ac:dyDescent="0.45">
      <c r="A5" s="1340">
        <v>105</v>
      </c>
      <c r="B5" s="1340" t="s">
        <v>351</v>
      </c>
      <c r="C5" s="1340" t="s">
        <v>345</v>
      </c>
      <c r="D5" s="1341">
        <v>-1.2291096581800001</v>
      </c>
      <c r="E5" s="1339" t="s">
        <v>352</v>
      </c>
    </row>
    <row ht="14.25" r="6" spans="1:5" x14ac:dyDescent="0.45">
      <c r="A6" s="1340">
        <v>106</v>
      </c>
      <c r="B6" s="1340" t="s">
        <v>353</v>
      </c>
      <c r="C6" s="1340" t="s">
        <v>345</v>
      </c>
      <c r="D6" s="1341">
        <v>-1.88719601199</v>
      </c>
      <c r="E6" s="1339" t="s">
        <v>354</v>
      </c>
    </row>
    <row ht="14.25" r="7" spans="1:5" x14ac:dyDescent="0.45">
      <c r="A7" s="1340">
        <v>109</v>
      </c>
      <c r="B7" s="1340" t="s">
        <v>355</v>
      </c>
      <c r="C7" s="1340" t="s">
        <v>345</v>
      </c>
      <c r="D7" s="1341">
        <v>-0.104539156562</v>
      </c>
      <c r="E7" s="1339" t="s">
        <v>356</v>
      </c>
    </row>
    <row ht="14.25" r="8" spans="1:5" x14ac:dyDescent="0.45">
      <c r="A8" s="1340">
        <v>110</v>
      </c>
      <c r="B8" s="1340" t="s">
        <v>357</v>
      </c>
      <c r="C8" s="1340" t="s">
        <v>345</v>
      </c>
      <c r="D8" s="1341">
        <v>-5.3840960751700001E-2</v>
      </c>
      <c r="E8" s="1339" t="s">
        <v>358</v>
      </c>
    </row>
    <row ht="14.25" r="9" spans="1:5" x14ac:dyDescent="0.45">
      <c r="A9" s="1340">
        <v>111</v>
      </c>
      <c r="B9" s="1340" t="s">
        <v>359</v>
      </c>
      <c r="C9" s="1340" t="s">
        <v>345</v>
      </c>
      <c r="D9" s="1341">
        <v>5.5398475571900002E-2</v>
      </c>
      <c r="E9" s="1339" t="s">
        <v>360</v>
      </c>
    </row>
    <row ht="14.25" r="10" spans="1:5" x14ac:dyDescent="0.45">
      <c r="A10" s="1340">
        <v>112</v>
      </c>
      <c r="B10" s="1340" t="s">
        <v>361</v>
      </c>
      <c r="C10" s="1340" t="s">
        <v>345</v>
      </c>
      <c r="D10" s="1341">
        <v>0.104963199705</v>
      </c>
      <c r="E10" s="1339" t="s">
        <v>362</v>
      </c>
    </row>
    <row ht="14.25" r="11" spans="1:5" x14ac:dyDescent="0.45">
      <c r="A11" s="1340">
        <v>113</v>
      </c>
      <c r="B11" s="1340" t="s">
        <v>363</v>
      </c>
      <c r="C11" s="1340" t="s">
        <v>364</v>
      </c>
      <c r="D11" s="1341">
        <v>0</v>
      </c>
      <c r="E11" s="1339" t="s">
        <v>365</v>
      </c>
    </row>
    <row ht="14.25" r="12" spans="1:5" x14ac:dyDescent="0.45">
      <c r="A12" s="1340">
        <v>114</v>
      </c>
      <c r="B12" s="1340" t="s">
        <v>366</v>
      </c>
      <c r="C12" s="1340" t="s">
        <v>364</v>
      </c>
      <c r="D12" s="1341">
        <v>0</v>
      </c>
      <c r="E12" s="1339" t="s">
        <v>367</v>
      </c>
    </row>
    <row ht="14.25" r="13" spans="1:5" x14ac:dyDescent="0.45">
      <c r="A13" s="1340">
        <v>116</v>
      </c>
      <c r="B13" s="1340" t="s">
        <v>368</v>
      </c>
      <c r="C13" s="1340" t="s">
        <v>345</v>
      </c>
      <c r="D13" s="1341">
        <v>0.119359946565</v>
      </c>
      <c r="E13" s="1339" t="s">
        <v>369</v>
      </c>
    </row>
    <row ht="14.25" r="14" spans="1:5" x14ac:dyDescent="0.45">
      <c r="A14" s="1340">
        <v>117</v>
      </c>
      <c r="B14" s="1340" t="s">
        <v>370</v>
      </c>
      <c r="C14" s="1340" t="s">
        <v>345</v>
      </c>
      <c r="D14" s="1341">
        <v>-0.46873969835200002</v>
      </c>
      <c r="E14" s="1339" t="s">
        <v>371</v>
      </c>
    </row>
    <row ht="14.25" r="15" spans="1:5" x14ac:dyDescent="0.45">
      <c r="A15" s="1340">
        <v>118</v>
      </c>
      <c r="B15" s="1340" t="s">
        <v>372</v>
      </c>
      <c r="C15" s="1340" t="s">
        <v>364</v>
      </c>
      <c r="D15" s="1341">
        <v>0</v>
      </c>
      <c r="E15" s="1339" t="s">
        <v>373</v>
      </c>
    </row>
    <row ht="14.25" r="16" spans="1:5" x14ac:dyDescent="0.45">
      <c r="A16" s="1340">
        <v>119</v>
      </c>
      <c r="B16" s="1340" t="s">
        <v>374</v>
      </c>
      <c r="C16" s="1340" t="s">
        <v>364</v>
      </c>
      <c r="D16" s="1341">
        <v>0</v>
      </c>
      <c r="E16" s="1339" t="s">
        <v>375</v>
      </c>
    </row>
    <row ht="14.25" r="17" spans="1:5" x14ac:dyDescent="0.45">
      <c r="A17" s="1340">
        <v>120</v>
      </c>
      <c r="B17" s="1340" t="s">
        <v>376</v>
      </c>
      <c r="C17" s="1340" t="s">
        <v>364</v>
      </c>
      <c r="D17" s="1341">
        <v>0</v>
      </c>
      <c r="E17" s="1339" t="s">
        <v>377</v>
      </c>
    </row>
    <row ht="14.25" r="18" spans="1:5" x14ac:dyDescent="0.45">
      <c r="A18" s="1340">
        <v>121</v>
      </c>
      <c r="B18" s="1340" t="s">
        <v>378</v>
      </c>
      <c r="C18" s="1340" t="s">
        <v>364</v>
      </c>
      <c r="D18" s="1341">
        <v>0</v>
      </c>
      <c r="E18" s="1339" t="s">
        <v>379</v>
      </c>
    </row>
    <row ht="14.25" r="19" spans="1:5" x14ac:dyDescent="0.45">
      <c r="A19" s="1340">
        <v>122</v>
      </c>
      <c r="B19" s="1340" t="s">
        <v>380</v>
      </c>
      <c r="C19" s="1340" t="s">
        <v>364</v>
      </c>
      <c r="D19" s="1341">
        <v>0</v>
      </c>
      <c r="E19" s="1339" t="s">
        <v>381</v>
      </c>
    </row>
    <row ht="14.25" r="20" spans="1:5" x14ac:dyDescent="0.45">
      <c r="A20" s="1340">
        <v>123</v>
      </c>
      <c r="B20" s="1340" t="s">
        <v>382</v>
      </c>
      <c r="C20" s="1340" t="s">
        <v>364</v>
      </c>
      <c r="D20" s="1341">
        <v>0</v>
      </c>
      <c r="E20" s="1339" t="s">
        <v>383</v>
      </c>
    </row>
    <row ht="14.25" r="21" spans="1:5" x14ac:dyDescent="0.45">
      <c r="A21" s="1340">
        <v>124</v>
      </c>
      <c r="B21" s="1340" t="s">
        <v>384</v>
      </c>
      <c r="C21" s="1340" t="s">
        <v>345</v>
      </c>
      <c r="D21" s="1341">
        <v>-1.93525950132</v>
      </c>
      <c r="E21" s="1339" t="s">
        <v>385</v>
      </c>
    </row>
    <row ht="14.25" r="22" spans="1:5" x14ac:dyDescent="0.45">
      <c r="A22" s="1340">
        <v>125</v>
      </c>
      <c r="B22" s="1340" t="s">
        <v>386</v>
      </c>
      <c r="C22" s="1340" t="s">
        <v>364</v>
      </c>
      <c r="D22" s="1341">
        <v>0</v>
      </c>
      <c r="E22" s="1339" t="s">
        <v>387</v>
      </c>
    </row>
    <row ht="14.25" r="23" spans="1:5" x14ac:dyDescent="0.45">
      <c r="A23" s="1340">
        <v>126</v>
      </c>
      <c r="B23" s="1340" t="s">
        <v>388</v>
      </c>
      <c r="C23" s="1340" t="s">
        <v>364</v>
      </c>
      <c r="D23" s="1341">
        <v>0</v>
      </c>
      <c r="E23" s="1339" t="s">
        <v>389</v>
      </c>
    </row>
    <row ht="14.25" r="24" spans="1:5" x14ac:dyDescent="0.45">
      <c r="A24" s="1340">
        <v>127</v>
      </c>
      <c r="B24" s="1340" t="s">
        <v>390</v>
      </c>
      <c r="C24" s="1340" t="s">
        <v>345</v>
      </c>
      <c r="D24" s="1341">
        <v>0.70457506868099995</v>
      </c>
      <c r="E24" s="1339" t="s">
        <v>391</v>
      </c>
    </row>
    <row ht="14.25" r="25" spans="1:5" x14ac:dyDescent="0.45">
      <c r="A25" s="1340">
        <v>128</v>
      </c>
      <c r="B25" s="1340" t="s">
        <v>392</v>
      </c>
      <c r="C25" s="1340" t="s">
        <v>345</v>
      </c>
      <c r="D25" s="1341">
        <v>-0.473736021364</v>
      </c>
      <c r="E25" s="1339" t="s">
        <v>391</v>
      </c>
    </row>
    <row ht="14.25" r="26" spans="1:5" x14ac:dyDescent="0.45">
      <c r="A26" s="1340">
        <v>129</v>
      </c>
      <c r="B26" s="1340" t="s">
        <v>393</v>
      </c>
      <c r="C26" s="1340" t="s">
        <v>345</v>
      </c>
      <c r="D26" s="1341">
        <v>-0.39185504390800002</v>
      </c>
      <c r="E26" s="1339" t="s">
        <v>391</v>
      </c>
    </row>
    <row ht="14.25" r="27" spans="1:5" x14ac:dyDescent="0.45">
      <c r="A27" s="1340">
        <v>151</v>
      </c>
      <c r="B27" s="1340" t="s">
        <v>394</v>
      </c>
      <c r="C27" s="1340" t="s">
        <v>364</v>
      </c>
      <c r="D27" s="1341">
        <v>0</v>
      </c>
      <c r="E27" s="1339" t="s">
        <v>395</v>
      </c>
    </row>
    <row ht="14.25" r="28" spans="1:5" x14ac:dyDescent="0.45">
      <c r="A28" s="1340">
        <v>200</v>
      </c>
      <c r="B28" s="1340" t="s">
        <v>396</v>
      </c>
      <c r="C28" s="1340" t="s">
        <v>345</v>
      </c>
      <c r="D28" s="1345">
        <v>-0.86143817039500004</v>
      </c>
      <c r="E28" s="1339" t="s">
        <v>397</v>
      </c>
    </row>
    <row ht="14.25" r="29" spans="1:5" x14ac:dyDescent="0.45">
      <c r="A29" s="1340">
        <v>201</v>
      </c>
      <c r="B29" s="1340" t="s">
        <v>398</v>
      </c>
      <c r="C29" s="1340" t="s">
        <v>345</v>
      </c>
      <c r="D29" s="1345">
        <v>-0.78594987134100003</v>
      </c>
      <c r="E29" s="1339" t="s">
        <v>399</v>
      </c>
    </row>
    <row ht="14.25" r="30" spans="1:5" x14ac:dyDescent="0.45">
      <c r="A30" s="1340"/>
      <c r="B30" s="1340"/>
      <c r="C30" s="1340"/>
      <c r="D30" s="1341"/>
      <c r="E30" s="1339" t="s">
        <v>400</v>
      </c>
    </row>
    <row ht="14.25" r="31" spans="1:5" x14ac:dyDescent="0.45">
      <c r="A31" s="1340"/>
      <c r="B31" s="1340"/>
      <c r="C31" s="1340"/>
      <c r="D31" s="1341"/>
      <c r="E31" s="1339" t="s">
        <v>401</v>
      </c>
    </row>
    <row ht="14.25" r="32" spans="1:5" x14ac:dyDescent="0.45">
      <c r="A32" s="1340"/>
      <c r="B32" s="1340"/>
      <c r="C32" s="1340"/>
      <c r="D32" s="1341"/>
      <c r="E32" s="1339" t="s">
        <v>402</v>
      </c>
    </row>
    <row ht="14.25" r="33" spans="1:5" x14ac:dyDescent="0.45">
      <c r="A33" s="1340">
        <v>205</v>
      </c>
      <c r="B33" s="1340" t="s">
        <v>403</v>
      </c>
      <c r="C33" s="1340" t="s">
        <v>345</v>
      </c>
      <c r="D33" s="1341">
        <v>1.0083216006</v>
      </c>
      <c r="E33" s="1339" t="s">
        <v>404</v>
      </c>
    </row>
    <row ht="14.25" r="34" spans="1:5" x14ac:dyDescent="0.45">
      <c r="A34" s="1340">
        <v>206</v>
      </c>
      <c r="B34" s="1340" t="s">
        <v>405</v>
      </c>
      <c r="C34" s="1340" t="s">
        <v>345</v>
      </c>
      <c r="D34" s="1341">
        <v>2.08888367603</v>
      </c>
      <c r="E34" s="1339" t="s">
        <v>406</v>
      </c>
    </row>
    <row ht="14.25" r="35" spans="1:5" x14ac:dyDescent="0.45">
      <c r="A35" s="1340">
        <v>207</v>
      </c>
      <c r="B35" s="1340" t="s">
        <v>407</v>
      </c>
      <c r="C35" s="1340" t="s">
        <v>345</v>
      </c>
      <c r="D35" s="1341">
        <v>2.1761416178699999</v>
      </c>
      <c r="E35" s="1339" t="s">
        <v>408</v>
      </c>
    </row>
    <row ht="14.25" r="36" spans="1:5" x14ac:dyDescent="0.45">
      <c r="A36" s="1340">
        <v>208</v>
      </c>
      <c r="B36" s="1340" t="s">
        <v>409</v>
      </c>
      <c r="C36" s="1340" t="s">
        <v>345</v>
      </c>
      <c r="D36" s="1341">
        <v>1.14749890025</v>
      </c>
      <c r="E36" s="1339" t="s">
        <v>410</v>
      </c>
    </row>
    <row ht="14.25" r="37" spans="1:5" x14ac:dyDescent="0.45">
      <c r="A37" s="1340">
        <v>209</v>
      </c>
      <c r="B37" s="1340" t="s">
        <v>411</v>
      </c>
      <c r="C37" s="1340" t="s">
        <v>364</v>
      </c>
      <c r="D37" s="1341">
        <v>0</v>
      </c>
      <c r="E37" s="1339" t="s">
        <v>412</v>
      </c>
    </row>
    <row ht="14.25" r="38" spans="1:5" x14ac:dyDescent="0.45">
      <c r="A38" s="1340">
        <v>210</v>
      </c>
      <c r="B38" s="1340" t="s">
        <v>413</v>
      </c>
      <c r="C38" s="1340" t="s">
        <v>345</v>
      </c>
      <c r="D38" s="1341">
        <v>0.175618791701</v>
      </c>
      <c r="E38" s="1339" t="s">
        <v>414</v>
      </c>
    </row>
    <row ht="14.25" r="39" spans="1:5" x14ac:dyDescent="0.45">
      <c r="A39" s="1340">
        <v>211</v>
      </c>
      <c r="B39" s="1340" t="s">
        <v>415</v>
      </c>
      <c r="C39" s="1340" t="s">
        <v>364</v>
      </c>
      <c r="D39" s="1341">
        <v>0</v>
      </c>
      <c r="E39" s="1339" t="s">
        <v>416</v>
      </c>
    </row>
    <row ht="14.25" r="40" spans="1:5" x14ac:dyDescent="0.45">
      <c r="A40" s="1340">
        <v>212</v>
      </c>
      <c r="B40" s="1340" t="s">
        <v>417</v>
      </c>
      <c r="C40" s="1340" t="s">
        <v>364</v>
      </c>
      <c r="D40" s="1341">
        <v>0</v>
      </c>
      <c r="E40" s="1339" t="s">
        <v>418</v>
      </c>
    </row>
    <row ht="14.25" r="41" spans="1:5" x14ac:dyDescent="0.45">
      <c r="A41" s="1340">
        <v>213</v>
      </c>
      <c r="B41" s="1340" t="s">
        <v>419</v>
      </c>
      <c r="C41" s="1340" t="s">
        <v>364</v>
      </c>
      <c r="D41" s="1341">
        <v>0</v>
      </c>
      <c r="E41" s="1339" t="s">
        <v>420</v>
      </c>
    </row>
    <row ht="14.25" r="42" spans="1:5" x14ac:dyDescent="0.45">
      <c r="A42" s="1340">
        <v>214</v>
      </c>
      <c r="B42" s="1340" t="s">
        <v>421</v>
      </c>
      <c r="C42" s="1340" t="s">
        <v>364</v>
      </c>
      <c r="D42" s="1341">
        <v>0</v>
      </c>
      <c r="E42" s="1339" t="s">
        <v>422</v>
      </c>
    </row>
    <row ht="14.25" r="43" spans="1:5" x14ac:dyDescent="0.45">
      <c r="A43" s="1340"/>
      <c r="B43" s="1340"/>
      <c r="C43" s="1340"/>
      <c r="D43" s="1341"/>
      <c r="E43" s="1339" t="s">
        <v>423</v>
      </c>
    </row>
    <row ht="14.25" r="44" spans="1:5" x14ac:dyDescent="0.45">
      <c r="A44" s="1340">
        <v>216</v>
      </c>
      <c r="B44" s="1340" t="s">
        <v>424</v>
      </c>
      <c r="C44" s="1340" t="s">
        <v>364</v>
      </c>
      <c r="D44" s="1341">
        <v>0</v>
      </c>
      <c r="E44" s="1339" t="s">
        <v>425</v>
      </c>
    </row>
    <row ht="14.25" r="45" spans="1:5" x14ac:dyDescent="0.45">
      <c r="A45" s="1340">
        <v>217</v>
      </c>
      <c r="B45" s="1340" t="s">
        <v>426</v>
      </c>
      <c r="C45" s="1340" t="s">
        <v>345</v>
      </c>
      <c r="D45" s="1341">
        <v>-1.04665789108</v>
      </c>
      <c r="E45" s="1339" t="s">
        <v>427</v>
      </c>
    </row>
    <row ht="14.25" r="46" spans="1:5" x14ac:dyDescent="0.45">
      <c r="A46" s="1340">
        <v>218</v>
      </c>
      <c r="B46" s="1340" t="s">
        <v>428</v>
      </c>
      <c r="C46" s="1340" t="s">
        <v>364</v>
      </c>
      <c r="D46" s="1341">
        <v>0</v>
      </c>
      <c r="E46" s="1339" t="s">
        <v>429</v>
      </c>
    </row>
    <row ht="14.25" r="47" spans="1:5" x14ac:dyDescent="0.45">
      <c r="A47" s="1340">
        <v>219</v>
      </c>
      <c r="B47" s="1340" t="s">
        <v>430</v>
      </c>
      <c r="C47" s="1340" t="s">
        <v>364</v>
      </c>
      <c r="D47" s="1341">
        <v>0</v>
      </c>
      <c r="E47" s="1339" t="s">
        <v>431</v>
      </c>
    </row>
    <row ht="14.25" r="48" spans="1:5" x14ac:dyDescent="0.45">
      <c r="A48" s="1340">
        <v>220</v>
      </c>
      <c r="B48" s="1340" t="s">
        <v>432</v>
      </c>
      <c r="C48" s="1340" t="s">
        <v>364</v>
      </c>
      <c r="D48" s="1341">
        <v>0</v>
      </c>
      <c r="E48" s="1339" t="s">
        <v>433</v>
      </c>
    </row>
    <row ht="14.25" r="49" spans="1:5" x14ac:dyDescent="0.45">
      <c r="A49" s="1340">
        <v>221</v>
      </c>
      <c r="B49" s="1340" t="s">
        <v>434</v>
      </c>
      <c r="C49" s="1340" t="s">
        <v>345</v>
      </c>
      <c r="D49" s="1341">
        <v>0.28116382464200002</v>
      </c>
      <c r="E49" s="1339" t="s">
        <v>435</v>
      </c>
    </row>
    <row ht="14.25" r="50" spans="1:5" x14ac:dyDescent="0.45">
      <c r="A50" s="1340">
        <v>222</v>
      </c>
      <c r="B50" s="1340" t="s">
        <v>436</v>
      </c>
      <c r="C50" s="1340" t="s">
        <v>364</v>
      </c>
      <c r="D50" s="1341">
        <v>0</v>
      </c>
      <c r="E50" s="1339" t="s">
        <v>437</v>
      </c>
    </row>
    <row ht="14.25" r="51" spans="1:5" x14ac:dyDescent="0.45">
      <c r="A51" s="1340">
        <v>223</v>
      </c>
      <c r="B51" s="1340" t="s">
        <v>438</v>
      </c>
      <c r="C51" s="1340" t="s">
        <v>345</v>
      </c>
      <c r="D51" s="1341">
        <v>-0.85726200968300004</v>
      </c>
      <c r="E51" s="1339" t="s">
        <v>439</v>
      </c>
    </row>
    <row ht="14.25" r="52" spans="1:5" x14ac:dyDescent="0.45">
      <c r="A52" s="1340">
        <v>224</v>
      </c>
      <c r="B52" s="1340" t="s">
        <v>440</v>
      </c>
      <c r="C52" s="1340" t="s">
        <v>364</v>
      </c>
      <c r="D52" s="1341">
        <v>0</v>
      </c>
      <c r="E52" s="1339" t="s">
        <v>441</v>
      </c>
    </row>
    <row ht="14.25" r="53" spans="1:5" x14ac:dyDescent="0.45">
      <c r="A53" s="1340">
        <v>225</v>
      </c>
      <c r="B53" s="1340" t="s">
        <v>442</v>
      </c>
      <c r="C53" s="1340" t="s">
        <v>364</v>
      </c>
      <c r="D53" s="1341">
        <v>0</v>
      </c>
      <c r="E53" s="1339" t="s">
        <v>443</v>
      </c>
    </row>
    <row ht="14.25" r="54" spans="1:5" x14ac:dyDescent="0.45">
      <c r="A54" s="1340">
        <v>226</v>
      </c>
      <c r="B54" s="1340" t="s">
        <v>444</v>
      </c>
      <c r="C54" s="1340" t="s">
        <v>364</v>
      </c>
      <c r="D54" s="1341">
        <v>0</v>
      </c>
      <c r="E54" s="1339" t="s">
        <v>445</v>
      </c>
    </row>
    <row ht="14.25" r="55" spans="1:5" x14ac:dyDescent="0.45">
      <c r="A55" s="1340">
        <v>227</v>
      </c>
      <c r="B55" s="1340" t="s">
        <v>446</v>
      </c>
      <c r="C55" s="1340" t="s">
        <v>364</v>
      </c>
      <c r="D55" s="1341">
        <v>0</v>
      </c>
      <c r="E55" s="1339" t="s">
        <v>447</v>
      </c>
    </row>
    <row ht="14.25" r="56" spans="1:5" x14ac:dyDescent="0.45">
      <c r="A56" s="1340">
        <v>228</v>
      </c>
      <c r="B56" s="1340" t="s">
        <v>448</v>
      </c>
      <c r="C56" s="1340" t="s">
        <v>345</v>
      </c>
      <c r="D56" s="1341">
        <v>0.21589729844200001</v>
      </c>
      <c r="E56" s="1339" t="s">
        <v>447</v>
      </c>
    </row>
    <row ht="14.25" r="57" spans="1:5" x14ac:dyDescent="0.45">
      <c r="A57" s="1340">
        <v>229</v>
      </c>
      <c r="B57" s="1340" t="s">
        <v>449</v>
      </c>
      <c r="C57" s="1340" t="s">
        <v>345</v>
      </c>
      <c r="D57" s="1341">
        <v>0.39645838010899997</v>
      </c>
      <c r="E57" s="1339" t="s">
        <v>447</v>
      </c>
    </row>
    <row ht="14.25" r="58" spans="1:5" x14ac:dyDescent="0.45">
      <c r="A58" s="1340">
        <v>251</v>
      </c>
      <c r="B58" s="1340" t="s">
        <v>450</v>
      </c>
      <c r="C58" s="1340" t="s">
        <v>364</v>
      </c>
      <c r="D58" s="1341">
        <v>0</v>
      </c>
      <c r="E58" s="1339" t="s">
        <v>451</v>
      </c>
    </row>
    <row ht="14.25" r="59" spans="1:5" x14ac:dyDescent="0.45">
      <c r="A59" s="1340">
        <v>300</v>
      </c>
      <c r="B59" s="1340" t="s">
        <v>452</v>
      </c>
      <c r="C59" s="1340" t="s">
        <v>345</v>
      </c>
      <c r="D59" s="1345">
        <v>-3.4074389037100001</v>
      </c>
      <c r="E59" s="1339" t="s">
        <v>453</v>
      </c>
    </row>
    <row ht="14.25" r="60" spans="1:5" x14ac:dyDescent="0.45">
      <c r="A60" s="1340">
        <v>301</v>
      </c>
      <c r="B60" s="1340" t="s">
        <v>454</v>
      </c>
      <c r="C60" s="1340" t="s">
        <v>345</v>
      </c>
      <c r="D60" s="1345">
        <v>-1.46802054944</v>
      </c>
      <c r="E60" s="1339" t="s">
        <v>455</v>
      </c>
    </row>
    <row ht="14.25" r="61" spans="1:5" x14ac:dyDescent="0.45">
      <c r="A61" s="1340">
        <v>302</v>
      </c>
      <c r="B61" s="1340" t="s">
        <v>456</v>
      </c>
      <c r="C61" s="1340" t="s">
        <v>364</v>
      </c>
      <c r="D61" s="1341">
        <v>0</v>
      </c>
      <c r="E61" s="1339" t="s">
        <v>457</v>
      </c>
    </row>
    <row ht="14.25" r="62" spans="1:5" x14ac:dyDescent="0.45">
      <c r="A62" s="1340">
        <v>303</v>
      </c>
      <c r="B62" s="1340" t="s">
        <v>458</v>
      </c>
      <c r="C62" s="1340" t="s">
        <v>345</v>
      </c>
      <c r="D62" s="1341">
        <v>-0.74665963725100004</v>
      </c>
      <c r="E62" s="1339" t="s">
        <v>459</v>
      </c>
    </row>
    <row ht="14.25" r="63" spans="1:5" x14ac:dyDescent="0.45">
      <c r="A63" s="1340">
        <v>304</v>
      </c>
      <c r="B63" s="1340" t="s">
        <v>460</v>
      </c>
      <c r="C63" s="1340" t="s">
        <v>364</v>
      </c>
      <c r="D63" s="1341">
        <v>0</v>
      </c>
      <c r="E63" s="1339" t="s">
        <v>461</v>
      </c>
    </row>
    <row ht="14.25" r="64" spans="1:5" x14ac:dyDescent="0.45">
      <c r="A64" s="1340">
        <v>305</v>
      </c>
      <c r="B64" s="1340" t="s">
        <v>462</v>
      </c>
      <c r="C64" s="1340" t="s">
        <v>364</v>
      </c>
      <c r="D64" s="1341">
        <v>0</v>
      </c>
      <c r="E64" s="1339" t="s">
        <v>463</v>
      </c>
    </row>
    <row ht="14.25" r="65" spans="1:5" x14ac:dyDescent="0.45">
      <c r="A65" s="1340">
        <v>306</v>
      </c>
      <c r="B65" s="1340" t="s">
        <v>464</v>
      </c>
      <c r="C65" s="1340" t="s">
        <v>364</v>
      </c>
      <c r="D65" s="1341">
        <v>0</v>
      </c>
      <c r="E65" s="1339" t="s">
        <v>465</v>
      </c>
    </row>
    <row ht="14.25" r="66" spans="1:5" x14ac:dyDescent="0.45">
      <c r="A66" s="1340">
        <v>307</v>
      </c>
      <c r="B66" s="1340" t="s">
        <v>466</v>
      </c>
      <c r="C66" s="1340" t="s">
        <v>364</v>
      </c>
      <c r="D66" s="1341">
        <v>0</v>
      </c>
      <c r="E66" s="1339" t="s">
        <v>467</v>
      </c>
    </row>
    <row ht="14.25" r="67" spans="1:5" x14ac:dyDescent="0.45">
      <c r="A67" s="1340">
        <v>308</v>
      </c>
      <c r="B67" s="1340" t="s">
        <v>468</v>
      </c>
      <c r="C67" s="1340" t="s">
        <v>345</v>
      </c>
      <c r="D67" s="1341">
        <v>0.55350968411900003</v>
      </c>
      <c r="E67" s="1339" t="s">
        <v>469</v>
      </c>
    </row>
    <row ht="14.25" r="68" spans="1:5" x14ac:dyDescent="0.45">
      <c r="A68" s="1340">
        <v>309</v>
      </c>
      <c r="B68" s="1340" t="s">
        <v>470</v>
      </c>
      <c r="C68" s="1340" t="s">
        <v>345</v>
      </c>
      <c r="D68" s="1341">
        <v>-0.23172742344700001</v>
      </c>
      <c r="E68" s="1339" t="s">
        <v>471</v>
      </c>
    </row>
    <row ht="14.25" r="69" spans="1:5" x14ac:dyDescent="0.45">
      <c r="A69" s="1340">
        <v>310</v>
      </c>
      <c r="B69" s="1340" t="s">
        <v>472</v>
      </c>
      <c r="C69" s="1340" t="s">
        <v>345</v>
      </c>
      <c r="D69" s="1341">
        <v>-0.13772236960600001</v>
      </c>
      <c r="E69" s="1339" t="s">
        <v>473</v>
      </c>
    </row>
    <row ht="14.25" r="70" spans="1:5" x14ac:dyDescent="0.45">
      <c r="A70" s="1340">
        <v>311</v>
      </c>
      <c r="B70" s="1340" t="s">
        <v>474</v>
      </c>
      <c r="C70" s="1340" t="s">
        <v>364</v>
      </c>
      <c r="D70" s="1341">
        <v>0</v>
      </c>
      <c r="E70" s="1339" t="s">
        <v>475</v>
      </c>
    </row>
    <row ht="14.25" r="71" spans="1:5" x14ac:dyDescent="0.45">
      <c r="A71" s="1340">
        <v>312</v>
      </c>
      <c r="B71" s="1340" t="s">
        <v>476</v>
      </c>
      <c r="C71" s="1340" t="s">
        <v>364</v>
      </c>
      <c r="D71" s="1341">
        <v>0</v>
      </c>
      <c r="E71" s="1339" t="s">
        <v>477</v>
      </c>
    </row>
    <row ht="14.25" r="72" spans="1:5" x14ac:dyDescent="0.45">
      <c r="A72" s="1340">
        <v>313</v>
      </c>
      <c r="B72" s="1340" t="s">
        <v>478</v>
      </c>
      <c r="C72" s="1340" t="s">
        <v>345</v>
      </c>
      <c r="D72" s="1341">
        <v>0.15830555373499999</v>
      </c>
      <c r="E72" s="1339" t="s">
        <v>479</v>
      </c>
    </row>
    <row ht="14.25" r="73" spans="1:5" x14ac:dyDescent="0.45">
      <c r="A73" s="1340">
        <v>314</v>
      </c>
      <c r="B73" s="1340" t="s">
        <v>480</v>
      </c>
      <c r="C73" s="1340" t="s">
        <v>345</v>
      </c>
      <c r="D73" s="1341">
        <v>-0.47638575072</v>
      </c>
      <c r="E73" s="1339" t="s">
        <v>481</v>
      </c>
    </row>
    <row ht="14.25" r="74" spans="1:5" x14ac:dyDescent="0.45">
      <c r="A74" s="1340"/>
      <c r="B74" s="1340"/>
      <c r="C74" s="1340"/>
      <c r="D74" s="1341"/>
      <c r="E74" s="1339" t="s">
        <v>482</v>
      </c>
    </row>
    <row ht="14.25" r="75" spans="1:5" x14ac:dyDescent="0.45">
      <c r="A75" s="1340">
        <v>316</v>
      </c>
      <c r="B75" s="1340" t="s">
        <v>483</v>
      </c>
      <c r="C75" s="1340" t="s">
        <v>364</v>
      </c>
      <c r="D75" s="1341">
        <v>0</v>
      </c>
      <c r="E75" s="1339" t="s">
        <v>484</v>
      </c>
    </row>
    <row ht="14.25" r="76" spans="1:5" x14ac:dyDescent="0.45">
      <c r="A76" s="1340">
        <v>317</v>
      </c>
      <c r="B76" s="1340" t="s">
        <v>485</v>
      </c>
      <c r="C76" s="1340" t="s">
        <v>345</v>
      </c>
      <c r="D76" s="1341">
        <v>1.2331767950900001</v>
      </c>
      <c r="E76" s="1339" t="s">
        <v>486</v>
      </c>
    </row>
    <row ht="14.25" r="77" spans="1:5" x14ac:dyDescent="0.45">
      <c r="A77" s="1340">
        <v>318</v>
      </c>
      <c r="B77" s="1340" t="s">
        <v>487</v>
      </c>
      <c r="C77" s="1340" t="s">
        <v>345</v>
      </c>
      <c r="D77" s="1341">
        <v>1.79373653729</v>
      </c>
      <c r="E77" s="1339" t="s">
        <v>488</v>
      </c>
    </row>
    <row ht="14.25" r="78" spans="1:5" x14ac:dyDescent="0.45">
      <c r="A78" s="1340">
        <v>319</v>
      </c>
      <c r="B78" s="1340" t="s">
        <v>489</v>
      </c>
      <c r="C78" s="1340" t="s">
        <v>345</v>
      </c>
      <c r="D78" s="1341">
        <v>0.54032130864700001</v>
      </c>
      <c r="E78" s="1339" t="s">
        <v>490</v>
      </c>
    </row>
    <row ht="14.25" r="79" spans="1:5" x14ac:dyDescent="0.45">
      <c r="A79" s="1340">
        <v>320</v>
      </c>
      <c r="B79" s="1340" t="s">
        <v>491</v>
      </c>
      <c r="C79" s="1340" t="s">
        <v>345</v>
      </c>
      <c r="D79" s="1341">
        <v>1.2225471973399999</v>
      </c>
      <c r="E79" s="1339" t="s">
        <v>492</v>
      </c>
    </row>
    <row ht="14.25" r="80" spans="1:5" x14ac:dyDescent="0.45">
      <c r="A80" s="1340">
        <v>321</v>
      </c>
      <c r="B80" s="1340" t="s">
        <v>493</v>
      </c>
      <c r="C80" s="1340" t="s">
        <v>345</v>
      </c>
      <c r="D80" s="1341">
        <v>-0.66641066384699998</v>
      </c>
      <c r="E80" s="1339" t="s">
        <v>494</v>
      </c>
    </row>
    <row ht="14.25" r="81" spans="1:5" x14ac:dyDescent="0.45">
      <c r="A81" s="1340">
        <v>322</v>
      </c>
      <c r="B81" s="1340" t="s">
        <v>495</v>
      </c>
      <c r="C81" s="1340" t="s">
        <v>345</v>
      </c>
      <c r="D81" s="1341">
        <v>-0.26227433626199997</v>
      </c>
      <c r="E81" s="1339" t="s">
        <v>496</v>
      </c>
    </row>
    <row ht="14.25" r="82" spans="1:5" x14ac:dyDescent="0.45">
      <c r="A82" s="1340">
        <v>323</v>
      </c>
      <c r="B82" s="1340" t="s">
        <v>497</v>
      </c>
      <c r="C82" s="1340" t="s">
        <v>345</v>
      </c>
      <c r="D82" s="1341">
        <v>-0.32522027447700003</v>
      </c>
      <c r="E82" s="1339" t="s">
        <v>498</v>
      </c>
    </row>
    <row ht="14.25" r="83" spans="1:5" x14ac:dyDescent="0.45">
      <c r="A83" s="1340">
        <v>324</v>
      </c>
      <c r="B83" s="1340" t="s">
        <v>499</v>
      </c>
      <c r="C83" s="1340" t="s">
        <v>364</v>
      </c>
      <c r="D83" s="1341">
        <v>0</v>
      </c>
      <c r="E83" s="1339" t="s">
        <v>500</v>
      </c>
    </row>
    <row ht="14.25" r="84" spans="1:5" x14ac:dyDescent="0.45">
      <c r="A84" s="1340">
        <v>325</v>
      </c>
      <c r="B84" s="1340" t="s">
        <v>501</v>
      </c>
      <c r="C84" s="1340" t="s">
        <v>364</v>
      </c>
      <c r="D84" s="1341">
        <v>0</v>
      </c>
      <c r="E84" s="1339" t="s">
        <v>502</v>
      </c>
    </row>
    <row ht="14.25" r="85" spans="1:5" x14ac:dyDescent="0.45">
      <c r="A85" s="1340">
        <v>326</v>
      </c>
      <c r="B85" s="1340" t="s">
        <v>503</v>
      </c>
      <c r="C85" s="1340" t="s">
        <v>364</v>
      </c>
      <c r="D85" s="1341">
        <v>0</v>
      </c>
      <c r="E85" s="1339" t="s">
        <v>504</v>
      </c>
    </row>
    <row ht="14.25" r="86" spans="1:5" x14ac:dyDescent="0.45">
      <c r="A86" s="1340">
        <v>327</v>
      </c>
      <c r="B86" s="1340" t="s">
        <v>505</v>
      </c>
      <c r="C86" s="1340" t="s">
        <v>364</v>
      </c>
      <c r="D86" s="1341">
        <v>0</v>
      </c>
      <c r="E86" s="1339" t="s">
        <v>506</v>
      </c>
    </row>
    <row ht="14.25" r="87" spans="1:5" x14ac:dyDescent="0.45">
      <c r="A87" s="1340">
        <v>328</v>
      </c>
      <c r="B87" s="1340" t="s">
        <v>507</v>
      </c>
      <c r="C87" s="1340" t="s">
        <v>345</v>
      </c>
      <c r="D87" s="1341">
        <v>3.4768357092199997E-2</v>
      </c>
      <c r="E87" s="1339" t="s">
        <v>506</v>
      </c>
    </row>
    <row ht="14.25" r="88" spans="1:5" x14ac:dyDescent="0.45">
      <c r="A88" s="1340">
        <v>329</v>
      </c>
      <c r="B88" s="1340" t="s">
        <v>508</v>
      </c>
      <c r="C88" s="1340" t="s">
        <v>345</v>
      </c>
      <c r="D88" s="1341">
        <v>7.6268365288400003E-2</v>
      </c>
      <c r="E88" s="1339" t="s">
        <v>506</v>
      </c>
    </row>
    <row ht="14.25" r="89" spans="1:5" x14ac:dyDescent="0.45">
      <c r="A89" s="1340">
        <v>351</v>
      </c>
      <c r="B89" s="1340" t="s">
        <v>509</v>
      </c>
      <c r="C89" s="1340" t="s">
        <v>364</v>
      </c>
      <c r="D89" s="1341">
        <v>0</v>
      </c>
      <c r="E89" s="1339" t="s">
        <v>510</v>
      </c>
    </row>
    <row ht="14.25" r="90" spans="1:5" x14ac:dyDescent="0.45">
      <c r="A90" s="1340">
        <v>400</v>
      </c>
      <c r="B90" s="1340" t="s">
        <v>511</v>
      </c>
      <c r="C90" s="1340" t="s">
        <v>345</v>
      </c>
      <c r="D90" s="1345">
        <v>-2.3982761737499998</v>
      </c>
      <c r="E90" s="1339" t="s">
        <v>512</v>
      </c>
    </row>
    <row ht="14.25" r="91" spans="1:5" x14ac:dyDescent="0.45">
      <c r="A91" s="1340">
        <v>401</v>
      </c>
      <c r="B91" s="1340" t="s">
        <v>513</v>
      </c>
      <c r="C91" s="1340" t="s">
        <v>345</v>
      </c>
      <c r="D91" s="1345">
        <v>1.76216764608</v>
      </c>
      <c r="E91" s="1339" t="s">
        <v>514</v>
      </c>
    </row>
    <row ht="14.25" r="92" spans="1:5" x14ac:dyDescent="0.45">
      <c r="A92" s="1340">
        <v>402</v>
      </c>
      <c r="B92" s="1340" t="s">
        <v>515</v>
      </c>
      <c r="C92" s="1340" t="s">
        <v>345</v>
      </c>
      <c r="D92" s="1341">
        <v>0.19320373610399999</v>
      </c>
      <c r="E92" s="1339" t="s">
        <v>516</v>
      </c>
    </row>
    <row ht="14.25" r="93" spans="1:5" x14ac:dyDescent="0.45">
      <c r="A93" s="1340">
        <v>403</v>
      </c>
      <c r="B93" s="1340" t="s">
        <v>517</v>
      </c>
      <c r="C93" s="1340" t="s">
        <v>345</v>
      </c>
      <c r="D93" s="1341">
        <v>0.52545543591999999</v>
      </c>
      <c r="E93" s="1339" t="s">
        <v>518</v>
      </c>
    </row>
    <row ht="14.25" r="94" spans="1:5" x14ac:dyDescent="0.45">
      <c r="A94" s="1340">
        <v>404</v>
      </c>
      <c r="B94" s="1340" t="s">
        <v>519</v>
      </c>
      <c r="C94" s="1340" t="s">
        <v>345</v>
      </c>
      <c r="D94" s="1341">
        <v>0.41321074580299999</v>
      </c>
      <c r="E94" s="1339" t="s">
        <v>520</v>
      </c>
    </row>
    <row ht="14.25" r="95" spans="1:5" x14ac:dyDescent="0.45">
      <c r="A95" s="1340">
        <v>405</v>
      </c>
      <c r="B95" s="1340" t="s">
        <v>521</v>
      </c>
      <c r="C95" s="1340" t="s">
        <v>364</v>
      </c>
      <c r="D95" s="1341">
        <v>0</v>
      </c>
      <c r="E95" s="1339" t="s">
        <v>522</v>
      </c>
    </row>
    <row ht="14.25" r="96" spans="1:5" x14ac:dyDescent="0.45">
      <c r="A96" s="1340">
        <v>406</v>
      </c>
      <c r="B96" s="1340" t="s">
        <v>523</v>
      </c>
      <c r="C96" s="1340" t="s">
        <v>345</v>
      </c>
      <c r="D96" s="1341">
        <v>-0.28000928906599998</v>
      </c>
      <c r="E96" s="1339" t="s">
        <v>524</v>
      </c>
    </row>
    <row ht="14.25" r="97" spans="1:5" x14ac:dyDescent="0.45">
      <c r="A97" s="1340">
        <v>407</v>
      </c>
      <c r="B97" s="1340" t="s">
        <v>525</v>
      </c>
      <c r="C97" s="1340" t="s">
        <v>345</v>
      </c>
      <c r="D97" s="1341">
        <v>-0.44484435744700002</v>
      </c>
      <c r="E97" s="1339" t="s">
        <v>526</v>
      </c>
    </row>
    <row ht="14.25" r="98" spans="1:5" x14ac:dyDescent="0.45">
      <c r="A98" s="1340">
        <v>408</v>
      </c>
      <c r="B98" s="1340" t="s">
        <v>527</v>
      </c>
      <c r="C98" s="1340" t="s">
        <v>345</v>
      </c>
      <c r="D98" s="1341">
        <v>-0.56977797245299999</v>
      </c>
      <c r="E98" s="1339" t="s">
        <v>528</v>
      </c>
    </row>
    <row ht="14.25" r="99" spans="1:5" x14ac:dyDescent="0.45">
      <c r="A99" s="1340">
        <v>409</v>
      </c>
      <c r="B99" s="1340" t="s">
        <v>529</v>
      </c>
      <c r="C99" s="1340" t="s">
        <v>345</v>
      </c>
      <c r="D99" s="1341">
        <v>-0.14054445235400001</v>
      </c>
      <c r="E99" s="1339" t="s">
        <v>530</v>
      </c>
    </row>
    <row ht="14.25" r="100" spans="1:5" x14ac:dyDescent="0.45">
      <c r="A100" s="1340">
        <v>410</v>
      </c>
      <c r="B100" s="1340" t="s">
        <v>531</v>
      </c>
      <c r="C100" s="1340" t="s">
        <v>364</v>
      </c>
      <c r="D100" s="1341">
        <v>0</v>
      </c>
      <c r="E100" s="1339" t="s">
        <v>532</v>
      </c>
    </row>
    <row ht="14.25" r="101" spans="1:5" x14ac:dyDescent="0.45">
      <c r="A101" s="1340">
        <v>411</v>
      </c>
      <c r="B101" s="1340" t="s">
        <v>533</v>
      </c>
      <c r="C101" s="1340" t="s">
        <v>345</v>
      </c>
      <c r="D101" s="1341">
        <v>0.115311648879</v>
      </c>
      <c r="E101" s="1339" t="s">
        <v>534</v>
      </c>
    </row>
    <row ht="14.25" r="102" spans="1:5" x14ac:dyDescent="0.45">
      <c r="A102" s="1340">
        <v>412</v>
      </c>
      <c r="B102" s="1340" t="s">
        <v>535</v>
      </c>
      <c r="C102" s="1340" t="s">
        <v>345</v>
      </c>
      <c r="D102" s="1341">
        <v>9.47178749948E-2</v>
      </c>
      <c r="E102" s="1339" t="s">
        <v>536</v>
      </c>
    </row>
    <row ht="14.25" r="103" spans="1:5" x14ac:dyDescent="0.45">
      <c r="A103" s="1340">
        <v>413</v>
      </c>
      <c r="B103" s="1340" t="s">
        <v>537</v>
      </c>
      <c r="C103" s="1340" t="s">
        <v>345</v>
      </c>
      <c r="D103" s="1341">
        <v>6.1244785304499998E-2</v>
      </c>
      <c r="E103" s="1339" t="s">
        <v>538</v>
      </c>
    </row>
    <row ht="14.25" r="104" spans="1:5" x14ac:dyDescent="0.45">
      <c r="A104" s="1340">
        <v>414</v>
      </c>
      <c r="B104" s="1340" t="s">
        <v>539</v>
      </c>
      <c r="C104" s="1340" t="s">
        <v>364</v>
      </c>
      <c r="D104" s="1341">
        <v>0</v>
      </c>
      <c r="E104" s="1339" t="s">
        <v>540</v>
      </c>
    </row>
    <row ht="14.25" r="105" spans="1:5" x14ac:dyDescent="0.45">
      <c r="A105" s="1340"/>
      <c r="B105" s="1340"/>
      <c r="C105" s="1340"/>
      <c r="D105" s="1341"/>
      <c r="E105" s="1339" t="s">
        <v>541</v>
      </c>
    </row>
    <row ht="14.25" r="106" spans="1:5" x14ac:dyDescent="0.45">
      <c r="A106" s="1340">
        <v>416</v>
      </c>
      <c r="B106" s="1340" t="s">
        <v>542</v>
      </c>
      <c r="C106" s="1340" t="s">
        <v>364</v>
      </c>
      <c r="D106" s="1341">
        <v>0</v>
      </c>
      <c r="E106" s="1339" t="s">
        <v>543</v>
      </c>
    </row>
    <row ht="14.25" r="107" spans="1:5" x14ac:dyDescent="0.45">
      <c r="A107" s="1340">
        <v>417</v>
      </c>
      <c r="B107" s="1340" t="s">
        <v>544</v>
      </c>
      <c r="C107" s="1340" t="s">
        <v>345</v>
      </c>
      <c r="D107" s="1341">
        <v>-0.40965813037100002</v>
      </c>
      <c r="E107" s="1339" t="s">
        <v>545</v>
      </c>
    </row>
    <row ht="14.25" r="108" spans="1:5" x14ac:dyDescent="0.45">
      <c r="A108" s="1340">
        <v>418</v>
      </c>
      <c r="B108" s="1340" t="s">
        <v>546</v>
      </c>
      <c r="C108" s="1340" t="s">
        <v>345</v>
      </c>
      <c r="D108" s="1341">
        <v>-0.27272828309399999</v>
      </c>
      <c r="E108" s="1339" t="s">
        <v>547</v>
      </c>
    </row>
    <row ht="14.25" r="109" spans="1:5" x14ac:dyDescent="0.45">
      <c r="A109" s="1340">
        <v>419</v>
      </c>
      <c r="B109" s="1340" t="s">
        <v>548</v>
      </c>
      <c r="C109" s="1340" t="s">
        <v>364</v>
      </c>
      <c r="D109" s="1341">
        <v>0</v>
      </c>
      <c r="E109" s="1339" t="s">
        <v>549</v>
      </c>
    </row>
    <row ht="14.25" r="110" spans="1:5" x14ac:dyDescent="0.45">
      <c r="A110" s="1340">
        <v>420</v>
      </c>
      <c r="B110" s="1340" t="s">
        <v>550</v>
      </c>
      <c r="C110" s="1340" t="s">
        <v>345</v>
      </c>
      <c r="D110" s="1341">
        <v>-0.47043638995300002</v>
      </c>
      <c r="E110" s="1339" t="s">
        <v>551</v>
      </c>
    </row>
    <row ht="14.25" r="111" spans="1:5" x14ac:dyDescent="0.45">
      <c r="A111" s="1340">
        <v>421</v>
      </c>
      <c r="B111" s="1340" t="s">
        <v>552</v>
      </c>
      <c r="C111" s="1340" t="s">
        <v>345</v>
      </c>
      <c r="D111" s="1341">
        <v>-0.37600681948100001</v>
      </c>
      <c r="E111" s="1339" t="s">
        <v>553</v>
      </c>
    </row>
    <row ht="14.25" r="112" spans="1:5" x14ac:dyDescent="0.45">
      <c r="A112" s="1340">
        <v>422</v>
      </c>
      <c r="B112" s="1340" t="s">
        <v>554</v>
      </c>
      <c r="C112" s="1340" t="s">
        <v>345</v>
      </c>
      <c r="D112" s="1341">
        <v>-0.209864278569</v>
      </c>
      <c r="E112" s="1339" t="s">
        <v>555</v>
      </c>
    </row>
    <row ht="14.25" r="113" spans="1:5" x14ac:dyDescent="0.45">
      <c r="A113" s="1340">
        <v>423</v>
      </c>
      <c r="B113" s="1340" t="s">
        <v>556</v>
      </c>
      <c r="C113" s="1340" t="s">
        <v>345</v>
      </c>
      <c r="D113" s="1341">
        <v>9.4396255009400007E-2</v>
      </c>
      <c r="E113" s="1339" t="s">
        <v>557</v>
      </c>
    </row>
    <row ht="14.25" r="114" spans="1:5" x14ac:dyDescent="0.45">
      <c r="A114" s="1340">
        <v>424</v>
      </c>
      <c r="B114" s="1340" t="s">
        <v>558</v>
      </c>
      <c r="C114" s="1340" t="s">
        <v>364</v>
      </c>
      <c r="D114" s="1341">
        <v>0</v>
      </c>
      <c r="E114" s="1339" t="s">
        <v>559</v>
      </c>
    </row>
    <row ht="14.25" r="115" spans="1:5" x14ac:dyDescent="0.45">
      <c r="A115" s="1340">
        <v>425</v>
      </c>
      <c r="B115" s="1340" t="s">
        <v>560</v>
      </c>
      <c r="C115" s="1340" t="s">
        <v>364</v>
      </c>
      <c r="D115" s="1341">
        <v>0</v>
      </c>
      <c r="E115" s="1339" t="s">
        <v>561</v>
      </c>
    </row>
    <row ht="14.25" r="116" spans="1:5" x14ac:dyDescent="0.45">
      <c r="A116" s="1340">
        <v>426</v>
      </c>
      <c r="B116" s="1340" t="s">
        <v>562</v>
      </c>
      <c r="C116" s="1340" t="s">
        <v>364</v>
      </c>
      <c r="D116" s="1341">
        <v>0</v>
      </c>
      <c r="E116" s="1339" t="s">
        <v>563</v>
      </c>
    </row>
    <row ht="14.25" r="117" spans="1:5" x14ac:dyDescent="0.45">
      <c r="A117" s="1340">
        <v>427</v>
      </c>
      <c r="B117" s="1340" t="s">
        <v>564</v>
      </c>
      <c r="C117" s="1340" t="s">
        <v>364</v>
      </c>
      <c r="D117" s="1341">
        <v>0</v>
      </c>
      <c r="E117" s="1339" t="s">
        <v>565</v>
      </c>
    </row>
    <row ht="14.25" r="118" spans="1:5" x14ac:dyDescent="0.45">
      <c r="A118" s="1340">
        <v>428</v>
      </c>
      <c r="B118" s="1340" t="s">
        <v>566</v>
      </c>
      <c r="C118" s="1340" t="s">
        <v>345</v>
      </c>
      <c r="D118" s="1341">
        <v>1.73847560434E-2</v>
      </c>
      <c r="E118" s="1339" t="s">
        <v>565</v>
      </c>
    </row>
    <row ht="14.25" r="119" spans="1:5" x14ac:dyDescent="0.45">
      <c r="A119" s="1340">
        <v>429</v>
      </c>
      <c r="B119" s="1340" t="s">
        <v>567</v>
      </c>
      <c r="C119" s="1340" t="s">
        <v>345</v>
      </c>
      <c r="D119" s="1341">
        <v>-5.59466962609E-2</v>
      </c>
      <c r="E119" s="1339" t="s">
        <v>565</v>
      </c>
    </row>
    <row ht="14.25" r="120" spans="1:5" x14ac:dyDescent="0.45">
      <c r="A120" s="1340">
        <v>451</v>
      </c>
      <c r="B120" s="1340" t="s">
        <v>568</v>
      </c>
      <c r="C120" s="1340" t="s">
        <v>364</v>
      </c>
      <c r="D120" s="1341">
        <v>0</v>
      </c>
      <c r="E120" s="1339" t="s">
        <v>569</v>
      </c>
    </row>
    <row ht="14.25" r="121" spans="1:5" x14ac:dyDescent="0.45">
      <c r="A121" s="1340">
        <v>500</v>
      </c>
      <c r="B121" s="1340" t="s">
        <v>570</v>
      </c>
      <c r="C121" s="1340" t="s">
        <v>345</v>
      </c>
      <c r="D121" s="1345">
        <v>-2.8894802391700001</v>
      </c>
      <c r="E121" s="1339" t="s">
        <v>571</v>
      </c>
    </row>
    <row ht="14.25" r="122" spans="1:5" x14ac:dyDescent="0.45">
      <c r="A122" s="1340">
        <v>501</v>
      </c>
      <c r="B122" s="1340" t="s">
        <v>572</v>
      </c>
      <c r="C122" s="1340" t="s">
        <v>345</v>
      </c>
      <c r="D122" s="1345">
        <v>1.20019223739</v>
      </c>
      <c r="E122" s="1339" t="s">
        <v>573</v>
      </c>
    </row>
    <row ht="14.25" r="123" spans="1:5" x14ac:dyDescent="0.45">
      <c r="A123" s="1340">
        <v>502</v>
      </c>
      <c r="B123" s="1340" t="s">
        <v>574</v>
      </c>
      <c r="C123" s="1340" t="s">
        <v>345</v>
      </c>
      <c r="D123" s="1341">
        <v>5.8380087117899999E-2</v>
      </c>
      <c r="E123" s="1339" t="s">
        <v>575</v>
      </c>
    </row>
    <row ht="14.25" r="124" spans="1:5" x14ac:dyDescent="0.45">
      <c r="A124" s="1340">
        <v>503</v>
      </c>
      <c r="B124" s="1340" t="s">
        <v>576</v>
      </c>
      <c r="C124" s="1340" t="s">
        <v>345</v>
      </c>
      <c r="D124" s="1341">
        <v>0.203681069582</v>
      </c>
      <c r="E124" s="1339" t="s">
        <v>577</v>
      </c>
    </row>
    <row ht="14.25" r="125" spans="1:5" x14ac:dyDescent="0.45">
      <c r="A125" s="1340">
        <v>504</v>
      </c>
      <c r="B125" s="1340" t="s">
        <v>578</v>
      </c>
      <c r="C125" s="1340" t="s">
        <v>345</v>
      </c>
      <c r="D125" s="1341">
        <v>0.46146093992800002</v>
      </c>
      <c r="E125" s="1339" t="s">
        <v>579</v>
      </c>
    </row>
    <row ht="14.25" r="126" spans="1:5" x14ac:dyDescent="0.45">
      <c r="A126" s="1340">
        <v>505</v>
      </c>
      <c r="B126" s="1340" t="s">
        <v>580</v>
      </c>
      <c r="C126" s="1340" t="s">
        <v>345</v>
      </c>
      <c r="D126" s="1341">
        <v>0.221710710605</v>
      </c>
      <c r="E126" s="1339" t="s">
        <v>581</v>
      </c>
    </row>
    <row ht="14.25" r="127" spans="1:5" x14ac:dyDescent="0.45">
      <c r="A127" s="1340">
        <v>506</v>
      </c>
      <c r="B127" s="1340" t="s">
        <v>582</v>
      </c>
      <c r="C127" s="1340" t="s">
        <v>345</v>
      </c>
      <c r="D127" s="1341">
        <v>-0.47361611325699998</v>
      </c>
      <c r="E127" s="1339" t="s">
        <v>583</v>
      </c>
    </row>
    <row ht="14.25" r="128" spans="1:5" x14ac:dyDescent="0.45">
      <c r="A128" s="1340">
        <v>507</v>
      </c>
      <c r="B128" s="1340" t="s">
        <v>584</v>
      </c>
      <c r="C128" s="1340" t="s">
        <v>345</v>
      </c>
      <c r="D128" s="1341">
        <v>-0.55915518403499997</v>
      </c>
      <c r="E128" s="1339" t="s">
        <v>585</v>
      </c>
    </row>
    <row ht="14.25" r="129" spans="1:5" x14ac:dyDescent="0.45">
      <c r="A129" s="1340">
        <v>508</v>
      </c>
      <c r="B129" s="1340" t="s">
        <v>586</v>
      </c>
      <c r="C129" s="1340" t="s">
        <v>364</v>
      </c>
      <c r="D129" s="1341">
        <v>0</v>
      </c>
      <c r="E129" s="1339" t="s">
        <v>587</v>
      </c>
    </row>
    <row ht="14.25" r="130" spans="1:5" x14ac:dyDescent="0.45">
      <c r="A130" s="1340">
        <v>509</v>
      </c>
      <c r="B130" s="1340" t="s">
        <v>588</v>
      </c>
      <c r="C130" s="1340" t="s">
        <v>345</v>
      </c>
      <c r="D130" s="1341">
        <v>-0.17146619609700001</v>
      </c>
      <c r="E130" s="1339" t="s">
        <v>589</v>
      </c>
    </row>
    <row ht="14.25" r="131" spans="1:5" x14ac:dyDescent="0.45">
      <c r="A131" s="1340">
        <v>510</v>
      </c>
      <c r="B131" s="1340" t="s">
        <v>590</v>
      </c>
      <c r="C131" s="1340" t="s">
        <v>364</v>
      </c>
      <c r="D131" s="1341">
        <v>0</v>
      </c>
      <c r="E131" s="1339" t="s">
        <v>591</v>
      </c>
    </row>
    <row ht="14.25" r="132" spans="1:5" x14ac:dyDescent="0.45">
      <c r="A132" s="1340">
        <v>511</v>
      </c>
      <c r="B132" s="1340" t="s">
        <v>592</v>
      </c>
      <c r="C132" s="1340" t="s">
        <v>364</v>
      </c>
      <c r="D132" s="1341">
        <v>0</v>
      </c>
      <c r="E132" s="1339" t="s">
        <v>593</v>
      </c>
    </row>
    <row ht="14.25" r="133" spans="1:5" x14ac:dyDescent="0.45">
      <c r="A133" s="1340">
        <v>512</v>
      </c>
      <c r="B133" s="1340" t="s">
        <v>594</v>
      </c>
      <c r="C133" s="1340" t="s">
        <v>345</v>
      </c>
      <c r="D133" s="1341">
        <v>0.107493865359</v>
      </c>
      <c r="E133" s="1339" t="s">
        <v>595</v>
      </c>
    </row>
    <row ht="14.25" r="134" spans="1:5" x14ac:dyDescent="0.45">
      <c r="A134" s="1340">
        <v>513</v>
      </c>
      <c r="B134" s="1340" t="s">
        <v>596</v>
      </c>
      <c r="C134" s="1340" t="s">
        <v>345</v>
      </c>
      <c r="D134" s="1341">
        <v>0.26453943645099998</v>
      </c>
      <c r="E134" s="1339" t="s">
        <v>597</v>
      </c>
    </row>
    <row ht="14.25" r="135" spans="1:5" x14ac:dyDescent="0.45">
      <c r="A135" s="1340">
        <v>514</v>
      </c>
      <c r="B135" s="1340" t="s">
        <v>598</v>
      </c>
      <c r="C135" s="1340" t="s">
        <v>364</v>
      </c>
      <c r="D135" s="1341">
        <v>0</v>
      </c>
      <c r="E135" s="1339" t="s">
        <v>599</v>
      </c>
    </row>
    <row ht="14.25" r="136" spans="1:5" x14ac:dyDescent="0.45">
      <c r="A136" s="1340"/>
      <c r="B136" s="1340"/>
      <c r="C136" s="1340"/>
      <c r="D136" s="1341"/>
      <c r="E136" s="1339" t="s">
        <v>600</v>
      </c>
    </row>
    <row ht="14.25" r="137" spans="1:5" x14ac:dyDescent="0.45">
      <c r="A137" s="1340">
        <v>516</v>
      </c>
      <c r="B137" s="1340" t="s">
        <v>601</v>
      </c>
      <c r="C137" s="1340" t="s">
        <v>345</v>
      </c>
      <c r="D137" s="1341">
        <v>0.17106021717600001</v>
      </c>
      <c r="E137" s="1339" t="s">
        <v>602</v>
      </c>
    </row>
    <row ht="14.25" r="138" spans="1:5" x14ac:dyDescent="0.45">
      <c r="A138" s="1340">
        <v>517</v>
      </c>
      <c r="B138" s="1340" t="s">
        <v>603</v>
      </c>
      <c r="C138" s="1340" t="s">
        <v>364</v>
      </c>
      <c r="D138" s="1341">
        <v>0</v>
      </c>
      <c r="E138" s="1339" t="s">
        <v>604</v>
      </c>
    </row>
    <row ht="14.25" r="139" spans="1:5" x14ac:dyDescent="0.45">
      <c r="A139" s="1340">
        <v>518</v>
      </c>
      <c r="B139" s="1340" t="s">
        <v>605</v>
      </c>
      <c r="C139" s="1340" t="s">
        <v>364</v>
      </c>
      <c r="D139" s="1341">
        <v>0</v>
      </c>
      <c r="E139" s="1339" t="s">
        <v>606</v>
      </c>
    </row>
    <row ht="14.25" r="140" spans="1:5" x14ac:dyDescent="0.45">
      <c r="A140" s="1340">
        <v>519</v>
      </c>
      <c r="B140" s="1340" t="s">
        <v>607</v>
      </c>
      <c r="C140" s="1340" t="s">
        <v>345</v>
      </c>
      <c r="D140" s="1341">
        <v>-0.35204692353900002</v>
      </c>
      <c r="E140" s="1339" t="s">
        <v>608</v>
      </c>
    </row>
    <row ht="14.25" r="141" spans="1:5" x14ac:dyDescent="0.45">
      <c r="A141" s="1340">
        <v>520</v>
      </c>
      <c r="B141" s="1340" t="s">
        <v>609</v>
      </c>
      <c r="C141" s="1340" t="s">
        <v>364</v>
      </c>
      <c r="D141" s="1341">
        <v>0</v>
      </c>
      <c r="E141" s="1339" t="s">
        <v>610</v>
      </c>
    </row>
    <row ht="14.25" r="142" spans="1:5" x14ac:dyDescent="0.45">
      <c r="A142" s="1340">
        <v>521</v>
      </c>
      <c r="B142" s="1340" t="s">
        <v>611</v>
      </c>
      <c r="C142" s="1340" t="s">
        <v>345</v>
      </c>
      <c r="D142" s="1341">
        <v>-0.30791030020900001</v>
      </c>
      <c r="E142" s="1339" t="s">
        <v>612</v>
      </c>
    </row>
    <row ht="14.25" r="143" spans="1:5" x14ac:dyDescent="0.45">
      <c r="A143" s="1340">
        <v>522</v>
      </c>
      <c r="B143" s="1340" t="s">
        <v>613</v>
      </c>
      <c r="C143" s="1340" t="s">
        <v>345</v>
      </c>
      <c r="D143" s="1341">
        <v>-0.29888855118699997</v>
      </c>
      <c r="E143" s="1339" t="s">
        <v>614</v>
      </c>
    </row>
    <row ht="14.25" r="144" spans="1:5" x14ac:dyDescent="0.45">
      <c r="A144" s="1340">
        <v>523</v>
      </c>
      <c r="B144" s="1340" t="s">
        <v>615</v>
      </c>
      <c r="C144" s="1340" t="s">
        <v>345</v>
      </c>
      <c r="D144" s="1341">
        <v>8.0266289956400005E-2</v>
      </c>
      <c r="E144" s="1339" t="s">
        <v>616</v>
      </c>
    </row>
    <row ht="14.25" r="145" spans="1:5" x14ac:dyDescent="0.45">
      <c r="A145" s="1340">
        <v>524</v>
      </c>
      <c r="B145" s="1340" t="s">
        <v>617</v>
      </c>
      <c r="C145" s="1340" t="s">
        <v>364</v>
      </c>
      <c r="D145" s="1341">
        <v>0</v>
      </c>
      <c r="E145" s="1339" t="s">
        <v>618</v>
      </c>
    </row>
    <row ht="14.25" r="146" spans="1:5" x14ac:dyDescent="0.45">
      <c r="A146" s="1340">
        <v>525</v>
      </c>
      <c r="B146" s="1340" t="s">
        <v>619</v>
      </c>
      <c r="C146" s="1340" t="s">
        <v>364</v>
      </c>
      <c r="D146" s="1341">
        <v>0</v>
      </c>
      <c r="E146" s="1339" t="s">
        <v>620</v>
      </c>
    </row>
    <row ht="14.25" r="147" spans="1:5" x14ac:dyDescent="0.45">
      <c r="A147" s="1340">
        <v>526</v>
      </c>
      <c r="B147" s="1340" t="s">
        <v>621</v>
      </c>
      <c r="C147" s="1340" t="s">
        <v>364</v>
      </c>
      <c r="D147" s="1341">
        <v>0</v>
      </c>
      <c r="E147" s="1339" t="s">
        <v>622</v>
      </c>
    </row>
    <row ht="14.25" r="148" spans="1:5" x14ac:dyDescent="0.45">
      <c r="A148" s="1340">
        <v>527</v>
      </c>
      <c r="B148" s="1340" t="s">
        <v>623</v>
      </c>
      <c r="C148" s="1340" t="s">
        <v>364</v>
      </c>
      <c r="D148" s="1341">
        <v>0</v>
      </c>
      <c r="E148" s="1339" t="s">
        <v>624</v>
      </c>
    </row>
    <row ht="14.25" r="149" spans="1:5" x14ac:dyDescent="0.45">
      <c r="A149" s="1340">
        <v>528</v>
      </c>
      <c r="B149" s="1340" t="s">
        <v>625</v>
      </c>
      <c r="C149" s="1340" t="s">
        <v>345</v>
      </c>
      <c r="D149" s="1341">
        <v>5.4115472884499999E-2</v>
      </c>
      <c r="E149" s="1339" t="s">
        <v>624</v>
      </c>
    </row>
    <row ht="14.25" r="150" spans="1:5" x14ac:dyDescent="0.45">
      <c r="A150" s="1340">
        <v>529</v>
      </c>
      <c r="B150" s="1340" t="s">
        <v>626</v>
      </c>
      <c r="C150" s="1340" t="s">
        <v>345</v>
      </c>
      <c r="D150" s="1341">
        <v>-2.8648428481899999E-2</v>
      </c>
      <c r="E150" s="1339" t="s">
        <v>624</v>
      </c>
    </row>
    <row ht="14.25" r="151" spans="1:5" x14ac:dyDescent="0.45">
      <c r="A151" s="1340">
        <v>551</v>
      </c>
      <c r="B151" s="1340" t="s">
        <v>627</v>
      </c>
      <c r="C151" s="1340" t="s">
        <v>364</v>
      </c>
      <c r="D151" s="1341">
        <v>0</v>
      </c>
      <c r="E151" s="1339" t="s">
        <v>628</v>
      </c>
    </row>
    <row ht="14.25" r="152" spans="1:5" x14ac:dyDescent="0.45">
      <c r="A152" s="1340">
        <v>600</v>
      </c>
      <c r="B152" s="1340" t="s">
        <v>629</v>
      </c>
      <c r="C152" s="1340" t="s">
        <v>345</v>
      </c>
      <c r="D152" s="1345">
        <v>-3.1425534854400001</v>
      </c>
      <c r="E152" s="1339" t="s">
        <v>630</v>
      </c>
    </row>
    <row ht="14.25" r="153" spans="1:5" x14ac:dyDescent="0.45">
      <c r="A153" s="1340">
        <v>601</v>
      </c>
      <c r="B153" s="1340" t="s">
        <v>631</v>
      </c>
      <c r="C153" s="1340" t="s">
        <v>345</v>
      </c>
      <c r="D153" s="1345">
        <v>0.46830660861500001</v>
      </c>
      <c r="E153" s="1339" t="s">
        <v>632</v>
      </c>
    </row>
    <row ht="14.25" r="154" spans="1:5" x14ac:dyDescent="0.45">
      <c r="A154" s="1340">
        <v>602</v>
      </c>
      <c r="B154" s="1340" t="s">
        <v>633</v>
      </c>
      <c r="C154" s="1340" t="s">
        <v>345</v>
      </c>
      <c r="D154" s="1341">
        <v>-0.25863723025500002</v>
      </c>
      <c r="E154" s="1339" t="s">
        <v>634</v>
      </c>
    </row>
    <row ht="14.25" r="155" spans="1:5" x14ac:dyDescent="0.45">
      <c r="A155" s="1340">
        <v>603</v>
      </c>
      <c r="B155" s="1340" t="s">
        <v>635</v>
      </c>
      <c r="C155" s="1340" t="s">
        <v>364</v>
      </c>
      <c r="D155" s="1341">
        <v>0</v>
      </c>
      <c r="E155" s="1339" t="s">
        <v>636</v>
      </c>
    </row>
    <row ht="14.25" r="156" spans="1:5" x14ac:dyDescent="0.45">
      <c r="A156" s="1340">
        <v>604</v>
      </c>
      <c r="B156" s="1340" t="s">
        <v>637</v>
      </c>
      <c r="C156" s="1340" t="s">
        <v>364</v>
      </c>
      <c r="D156" s="1341">
        <v>0</v>
      </c>
      <c r="E156" s="1339" t="s">
        <v>638</v>
      </c>
    </row>
    <row ht="14.25" r="157" spans="1:5" x14ac:dyDescent="0.45">
      <c r="A157" s="1340">
        <v>605</v>
      </c>
      <c r="B157" s="1340" t="s">
        <v>639</v>
      </c>
      <c r="C157" s="1340" t="s">
        <v>364</v>
      </c>
      <c r="D157" s="1341">
        <v>0</v>
      </c>
      <c r="E157" s="1339" t="s">
        <v>640</v>
      </c>
    </row>
    <row ht="14.25" r="158" spans="1:5" x14ac:dyDescent="0.45">
      <c r="A158" s="1340">
        <v>606</v>
      </c>
      <c r="B158" s="1340" t="s">
        <v>641</v>
      </c>
      <c r="C158" s="1340" t="s">
        <v>345</v>
      </c>
      <c r="D158" s="1341">
        <v>-0.43185728271200002</v>
      </c>
      <c r="E158" s="1339" t="s">
        <v>642</v>
      </c>
    </row>
    <row ht="14.25" r="159" spans="1:5" x14ac:dyDescent="0.45">
      <c r="A159" s="1340">
        <v>607</v>
      </c>
      <c r="B159" s="1340" t="s">
        <v>643</v>
      </c>
      <c r="C159" s="1340" t="s">
        <v>345</v>
      </c>
      <c r="D159" s="1341">
        <v>-0.761624854909</v>
      </c>
      <c r="E159" s="1339" t="s">
        <v>644</v>
      </c>
    </row>
    <row ht="14.25" r="160" spans="1:5" x14ac:dyDescent="0.45">
      <c r="A160" s="1340">
        <v>608</v>
      </c>
      <c r="B160" s="1340" t="s">
        <v>645</v>
      </c>
      <c r="C160" s="1340" t="s">
        <v>345</v>
      </c>
      <c r="D160" s="1341">
        <v>-0.333105150643</v>
      </c>
      <c r="E160" s="1339" t="s">
        <v>646</v>
      </c>
    </row>
    <row ht="14.25" r="161" spans="1:5" x14ac:dyDescent="0.45">
      <c r="A161" s="1340">
        <v>609</v>
      </c>
      <c r="B161" s="1340" t="s">
        <v>647</v>
      </c>
      <c r="C161" s="1340" t="s">
        <v>345</v>
      </c>
      <c r="D161" s="1341">
        <v>-0.13926104036799999</v>
      </c>
      <c r="E161" s="1339" t="s">
        <v>648</v>
      </c>
    </row>
    <row ht="14.25" r="162" spans="1:5" x14ac:dyDescent="0.45">
      <c r="A162" s="1340">
        <v>610</v>
      </c>
      <c r="B162" s="1340" t="s">
        <v>649</v>
      </c>
      <c r="C162" s="1340" t="s">
        <v>345</v>
      </c>
      <c r="D162" s="1341">
        <v>-0.138284140981</v>
      </c>
      <c r="E162" s="1339" t="s">
        <v>650</v>
      </c>
    </row>
    <row ht="14.25" r="163" spans="1:5" x14ac:dyDescent="0.45">
      <c r="A163" s="1340">
        <v>611</v>
      </c>
      <c r="B163" s="1340" t="s">
        <v>651</v>
      </c>
      <c r="C163" s="1340" t="s">
        <v>364</v>
      </c>
      <c r="D163" s="1341">
        <v>0</v>
      </c>
      <c r="E163" s="1339" t="s">
        <v>652</v>
      </c>
    </row>
    <row ht="14.25" r="164" spans="1:5" x14ac:dyDescent="0.45">
      <c r="A164" s="1340">
        <v>612</v>
      </c>
      <c r="B164" s="1340" t="s">
        <v>653</v>
      </c>
      <c r="C164" s="1340" t="s">
        <v>345</v>
      </c>
      <c r="D164" s="1341">
        <v>0.113283156875</v>
      </c>
      <c r="E164" s="1339" t="s">
        <v>654</v>
      </c>
    </row>
    <row ht="14.25" r="165" spans="1:5" x14ac:dyDescent="0.45">
      <c r="A165" s="1340">
        <v>613</v>
      </c>
      <c r="B165" s="1340" t="s">
        <v>655</v>
      </c>
      <c r="C165" s="1340" t="s">
        <v>364</v>
      </c>
      <c r="D165" s="1341">
        <v>0</v>
      </c>
      <c r="E165" s="1339" t="s">
        <v>656</v>
      </c>
    </row>
    <row ht="14.25" r="166" spans="1:5" x14ac:dyDescent="0.45">
      <c r="A166" s="1340">
        <v>614</v>
      </c>
      <c r="B166" s="1340" t="s">
        <v>657</v>
      </c>
      <c r="C166" s="1340" t="s">
        <v>364</v>
      </c>
      <c r="D166" s="1341">
        <v>0</v>
      </c>
      <c r="E166" s="1339" t="s">
        <v>658</v>
      </c>
    </row>
    <row ht="14.25" r="167" spans="1:5" x14ac:dyDescent="0.45">
      <c r="A167" s="1340"/>
      <c r="B167" s="1340"/>
      <c r="C167" s="1340"/>
      <c r="D167" s="1341"/>
      <c r="E167" s="1339" t="s">
        <v>659</v>
      </c>
    </row>
    <row ht="14.25" r="168" spans="1:5" x14ac:dyDescent="0.45">
      <c r="A168" s="1340">
        <v>616</v>
      </c>
      <c r="B168" s="1340" t="s">
        <v>660</v>
      </c>
      <c r="C168" s="1340" t="s">
        <v>345</v>
      </c>
      <c r="D168" s="1341">
        <v>-0.14819313325899999</v>
      </c>
      <c r="E168" s="1339" t="s">
        <v>661</v>
      </c>
    </row>
    <row ht="14.25" r="169" spans="1:5" x14ac:dyDescent="0.45">
      <c r="A169" s="1340">
        <v>617</v>
      </c>
      <c r="B169" s="1340" t="s">
        <v>662</v>
      </c>
      <c r="C169" s="1340" t="s">
        <v>364</v>
      </c>
      <c r="D169" s="1341">
        <v>0</v>
      </c>
      <c r="E169" s="1339" t="s">
        <v>663</v>
      </c>
    </row>
    <row ht="14.25" r="170" spans="1:5" x14ac:dyDescent="0.45">
      <c r="A170" s="1340">
        <v>618</v>
      </c>
      <c r="B170" s="1340" t="s">
        <v>664</v>
      </c>
      <c r="C170" s="1340" t="s">
        <v>345</v>
      </c>
      <c r="D170" s="1341">
        <v>-0.77235565857900002</v>
      </c>
      <c r="E170" s="1339" t="s">
        <v>665</v>
      </c>
    </row>
    <row ht="14.25" r="171" spans="1:5" x14ac:dyDescent="0.45">
      <c r="A171" s="1340">
        <v>619</v>
      </c>
      <c r="B171" s="1340" t="s">
        <v>666</v>
      </c>
      <c r="C171" s="1340" t="s">
        <v>364</v>
      </c>
      <c r="D171" s="1341">
        <v>0</v>
      </c>
      <c r="E171" s="1339" t="s">
        <v>667</v>
      </c>
    </row>
    <row ht="14.25" r="172" spans="1:5" x14ac:dyDescent="0.45">
      <c r="A172" s="1340">
        <v>620</v>
      </c>
      <c r="B172" s="1340" t="s">
        <v>668</v>
      </c>
      <c r="C172" s="1340" t="s">
        <v>345</v>
      </c>
      <c r="D172" s="1341">
        <v>-0.52846389883400002</v>
      </c>
      <c r="E172" s="1339" t="s">
        <v>669</v>
      </c>
    </row>
    <row ht="14.25" r="173" spans="1:5" x14ac:dyDescent="0.45">
      <c r="A173" s="1340">
        <v>621</v>
      </c>
      <c r="B173" s="1340" t="s">
        <v>670</v>
      </c>
      <c r="C173" s="1340" t="s">
        <v>364</v>
      </c>
      <c r="D173" s="1341">
        <v>0</v>
      </c>
      <c r="E173" s="1339" t="s">
        <v>671</v>
      </c>
    </row>
    <row ht="14.25" r="174" spans="1:5" x14ac:dyDescent="0.45">
      <c r="A174" s="1340">
        <v>622</v>
      </c>
      <c r="B174" s="1340" t="s">
        <v>672</v>
      </c>
      <c r="C174" s="1340" t="s">
        <v>364</v>
      </c>
      <c r="D174" s="1341">
        <v>0</v>
      </c>
      <c r="E174" s="1339" t="s">
        <v>673</v>
      </c>
    </row>
    <row ht="14.25" r="175" spans="1:5" x14ac:dyDescent="0.45">
      <c r="A175" s="1340">
        <v>623</v>
      </c>
      <c r="B175" s="1340" t="s">
        <v>674</v>
      </c>
      <c r="C175" s="1340" t="s">
        <v>364</v>
      </c>
      <c r="D175" s="1341">
        <v>0</v>
      </c>
      <c r="E175" s="1339" t="s">
        <v>675</v>
      </c>
    </row>
    <row ht="14.25" r="176" spans="1:5" x14ac:dyDescent="0.45">
      <c r="A176" s="1340">
        <v>624</v>
      </c>
      <c r="B176" s="1340" t="s">
        <v>676</v>
      </c>
      <c r="C176" s="1340" t="s">
        <v>364</v>
      </c>
      <c r="D176" s="1341">
        <v>0</v>
      </c>
      <c r="E176" s="1339" t="s">
        <v>677</v>
      </c>
    </row>
    <row ht="14.25" r="177" spans="1:5" x14ac:dyDescent="0.45">
      <c r="A177" s="1340">
        <v>625</v>
      </c>
      <c r="B177" s="1340" t="s">
        <v>678</v>
      </c>
      <c r="C177" s="1340" t="s">
        <v>364</v>
      </c>
      <c r="D177" s="1341">
        <v>0</v>
      </c>
      <c r="E177" s="1339" t="s">
        <v>679</v>
      </c>
    </row>
    <row ht="14.25" r="178" spans="1:5" x14ac:dyDescent="0.45">
      <c r="A178" s="1340">
        <v>626</v>
      </c>
      <c r="B178" s="1340" t="s">
        <v>680</v>
      </c>
      <c r="C178" s="1340" t="s">
        <v>364</v>
      </c>
      <c r="D178" s="1341">
        <v>0</v>
      </c>
      <c r="E178" s="1339" t="s">
        <v>681</v>
      </c>
    </row>
    <row ht="14.25" r="179" spans="1:5" x14ac:dyDescent="0.45">
      <c r="A179" s="1340">
        <v>627</v>
      </c>
      <c r="B179" s="1340" t="s">
        <v>682</v>
      </c>
      <c r="C179" s="1340" t="s">
        <v>364</v>
      </c>
      <c r="D179" s="1341">
        <v>0</v>
      </c>
      <c r="E179" s="1339" t="s">
        <v>683</v>
      </c>
    </row>
    <row ht="14.25" r="180" spans="1:5" x14ac:dyDescent="0.45">
      <c r="A180" s="1340">
        <v>628</v>
      </c>
      <c r="B180" s="1340" t="s">
        <v>684</v>
      </c>
      <c r="C180" s="1340" t="s">
        <v>345</v>
      </c>
      <c r="D180" s="1341">
        <v>1.67714133211E-2</v>
      </c>
      <c r="E180" s="1339" t="s">
        <v>683</v>
      </c>
    </row>
    <row ht="14.25" r="181" spans="1:5" x14ac:dyDescent="0.45">
      <c r="A181" s="1340">
        <v>629</v>
      </c>
      <c r="B181" s="1340" t="s">
        <v>685</v>
      </c>
      <c r="C181" s="1340" t="s">
        <v>345</v>
      </c>
      <c r="D181" s="1341">
        <v>-5.7462042074900001E-2</v>
      </c>
      <c r="E181" s="1339" t="s">
        <v>683</v>
      </c>
    </row>
    <row ht="14.25" r="182" spans="1:5" x14ac:dyDescent="0.45">
      <c r="A182" s="1340">
        <v>651</v>
      </c>
      <c r="B182" s="1340" t="s">
        <v>686</v>
      </c>
      <c r="C182" s="1340" t="s">
        <v>364</v>
      </c>
      <c r="D182" s="1341">
        <v>0</v>
      </c>
      <c r="E182" s="1339" t="s">
        <v>687</v>
      </c>
    </row>
    <row ht="14.25" r="183" spans="1:5" x14ac:dyDescent="0.45">
      <c r="A183" s="1340">
        <v>700</v>
      </c>
      <c r="B183" s="1340" t="s">
        <v>688</v>
      </c>
      <c r="C183" s="1340" t="s">
        <v>345</v>
      </c>
      <c r="D183" s="1345">
        <v>-2.2957108102200001</v>
      </c>
      <c r="E183" s="1339" t="s">
        <v>689</v>
      </c>
    </row>
    <row ht="14.25" r="184" spans="1:5" x14ac:dyDescent="0.45">
      <c r="A184" s="1340">
        <v>701</v>
      </c>
      <c r="B184" s="1340" t="s">
        <v>690</v>
      </c>
      <c r="C184" s="1340" t="s">
        <v>345</v>
      </c>
      <c r="D184" s="1345">
        <v>1.0435208703700001</v>
      </c>
      <c r="E184" s="1339" t="s">
        <v>691</v>
      </c>
    </row>
    <row ht="14.25" r="185" spans="1:5" x14ac:dyDescent="0.45">
      <c r="A185" s="1340">
        <v>702</v>
      </c>
      <c r="B185" s="1340" t="s">
        <v>692</v>
      </c>
      <c r="C185" s="1340" t="s">
        <v>364</v>
      </c>
      <c r="D185" s="1341">
        <v>0</v>
      </c>
      <c r="E185" s="1339" t="s">
        <v>693</v>
      </c>
    </row>
    <row ht="14.25" r="186" spans="1:5" x14ac:dyDescent="0.45">
      <c r="A186" s="1340">
        <v>703</v>
      </c>
      <c r="B186" s="1340" t="s">
        <v>694</v>
      </c>
      <c r="C186" s="1340" t="s">
        <v>364</v>
      </c>
      <c r="D186" s="1341">
        <v>0</v>
      </c>
      <c r="E186" s="1339" t="s">
        <v>695</v>
      </c>
    </row>
    <row ht="14.25" r="187" spans="1:5" x14ac:dyDescent="0.45">
      <c r="A187" s="1340">
        <v>704</v>
      </c>
      <c r="B187" s="1340" t="s">
        <v>696</v>
      </c>
      <c r="C187" s="1340" t="s">
        <v>364</v>
      </c>
      <c r="D187" s="1341">
        <v>0</v>
      </c>
      <c r="E187" s="1339" t="s">
        <v>697</v>
      </c>
    </row>
    <row ht="14.25" r="188" spans="1:5" x14ac:dyDescent="0.45">
      <c r="A188" s="1340">
        <v>705</v>
      </c>
      <c r="B188" s="1340" t="s">
        <v>698</v>
      </c>
      <c r="C188" s="1340" t="s">
        <v>364</v>
      </c>
      <c r="D188" s="1341">
        <v>0</v>
      </c>
      <c r="E188" s="1339" t="s">
        <v>699</v>
      </c>
    </row>
    <row ht="14.25" r="189" spans="1:5" x14ac:dyDescent="0.45">
      <c r="A189" s="1340">
        <v>706</v>
      </c>
      <c r="B189" s="1340" t="s">
        <v>700</v>
      </c>
      <c r="C189" s="1340" t="s">
        <v>364</v>
      </c>
      <c r="D189" s="1341">
        <v>0</v>
      </c>
      <c r="E189" s="1339" t="s">
        <v>701</v>
      </c>
    </row>
    <row ht="14.25" r="190" spans="1:5" x14ac:dyDescent="0.45">
      <c r="A190" s="1340">
        <v>707</v>
      </c>
      <c r="B190" s="1340" t="s">
        <v>702</v>
      </c>
      <c r="C190" s="1340" t="s">
        <v>345</v>
      </c>
      <c r="D190" s="1341">
        <v>0.32823377068999998</v>
      </c>
      <c r="E190" s="1339" t="s">
        <v>703</v>
      </c>
    </row>
    <row ht="14.25" r="191" spans="1:5" x14ac:dyDescent="0.45">
      <c r="A191" s="1340">
        <v>708</v>
      </c>
      <c r="B191" s="1340" t="s">
        <v>704</v>
      </c>
      <c r="C191" s="1340" t="s">
        <v>345</v>
      </c>
      <c r="D191" s="1341">
        <v>0.35139233343499998</v>
      </c>
      <c r="E191" s="1339" t="s">
        <v>705</v>
      </c>
    </row>
    <row ht="14.25" r="192" spans="1:5" x14ac:dyDescent="0.45">
      <c r="A192" s="1340">
        <v>709</v>
      </c>
      <c r="B192" s="1340" t="s">
        <v>706</v>
      </c>
      <c r="C192" s="1340" t="s">
        <v>345</v>
      </c>
      <c r="D192" s="1341">
        <v>-0.32863919348999998</v>
      </c>
      <c r="E192" s="1339" t="s">
        <v>707</v>
      </c>
    </row>
    <row ht="14.25" r="193" spans="1:5" x14ac:dyDescent="0.45">
      <c r="A193" s="1340">
        <v>710</v>
      </c>
      <c r="B193" s="1340" t="s">
        <v>708</v>
      </c>
      <c r="C193" s="1340" t="s">
        <v>345</v>
      </c>
      <c r="D193" s="1341">
        <v>-0.20972042282600001</v>
      </c>
      <c r="E193" s="1339" t="s">
        <v>709</v>
      </c>
    </row>
    <row ht="14.25" r="194" spans="1:5" x14ac:dyDescent="0.45">
      <c r="A194" s="1340">
        <v>711</v>
      </c>
      <c r="B194" s="1340" t="s">
        <v>710</v>
      </c>
      <c r="C194" s="1340" t="s">
        <v>345</v>
      </c>
      <c r="D194" s="1341">
        <v>0.228834456336</v>
      </c>
      <c r="E194" s="1339" t="s">
        <v>711</v>
      </c>
    </row>
    <row ht="14.25" r="195" spans="1:5" x14ac:dyDescent="0.45">
      <c r="A195" s="1340">
        <v>712</v>
      </c>
      <c r="B195" s="1340" t="s">
        <v>712</v>
      </c>
      <c r="C195" s="1340" t="s">
        <v>345</v>
      </c>
      <c r="D195" s="1341">
        <v>8.8648559868700003E-2</v>
      </c>
      <c r="E195" s="1339" t="s">
        <v>713</v>
      </c>
    </row>
    <row ht="14.25" r="196" spans="1:5" x14ac:dyDescent="0.45">
      <c r="A196" s="1340">
        <v>713</v>
      </c>
      <c r="B196" s="1340" t="s">
        <v>714</v>
      </c>
      <c r="C196" s="1340" t="s">
        <v>345</v>
      </c>
      <c r="D196" s="1341">
        <v>6.1717359063299997E-2</v>
      </c>
      <c r="E196" s="1339" t="s">
        <v>715</v>
      </c>
    </row>
    <row ht="14.25" r="197" spans="1:5" x14ac:dyDescent="0.45">
      <c r="A197" s="1340">
        <v>714</v>
      </c>
      <c r="B197" s="1340" t="s">
        <v>716</v>
      </c>
      <c r="C197" s="1340" t="s">
        <v>364</v>
      </c>
      <c r="D197" s="1341">
        <v>0</v>
      </c>
      <c r="E197" s="1339" t="s">
        <v>717</v>
      </c>
    </row>
    <row ht="14.25" r="198" spans="1:5" x14ac:dyDescent="0.45">
      <c r="A198" s="1340"/>
      <c r="B198" s="1340"/>
      <c r="C198" s="1340"/>
      <c r="D198" s="1341"/>
      <c r="E198" s="1339" t="s">
        <v>718</v>
      </c>
    </row>
    <row ht="14.25" r="199" spans="1:5" x14ac:dyDescent="0.45">
      <c r="A199" s="1340">
        <v>716</v>
      </c>
      <c r="B199" s="1340" t="s">
        <v>719</v>
      </c>
      <c r="C199" s="1340" t="s">
        <v>364</v>
      </c>
      <c r="D199" s="1341">
        <v>0</v>
      </c>
      <c r="E199" s="1339" t="s">
        <v>720</v>
      </c>
    </row>
    <row ht="14.25" r="200" spans="1:5" x14ac:dyDescent="0.45">
      <c r="A200" s="1340">
        <v>717</v>
      </c>
      <c r="B200" s="1340" t="s">
        <v>721</v>
      </c>
      <c r="C200" s="1340" t="s">
        <v>364</v>
      </c>
      <c r="D200" s="1341">
        <v>0</v>
      </c>
      <c r="E200" s="1339" t="s">
        <v>722</v>
      </c>
    </row>
    <row ht="14.25" r="201" spans="1:5" x14ac:dyDescent="0.45">
      <c r="A201" s="1340">
        <v>718</v>
      </c>
      <c r="B201" s="1340" t="s">
        <v>723</v>
      </c>
      <c r="C201" s="1340" t="s">
        <v>345</v>
      </c>
      <c r="D201" s="1341">
        <v>-0.34857981358700002</v>
      </c>
      <c r="E201" s="1339" t="s">
        <v>724</v>
      </c>
    </row>
    <row ht="14.25" r="202" spans="1:5" x14ac:dyDescent="0.45">
      <c r="A202" s="1340">
        <v>719</v>
      </c>
      <c r="B202" s="1340" t="s">
        <v>725</v>
      </c>
      <c r="C202" s="1340" t="s">
        <v>364</v>
      </c>
      <c r="D202" s="1341">
        <v>0</v>
      </c>
      <c r="E202" s="1339" t="s">
        <v>726</v>
      </c>
    </row>
    <row ht="14.25" r="203" spans="1:5" x14ac:dyDescent="0.45">
      <c r="A203" s="1340">
        <v>720</v>
      </c>
      <c r="B203" s="1340" t="s">
        <v>727</v>
      </c>
      <c r="C203" s="1340" t="s">
        <v>345</v>
      </c>
      <c r="D203" s="1341">
        <v>-0.37096408844599998</v>
      </c>
      <c r="E203" s="1339" t="s">
        <v>728</v>
      </c>
    </row>
    <row ht="14.25" r="204" spans="1:5" x14ac:dyDescent="0.45">
      <c r="A204" s="1340">
        <v>721</v>
      </c>
      <c r="B204" s="1340" t="s">
        <v>729</v>
      </c>
      <c r="C204" s="1340" t="s">
        <v>364</v>
      </c>
      <c r="D204" s="1341">
        <v>0</v>
      </c>
      <c r="E204" s="1339" t="s">
        <v>730</v>
      </c>
    </row>
    <row ht="14.25" r="205" spans="1:5" x14ac:dyDescent="0.45">
      <c r="A205" s="1340">
        <v>722</v>
      </c>
      <c r="B205" s="1340" t="s">
        <v>731</v>
      </c>
      <c r="C205" s="1340" t="s">
        <v>364</v>
      </c>
      <c r="D205" s="1341">
        <v>0</v>
      </c>
      <c r="E205" s="1339" t="s">
        <v>732</v>
      </c>
    </row>
    <row ht="14.25" r="206" spans="1:5" x14ac:dyDescent="0.45">
      <c r="A206" s="1340">
        <v>723</v>
      </c>
      <c r="B206" s="1340" t="s">
        <v>733</v>
      </c>
      <c r="C206" s="1340" t="s">
        <v>345</v>
      </c>
      <c r="D206" s="1341">
        <v>-0.27446758810600003</v>
      </c>
      <c r="E206" s="1339" t="s">
        <v>734</v>
      </c>
    </row>
    <row ht="14.25" r="207" spans="1:5" x14ac:dyDescent="0.45">
      <c r="A207" s="1340">
        <v>724</v>
      </c>
      <c r="B207" s="1340" t="s">
        <v>735</v>
      </c>
      <c r="C207" s="1340" t="s">
        <v>345</v>
      </c>
      <c r="D207" s="1341">
        <v>-0.54557098181399999</v>
      </c>
      <c r="E207" s="1339" t="s">
        <v>736</v>
      </c>
    </row>
    <row ht="14.25" r="208" spans="1:5" x14ac:dyDescent="0.45">
      <c r="A208" s="1340">
        <v>725</v>
      </c>
      <c r="B208" s="1340" t="s">
        <v>737</v>
      </c>
      <c r="C208" s="1340" t="s">
        <v>364</v>
      </c>
      <c r="D208" s="1341">
        <v>0</v>
      </c>
      <c r="E208" s="1339" t="s">
        <v>738</v>
      </c>
    </row>
    <row ht="14.25" r="209" spans="1:5" x14ac:dyDescent="0.45">
      <c r="A209" s="1340">
        <v>726</v>
      </c>
      <c r="B209" s="1340" t="s">
        <v>739</v>
      </c>
      <c r="C209" s="1340" t="s">
        <v>364</v>
      </c>
      <c r="D209" s="1341">
        <v>0</v>
      </c>
      <c r="E209" s="1339" t="s">
        <v>740</v>
      </c>
    </row>
    <row ht="14.25" r="210" spans="1:5" x14ac:dyDescent="0.45">
      <c r="A210" s="1340">
        <v>727</v>
      </c>
      <c r="B210" s="1340" t="s">
        <v>741</v>
      </c>
      <c r="C210" s="1340" t="s">
        <v>364</v>
      </c>
      <c r="D210" s="1341">
        <v>0</v>
      </c>
      <c r="E210" s="1339" t="s">
        <v>742</v>
      </c>
    </row>
    <row ht="14.25" r="211" spans="1:5" x14ac:dyDescent="0.45">
      <c r="A211" s="1340">
        <v>728</v>
      </c>
      <c r="B211" s="1340" t="s">
        <v>743</v>
      </c>
      <c r="C211" s="1340" t="s">
        <v>345</v>
      </c>
      <c r="D211" s="1341">
        <v>1.8259670169799999E-2</v>
      </c>
      <c r="E211" s="1339" t="s">
        <v>742</v>
      </c>
    </row>
    <row ht="14.25" r="212" spans="1:5" x14ac:dyDescent="0.45">
      <c r="A212" s="1340">
        <v>729</v>
      </c>
      <c r="B212" s="1340" t="s">
        <v>744</v>
      </c>
      <c r="C212" s="1340" t="s">
        <v>345</v>
      </c>
      <c r="D212" s="1341">
        <v>-8.7588819390500006E-2</v>
      </c>
      <c r="E212" s="1339" t="s">
        <v>742</v>
      </c>
    </row>
    <row ht="14.25" r="213" spans="1:5" x14ac:dyDescent="0.45">
      <c r="A213" s="1340">
        <v>751</v>
      </c>
      <c r="B213" s="1340" t="s">
        <v>745</v>
      </c>
      <c r="C213" s="1340" t="s">
        <v>345</v>
      </c>
      <c r="D213" s="1341">
        <v>-0.22130910929299999</v>
      </c>
      <c r="E213" s="1339" t="s">
        <v>746</v>
      </c>
    </row>
    <row ht="14.25" r="214" spans="1:5" x14ac:dyDescent="0.45">
      <c r="A214" s="1340">
        <v>802</v>
      </c>
      <c r="B214" s="1340" t="s">
        <v>747</v>
      </c>
      <c r="C214" s="1340" t="s">
        <v>345</v>
      </c>
      <c r="D214" s="1341">
        <v>0.60088845647900002</v>
      </c>
      <c r="E214" s="1339" t="s">
        <v>748</v>
      </c>
    </row>
    <row ht="14.25" r="215" spans="1:5" x14ac:dyDescent="0.45">
      <c r="A215" s="1340">
        <v>803</v>
      </c>
      <c r="B215" s="1340" t="s">
        <v>749</v>
      </c>
      <c r="C215" s="1340" t="s">
        <v>345</v>
      </c>
      <c r="D215" s="1341">
        <v>0.35497920864400001</v>
      </c>
      <c r="E215" s="1339" t="s">
        <v>750</v>
      </c>
    </row>
    <row ht="14.25" r="216" spans="1:5" x14ac:dyDescent="0.45">
      <c r="A216" s="1340">
        <v>804</v>
      </c>
      <c r="B216" s="1340" t="s">
        <v>751</v>
      </c>
      <c r="C216" s="1340" t="s">
        <v>345</v>
      </c>
      <c r="D216" s="1341">
        <v>0.20313273922399999</v>
      </c>
      <c r="E216" s="1339" t="s">
        <v>752</v>
      </c>
    </row>
    <row ht="14.25" r="217" spans="1:5" x14ac:dyDescent="0.45">
      <c r="A217" s="1340">
        <v>805</v>
      </c>
      <c r="B217" s="1340" t="s">
        <v>753</v>
      </c>
      <c r="C217" s="1340" t="s">
        <v>345</v>
      </c>
      <c r="D217" s="1341">
        <v>0.36229771955599999</v>
      </c>
      <c r="E217" s="1339" t="s">
        <v>754</v>
      </c>
    </row>
    <row ht="14.25" r="218" spans="1:5" x14ac:dyDescent="0.45">
      <c r="A218" s="1340">
        <v>806</v>
      </c>
      <c r="B218" s="1340" t="s">
        <v>755</v>
      </c>
      <c r="C218" s="1340" t="s">
        <v>345</v>
      </c>
      <c r="D218" s="1341">
        <v>0.94922191818599999</v>
      </c>
      <c r="E218" s="1339" t="s">
        <v>756</v>
      </c>
    </row>
    <row ht="14.25" r="219" spans="1:5" x14ac:dyDescent="0.45">
      <c r="A219" s="1340">
        <v>807</v>
      </c>
      <c r="B219" s="1340" t="s">
        <v>757</v>
      </c>
      <c r="C219" s="1340" t="s">
        <v>345</v>
      </c>
      <c r="D219" s="1341">
        <v>0.74295703060700002</v>
      </c>
      <c r="E219" s="1339" t="s">
        <v>758</v>
      </c>
    </row>
    <row ht="14.25" r="220" spans="1:5" x14ac:dyDescent="0.45">
      <c r="A220" s="1340">
        <v>808</v>
      </c>
      <c r="B220" s="1340" t="s">
        <v>759</v>
      </c>
      <c r="C220" s="1340" t="s">
        <v>364</v>
      </c>
      <c r="D220" s="1341">
        <v>0</v>
      </c>
      <c r="E220" s="1339" t="s">
        <v>760</v>
      </c>
    </row>
    <row ht="14.25" r="221" spans="1:5" x14ac:dyDescent="0.45">
      <c r="A221" s="1340">
        <v>809</v>
      </c>
      <c r="B221" s="1340" t="s">
        <v>761</v>
      </c>
      <c r="C221" s="1340" t="s">
        <v>364</v>
      </c>
      <c r="D221" s="1341">
        <v>0</v>
      </c>
      <c r="E221" s="1339" t="s">
        <v>762</v>
      </c>
    </row>
    <row ht="14.25" r="222" spans="1:5" x14ac:dyDescent="0.45">
      <c r="A222" s="1340">
        <v>810</v>
      </c>
      <c r="B222" s="1340" t="s">
        <v>763</v>
      </c>
      <c r="C222" s="1340" t="s">
        <v>364</v>
      </c>
      <c r="D222" s="1341">
        <v>0</v>
      </c>
      <c r="E222" s="1339" t="s">
        <v>764</v>
      </c>
    </row>
    <row ht="14.25" r="223" spans="1:5" x14ac:dyDescent="0.45">
      <c r="A223" s="1340">
        <v>811</v>
      </c>
      <c r="B223" s="1340" t="s">
        <v>765</v>
      </c>
      <c r="C223" s="1340" t="s">
        <v>364</v>
      </c>
      <c r="D223" s="1341">
        <v>0</v>
      </c>
      <c r="E223" s="1339" t="s">
        <v>766</v>
      </c>
    </row>
    <row ht="14.25" r="224" spans="1:5" x14ac:dyDescent="0.45">
      <c r="A224" s="1340">
        <v>812</v>
      </c>
      <c r="B224" s="1340" t="s">
        <v>767</v>
      </c>
      <c r="C224" s="1340" t="s">
        <v>364</v>
      </c>
      <c r="D224" s="1341">
        <v>0</v>
      </c>
      <c r="E224" s="1339" t="s">
        <v>768</v>
      </c>
    </row>
    <row ht="14.25" r="225" spans="1:5" x14ac:dyDescent="0.45">
      <c r="A225" s="1340">
        <v>813</v>
      </c>
      <c r="B225" s="1340" t="s">
        <v>769</v>
      </c>
      <c r="C225" s="1340" t="s">
        <v>364</v>
      </c>
      <c r="D225" s="1341">
        <v>0</v>
      </c>
      <c r="E225" s="1339" t="s">
        <v>770</v>
      </c>
    </row>
    <row ht="14.25" r="226" spans="1:5" x14ac:dyDescent="0.45">
      <c r="A226" s="1340">
        <v>814</v>
      </c>
      <c r="B226" s="1340" t="s">
        <v>771</v>
      </c>
      <c r="C226" s="1340" t="s">
        <v>364</v>
      </c>
      <c r="D226" s="1341">
        <v>0</v>
      </c>
      <c r="E226" s="1339" t="s">
        <v>772</v>
      </c>
    </row>
    <row ht="14.25" r="227" spans="1:5" x14ac:dyDescent="0.45">
      <c r="A227" s="1340"/>
      <c r="B227" s="1340"/>
      <c r="C227" s="1340"/>
      <c r="D227" s="1341"/>
      <c r="E227" s="1339" t="s">
        <v>773</v>
      </c>
    </row>
    <row ht="14.25" r="228" spans="1:5" x14ac:dyDescent="0.45">
      <c r="A228" s="1340">
        <v>816</v>
      </c>
      <c r="B228" s="1340" t="s">
        <v>774</v>
      </c>
      <c r="C228" s="1340" t="s">
        <v>345</v>
      </c>
      <c r="D228" s="1341">
        <v>-0.173824856152</v>
      </c>
      <c r="E228" s="1339" t="s">
        <v>775</v>
      </c>
    </row>
    <row ht="14.25" r="229" spans="1:5" x14ac:dyDescent="0.45">
      <c r="A229" s="1340">
        <v>817</v>
      </c>
      <c r="B229" s="1340" t="s">
        <v>776</v>
      </c>
      <c r="C229" s="1340" t="s">
        <v>345</v>
      </c>
      <c r="D229" s="1341">
        <v>-0.84168486773899998</v>
      </c>
      <c r="E229" s="1339" t="s">
        <v>777</v>
      </c>
    </row>
    <row ht="14.25" r="230" spans="1:5" x14ac:dyDescent="0.45">
      <c r="A230" s="1340">
        <v>818</v>
      </c>
      <c r="B230" s="1340" t="s">
        <v>778</v>
      </c>
      <c r="C230" s="1340" t="s">
        <v>345</v>
      </c>
      <c r="D230" s="1341">
        <v>0.69190233831699999</v>
      </c>
      <c r="E230" s="1339" t="s">
        <v>779</v>
      </c>
    </row>
    <row ht="14.25" r="231" spans="1:5" x14ac:dyDescent="0.45">
      <c r="A231" s="1340">
        <v>819</v>
      </c>
      <c r="B231" s="1340" t="s">
        <v>780</v>
      </c>
      <c r="C231" s="1340" t="s">
        <v>345</v>
      </c>
      <c r="D231" s="1341">
        <v>-0.35930557927899998</v>
      </c>
      <c r="E231" s="1339" t="s">
        <v>781</v>
      </c>
    </row>
    <row ht="14.25" r="232" spans="1:5" x14ac:dyDescent="0.45">
      <c r="A232" s="1340">
        <v>820</v>
      </c>
      <c r="B232" s="1340" t="s">
        <v>782</v>
      </c>
      <c r="C232" s="1340" t="s">
        <v>345</v>
      </c>
      <c r="D232" s="1341">
        <v>0.61080273357399995</v>
      </c>
      <c r="E232" s="1339" t="s">
        <v>783</v>
      </c>
    </row>
    <row ht="14.25" r="233" spans="1:5" x14ac:dyDescent="0.45">
      <c r="A233" s="1340">
        <v>821</v>
      </c>
      <c r="B233" s="1340" t="s">
        <v>784</v>
      </c>
      <c r="C233" s="1340" t="s">
        <v>345</v>
      </c>
      <c r="D233" s="1341">
        <v>0.41956504765899999</v>
      </c>
      <c r="E233" s="1339" t="s">
        <v>785</v>
      </c>
    </row>
    <row ht="14.25" r="234" spans="1:5" x14ac:dyDescent="0.45">
      <c r="A234" s="1340">
        <v>822</v>
      </c>
      <c r="B234" s="1340" t="s">
        <v>786</v>
      </c>
      <c r="C234" s="1340" t="s">
        <v>364</v>
      </c>
      <c r="D234" s="1341">
        <v>0</v>
      </c>
      <c r="E234" s="1339" t="s">
        <v>787</v>
      </c>
    </row>
    <row ht="14.25" r="235" spans="1:5" x14ac:dyDescent="0.45">
      <c r="A235" s="1340">
        <v>823</v>
      </c>
      <c r="B235" s="1340" t="s">
        <v>788</v>
      </c>
      <c r="C235" s="1340" t="s">
        <v>364</v>
      </c>
      <c r="D235" s="1341">
        <v>0</v>
      </c>
      <c r="E235" s="1339" t="s">
        <v>789</v>
      </c>
    </row>
    <row ht="14.25" r="236" spans="1:5" x14ac:dyDescent="0.45">
      <c r="A236" s="1340">
        <v>824</v>
      </c>
      <c r="B236" s="1340" t="s">
        <v>790</v>
      </c>
      <c r="C236" s="1340" t="s">
        <v>345</v>
      </c>
      <c r="D236" s="1341">
        <v>0.58100166113100005</v>
      </c>
      <c r="E236" s="1339" t="s">
        <v>791</v>
      </c>
    </row>
    <row ht="14.25" r="237" spans="1:5" x14ac:dyDescent="0.45">
      <c r="A237" s="1340">
        <v>825</v>
      </c>
      <c r="B237" s="1340" t="s">
        <v>792</v>
      </c>
      <c r="C237" s="1340" t="s">
        <v>364</v>
      </c>
      <c r="D237" s="1341">
        <v>0</v>
      </c>
      <c r="E237" s="1339" t="s">
        <v>793</v>
      </c>
    </row>
    <row ht="14.25" r="238" spans="1:5" x14ac:dyDescent="0.45">
      <c r="A238" s="1340">
        <v>826</v>
      </c>
      <c r="B238" s="1340" t="s">
        <v>794</v>
      </c>
      <c r="C238" s="1340" t="s">
        <v>345</v>
      </c>
      <c r="D238" s="1341">
        <v>1.2369334111600001E-3</v>
      </c>
      <c r="E238" s="1339" t="s">
        <v>795</v>
      </c>
    </row>
    <row ht="14.25" r="239" spans="1:5" x14ac:dyDescent="0.45">
      <c r="A239" s="1340">
        <v>827</v>
      </c>
      <c r="B239" s="1340" t="s">
        <v>796</v>
      </c>
      <c r="C239" s="1340" t="s">
        <v>345</v>
      </c>
      <c r="D239" s="1341">
        <v>3.29179941507E-2</v>
      </c>
      <c r="E239" s="1339" t="s">
        <v>797</v>
      </c>
    </row>
    <row ht="14.25" r="240" spans="1:5" x14ac:dyDescent="0.45">
      <c r="A240" s="1340">
        <v>851</v>
      </c>
      <c r="B240" s="1340" t="s">
        <v>798</v>
      </c>
      <c r="C240" s="1340" t="s">
        <v>364</v>
      </c>
      <c r="D240" s="1341">
        <v>0</v>
      </c>
      <c r="E240" s="1339" t="s">
        <v>799</v>
      </c>
    </row>
    <row ht="14.25" r="241" spans="1:5" x14ac:dyDescent="0.45">
      <c r="A241" s="1340">
        <v>902</v>
      </c>
      <c r="B241" s="1340" t="s">
        <v>800</v>
      </c>
      <c r="C241" s="1340" t="s">
        <v>364</v>
      </c>
      <c r="D241" s="1341">
        <v>0</v>
      </c>
      <c r="E241" s="1339" t="s">
        <v>801</v>
      </c>
    </row>
    <row ht="14.25" r="242" spans="1:5" x14ac:dyDescent="0.45">
      <c r="A242" s="1340">
        <v>903</v>
      </c>
      <c r="B242" s="1340" t="s">
        <v>802</v>
      </c>
      <c r="C242" s="1340" t="s">
        <v>364</v>
      </c>
      <c r="D242" s="1341">
        <v>0</v>
      </c>
      <c r="E242" s="1339" t="s">
        <v>803</v>
      </c>
    </row>
    <row ht="14.25" r="243" spans="1:5" x14ac:dyDescent="0.45">
      <c r="A243" s="1340">
        <v>904</v>
      </c>
      <c r="B243" s="1340" t="s">
        <v>804</v>
      </c>
      <c r="C243" s="1340" t="s">
        <v>364</v>
      </c>
      <c r="D243" s="1341">
        <v>0</v>
      </c>
      <c r="E243" s="1339" t="s">
        <v>805</v>
      </c>
    </row>
    <row ht="14.25" r="244" spans="1:5" x14ac:dyDescent="0.45">
      <c r="A244" s="1340">
        <v>905</v>
      </c>
      <c r="B244" s="1340" t="s">
        <v>806</v>
      </c>
      <c r="C244" s="1340" t="s">
        <v>364</v>
      </c>
      <c r="D244" s="1341">
        <v>0</v>
      </c>
      <c r="E244" s="1339" t="s">
        <v>807</v>
      </c>
    </row>
    <row ht="14.25" r="245" spans="1:5" x14ac:dyDescent="0.45">
      <c r="A245" s="1340">
        <v>906</v>
      </c>
      <c r="B245" s="1340" t="s">
        <v>808</v>
      </c>
      <c r="C245" s="1340" t="s">
        <v>345</v>
      </c>
      <c r="D245" s="1341">
        <v>0.91744825006800002</v>
      </c>
      <c r="E245" s="1339" t="s">
        <v>809</v>
      </c>
    </row>
    <row ht="14.25" r="246" spans="1:5" x14ac:dyDescent="0.45">
      <c r="A246" s="1340">
        <v>907</v>
      </c>
      <c r="B246" s="1340" t="s">
        <v>810</v>
      </c>
      <c r="C246" s="1340" t="s">
        <v>345</v>
      </c>
      <c r="D246" s="1341">
        <v>0.210035136712</v>
      </c>
      <c r="E246" s="1339" t="s">
        <v>811</v>
      </c>
    </row>
    <row ht="14.25" r="247" spans="1:5" x14ac:dyDescent="0.45">
      <c r="A247" s="1340">
        <v>908</v>
      </c>
      <c r="B247" s="1340" t="s">
        <v>812</v>
      </c>
      <c r="C247" s="1340" t="s">
        <v>364</v>
      </c>
      <c r="D247" s="1341">
        <v>0</v>
      </c>
      <c r="E247" s="1339" t="s">
        <v>813</v>
      </c>
    </row>
    <row ht="14.25" r="248" spans="1:5" x14ac:dyDescent="0.45">
      <c r="A248" s="1340">
        <v>909</v>
      </c>
      <c r="B248" s="1340" t="s">
        <v>814</v>
      </c>
      <c r="C248" s="1340" t="s">
        <v>364</v>
      </c>
      <c r="D248" s="1341">
        <v>0</v>
      </c>
      <c r="E248" s="1339" t="s">
        <v>815</v>
      </c>
    </row>
    <row ht="14.25" r="249" spans="1:5" x14ac:dyDescent="0.45">
      <c r="A249" s="1340">
        <v>910</v>
      </c>
      <c r="B249" s="1340" t="s">
        <v>816</v>
      </c>
      <c r="C249" s="1340" t="s">
        <v>364</v>
      </c>
      <c r="D249" s="1341">
        <v>0</v>
      </c>
      <c r="E249" s="1339" t="s">
        <v>817</v>
      </c>
    </row>
    <row ht="14.25" r="250" spans="1:5" x14ac:dyDescent="0.45">
      <c r="A250" s="1340">
        <v>911</v>
      </c>
      <c r="B250" s="1340" t="s">
        <v>818</v>
      </c>
      <c r="C250" s="1340" t="s">
        <v>364</v>
      </c>
      <c r="D250" s="1341">
        <v>0</v>
      </c>
      <c r="E250" s="1339" t="s">
        <v>819</v>
      </c>
    </row>
    <row ht="14.25" r="251" spans="1:5" x14ac:dyDescent="0.45">
      <c r="A251" s="1340">
        <v>912</v>
      </c>
      <c r="B251" s="1340" t="s">
        <v>820</v>
      </c>
      <c r="C251" s="1340" t="s">
        <v>364</v>
      </c>
      <c r="D251" s="1341">
        <v>0</v>
      </c>
      <c r="E251" s="1339" t="s">
        <v>821</v>
      </c>
    </row>
    <row ht="14.25" r="252" spans="1:5" x14ac:dyDescent="0.45">
      <c r="A252" s="1340">
        <v>913</v>
      </c>
      <c r="B252" s="1340" t="s">
        <v>822</v>
      </c>
      <c r="C252" s="1340" t="s">
        <v>364</v>
      </c>
      <c r="D252" s="1341">
        <v>0</v>
      </c>
      <c r="E252" s="1339" t="s">
        <v>823</v>
      </c>
    </row>
    <row ht="14.25" r="253" spans="1:5" x14ac:dyDescent="0.45">
      <c r="A253" s="1340">
        <v>914</v>
      </c>
      <c r="B253" s="1340" t="s">
        <v>824</v>
      </c>
      <c r="C253" s="1340" t="s">
        <v>364</v>
      </c>
      <c r="D253" s="1341">
        <v>0</v>
      </c>
      <c r="E253" s="1339" t="s">
        <v>825</v>
      </c>
    </row>
    <row ht="14.25" r="254" spans="1:5" x14ac:dyDescent="0.45">
      <c r="A254" s="1340"/>
      <c r="B254" s="1340"/>
      <c r="C254" s="1340"/>
      <c r="D254" s="1341"/>
      <c r="E254" s="1339" t="s">
        <v>826</v>
      </c>
    </row>
    <row ht="14.25" r="255" spans="1:5" x14ac:dyDescent="0.45">
      <c r="A255" s="1340">
        <v>916</v>
      </c>
      <c r="B255" s="1340" t="s">
        <v>827</v>
      </c>
      <c r="C255" s="1340" t="s">
        <v>364</v>
      </c>
      <c r="D255" s="1341">
        <v>0</v>
      </c>
      <c r="E255" s="1339" t="s">
        <v>828</v>
      </c>
    </row>
    <row ht="14.25" r="256" spans="1:5" x14ac:dyDescent="0.45">
      <c r="A256" s="1340">
        <v>917</v>
      </c>
      <c r="B256" s="1340" t="s">
        <v>829</v>
      </c>
      <c r="C256" s="1340" t="s">
        <v>364</v>
      </c>
      <c r="D256" s="1341">
        <v>0</v>
      </c>
      <c r="E256" s="1339" t="s">
        <v>830</v>
      </c>
    </row>
    <row ht="14.25" r="257" spans="1:5" x14ac:dyDescent="0.45">
      <c r="A257" s="1340">
        <v>918</v>
      </c>
      <c r="B257" s="1340" t="s">
        <v>831</v>
      </c>
      <c r="C257" s="1340" t="s">
        <v>364</v>
      </c>
      <c r="D257" s="1341">
        <v>0</v>
      </c>
      <c r="E257" s="1339" t="s">
        <v>832</v>
      </c>
    </row>
    <row ht="14.25" r="258" spans="1:5" x14ac:dyDescent="0.45">
      <c r="A258" s="1340">
        <v>919</v>
      </c>
      <c r="B258" s="1340" t="s">
        <v>833</v>
      </c>
      <c r="C258" s="1340" t="s">
        <v>364</v>
      </c>
      <c r="D258" s="1341">
        <v>0</v>
      </c>
      <c r="E258" s="1339" t="s">
        <v>834</v>
      </c>
    </row>
    <row ht="14.25" r="259" spans="1:5" x14ac:dyDescent="0.45">
      <c r="A259" s="1340">
        <v>920</v>
      </c>
      <c r="B259" s="1340" t="s">
        <v>835</v>
      </c>
      <c r="C259" s="1340" t="s">
        <v>364</v>
      </c>
      <c r="D259" s="1341">
        <v>0</v>
      </c>
      <c r="E259" s="1339" t="s">
        <v>836</v>
      </c>
    </row>
    <row ht="14.25" r="260" spans="1:5" x14ac:dyDescent="0.45">
      <c r="A260" s="1340">
        <v>921</v>
      </c>
      <c r="B260" s="1340" t="s">
        <v>837</v>
      </c>
      <c r="C260" s="1340" t="s">
        <v>364</v>
      </c>
      <c r="D260" s="1341">
        <v>0</v>
      </c>
      <c r="E260" s="1339" t="s">
        <v>838</v>
      </c>
    </row>
    <row ht="14.25" r="261" spans="1:5" x14ac:dyDescent="0.45">
      <c r="A261" s="1340">
        <v>922</v>
      </c>
      <c r="B261" s="1340" t="s">
        <v>839</v>
      </c>
      <c r="C261" s="1340" t="s">
        <v>364</v>
      </c>
      <c r="D261" s="1341">
        <v>0</v>
      </c>
      <c r="E261" s="1339" t="s">
        <v>840</v>
      </c>
    </row>
    <row ht="14.25" r="262" spans="1:5" x14ac:dyDescent="0.45">
      <c r="A262" s="1340">
        <v>923</v>
      </c>
      <c r="B262" s="1340" t="s">
        <v>841</v>
      </c>
      <c r="C262" s="1340" t="s">
        <v>364</v>
      </c>
      <c r="D262" s="1341">
        <v>0</v>
      </c>
      <c r="E262" s="1339" t="s">
        <v>842</v>
      </c>
    </row>
    <row ht="14.25" r="263" spans="1:5" x14ac:dyDescent="0.45">
      <c r="A263" s="1340">
        <v>924</v>
      </c>
      <c r="B263" s="1340" t="s">
        <v>843</v>
      </c>
      <c r="C263" s="1340" t="s">
        <v>345</v>
      </c>
      <c r="D263" s="1341">
        <v>0.25647966370500003</v>
      </c>
      <c r="E263" s="1339" t="s">
        <v>844</v>
      </c>
    </row>
    <row ht="14.25" r="264" spans="1:5" x14ac:dyDescent="0.45">
      <c r="A264" s="1340">
        <v>925</v>
      </c>
      <c r="B264" s="1340" t="s">
        <v>845</v>
      </c>
      <c r="C264" s="1340" t="s">
        <v>364</v>
      </c>
      <c r="D264" s="1341">
        <v>0</v>
      </c>
      <c r="E264" s="1339" t="s">
        <v>846</v>
      </c>
    </row>
    <row ht="14.25" r="265" spans="1:5" x14ac:dyDescent="0.45">
      <c r="A265" s="1340">
        <v>926</v>
      </c>
      <c r="B265" s="1340" t="s">
        <v>847</v>
      </c>
      <c r="C265" s="1340" t="s">
        <v>364</v>
      </c>
      <c r="D265" s="1341">
        <v>0</v>
      </c>
      <c r="E265" s="1339" t="s">
        <v>848</v>
      </c>
    </row>
    <row ht="14.25" r="266" spans="1:5" x14ac:dyDescent="0.45">
      <c r="A266" s="1340">
        <v>927</v>
      </c>
      <c r="B266" s="1340" t="s">
        <v>849</v>
      </c>
      <c r="C266" s="1340" t="s">
        <v>364</v>
      </c>
      <c r="D266" s="1341">
        <v>0</v>
      </c>
      <c r="E266" s="1339" t="s">
        <v>850</v>
      </c>
    </row>
    <row ht="14.25" r="267" spans="1:5" x14ac:dyDescent="0.45">
      <c r="A267" s="1340">
        <v>951</v>
      </c>
      <c r="B267" s="1340" t="s">
        <v>851</v>
      </c>
      <c r="C267" s="1340" t="s">
        <v>364</v>
      </c>
      <c r="D267" s="1341">
        <v>0</v>
      </c>
      <c r="E267" s="1339" t="s">
        <v>852</v>
      </c>
    </row>
    <row ht="14.25" r="268" spans="1:5" x14ac:dyDescent="0.45">
      <c r="A268" s="1340">
        <v>1010</v>
      </c>
      <c r="B268" s="1340" t="s">
        <v>853</v>
      </c>
      <c r="C268" s="1340" t="s">
        <v>345</v>
      </c>
      <c r="D268" s="1341">
        <v>0.62022844943300004</v>
      </c>
      <c r="E268" s="1339" t="s">
        <v>854</v>
      </c>
    </row>
    <row ht="14.25" r="269" spans="1:5" x14ac:dyDescent="0.45">
      <c r="A269" s="1340">
        <v>1011</v>
      </c>
      <c r="B269" s="1340" t="s">
        <v>855</v>
      </c>
      <c r="C269" s="1340" t="s">
        <v>345</v>
      </c>
      <c r="D269" s="1341">
        <v>-0.92628874550499996</v>
      </c>
      <c r="E269" s="1339" t="s">
        <v>856</v>
      </c>
    </row>
    <row ht="14.25" r="270" spans="1:5" x14ac:dyDescent="0.45">
      <c r="A270" s="1340">
        <v>1012</v>
      </c>
      <c r="B270" s="1340" t="s">
        <v>857</v>
      </c>
      <c r="C270" s="1340" t="s">
        <v>345</v>
      </c>
      <c r="D270" s="1341">
        <v>0.122962438174</v>
      </c>
      <c r="E270" s="1339" t="s">
        <v>858</v>
      </c>
    </row>
    <row ht="14.25" r="271" spans="1:5" x14ac:dyDescent="0.45">
      <c r="A271" s="1340">
        <v>1013</v>
      </c>
      <c r="B271" s="1340" t="s">
        <v>859</v>
      </c>
      <c r="C271" s="1340" t="s">
        <v>345</v>
      </c>
      <c r="D271" s="1341">
        <v>0.99129580194</v>
      </c>
      <c r="E271" s="1339" t="s">
        <v>860</v>
      </c>
    </row>
    <row ht="14.25" r="272" spans="1:5" x14ac:dyDescent="0.45">
      <c r="A272" s="1340">
        <v>1014</v>
      </c>
      <c r="B272" s="1340" t="s">
        <v>861</v>
      </c>
      <c r="C272" s="1340" t="s">
        <v>345</v>
      </c>
      <c r="D272" s="1341">
        <v>-0.25742972486600002</v>
      </c>
      <c r="E272" s="1339" t="s">
        <v>862</v>
      </c>
    </row>
    <row ht="14.25" r="273" spans="1:5" x14ac:dyDescent="0.45">
      <c r="A273" s="1340">
        <v>1015</v>
      </c>
      <c r="B273" s="1340" t="s">
        <v>863</v>
      </c>
      <c r="C273" s="1340" t="s">
        <v>345</v>
      </c>
      <c r="D273" s="1341">
        <v>-0.15509922944400001</v>
      </c>
      <c r="E273" s="1339" t="s">
        <v>864</v>
      </c>
    </row>
    <row ht="14.25" r="274" spans="1:5" x14ac:dyDescent="0.45">
      <c r="A274" s="1340">
        <v>1016</v>
      </c>
      <c r="B274" s="1340" t="s">
        <v>865</v>
      </c>
      <c r="C274" s="1340" t="s">
        <v>345</v>
      </c>
      <c r="D274" s="1341">
        <v>0.47377553160399999</v>
      </c>
      <c r="E274" s="1339" t="s">
        <v>866</v>
      </c>
    </row>
    <row ht="14.25" r="275" spans="1:5" x14ac:dyDescent="0.45">
      <c r="A275" s="1340"/>
      <c r="B275" s="1340"/>
      <c r="C275" s="1340"/>
      <c r="D275" s="1341"/>
      <c r="E275" s="1339" t="s">
        <v>867</v>
      </c>
    </row>
    <row ht="14.25" r="276" spans="1:5" x14ac:dyDescent="0.45">
      <c r="A276" s="1340">
        <v>1018</v>
      </c>
      <c r="B276" s="1340" t="s">
        <v>868</v>
      </c>
      <c r="C276" s="1340" t="s">
        <v>345</v>
      </c>
      <c r="D276" s="1341">
        <v>-2.9680946238400001E-2</v>
      </c>
      <c r="E276" s="1339" t="s">
        <v>869</v>
      </c>
    </row>
    <row ht="14.25" r="277" spans="1:5" x14ac:dyDescent="0.45">
      <c r="A277" s="1340">
        <v>1019</v>
      </c>
      <c r="B277" s="1340" t="s">
        <v>870</v>
      </c>
      <c r="C277" s="1340" t="s">
        <v>345</v>
      </c>
      <c r="D277" s="1341">
        <v>-5.7505183079299999E-2</v>
      </c>
      <c r="E277" s="1339" t="s">
        <v>871</v>
      </c>
    </row>
    <row ht="14.25" r="278" spans="1:5" x14ac:dyDescent="0.45">
      <c r="A278" s="1340">
        <v>1020</v>
      </c>
      <c r="B278" s="1340" t="s">
        <v>872</v>
      </c>
      <c r="C278" s="1340" t="s">
        <v>345</v>
      </c>
      <c r="D278" s="1341">
        <v>0.83467013855500005</v>
      </c>
      <c r="E278" s="1339" t="s">
        <v>873</v>
      </c>
    </row>
    <row ht="14.25" r="279" spans="1:5" x14ac:dyDescent="0.45">
      <c r="A279" s="1340">
        <v>1021</v>
      </c>
      <c r="B279" s="1340" t="s">
        <v>874</v>
      </c>
      <c r="C279" s="1340" t="s">
        <v>345</v>
      </c>
      <c r="D279" s="1341">
        <v>2.49151431122E-2</v>
      </c>
      <c r="E279" s="1339" t="s">
        <v>875</v>
      </c>
    </row>
    <row ht="14.25" r="280" spans="1:5" x14ac:dyDescent="0.45">
      <c r="A280" s="1340">
        <v>1022</v>
      </c>
      <c r="B280" s="1340" t="s">
        <v>876</v>
      </c>
      <c r="C280" s="1340" t="s">
        <v>345</v>
      </c>
      <c r="D280" s="1341">
        <v>-0.44455279214999999</v>
      </c>
      <c r="E280" s="1339" t="s">
        <v>877</v>
      </c>
    </row>
    <row ht="14.25" r="281" spans="1:5" x14ac:dyDescent="0.45">
      <c r="A281" s="1340">
        <v>1023</v>
      </c>
      <c r="B281" s="1340" t="s">
        <v>878</v>
      </c>
      <c r="C281" s="1340" t="s">
        <v>345</v>
      </c>
      <c r="D281" s="1341">
        <v>1.0220867657699999</v>
      </c>
      <c r="E281" s="1339" t="s">
        <v>879</v>
      </c>
    </row>
    <row ht="14.25" r="282" spans="1:5" x14ac:dyDescent="0.45">
      <c r="A282" s="1340">
        <v>1024</v>
      </c>
      <c r="B282" s="1340" t="s">
        <v>880</v>
      </c>
      <c r="C282" s="1340" t="s">
        <v>345</v>
      </c>
      <c r="D282" s="1341">
        <v>-0.51603342620100001</v>
      </c>
      <c r="E282" s="1339" t="s">
        <v>881</v>
      </c>
    </row>
    <row ht="14.25" r="283" spans="1:5" x14ac:dyDescent="0.45">
      <c r="A283" s="1340">
        <v>1025</v>
      </c>
      <c r="B283" s="1340" t="s">
        <v>882</v>
      </c>
      <c r="C283" s="1340" t="s">
        <v>345</v>
      </c>
      <c r="D283" s="1341">
        <v>-0.557817023548</v>
      </c>
      <c r="E283" s="1339" t="s">
        <v>883</v>
      </c>
    </row>
    <row ht="14.25" r="284" spans="1:5" x14ac:dyDescent="0.45">
      <c r="A284" s="1340">
        <v>1026</v>
      </c>
      <c r="B284" s="1340" t="s">
        <v>884</v>
      </c>
      <c r="C284" s="1340" t="s">
        <v>345</v>
      </c>
      <c r="D284" s="1341">
        <v>-0.33987264769100001</v>
      </c>
      <c r="E284" s="1339" t="s">
        <v>885</v>
      </c>
    </row>
    <row ht="14.25" r="285" spans="1:5" x14ac:dyDescent="0.45">
      <c r="A285" s="1340">
        <v>1028</v>
      </c>
      <c r="B285" s="1340" t="s">
        <v>886</v>
      </c>
      <c r="C285" s="1340" t="s">
        <v>345</v>
      </c>
      <c r="D285" s="1341">
        <v>-5.8386949563200001E-2</v>
      </c>
      <c r="E285" s="1339" t="s">
        <v>887</v>
      </c>
    </row>
    <row ht="14.25" r="286" spans="1:5" x14ac:dyDescent="0.45">
      <c r="A286" s="1340">
        <v>1029</v>
      </c>
      <c r="B286" s="1340" t="s">
        <v>888</v>
      </c>
      <c r="C286" s="1340" t="s">
        <v>364</v>
      </c>
      <c r="D286" s="1341">
        <v>0</v>
      </c>
      <c r="E286" s="1339" t="s">
        <v>889</v>
      </c>
    </row>
    <row ht="14.25" r="287" spans="1:5" x14ac:dyDescent="0.45">
      <c r="A287" s="1340">
        <v>1033</v>
      </c>
      <c r="B287" s="1340" t="s">
        <v>890</v>
      </c>
      <c r="C287" s="1340" t="s">
        <v>345</v>
      </c>
      <c r="D287" s="1341">
        <v>2.4065371787399998</v>
      </c>
      <c r="E287" s="1339" t="s">
        <v>891</v>
      </c>
    </row>
    <row ht="14.25" r="288" spans="1:5" x14ac:dyDescent="0.45">
      <c r="A288" s="1340">
        <v>1034</v>
      </c>
      <c r="B288" s="1340" t="s">
        <v>892</v>
      </c>
      <c r="C288" s="1340" t="s">
        <v>345</v>
      </c>
      <c r="D288" s="1341">
        <v>0.41307512360999998</v>
      </c>
      <c r="E288" s="1339" t="s">
        <v>893</v>
      </c>
    </row>
    <row ht="14.25" r="289" spans="1:5" x14ac:dyDescent="0.45">
      <c r="A289" s="1340">
        <v>1035</v>
      </c>
      <c r="B289" s="1340" t="s">
        <v>894</v>
      </c>
      <c r="C289" s="1340" t="s">
        <v>345</v>
      </c>
      <c r="D289" s="1341">
        <v>0.36473610060099998</v>
      </c>
      <c r="E289" s="1339" t="s">
        <v>895</v>
      </c>
    </row>
    <row ht="14.25" r="290" spans="1:5" x14ac:dyDescent="0.45">
      <c r="A290" s="1340">
        <v>1036</v>
      </c>
      <c r="B290" s="1340" t="s">
        <v>896</v>
      </c>
      <c r="C290" s="1340" t="s">
        <v>345</v>
      </c>
      <c r="D290" s="1341">
        <v>0.58814808101500005</v>
      </c>
      <c r="E290" s="1339" t="s">
        <v>897</v>
      </c>
    </row>
    <row ht="14.25" r="291" spans="1:5" x14ac:dyDescent="0.45">
      <c r="A291" s="1340">
        <v>1043</v>
      </c>
      <c r="B291" s="1340" t="s">
        <v>898</v>
      </c>
      <c r="C291" s="1340" t="s">
        <v>345</v>
      </c>
      <c r="D291" s="1341">
        <v>-0.55052394285899997</v>
      </c>
      <c r="E291" s="1339" t="s">
        <v>899</v>
      </c>
    </row>
    <row ht="14.25" r="292" spans="1:5" x14ac:dyDescent="0.45">
      <c r="A292" s="1340">
        <v>1044</v>
      </c>
      <c r="B292" s="1340" t="s">
        <v>900</v>
      </c>
      <c r="C292" s="1340" t="s">
        <v>345</v>
      </c>
      <c r="D292" s="1341">
        <v>0.41985546286199998</v>
      </c>
      <c r="E292" s="1339" t="s">
        <v>901</v>
      </c>
    </row>
    <row ht="14.25" r="293" spans="1:5" x14ac:dyDescent="0.45">
      <c r="A293" s="1340">
        <v>1045</v>
      </c>
      <c r="B293" s="1340" t="s">
        <v>902</v>
      </c>
      <c r="C293" s="1340" t="s">
        <v>345</v>
      </c>
      <c r="D293" s="1341">
        <v>0.14835781039000001</v>
      </c>
      <c r="E293" s="1339" t="s">
        <v>903</v>
      </c>
    </row>
    <row ht="14.25" r="294" spans="1:5" x14ac:dyDescent="0.45">
      <c r="A294" s="1340">
        <v>1046</v>
      </c>
      <c r="B294" s="1340" t="s">
        <v>904</v>
      </c>
      <c r="C294" s="1340" t="s">
        <v>345</v>
      </c>
      <c r="D294" s="1341">
        <v>0.249023546515</v>
      </c>
      <c r="E294" s="1339" t="s">
        <v>905</v>
      </c>
    </row>
    <row ht="14.25" r="295" spans="1:5" x14ac:dyDescent="0.45">
      <c r="A295" s="1340">
        <v>1053</v>
      </c>
      <c r="B295" s="1340" t="s">
        <v>906</v>
      </c>
      <c r="C295" s="1340" t="s">
        <v>345</v>
      </c>
      <c r="D295" s="1341">
        <v>-0.39976593946</v>
      </c>
      <c r="E295" s="1339" t="s">
        <v>907</v>
      </c>
    </row>
    <row ht="14.25" r="296" spans="1:5" x14ac:dyDescent="0.45">
      <c r="A296" s="1340">
        <v>1054</v>
      </c>
      <c r="B296" s="1340" t="s">
        <v>908</v>
      </c>
      <c r="C296" s="1340" t="s">
        <v>345</v>
      </c>
      <c r="D296" s="1341">
        <v>0.190721848</v>
      </c>
      <c r="E296" s="1339" t="s">
        <v>909</v>
      </c>
    </row>
    <row ht="14.25" r="297" spans="1:5" x14ac:dyDescent="0.45">
      <c r="A297" s="1340">
        <v>1055</v>
      </c>
      <c r="B297" s="1340" t="s">
        <v>910</v>
      </c>
      <c r="C297" s="1340" t="s">
        <v>345</v>
      </c>
      <c r="D297" s="1341">
        <v>0.77322220290999999</v>
      </c>
      <c r="E297" s="1339" t="s">
        <v>911</v>
      </c>
    </row>
    <row ht="14.25" r="298" spans="1:5" x14ac:dyDescent="0.45">
      <c r="A298" s="1340">
        <v>1056</v>
      </c>
      <c r="B298" s="1340" t="s">
        <v>912</v>
      </c>
      <c r="C298" s="1340" t="s">
        <v>345</v>
      </c>
      <c r="D298" s="1341">
        <v>-0.30132160266000002</v>
      </c>
      <c r="E298" s="1339" t="s">
        <v>913</v>
      </c>
    </row>
    <row ht="14.25" r="299" spans="1:5" x14ac:dyDescent="0.45">
      <c r="A299" s="1340">
        <v>1063</v>
      </c>
      <c r="B299" s="1340" t="s">
        <v>914</v>
      </c>
      <c r="C299" s="1340" t="s">
        <v>345</v>
      </c>
      <c r="D299" s="1341">
        <v>-8.1217959165099995E-2</v>
      </c>
      <c r="E299" s="1339" t="s">
        <v>915</v>
      </c>
    </row>
    <row ht="14.25" r="300" spans="1:5" x14ac:dyDescent="0.45">
      <c r="A300" s="1340">
        <v>1064</v>
      </c>
      <c r="B300" s="1340" t="s">
        <v>916</v>
      </c>
      <c r="C300" s="1340" t="s">
        <v>345</v>
      </c>
      <c r="D300" s="1341">
        <v>0.22551013394899999</v>
      </c>
      <c r="E300" s="1339" t="s">
        <v>917</v>
      </c>
    </row>
    <row ht="14.25" r="301" spans="1:5" x14ac:dyDescent="0.45">
      <c r="A301" s="1340">
        <v>1065</v>
      </c>
      <c r="B301" s="1340" t="s">
        <v>918</v>
      </c>
      <c r="C301" s="1340" t="s">
        <v>345</v>
      </c>
      <c r="D301" s="1341">
        <v>0.30120956241699998</v>
      </c>
      <c r="E301" s="1339" t="s">
        <v>919</v>
      </c>
    </row>
    <row ht="14.25" r="302" spans="1:5" x14ac:dyDescent="0.45">
      <c r="A302" s="1340">
        <v>1066</v>
      </c>
      <c r="B302" s="1340" t="s">
        <v>920</v>
      </c>
      <c r="C302" s="1340" t="s">
        <v>345</v>
      </c>
      <c r="D302" s="1341">
        <v>-0.14627640169</v>
      </c>
      <c r="E302" s="1339" t="s">
        <v>921</v>
      </c>
    </row>
    <row ht="14.25" r="303" spans="1:5" x14ac:dyDescent="0.45">
      <c r="A303" s="1340">
        <v>1073</v>
      </c>
      <c r="B303" s="1340" t="s">
        <v>922</v>
      </c>
      <c r="C303" s="1340" t="s">
        <v>345</v>
      </c>
      <c r="D303" s="1341">
        <v>-0.55358196334700005</v>
      </c>
      <c r="E303" s="1339" t="s">
        <v>923</v>
      </c>
    </row>
    <row ht="14.25" r="304" spans="1:5" x14ac:dyDescent="0.45">
      <c r="A304" s="1340">
        <v>1074</v>
      </c>
      <c r="B304" s="1340" t="s">
        <v>924</v>
      </c>
      <c r="C304" s="1340" t="s">
        <v>345</v>
      </c>
      <c r="D304" s="1341">
        <v>-6.9330556773299995E-2</v>
      </c>
      <c r="E304" s="1339" t="s">
        <v>925</v>
      </c>
    </row>
    <row ht="14.25" r="305" spans="1:5" x14ac:dyDescent="0.45">
      <c r="A305" s="1340">
        <v>1075</v>
      </c>
      <c r="B305" s="1340" t="s">
        <v>926</v>
      </c>
      <c r="C305" s="1340" t="s">
        <v>345</v>
      </c>
      <c r="D305" s="1341">
        <v>0.112518585229</v>
      </c>
      <c r="E305" s="1339" t="s">
        <v>927</v>
      </c>
    </row>
    <row ht="14.25" r="306" spans="1:5" x14ac:dyDescent="0.45">
      <c r="A306" s="1340">
        <v>1076</v>
      </c>
      <c r="B306" s="1340" t="s">
        <v>928</v>
      </c>
      <c r="C306" s="1340" t="s">
        <v>345</v>
      </c>
      <c r="D306" s="1341">
        <v>0.42259980050599999</v>
      </c>
      <c r="E306" s="1339" t="s">
        <v>929</v>
      </c>
    </row>
    <row ht="14.25" r="307" spans="1:5" x14ac:dyDescent="0.45">
      <c r="A307" s="1340">
        <v>1112</v>
      </c>
      <c r="B307" s="1340" t="s">
        <v>930</v>
      </c>
      <c r="C307" s="1340" t="s">
        <v>345</v>
      </c>
      <c r="D307" s="1341">
        <v>-1.5159667569199999</v>
      </c>
      <c r="E307" s="1339" t="s">
        <v>931</v>
      </c>
    </row>
    <row ht="14.25" r="308" spans="1:5" x14ac:dyDescent="0.45">
      <c r="A308" s="1340">
        <v>1113</v>
      </c>
      <c r="B308" s="1340" t="s">
        <v>932</v>
      </c>
      <c r="C308" s="1340" t="s">
        <v>345</v>
      </c>
      <c r="D308" s="1341">
        <v>-1.25860017038</v>
      </c>
      <c r="E308" s="1339" t="s">
        <v>933</v>
      </c>
    </row>
    <row ht="14.25" r="309" spans="1:5" x14ac:dyDescent="0.45">
      <c r="A309" s="1340">
        <v>1114</v>
      </c>
      <c r="B309" s="1340" t="s">
        <v>934</v>
      </c>
      <c r="C309" s="1340" t="s">
        <v>345</v>
      </c>
      <c r="D309" s="1341">
        <v>-0.98798477919399996</v>
      </c>
      <c r="E309" s="1339" t="s">
        <v>935</v>
      </c>
    </row>
    <row ht="14.25" r="310" spans="1:5" x14ac:dyDescent="0.45">
      <c r="A310" s="1340">
        <v>1115</v>
      </c>
      <c r="B310" s="1340" t="s">
        <v>936</v>
      </c>
      <c r="C310" s="1340" t="s">
        <v>345</v>
      </c>
      <c r="D310" s="1341">
        <v>-0.85516042207999998</v>
      </c>
      <c r="E310" s="1339" t="s">
        <v>937</v>
      </c>
    </row>
    <row ht="14.25" r="311" spans="1:5" x14ac:dyDescent="0.45">
      <c r="A311" s="1340">
        <v>1116</v>
      </c>
      <c r="B311" s="1340" t="s">
        <v>938</v>
      </c>
      <c r="C311" s="1340" t="s">
        <v>345</v>
      </c>
      <c r="D311" s="1341">
        <v>-0.43795874111499999</v>
      </c>
      <c r="E311" s="1339" t="s">
        <v>939</v>
      </c>
    </row>
    <row ht="14.25" r="312" spans="1:5" x14ac:dyDescent="0.45">
      <c r="A312" s="1340">
        <v>1117</v>
      </c>
      <c r="B312" s="1340" t="s">
        <v>940</v>
      </c>
      <c r="C312" s="1340" t="s">
        <v>345</v>
      </c>
      <c r="D312" s="1341">
        <v>-0.46612496709000001</v>
      </c>
      <c r="E312" s="1339" t="s">
        <v>941</v>
      </c>
    </row>
    <row ht="14.25" r="313" spans="1:5" x14ac:dyDescent="0.45">
      <c r="A313" s="1340">
        <v>1123</v>
      </c>
      <c r="B313" s="1340" t="s">
        <v>942</v>
      </c>
      <c r="C313" s="1340" t="s">
        <v>345</v>
      </c>
      <c r="D313" s="1341">
        <v>-1.3137469667199999</v>
      </c>
      <c r="E313" s="1339" t="s">
        <v>943</v>
      </c>
    </row>
    <row ht="14.25" r="314" spans="1:5" x14ac:dyDescent="0.45">
      <c r="A314" s="1340">
        <v>1124</v>
      </c>
      <c r="B314" s="1340" t="s">
        <v>944</v>
      </c>
      <c r="C314" s="1340" t="s">
        <v>345</v>
      </c>
      <c r="D314" s="1341">
        <v>-0.74461563958900001</v>
      </c>
      <c r="E314" s="1339" t="s">
        <v>945</v>
      </c>
    </row>
    <row ht="14.25" r="315" spans="1:5" x14ac:dyDescent="0.45">
      <c r="A315" s="1340">
        <v>1125</v>
      </c>
      <c r="B315" s="1340" t="s">
        <v>946</v>
      </c>
      <c r="C315" s="1340" t="s">
        <v>345</v>
      </c>
      <c r="D315" s="1341">
        <v>-0.72233741176900002</v>
      </c>
      <c r="E315" s="1339" t="s">
        <v>947</v>
      </c>
    </row>
    <row ht="14.25" r="316" spans="1:5" x14ac:dyDescent="0.45">
      <c r="A316" s="1340">
        <v>1126</v>
      </c>
      <c r="B316" s="1340" t="s">
        <v>948</v>
      </c>
      <c r="C316" s="1340" t="s">
        <v>345</v>
      </c>
      <c r="D316" s="1341">
        <v>-0.508145526987</v>
      </c>
      <c r="E316" s="1339" t="s">
        <v>949</v>
      </c>
    </row>
    <row ht="14.25" r="317" spans="1:5" x14ac:dyDescent="0.45">
      <c r="A317" s="1340">
        <v>1127</v>
      </c>
      <c r="B317" s="1340" t="s">
        <v>950</v>
      </c>
      <c r="C317" s="1340" t="s">
        <v>345</v>
      </c>
      <c r="D317" s="1341">
        <v>-0.48686652386000001</v>
      </c>
      <c r="E317" s="1339" t="s">
        <v>951</v>
      </c>
    </row>
    <row ht="14.25" r="318" spans="1:5" x14ac:dyDescent="0.45">
      <c r="A318" s="1340">
        <v>1134</v>
      </c>
      <c r="B318" s="1340" t="s">
        <v>952</v>
      </c>
      <c r="C318" s="1340" t="s">
        <v>345</v>
      </c>
      <c r="D318" s="1341">
        <v>0.398720034916</v>
      </c>
      <c r="E318" s="1339" t="s">
        <v>953</v>
      </c>
    </row>
    <row ht="14.25" r="319" spans="1:5" x14ac:dyDescent="0.45">
      <c r="A319" s="1340">
        <v>1135</v>
      </c>
      <c r="B319" s="1340" t="s">
        <v>954</v>
      </c>
      <c r="C319" s="1340" t="s">
        <v>345</v>
      </c>
      <c r="D319" s="1341">
        <v>-6.6189123184200005E-2</v>
      </c>
      <c r="E319" s="1339" t="s">
        <v>955</v>
      </c>
    </row>
    <row ht="14.25" r="320" spans="1:5" x14ac:dyDescent="0.45">
      <c r="A320" s="1340">
        <v>1136</v>
      </c>
      <c r="B320" s="1340" t="s">
        <v>956</v>
      </c>
      <c r="C320" s="1340" t="s">
        <v>345</v>
      </c>
      <c r="D320" s="1341">
        <v>-7.8918781693600004E-2</v>
      </c>
      <c r="E320" s="1339" t="s">
        <v>957</v>
      </c>
    </row>
    <row ht="14.25" r="321" spans="1:5" x14ac:dyDescent="0.45">
      <c r="A321" s="1340">
        <v>1137</v>
      </c>
      <c r="B321" s="1340" t="s">
        <v>958</v>
      </c>
      <c r="C321" s="1340" t="s">
        <v>345</v>
      </c>
      <c r="D321" s="1341">
        <v>0.243957855541</v>
      </c>
      <c r="E321" s="1339" t="s">
        <v>959</v>
      </c>
    </row>
    <row ht="14.25" r="322" spans="1:5" x14ac:dyDescent="0.45">
      <c r="A322" s="1340">
        <v>1145</v>
      </c>
      <c r="B322" s="1340" t="s">
        <v>960</v>
      </c>
      <c r="C322" s="1340" t="s">
        <v>345</v>
      </c>
      <c r="D322" s="1341">
        <v>1.14376676225E-2</v>
      </c>
      <c r="E322" s="1339" t="s">
        <v>961</v>
      </c>
    </row>
    <row ht="14.25" r="323" spans="1:5" x14ac:dyDescent="0.45">
      <c r="A323" s="1340">
        <v>1146</v>
      </c>
      <c r="B323" s="1340" t="s">
        <v>962</v>
      </c>
      <c r="C323" s="1340" t="s">
        <v>345</v>
      </c>
      <c r="D323" s="1341">
        <v>0.307184455794</v>
      </c>
      <c r="E323" s="1339" t="s">
        <v>963</v>
      </c>
    </row>
    <row ht="14.25" r="324" spans="1:5" x14ac:dyDescent="0.45">
      <c r="A324" s="1340">
        <v>1147</v>
      </c>
      <c r="B324" s="1340" t="s">
        <v>964</v>
      </c>
      <c r="C324" s="1340" t="s">
        <v>345</v>
      </c>
      <c r="D324" s="1341">
        <v>-0.12329005178999999</v>
      </c>
      <c r="E324" s="1339" t="s">
        <v>965</v>
      </c>
    </row>
    <row ht="14.25" r="325" spans="1:5" x14ac:dyDescent="0.45">
      <c r="A325" s="1340">
        <v>1156</v>
      </c>
      <c r="B325" s="1340" t="s">
        <v>966</v>
      </c>
      <c r="C325" s="1340" t="s">
        <v>345</v>
      </c>
      <c r="D325" s="1341">
        <v>-0.38573730080200003</v>
      </c>
      <c r="E325" s="1339" t="s">
        <v>967</v>
      </c>
    </row>
    <row ht="14.25" r="326" spans="1:5" x14ac:dyDescent="0.45">
      <c r="A326" s="1340">
        <v>1157</v>
      </c>
      <c r="B326" s="1340" t="s">
        <v>968</v>
      </c>
      <c r="C326" s="1340" t="s">
        <v>345</v>
      </c>
      <c r="D326" s="1341">
        <v>6.2103537354600002E-2</v>
      </c>
      <c r="E326" s="1339" t="s">
        <v>969</v>
      </c>
    </row>
    <row ht="14.25" r="327" spans="1:5" x14ac:dyDescent="0.45">
      <c r="A327" s="1340">
        <v>1213</v>
      </c>
      <c r="B327" s="1340" t="s">
        <v>970</v>
      </c>
      <c r="C327" s="1340" t="s">
        <v>345</v>
      </c>
      <c r="D327" s="1341">
        <v>-1.4107824825799999</v>
      </c>
      <c r="E327" s="1339" t="s">
        <v>971</v>
      </c>
    </row>
    <row ht="14.25" r="328" spans="1:5" x14ac:dyDescent="0.45">
      <c r="A328" s="1340">
        <v>1214</v>
      </c>
      <c r="B328" s="1340" t="s">
        <v>972</v>
      </c>
      <c r="C328" s="1340" t="s">
        <v>345</v>
      </c>
      <c r="D328" s="1341">
        <v>-0.67028757194199995</v>
      </c>
      <c r="E328" s="1339" t="s">
        <v>973</v>
      </c>
    </row>
    <row ht="14.25" r="329" spans="1:5" x14ac:dyDescent="0.45">
      <c r="A329" s="1340">
        <v>1215</v>
      </c>
      <c r="B329" s="1340" t="s">
        <v>974</v>
      </c>
      <c r="C329" s="1340" t="s">
        <v>345</v>
      </c>
      <c r="D329" s="1341">
        <v>-0.69688193970800005</v>
      </c>
      <c r="E329" s="1339" t="s">
        <v>975</v>
      </c>
    </row>
    <row ht="14.25" r="330" spans="1:5" x14ac:dyDescent="0.45">
      <c r="A330" s="1340">
        <v>1216</v>
      </c>
      <c r="B330" s="1340" t="s">
        <v>976</v>
      </c>
      <c r="C330" s="1340" t="s">
        <v>345</v>
      </c>
      <c r="D330" s="1341">
        <v>-0.50289966674099995</v>
      </c>
      <c r="E330" s="1339" t="s">
        <v>977</v>
      </c>
    </row>
    <row ht="14.25" r="331" spans="1:5" x14ac:dyDescent="0.45">
      <c r="A331" s="1340">
        <v>1217</v>
      </c>
      <c r="B331" s="1340" t="s">
        <v>978</v>
      </c>
      <c r="C331" s="1340" t="s">
        <v>345</v>
      </c>
      <c r="D331" s="1341">
        <v>-0.99588152693599996</v>
      </c>
      <c r="E331" s="1339" t="s">
        <v>979</v>
      </c>
    </row>
    <row ht="14.25" r="332" spans="1:5" x14ac:dyDescent="0.45">
      <c r="A332" s="1340">
        <v>1223</v>
      </c>
      <c r="B332" s="1340" t="s">
        <v>980</v>
      </c>
      <c r="C332" s="1340" t="s">
        <v>345</v>
      </c>
      <c r="D332" s="1341">
        <v>-1.15884229352</v>
      </c>
      <c r="E332" s="1339" t="s">
        <v>981</v>
      </c>
    </row>
    <row ht="14.25" r="333" spans="1:5" x14ac:dyDescent="0.45">
      <c r="A333" s="1340">
        <v>1224</v>
      </c>
      <c r="B333" s="1340" t="s">
        <v>982</v>
      </c>
      <c r="C333" s="1340" t="s">
        <v>345</v>
      </c>
      <c r="D333" s="1341">
        <v>-0.41315925356400002</v>
      </c>
      <c r="E333" s="1339" t="s">
        <v>983</v>
      </c>
    </row>
    <row ht="14.25" r="334" spans="1:5" x14ac:dyDescent="0.45">
      <c r="A334" s="1340">
        <v>1225</v>
      </c>
      <c r="B334" s="1340" t="s">
        <v>984</v>
      </c>
      <c r="C334" s="1340" t="s">
        <v>345</v>
      </c>
      <c r="D334" s="1341">
        <v>-1.1781073092900001</v>
      </c>
      <c r="E334" s="1339" t="s">
        <v>985</v>
      </c>
    </row>
    <row ht="14.25" r="335" spans="1:5" x14ac:dyDescent="0.45">
      <c r="A335" s="1340">
        <v>1226</v>
      </c>
      <c r="B335" s="1340" t="s">
        <v>986</v>
      </c>
      <c r="C335" s="1340" t="s">
        <v>345</v>
      </c>
      <c r="D335" s="1341">
        <v>0.41808528217399998</v>
      </c>
      <c r="E335" s="1339" t="s">
        <v>987</v>
      </c>
    </row>
    <row ht="14.25" r="336" spans="1:5" x14ac:dyDescent="0.45">
      <c r="A336" s="1340">
        <v>1227</v>
      </c>
      <c r="B336" s="1340" t="s">
        <v>988</v>
      </c>
      <c r="C336" s="1340" t="s">
        <v>345</v>
      </c>
      <c r="D336" s="1341">
        <v>-0.23909838973600001</v>
      </c>
      <c r="E336" s="1339" t="s">
        <v>989</v>
      </c>
    </row>
    <row ht="14.25" r="337" spans="1:5" x14ac:dyDescent="0.45">
      <c r="A337" s="1340">
        <v>1234</v>
      </c>
      <c r="B337" s="1340" t="s">
        <v>990</v>
      </c>
      <c r="C337" s="1340" t="s">
        <v>345</v>
      </c>
      <c r="D337" s="1341">
        <v>-0.53250623547800002</v>
      </c>
      <c r="E337" s="1339" t="s">
        <v>991</v>
      </c>
    </row>
    <row ht="14.25" r="338" spans="1:5" x14ac:dyDescent="0.45">
      <c r="A338" s="1340">
        <v>1235</v>
      </c>
      <c r="B338" s="1340" t="s">
        <v>992</v>
      </c>
      <c r="C338" s="1340" t="s">
        <v>345</v>
      </c>
      <c r="D338" s="1341">
        <v>-0.73781638945000005</v>
      </c>
      <c r="E338" s="1339" t="s">
        <v>993</v>
      </c>
    </row>
    <row ht="14.25" r="339" spans="1:5" x14ac:dyDescent="0.45">
      <c r="A339" s="1340">
        <v>1236</v>
      </c>
      <c r="B339" s="1340" t="s">
        <v>994</v>
      </c>
      <c r="C339" s="1340" t="s">
        <v>345</v>
      </c>
      <c r="D339" s="1341">
        <v>-0.39225286756099997</v>
      </c>
      <c r="E339" s="1339" t="s">
        <v>995</v>
      </c>
    </row>
    <row ht="14.25" r="340" spans="1:5" x14ac:dyDescent="0.45">
      <c r="A340" s="1340">
        <v>1237</v>
      </c>
      <c r="B340" s="1340" t="s">
        <v>996</v>
      </c>
      <c r="C340" s="1340" t="s">
        <v>345</v>
      </c>
      <c r="D340" s="1341">
        <v>-0.20531482124200001</v>
      </c>
      <c r="E340" s="1339" t="s">
        <v>997</v>
      </c>
    </row>
    <row ht="14.25" r="341" spans="1:5" x14ac:dyDescent="0.45">
      <c r="A341" s="1340">
        <v>1245</v>
      </c>
      <c r="B341" s="1340" t="s">
        <v>998</v>
      </c>
      <c r="C341" s="1340" t="s">
        <v>345</v>
      </c>
      <c r="D341" s="1341">
        <v>-0.17779072526699999</v>
      </c>
      <c r="E341" s="1339" t="s">
        <v>999</v>
      </c>
    </row>
    <row ht="14.25" r="342" spans="1:5" x14ac:dyDescent="0.45">
      <c r="A342" s="1340">
        <v>1246</v>
      </c>
      <c r="B342" s="1340" t="s">
        <v>1000</v>
      </c>
      <c r="C342" s="1340" t="s">
        <v>345</v>
      </c>
      <c r="D342" s="1341">
        <v>-0.47229190428099999</v>
      </c>
      <c r="E342" s="1339" t="s">
        <v>1001</v>
      </c>
    </row>
    <row ht="14.25" r="343" spans="1:5" x14ac:dyDescent="0.45">
      <c r="A343" s="1340">
        <v>1247</v>
      </c>
      <c r="B343" s="1340" t="s">
        <v>1002</v>
      </c>
      <c r="C343" s="1340" t="s">
        <v>345</v>
      </c>
      <c r="D343" s="1341">
        <v>-0.702095060341</v>
      </c>
      <c r="E343" s="1339" t="s">
        <v>1003</v>
      </c>
    </row>
    <row ht="14.25" r="344" spans="1:5" x14ac:dyDescent="0.45">
      <c r="A344" s="1340">
        <v>1256</v>
      </c>
      <c r="B344" s="1340" t="s">
        <v>1004</v>
      </c>
      <c r="C344" s="1340" t="s">
        <v>345</v>
      </c>
      <c r="D344" s="1341">
        <v>-0.46940031431700002</v>
      </c>
      <c r="E344" s="1339" t="s">
        <v>1005</v>
      </c>
    </row>
    <row ht="14.25" r="345" spans="1:5" x14ac:dyDescent="0.45">
      <c r="A345" s="1340">
        <v>1257</v>
      </c>
      <c r="B345" s="1340" t="s">
        <v>1006</v>
      </c>
      <c r="C345" s="1340" t="s">
        <v>345</v>
      </c>
      <c r="D345" s="1341">
        <v>-0.63882592744199995</v>
      </c>
      <c r="E345" s="1339" t="s">
        <v>1007</v>
      </c>
    </row>
    <row ht="14.25" r="346" spans="1:5" x14ac:dyDescent="0.45">
      <c r="A346" s="1340">
        <v>1311</v>
      </c>
      <c r="B346" s="1340" t="s">
        <v>1008</v>
      </c>
      <c r="C346" s="1340" t="s">
        <v>345</v>
      </c>
      <c r="D346" s="1345">
        <v>-3.23294475912</v>
      </c>
      <c r="E346" s="1339" t="s">
        <v>1009</v>
      </c>
    </row>
    <row ht="14.25" r="347" spans="1:5" x14ac:dyDescent="0.45">
      <c r="A347" s="1340">
        <v>1312</v>
      </c>
      <c r="B347" s="1340" t="s">
        <v>1010</v>
      </c>
      <c r="C347" s="1340" t="s">
        <v>345</v>
      </c>
      <c r="D347" s="1345">
        <v>-4.9079128005400001</v>
      </c>
      <c r="E347" s="1339" t="s">
        <v>1011</v>
      </c>
    </row>
    <row ht="14.25" r="348" spans="1:5" x14ac:dyDescent="0.45">
      <c r="A348" s="1340">
        <v>1313</v>
      </c>
      <c r="B348" s="1340" t="s">
        <v>1012</v>
      </c>
      <c r="C348" s="1340" t="s">
        <v>345</v>
      </c>
      <c r="D348" s="1345">
        <v>-5.5245256889299998</v>
      </c>
      <c r="E348" s="1339" t="s">
        <v>1013</v>
      </c>
    </row>
    <row ht="14.25" r="349" spans="1:5" x14ac:dyDescent="0.45">
      <c r="A349" s="1340">
        <v>1321</v>
      </c>
      <c r="B349" s="1340" t="s">
        <v>1014</v>
      </c>
      <c r="C349" s="1340" t="s">
        <v>345</v>
      </c>
      <c r="D349" s="1345">
        <v>-3.0694184685499999</v>
      </c>
      <c r="E349" s="1339" t="s">
        <v>1015</v>
      </c>
    </row>
    <row ht="14.25" r="350" spans="1:5" x14ac:dyDescent="0.45">
      <c r="A350" s="1340">
        <v>1322</v>
      </c>
      <c r="B350" s="1340" t="s">
        <v>1016</v>
      </c>
      <c r="C350" s="1340" t="s">
        <v>345</v>
      </c>
      <c r="D350" s="1345">
        <v>-4.6893655781000003</v>
      </c>
      <c r="E350" s="1339" t="s">
        <v>1017</v>
      </c>
    </row>
    <row ht="14.25" r="351" spans="1:5" x14ac:dyDescent="0.45">
      <c r="A351" s="1340">
        <v>1323</v>
      </c>
      <c r="B351" s="1340" t="s">
        <v>1018</v>
      </c>
      <c r="C351" s="1340" t="s">
        <v>345</v>
      </c>
      <c r="D351" s="1345">
        <v>-5.2945530060500001</v>
      </c>
      <c r="E351" s="1339" t="s">
        <v>1019</v>
      </c>
    </row>
    <row ht="14.25" r="352" spans="1:5" x14ac:dyDescent="0.45">
      <c r="A352" s="1340">
        <v>1331</v>
      </c>
      <c r="B352" s="1340" t="s">
        <v>1020</v>
      </c>
      <c r="C352" s="1340" t="s">
        <v>345</v>
      </c>
      <c r="D352" s="1345">
        <v>-2.8060943842600001</v>
      </c>
      <c r="E352" s="1339" t="s">
        <v>1021</v>
      </c>
    </row>
    <row ht="14.25" r="353" spans="1:5" x14ac:dyDescent="0.45">
      <c r="A353" s="1340">
        <v>1332</v>
      </c>
      <c r="B353" s="1340" t="s">
        <v>1022</v>
      </c>
      <c r="C353" s="1340" t="s">
        <v>345</v>
      </c>
      <c r="D353" s="1345">
        <v>-4.5280142445599996</v>
      </c>
      <c r="E353" s="1339" t="s">
        <v>1023</v>
      </c>
    </row>
    <row ht="14.25" r="354" spans="1:5" x14ac:dyDescent="0.45">
      <c r="A354" s="1340">
        <v>1401</v>
      </c>
      <c r="B354" s="1340" t="s">
        <v>1024</v>
      </c>
      <c r="C354" s="1340" t="s">
        <v>345</v>
      </c>
      <c r="D354" s="1341">
        <v>9.2723414770299994E-2</v>
      </c>
      <c r="E354" s="1339" t="s">
        <v>1025</v>
      </c>
    </row>
    <row ht="14.25" r="355" spans="1:5" x14ac:dyDescent="0.45">
      <c r="A355" s="1340">
        <v>1402</v>
      </c>
      <c r="B355" s="1340" t="s">
        <v>1026</v>
      </c>
      <c r="C355" s="1340" t="s">
        <v>345</v>
      </c>
      <c r="D355" s="1341">
        <v>0.25636973171499999</v>
      </c>
      <c r="E355" s="1339" t="s">
        <v>1027</v>
      </c>
    </row>
    <row ht="14.25" r="356" spans="1:5" x14ac:dyDescent="0.45">
      <c r="A356" s="1340">
        <v>1403</v>
      </c>
      <c r="B356" s="1340" t="s">
        <v>1028</v>
      </c>
      <c r="C356" s="1340" t="s">
        <v>345</v>
      </c>
      <c r="D356" s="1341">
        <v>0.46539161270599999</v>
      </c>
      <c r="E356" s="1339" t="s">
        <v>1029</v>
      </c>
    </row>
    <row ht="14.25" r="357" spans="1:5" x14ac:dyDescent="0.45">
      <c r="A357" s="1340">
        <v>1404</v>
      </c>
      <c r="B357" s="1340" t="s">
        <v>1030</v>
      </c>
      <c r="C357" s="1340" t="s">
        <v>345</v>
      </c>
      <c r="D357" s="1341">
        <v>-0.81558723264099997</v>
      </c>
      <c r="E357" s="1339" t="s">
        <v>1031</v>
      </c>
    </row>
    <row ht="14.25" r="358" spans="1:5" x14ac:dyDescent="0.45">
      <c r="A358" s="1340">
        <v>1405</v>
      </c>
      <c r="B358" s="1340" t="s">
        <v>1032</v>
      </c>
      <c r="C358" s="1340" t="s">
        <v>345</v>
      </c>
      <c r="D358" s="1341">
        <v>-3.5031756741299998E-2</v>
      </c>
      <c r="E358" s="1339" t="s">
        <v>1033</v>
      </c>
    </row>
    <row ht="14.25" r="359" spans="1:5" x14ac:dyDescent="0.45">
      <c r="A359" s="1340">
        <v>1411</v>
      </c>
      <c r="B359" s="1340" t="s">
        <v>1034</v>
      </c>
      <c r="C359" s="1340" t="s">
        <v>345</v>
      </c>
      <c r="D359" s="1341">
        <v>0.27709867578399999</v>
      </c>
      <c r="E359" s="1339" t="s">
        <v>1035</v>
      </c>
    </row>
    <row ht="14.25" r="360" spans="1:5" x14ac:dyDescent="0.45">
      <c r="A360" s="1340">
        <v>1412</v>
      </c>
      <c r="B360" s="1340" t="s">
        <v>1036</v>
      </c>
      <c r="C360" s="1340" t="s">
        <v>345</v>
      </c>
      <c r="D360" s="1341">
        <v>0.230643528391</v>
      </c>
      <c r="E360" s="1339" t="s">
        <v>1037</v>
      </c>
    </row>
    <row ht="14.25" r="361" spans="1:5" x14ac:dyDescent="0.45">
      <c r="A361" s="1340">
        <v>1413</v>
      </c>
      <c r="B361" s="1340" t="s">
        <v>1038</v>
      </c>
      <c r="C361" s="1340" t="s">
        <v>345</v>
      </c>
      <c r="D361" s="1341">
        <v>-0.13102011246199999</v>
      </c>
      <c r="E361" s="1339" t="s">
        <v>1039</v>
      </c>
    </row>
    <row ht="14.25" r="362" spans="1:5" x14ac:dyDescent="0.45">
      <c r="A362" s="1340">
        <v>1414</v>
      </c>
      <c r="B362" s="1340" t="s">
        <v>1040</v>
      </c>
      <c r="C362" s="1340" t="s">
        <v>345</v>
      </c>
      <c r="D362" s="1341">
        <v>0.55615704919099995</v>
      </c>
      <c r="E362" s="1339" t="s">
        <v>1041</v>
      </c>
    </row>
    <row ht="14.25" r="363" spans="1:5" x14ac:dyDescent="0.45">
      <c r="A363" s="1340">
        <v>1415</v>
      </c>
      <c r="B363" s="1340" t="s">
        <v>1042</v>
      </c>
      <c r="C363" s="1340" t="s">
        <v>345</v>
      </c>
      <c r="D363" s="1341">
        <v>1.26703424977E-2</v>
      </c>
      <c r="E363" s="1339" t="s">
        <v>1043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H7673"/>
  <sheetViews>
    <sheetView workbookViewId="0" zoomScaleNormal="100">
      <selection activeCell="A11" sqref="A11"/>
    </sheetView>
  </sheetViews>
  <sheetFormatPr defaultColWidth="9" defaultRowHeight="14.25" x14ac:dyDescent="0.45"/>
  <cols>
    <col min="1" max="16384" style="1347" width="9.0" collapsed="true"/>
  </cols>
  <sheetData>
    <row r="1" spans="1:8" x14ac:dyDescent="0.45">
      <c r="A1" s="1346" t="s">
        <v>1045</v>
      </c>
      <c r="H1" s="1347" t="s">
        <v>1046</v>
      </c>
    </row>
    <row r="2" spans="1:8" x14ac:dyDescent="0.45">
      <c r="A2" s="1347">
        <v>1</v>
      </c>
      <c r="B2" s="1347" t="s">
        <v>1047</v>
      </c>
    </row>
    <row r="3" spans="1:8" x14ac:dyDescent="0.45">
      <c r="A3" s="1347">
        <v>2</v>
      </c>
      <c r="B3" s="1347" t="s">
        <v>1048</v>
      </c>
    </row>
    <row r="4" spans="1:8" x14ac:dyDescent="0.45">
      <c r="A4" s="1347">
        <v>3</v>
      </c>
      <c r="B4" s="1347" t="s">
        <v>1049</v>
      </c>
    </row>
    <row r="5" spans="1:8" x14ac:dyDescent="0.45">
      <c r="A5" s="1347">
        <v>4</v>
      </c>
      <c r="B5" s="1347" t="s">
        <v>12618</v>
      </c>
    </row>
    <row r="8" spans="1:8" x14ac:dyDescent="0.45">
      <c r="A8" s="1347" t="s">
        <v>1089</v>
      </c>
      <c r="B8" s="1347" t="s">
        <v>1090</v>
      </c>
      <c r="C8" s="1347" t="s">
        <v>1091</v>
      </c>
      <c r="D8" s="1347" t="s">
        <v>1092</v>
      </c>
      <c r="E8" s="1347" t="s">
        <v>1093</v>
      </c>
    </row>
    <row r="9" spans="1:8" x14ac:dyDescent="0.45">
      <c r="A9" s="1347" t="s">
        <v>1094</v>
      </c>
      <c r="B9" s="1347" t="s">
        <v>1095</v>
      </c>
      <c r="C9" s="1347" t="s">
        <v>1096</v>
      </c>
      <c r="D9" s="1347" t="s">
        <v>1097</v>
      </c>
      <c r="E9" s="1347" t="s">
        <v>1098</v>
      </c>
      <c r="F9" s="1348"/>
    </row>
    <row r="10" spans="1:8" x14ac:dyDescent="0.45">
      <c r="A10" s="1347" t="s">
        <v>339</v>
      </c>
    </row>
    <row r="11" spans="1:8" x14ac:dyDescent="0.45">
      <c r="A11" s="1347">
        <v>100</v>
      </c>
      <c r="B11" s="1347" t="s">
        <v>344</v>
      </c>
      <c r="C11" s="1347" t="s">
        <v>345</v>
      </c>
      <c r="D11" s="1347">
        <v>1.2236828776299999</v>
      </c>
      <c r="E11" s="1347">
        <v>0.100269751051</v>
      </c>
    </row>
    <row r="12" spans="1:8" x14ac:dyDescent="0.45">
      <c r="A12" s="1347">
        <v>101</v>
      </c>
      <c r="B12" s="1347" t="s">
        <v>347</v>
      </c>
      <c r="C12" s="1347" t="s">
        <v>345</v>
      </c>
      <c r="D12" s="1347">
        <v>2.8616013338399999</v>
      </c>
      <c r="E12" s="1347">
        <v>0.66710834668600005</v>
      </c>
    </row>
    <row r="13" spans="1:8" x14ac:dyDescent="0.45">
      <c r="A13" s="1347">
        <v>102</v>
      </c>
      <c r="B13" s="1347" t="s">
        <v>349</v>
      </c>
      <c r="C13" s="1347" t="s">
        <v>345</v>
      </c>
      <c r="D13" s="1347">
        <v>-0.71110898243599996</v>
      </c>
      <c r="E13" s="1349">
        <v>9.2782139005399999E-2</v>
      </c>
      <c r="F13" s="1349"/>
    </row>
    <row r="14" spans="1:8" x14ac:dyDescent="0.45">
      <c r="A14" s="1347">
        <v>105</v>
      </c>
      <c r="B14" s="1347" t="s">
        <v>351</v>
      </c>
      <c r="C14" s="1347" t="s">
        <v>345</v>
      </c>
      <c r="D14" s="1347">
        <v>-1.2076938105299999</v>
      </c>
      <c r="E14" s="1347">
        <v>0.16825471893800001</v>
      </c>
    </row>
    <row r="15" spans="1:8" x14ac:dyDescent="0.45">
      <c r="A15" s="1347">
        <v>106</v>
      </c>
      <c r="B15" s="1347" t="s">
        <v>353</v>
      </c>
      <c r="C15" s="1347" t="s">
        <v>345</v>
      </c>
      <c r="D15" s="1347">
        <v>-1.82717146308</v>
      </c>
      <c r="E15" s="1347">
        <v>0.27027147381400002</v>
      </c>
    </row>
    <row r="16" spans="1:8" x14ac:dyDescent="0.45">
      <c r="A16" s="1347">
        <v>109</v>
      </c>
      <c r="B16" s="1347" t="s">
        <v>355</v>
      </c>
      <c r="C16" s="1347" t="s">
        <v>364</v>
      </c>
      <c r="D16" s="1347">
        <v>0</v>
      </c>
      <c r="E16" s="1347">
        <v>0</v>
      </c>
    </row>
    <row r="17" spans="1:6" x14ac:dyDescent="0.45">
      <c r="A17" s="1347">
        <v>110</v>
      </c>
      <c r="B17" s="1347" t="s">
        <v>357</v>
      </c>
      <c r="C17" s="1347" t="s">
        <v>364</v>
      </c>
      <c r="D17" s="1347">
        <v>0</v>
      </c>
      <c r="E17" s="1347">
        <v>0</v>
      </c>
    </row>
    <row r="18" spans="1:6" x14ac:dyDescent="0.45">
      <c r="A18" s="1347">
        <v>111</v>
      </c>
      <c r="B18" s="1347" t="s">
        <v>359</v>
      </c>
      <c r="C18" s="1347" t="s">
        <v>345</v>
      </c>
      <c r="D18" s="1349">
        <v>8.8907504736300005E-2</v>
      </c>
      <c r="E18" s="1349">
        <v>8.8898638622200002E-2</v>
      </c>
      <c r="F18" s="1349"/>
    </row>
    <row r="19" spans="1:6" x14ac:dyDescent="0.45">
      <c r="A19" s="1347">
        <v>112</v>
      </c>
      <c r="B19" s="1347" t="s">
        <v>361</v>
      </c>
      <c r="C19" s="1347" t="s">
        <v>364</v>
      </c>
      <c r="D19" s="1347">
        <v>0</v>
      </c>
      <c r="E19" s="1347">
        <v>0</v>
      </c>
    </row>
    <row r="20" spans="1:6" x14ac:dyDescent="0.45">
      <c r="A20" s="1347">
        <v>113</v>
      </c>
      <c r="B20" s="1347" t="s">
        <v>363</v>
      </c>
      <c r="C20" s="1347" t="s">
        <v>364</v>
      </c>
      <c r="D20" s="1347">
        <v>0</v>
      </c>
      <c r="E20" s="1347">
        <v>0</v>
      </c>
    </row>
    <row r="21" spans="1:6" x14ac:dyDescent="0.45">
      <c r="A21" s="1347">
        <v>114</v>
      </c>
      <c r="B21" s="1347" t="s">
        <v>366</v>
      </c>
      <c r="C21" s="1347" t="s">
        <v>364</v>
      </c>
      <c r="D21" s="1347">
        <v>0</v>
      </c>
      <c r="E21" s="1347">
        <v>0</v>
      </c>
    </row>
    <row r="22" spans="1:6" x14ac:dyDescent="0.45">
      <c r="A22" s="1347">
        <v>116</v>
      </c>
      <c r="B22" s="1347" t="s">
        <v>368</v>
      </c>
      <c r="C22" s="1347" t="s">
        <v>345</v>
      </c>
      <c r="D22" s="1349">
        <v>8.3424060298300004E-2</v>
      </c>
      <c r="E22" s="1349">
        <v>8.3255376933800002E-2</v>
      </c>
      <c r="F22" s="1349"/>
    </row>
    <row r="23" spans="1:6" x14ac:dyDescent="0.45">
      <c r="A23" s="1347">
        <v>117</v>
      </c>
      <c r="B23" s="1347" t="s">
        <v>370</v>
      </c>
      <c r="C23" s="1347" t="s">
        <v>345</v>
      </c>
      <c r="D23" s="1347">
        <v>-0.36733346327900002</v>
      </c>
      <c r="E23" s="1347">
        <v>0.17476835569400001</v>
      </c>
    </row>
    <row r="24" spans="1:6" x14ac:dyDescent="0.45">
      <c r="A24" s="1347">
        <v>118</v>
      </c>
      <c r="B24" s="1347" t="s">
        <v>372</v>
      </c>
      <c r="C24" s="1347" t="s">
        <v>364</v>
      </c>
      <c r="D24" s="1347">
        <v>0</v>
      </c>
      <c r="E24" s="1347">
        <v>0</v>
      </c>
    </row>
    <row r="25" spans="1:6" x14ac:dyDescent="0.45">
      <c r="A25" s="1347">
        <v>119</v>
      </c>
      <c r="B25" s="1347" t="s">
        <v>374</v>
      </c>
      <c r="C25" s="1347" t="s">
        <v>364</v>
      </c>
      <c r="D25" s="1347">
        <v>0</v>
      </c>
      <c r="E25" s="1347">
        <v>0</v>
      </c>
    </row>
    <row r="26" spans="1:6" x14ac:dyDescent="0.45">
      <c r="A26" s="1347">
        <v>120</v>
      </c>
      <c r="B26" s="1347" t="s">
        <v>376</v>
      </c>
      <c r="C26" s="1347" t="s">
        <v>364</v>
      </c>
      <c r="D26" s="1347">
        <v>0</v>
      </c>
      <c r="E26" s="1347">
        <v>0</v>
      </c>
    </row>
    <row r="27" spans="1:6" x14ac:dyDescent="0.45">
      <c r="A27" s="1347">
        <v>121</v>
      </c>
      <c r="B27" s="1347" t="s">
        <v>378</v>
      </c>
      <c r="C27" s="1347" t="s">
        <v>364</v>
      </c>
      <c r="D27" s="1347">
        <v>0</v>
      </c>
      <c r="E27" s="1347">
        <v>0</v>
      </c>
    </row>
    <row r="28" spans="1:6" x14ac:dyDescent="0.45">
      <c r="A28" s="1347">
        <v>122</v>
      </c>
      <c r="B28" s="1347" t="s">
        <v>380</v>
      </c>
      <c r="C28" s="1347" t="s">
        <v>364</v>
      </c>
      <c r="D28" s="1347">
        <v>0</v>
      </c>
      <c r="E28" s="1347">
        <v>0</v>
      </c>
    </row>
    <row r="29" spans="1:6" x14ac:dyDescent="0.45">
      <c r="A29" s="1347">
        <v>123</v>
      </c>
      <c r="B29" s="1347" t="s">
        <v>382</v>
      </c>
      <c r="C29" s="1347" t="s">
        <v>364</v>
      </c>
      <c r="D29" s="1347">
        <v>0</v>
      </c>
      <c r="E29" s="1347">
        <v>0</v>
      </c>
    </row>
    <row r="30" spans="1:6" x14ac:dyDescent="0.45">
      <c r="A30" s="1347">
        <v>124</v>
      </c>
      <c r="B30" s="1347" t="s">
        <v>384</v>
      </c>
      <c r="C30" s="1347" t="s">
        <v>345</v>
      </c>
      <c r="D30" s="1347">
        <v>-2.1672870261199999</v>
      </c>
      <c r="E30" s="1347">
        <v>0.17503046727499999</v>
      </c>
    </row>
    <row r="31" spans="1:6" x14ac:dyDescent="0.45">
      <c r="A31" s="1347">
        <v>125</v>
      </c>
      <c r="B31" s="1347" t="s">
        <v>386</v>
      </c>
      <c r="C31" s="1347" t="s">
        <v>364</v>
      </c>
      <c r="D31" s="1347">
        <v>0</v>
      </c>
      <c r="E31" s="1347">
        <v>0</v>
      </c>
    </row>
    <row r="32" spans="1:6" x14ac:dyDescent="0.45">
      <c r="A32" s="1347">
        <v>126</v>
      </c>
      <c r="B32" s="1347" t="s">
        <v>388</v>
      </c>
      <c r="C32" s="1347" t="s">
        <v>364</v>
      </c>
      <c r="D32" s="1347">
        <v>0</v>
      </c>
      <c r="E32" s="1347">
        <v>0</v>
      </c>
    </row>
    <row r="33" spans="1:6" x14ac:dyDescent="0.45">
      <c r="A33" s="1347">
        <v>127</v>
      </c>
      <c r="B33" s="1347" t="s">
        <v>390</v>
      </c>
      <c r="C33" s="1347" t="s">
        <v>345</v>
      </c>
      <c r="D33" s="1347">
        <v>0.38761782790499999</v>
      </c>
      <c r="E33" s="1347">
        <v>0.21263353841900001</v>
      </c>
    </row>
    <row r="34" spans="1:6" x14ac:dyDescent="0.45">
      <c r="A34" s="1347">
        <v>128</v>
      </c>
      <c r="B34" s="1347" t="s">
        <v>1050</v>
      </c>
      <c r="C34" s="1347" t="s">
        <v>364</v>
      </c>
      <c r="D34" s="1347">
        <v>0</v>
      </c>
      <c r="E34" s="1347">
        <v>0</v>
      </c>
    </row>
    <row r="35" spans="1:6" x14ac:dyDescent="0.45">
      <c r="A35" s="1347">
        <v>129</v>
      </c>
      <c r="B35" s="1347" t="s">
        <v>392</v>
      </c>
      <c r="C35" s="1347" t="s">
        <v>345</v>
      </c>
      <c r="D35" s="1347">
        <v>-0.23310400814900001</v>
      </c>
      <c r="E35" s="1347">
        <v>0.21272216832800001</v>
      </c>
    </row>
    <row r="36" spans="1:6" x14ac:dyDescent="0.45">
      <c r="A36" s="1347">
        <v>130</v>
      </c>
      <c r="B36" s="1347" t="s">
        <v>1051</v>
      </c>
      <c r="C36" s="1347" t="s">
        <v>364</v>
      </c>
      <c r="D36" s="1347">
        <v>0</v>
      </c>
      <c r="E36" s="1347">
        <v>0</v>
      </c>
    </row>
    <row r="37" spans="1:6" x14ac:dyDescent="0.45">
      <c r="A37" s="1347">
        <v>131</v>
      </c>
      <c r="B37" s="1347" t="s">
        <v>393</v>
      </c>
      <c r="C37" s="1347" t="s">
        <v>345</v>
      </c>
      <c r="D37" s="1347">
        <v>-0.32003778985199999</v>
      </c>
      <c r="E37" s="1349">
        <v>6.5540653078500002E-2</v>
      </c>
      <c r="F37" s="1349"/>
    </row>
    <row r="38" spans="1:6" x14ac:dyDescent="0.45">
      <c r="A38" s="1347">
        <v>132</v>
      </c>
      <c r="B38" s="1347" t="s">
        <v>1052</v>
      </c>
      <c r="C38" s="1347" t="s">
        <v>345</v>
      </c>
      <c r="D38" s="1347">
        <v>-0.91278430806199995</v>
      </c>
      <c r="E38" s="1349">
        <v>8.7857558748799996E-2</v>
      </c>
      <c r="F38" s="1349"/>
    </row>
    <row r="39" spans="1:6" x14ac:dyDescent="0.45">
      <c r="A39" s="1347">
        <v>133</v>
      </c>
      <c r="B39" s="1347" t="s">
        <v>1053</v>
      </c>
      <c r="C39" s="1347" t="s">
        <v>345</v>
      </c>
      <c r="D39" s="1349">
        <v>-9.7755538327600006E-2</v>
      </c>
      <c r="E39" s="1349">
        <v>7.74127153215E-2</v>
      </c>
      <c r="F39" s="1349"/>
    </row>
    <row r="40" spans="1:6" x14ac:dyDescent="0.45">
      <c r="A40" s="1347">
        <v>151</v>
      </c>
      <c r="B40" s="1347" t="s">
        <v>394</v>
      </c>
      <c r="C40" s="1347" t="s">
        <v>364</v>
      </c>
      <c r="D40" s="1347">
        <v>0</v>
      </c>
      <c r="E40" s="1347">
        <v>0</v>
      </c>
    </row>
    <row r="41" spans="1:6" x14ac:dyDescent="0.45">
      <c r="A41" s="1347">
        <v>200</v>
      </c>
      <c r="B41" s="1347" t="s">
        <v>396</v>
      </c>
      <c r="C41" s="1347" t="s">
        <v>345</v>
      </c>
      <c r="D41" s="1347">
        <v>-0.58380230103999997</v>
      </c>
      <c r="E41" s="1347">
        <v>0.22963879055200001</v>
      </c>
    </row>
    <row r="42" spans="1:6" x14ac:dyDescent="0.45">
      <c r="A42" s="1347">
        <v>201</v>
      </c>
      <c r="B42" s="1347" t="s">
        <v>398</v>
      </c>
      <c r="C42" s="1347" t="s">
        <v>345</v>
      </c>
      <c r="D42" s="1347">
        <v>-0.90282379239099997</v>
      </c>
      <c r="E42" s="1347">
        <v>0.78825789666400004</v>
      </c>
    </row>
    <row r="43" spans="1:6" x14ac:dyDescent="0.45">
      <c r="A43" s="1347">
        <v>205</v>
      </c>
      <c r="B43" s="1347" t="s">
        <v>403</v>
      </c>
      <c r="C43" s="1347" t="s">
        <v>345</v>
      </c>
      <c r="D43" s="1347">
        <v>1.02246211081</v>
      </c>
      <c r="E43" s="1347">
        <v>0.21532015664199999</v>
      </c>
    </row>
    <row r="44" spans="1:6" x14ac:dyDescent="0.45">
      <c r="A44" s="1347">
        <v>206</v>
      </c>
      <c r="B44" s="1347" t="s">
        <v>405</v>
      </c>
      <c r="C44" s="1347" t="s">
        <v>345</v>
      </c>
      <c r="D44" s="1347">
        <v>2.0692687994700001</v>
      </c>
      <c r="E44" s="1347">
        <v>0.255291970837</v>
      </c>
    </row>
    <row r="45" spans="1:6" x14ac:dyDescent="0.45">
      <c r="A45" s="1347">
        <v>207</v>
      </c>
      <c r="B45" s="1347" t="s">
        <v>407</v>
      </c>
      <c r="C45" s="1347" t="s">
        <v>345</v>
      </c>
      <c r="D45" s="1347">
        <v>2.1622947890500002</v>
      </c>
      <c r="E45" s="1347">
        <v>0.232982925851</v>
      </c>
    </row>
    <row r="46" spans="1:6" x14ac:dyDescent="0.45">
      <c r="A46" s="1347">
        <v>208</v>
      </c>
      <c r="B46" s="1347" t="s">
        <v>409</v>
      </c>
      <c r="C46" s="1347" t="s">
        <v>345</v>
      </c>
      <c r="D46" s="1347">
        <v>1.1554295912400001</v>
      </c>
      <c r="E46" s="1347">
        <v>0.28824708591300002</v>
      </c>
    </row>
    <row r="47" spans="1:6" x14ac:dyDescent="0.45">
      <c r="A47" s="1347">
        <v>209</v>
      </c>
      <c r="B47" s="1347" t="s">
        <v>411</v>
      </c>
      <c r="C47" s="1347" t="s">
        <v>364</v>
      </c>
      <c r="D47" s="1347">
        <v>0</v>
      </c>
      <c r="E47" s="1347">
        <v>0</v>
      </c>
    </row>
    <row r="48" spans="1:6" x14ac:dyDescent="0.45">
      <c r="A48" s="1347">
        <v>210</v>
      </c>
      <c r="B48" s="1347" t="s">
        <v>413</v>
      </c>
      <c r="C48" s="1347" t="s">
        <v>345</v>
      </c>
      <c r="D48" s="1347">
        <v>0.187787902196</v>
      </c>
      <c r="E48" s="1347">
        <v>0.13969688788000001</v>
      </c>
    </row>
    <row r="49" spans="1:5" x14ac:dyDescent="0.45">
      <c r="A49" s="1347">
        <v>211</v>
      </c>
      <c r="B49" s="1347" t="s">
        <v>415</v>
      </c>
      <c r="C49" s="1347" t="s">
        <v>364</v>
      </c>
      <c r="D49" s="1347">
        <v>0</v>
      </c>
      <c r="E49" s="1347">
        <v>0</v>
      </c>
    </row>
    <row r="50" spans="1:5" x14ac:dyDescent="0.45">
      <c r="A50" s="1347">
        <v>212</v>
      </c>
      <c r="B50" s="1347" t="s">
        <v>417</v>
      </c>
      <c r="C50" s="1347" t="s">
        <v>364</v>
      </c>
      <c r="D50" s="1347">
        <v>0</v>
      </c>
      <c r="E50" s="1347">
        <v>0</v>
      </c>
    </row>
    <row r="51" spans="1:5" x14ac:dyDescent="0.45">
      <c r="A51" s="1347">
        <v>213</v>
      </c>
      <c r="B51" s="1347" t="s">
        <v>419</v>
      </c>
      <c r="C51" s="1347" t="s">
        <v>364</v>
      </c>
      <c r="D51" s="1347">
        <v>0</v>
      </c>
      <c r="E51" s="1347">
        <v>0</v>
      </c>
    </row>
    <row r="52" spans="1:5" x14ac:dyDescent="0.45">
      <c r="A52" s="1347">
        <v>214</v>
      </c>
      <c r="B52" s="1347" t="s">
        <v>421</v>
      </c>
      <c r="C52" s="1347" t="s">
        <v>364</v>
      </c>
      <c r="D52" s="1347">
        <v>0</v>
      </c>
      <c r="E52" s="1347">
        <v>0</v>
      </c>
    </row>
    <row r="53" spans="1:5" x14ac:dyDescent="0.45">
      <c r="A53" s="1347">
        <v>216</v>
      </c>
      <c r="B53" s="1347" t="s">
        <v>424</v>
      </c>
      <c r="C53" s="1347" t="s">
        <v>364</v>
      </c>
      <c r="D53" s="1347">
        <v>0</v>
      </c>
      <c r="E53" s="1347">
        <v>0</v>
      </c>
    </row>
    <row r="54" spans="1:5" x14ac:dyDescent="0.45">
      <c r="A54" s="1347">
        <v>217</v>
      </c>
      <c r="B54" s="1347" t="s">
        <v>426</v>
      </c>
      <c r="C54" s="1347" t="s">
        <v>345</v>
      </c>
      <c r="D54" s="1347">
        <v>-1.07693002171</v>
      </c>
      <c r="E54" s="1347">
        <v>0.40754468925699999</v>
      </c>
    </row>
    <row r="55" spans="1:5" x14ac:dyDescent="0.45">
      <c r="A55" s="1347">
        <v>218</v>
      </c>
      <c r="B55" s="1347" t="s">
        <v>428</v>
      </c>
      <c r="C55" s="1347" t="s">
        <v>364</v>
      </c>
      <c r="D55" s="1347">
        <v>0</v>
      </c>
      <c r="E55" s="1347">
        <v>0</v>
      </c>
    </row>
    <row r="56" spans="1:5" x14ac:dyDescent="0.45">
      <c r="A56" s="1347">
        <v>219</v>
      </c>
      <c r="B56" s="1347" t="s">
        <v>430</v>
      </c>
      <c r="C56" s="1347" t="s">
        <v>364</v>
      </c>
      <c r="D56" s="1347">
        <v>0</v>
      </c>
      <c r="E56" s="1347">
        <v>0</v>
      </c>
    </row>
    <row r="57" spans="1:5" x14ac:dyDescent="0.45">
      <c r="A57" s="1347">
        <v>220</v>
      </c>
      <c r="B57" s="1347" t="s">
        <v>432</v>
      </c>
      <c r="C57" s="1347" t="s">
        <v>364</v>
      </c>
      <c r="D57" s="1347">
        <v>0</v>
      </c>
      <c r="E57" s="1347">
        <v>0</v>
      </c>
    </row>
    <row r="58" spans="1:5" x14ac:dyDescent="0.45">
      <c r="A58" s="1347">
        <v>221</v>
      </c>
      <c r="B58" s="1347" t="s">
        <v>434</v>
      </c>
      <c r="C58" s="1347" t="s">
        <v>345</v>
      </c>
      <c r="D58" s="1347">
        <v>0.33401706346900001</v>
      </c>
      <c r="E58" s="1347">
        <v>0.177977759519</v>
      </c>
    </row>
    <row r="59" spans="1:5" x14ac:dyDescent="0.45">
      <c r="A59" s="1347">
        <v>222</v>
      </c>
      <c r="B59" s="1347" t="s">
        <v>436</v>
      </c>
      <c r="C59" s="1347" t="s">
        <v>364</v>
      </c>
      <c r="D59" s="1347">
        <v>0</v>
      </c>
      <c r="E59" s="1347">
        <v>0</v>
      </c>
    </row>
    <row r="60" spans="1:5" x14ac:dyDescent="0.45">
      <c r="A60" s="1347">
        <v>223</v>
      </c>
      <c r="B60" s="1347" t="s">
        <v>438</v>
      </c>
      <c r="C60" s="1347" t="s">
        <v>345</v>
      </c>
      <c r="D60" s="1347">
        <v>-0.94598469378100003</v>
      </c>
      <c r="E60" s="1347">
        <v>0.30541265099999998</v>
      </c>
    </row>
    <row r="61" spans="1:5" x14ac:dyDescent="0.45">
      <c r="A61" s="1347">
        <v>224</v>
      </c>
      <c r="B61" s="1347" t="s">
        <v>440</v>
      </c>
      <c r="C61" s="1347" t="s">
        <v>364</v>
      </c>
      <c r="D61" s="1347">
        <v>0</v>
      </c>
      <c r="E61" s="1347">
        <v>0</v>
      </c>
    </row>
    <row r="62" spans="1:5" x14ac:dyDescent="0.45">
      <c r="A62" s="1347">
        <v>225</v>
      </c>
      <c r="B62" s="1347" t="s">
        <v>442</v>
      </c>
      <c r="C62" s="1347" t="s">
        <v>364</v>
      </c>
      <c r="D62" s="1347">
        <v>0</v>
      </c>
      <c r="E62" s="1347">
        <v>0</v>
      </c>
    </row>
    <row r="63" spans="1:5" x14ac:dyDescent="0.45">
      <c r="A63" s="1347">
        <v>226</v>
      </c>
      <c r="B63" s="1347" t="s">
        <v>444</v>
      </c>
      <c r="C63" s="1347" t="s">
        <v>364</v>
      </c>
      <c r="D63" s="1347">
        <v>0</v>
      </c>
      <c r="E63" s="1347">
        <v>0</v>
      </c>
    </row>
    <row r="64" spans="1:5" x14ac:dyDescent="0.45">
      <c r="A64" s="1347">
        <v>227</v>
      </c>
      <c r="B64" s="1347" t="s">
        <v>446</v>
      </c>
      <c r="C64" s="1347" t="s">
        <v>364</v>
      </c>
      <c r="D64" s="1347">
        <v>0</v>
      </c>
      <c r="E64" s="1347">
        <v>0</v>
      </c>
    </row>
    <row r="65" spans="1:6" x14ac:dyDescent="0.45">
      <c r="A65" s="1347">
        <v>228</v>
      </c>
      <c r="B65" s="1347" t="s">
        <v>1054</v>
      </c>
      <c r="C65" s="1347" t="s">
        <v>364</v>
      </c>
      <c r="D65" s="1347">
        <v>0</v>
      </c>
      <c r="E65" s="1347">
        <v>0</v>
      </c>
    </row>
    <row r="66" spans="1:6" x14ac:dyDescent="0.45">
      <c r="A66" s="1347">
        <v>229</v>
      </c>
      <c r="B66" s="1347" t="s">
        <v>448</v>
      </c>
      <c r="C66" s="1347" t="s">
        <v>345</v>
      </c>
      <c r="D66" s="1347">
        <v>0.15632093079100001</v>
      </c>
      <c r="E66" s="1349">
        <v>9.0118601065500001E-2</v>
      </c>
      <c r="F66" s="1349"/>
    </row>
    <row r="67" spans="1:6" x14ac:dyDescent="0.45">
      <c r="A67" s="1347">
        <v>230</v>
      </c>
      <c r="B67" s="1347" t="s">
        <v>1055</v>
      </c>
      <c r="C67" s="1347" t="s">
        <v>364</v>
      </c>
      <c r="D67" s="1347">
        <v>0</v>
      </c>
      <c r="E67" s="1347">
        <v>0</v>
      </c>
    </row>
    <row r="68" spans="1:6" x14ac:dyDescent="0.45">
      <c r="A68" s="1347">
        <v>231</v>
      </c>
      <c r="B68" s="1347" t="s">
        <v>449</v>
      </c>
      <c r="C68" s="1347" t="s">
        <v>345</v>
      </c>
      <c r="D68" s="1347">
        <v>0.44595990495900001</v>
      </c>
      <c r="E68" s="1347">
        <v>0.185166656614</v>
      </c>
    </row>
    <row r="69" spans="1:6" x14ac:dyDescent="0.45">
      <c r="A69" s="1347">
        <v>232</v>
      </c>
      <c r="B69" s="1347" t="s">
        <v>1056</v>
      </c>
      <c r="C69" s="1347" t="s">
        <v>345</v>
      </c>
      <c r="D69" s="1347">
        <v>-0.602080806287</v>
      </c>
      <c r="E69" s="1347">
        <v>0.12424322525500001</v>
      </c>
    </row>
    <row r="70" spans="1:6" x14ac:dyDescent="0.45">
      <c r="A70" s="1347">
        <v>233</v>
      </c>
      <c r="B70" s="1347" t="s">
        <v>1057</v>
      </c>
      <c r="C70" s="1347" t="s">
        <v>364</v>
      </c>
      <c r="D70" s="1347">
        <v>0</v>
      </c>
      <c r="E70" s="1347">
        <v>0</v>
      </c>
    </row>
    <row r="71" spans="1:6" x14ac:dyDescent="0.45">
      <c r="A71" s="1347">
        <v>251</v>
      </c>
      <c r="B71" s="1347" t="s">
        <v>450</v>
      </c>
      <c r="C71" s="1347" t="s">
        <v>364</v>
      </c>
      <c r="D71" s="1347">
        <v>0</v>
      </c>
      <c r="E71" s="1347">
        <v>0</v>
      </c>
    </row>
    <row r="72" spans="1:6" x14ac:dyDescent="0.45">
      <c r="A72" s="1347">
        <v>300</v>
      </c>
      <c r="B72" s="1347" t="s">
        <v>452</v>
      </c>
      <c r="C72" s="1347" t="s">
        <v>345</v>
      </c>
      <c r="D72" s="1347">
        <v>-3.5934743086399998</v>
      </c>
      <c r="E72" s="1347">
        <v>0.39912061439399998</v>
      </c>
    </row>
    <row r="73" spans="1:6" x14ac:dyDescent="0.45">
      <c r="A73" s="1347">
        <v>301</v>
      </c>
      <c r="B73" s="1347" t="s">
        <v>454</v>
      </c>
      <c r="C73" s="1347" t="s">
        <v>345</v>
      </c>
      <c r="D73" s="1347">
        <v>-1.63085118504</v>
      </c>
      <c r="E73" s="1347">
        <v>0.51777191429400005</v>
      </c>
    </row>
    <row r="74" spans="1:6" x14ac:dyDescent="0.45">
      <c r="A74" s="1347">
        <v>302</v>
      </c>
      <c r="B74" s="1347" t="s">
        <v>456</v>
      </c>
      <c r="C74" s="1347" t="s">
        <v>364</v>
      </c>
      <c r="D74" s="1347">
        <v>0</v>
      </c>
      <c r="E74" s="1347">
        <v>0</v>
      </c>
    </row>
    <row r="75" spans="1:6" x14ac:dyDescent="0.45">
      <c r="A75" s="1347">
        <v>303</v>
      </c>
      <c r="B75" s="1347" t="s">
        <v>458</v>
      </c>
      <c r="C75" s="1347" t="s">
        <v>345</v>
      </c>
      <c r="D75" s="1347">
        <v>-0.74471438544699997</v>
      </c>
      <c r="E75" s="1347">
        <v>0.123801266718</v>
      </c>
    </row>
    <row r="76" spans="1:6" x14ac:dyDescent="0.45">
      <c r="A76" s="1347">
        <v>304</v>
      </c>
      <c r="B76" s="1347" t="s">
        <v>460</v>
      </c>
      <c r="C76" s="1347" t="s">
        <v>364</v>
      </c>
      <c r="D76" s="1347">
        <v>0</v>
      </c>
      <c r="E76" s="1347">
        <v>0</v>
      </c>
    </row>
    <row r="77" spans="1:6" x14ac:dyDescent="0.45">
      <c r="A77" s="1347">
        <v>305</v>
      </c>
      <c r="B77" s="1347" t="s">
        <v>462</v>
      </c>
      <c r="C77" s="1347" t="s">
        <v>364</v>
      </c>
      <c r="D77" s="1347">
        <v>0</v>
      </c>
      <c r="E77" s="1347">
        <v>0</v>
      </c>
    </row>
    <row r="78" spans="1:6" x14ac:dyDescent="0.45">
      <c r="A78" s="1347">
        <v>306</v>
      </c>
      <c r="B78" s="1347" t="s">
        <v>464</v>
      </c>
      <c r="C78" s="1347" t="s">
        <v>364</v>
      </c>
      <c r="D78" s="1347">
        <v>0</v>
      </c>
      <c r="E78" s="1347">
        <v>0</v>
      </c>
    </row>
    <row r="79" spans="1:6" x14ac:dyDescent="0.45">
      <c r="A79" s="1347">
        <v>307</v>
      </c>
      <c r="B79" s="1347" t="s">
        <v>466</v>
      </c>
      <c r="C79" s="1347" t="s">
        <v>364</v>
      </c>
      <c r="D79" s="1347">
        <v>0</v>
      </c>
      <c r="E79" s="1347">
        <v>0</v>
      </c>
    </row>
    <row r="80" spans="1:6" x14ac:dyDescent="0.45">
      <c r="A80" s="1347">
        <v>308</v>
      </c>
      <c r="B80" s="1347" t="s">
        <v>468</v>
      </c>
      <c r="C80" s="1347" t="s">
        <v>345</v>
      </c>
      <c r="D80" s="1347">
        <v>0.58461516065899999</v>
      </c>
      <c r="E80" s="1347">
        <v>0.161120838888</v>
      </c>
    </row>
    <row r="81" spans="1:6" x14ac:dyDescent="0.45">
      <c r="A81" s="1347">
        <v>309</v>
      </c>
      <c r="B81" s="1347" t="s">
        <v>470</v>
      </c>
      <c r="C81" s="1347" t="s">
        <v>345</v>
      </c>
      <c r="D81" s="1347">
        <v>-0.18680904856399999</v>
      </c>
      <c r="E81" s="1349">
        <v>9.5297586077099997E-2</v>
      </c>
      <c r="F81" s="1349"/>
    </row>
    <row r="82" spans="1:6" x14ac:dyDescent="0.45">
      <c r="A82" s="1347">
        <v>310</v>
      </c>
      <c r="B82" s="1347" t="s">
        <v>472</v>
      </c>
      <c r="C82" s="1347" t="s">
        <v>345</v>
      </c>
      <c r="D82" s="1347">
        <v>-0.115255813636</v>
      </c>
      <c r="E82" s="1349">
        <v>8.4346842163800007E-2</v>
      </c>
      <c r="F82" s="1349"/>
    </row>
    <row r="83" spans="1:6" x14ac:dyDescent="0.45">
      <c r="A83" s="1347">
        <v>311</v>
      </c>
      <c r="B83" s="1347" t="s">
        <v>474</v>
      </c>
      <c r="C83" s="1347" t="s">
        <v>364</v>
      </c>
      <c r="D83" s="1347">
        <v>0</v>
      </c>
      <c r="E83" s="1347">
        <v>0</v>
      </c>
    </row>
    <row r="84" spans="1:6" x14ac:dyDescent="0.45">
      <c r="A84" s="1347">
        <v>312</v>
      </c>
      <c r="B84" s="1347" t="s">
        <v>476</v>
      </c>
      <c r="C84" s="1347" t="s">
        <v>364</v>
      </c>
      <c r="D84" s="1347">
        <v>0</v>
      </c>
      <c r="E84" s="1347">
        <v>0</v>
      </c>
    </row>
    <row r="85" spans="1:6" x14ac:dyDescent="0.45">
      <c r="A85" s="1347">
        <v>313</v>
      </c>
      <c r="B85" s="1347" t="s">
        <v>478</v>
      </c>
      <c r="C85" s="1347" t="s">
        <v>345</v>
      </c>
      <c r="D85" s="1347">
        <v>0.112751674664</v>
      </c>
      <c r="E85" s="1347">
        <v>0.11581728459600001</v>
      </c>
    </row>
    <row r="86" spans="1:6" x14ac:dyDescent="0.45">
      <c r="A86" s="1347">
        <v>314</v>
      </c>
      <c r="B86" s="1347" t="s">
        <v>480</v>
      </c>
      <c r="C86" s="1347" t="s">
        <v>345</v>
      </c>
      <c r="D86" s="1347">
        <v>-0.47378038371199999</v>
      </c>
      <c r="E86" s="1347">
        <v>0.11553858203300001</v>
      </c>
    </row>
    <row r="87" spans="1:6" x14ac:dyDescent="0.45">
      <c r="A87" s="1347">
        <v>316</v>
      </c>
      <c r="B87" s="1347" t="s">
        <v>483</v>
      </c>
      <c r="C87" s="1347" t="s">
        <v>364</v>
      </c>
      <c r="D87" s="1347">
        <v>0</v>
      </c>
      <c r="E87" s="1347">
        <v>0</v>
      </c>
    </row>
    <row r="88" spans="1:6" x14ac:dyDescent="0.45">
      <c r="A88" s="1347">
        <v>317</v>
      </c>
      <c r="B88" s="1347" t="s">
        <v>485</v>
      </c>
      <c r="C88" s="1347" t="s">
        <v>345</v>
      </c>
      <c r="D88" s="1347">
        <v>1.25074400924</v>
      </c>
      <c r="E88" s="1347">
        <v>0.14689604966299999</v>
      </c>
    </row>
    <row r="89" spans="1:6" x14ac:dyDescent="0.45">
      <c r="A89" s="1347">
        <v>318</v>
      </c>
      <c r="B89" s="1347" t="s">
        <v>487</v>
      </c>
      <c r="C89" s="1347" t="s">
        <v>345</v>
      </c>
      <c r="D89" s="1347">
        <v>1.7780840091600001</v>
      </c>
      <c r="E89" s="1347">
        <v>0.100253954168</v>
      </c>
    </row>
    <row r="90" spans="1:6" x14ac:dyDescent="0.45">
      <c r="A90" s="1347">
        <v>319</v>
      </c>
      <c r="B90" s="1347" t="s">
        <v>489</v>
      </c>
      <c r="C90" s="1347" t="s">
        <v>345</v>
      </c>
      <c r="D90" s="1347">
        <v>0.58933089640000003</v>
      </c>
      <c r="E90" s="1347">
        <v>0.16655408416</v>
      </c>
    </row>
    <row r="91" spans="1:6" x14ac:dyDescent="0.45">
      <c r="A91" s="1347">
        <v>320</v>
      </c>
      <c r="B91" s="1347" t="s">
        <v>491</v>
      </c>
      <c r="C91" s="1347" t="s">
        <v>345</v>
      </c>
      <c r="D91" s="1347">
        <v>1.2248944044500001</v>
      </c>
      <c r="E91" s="1347">
        <v>0.111449550737</v>
      </c>
    </row>
    <row r="92" spans="1:6" x14ac:dyDescent="0.45">
      <c r="A92" s="1347">
        <v>321</v>
      </c>
      <c r="B92" s="1347" t="s">
        <v>493</v>
      </c>
      <c r="C92" s="1347" t="s">
        <v>345</v>
      </c>
      <c r="D92" s="1347">
        <v>-0.64118983167099997</v>
      </c>
      <c r="E92" s="1347">
        <v>0.14555234122800001</v>
      </c>
    </row>
    <row r="93" spans="1:6" x14ac:dyDescent="0.45">
      <c r="A93" s="1347">
        <v>322</v>
      </c>
      <c r="B93" s="1347" t="s">
        <v>495</v>
      </c>
      <c r="C93" s="1347" t="s">
        <v>345</v>
      </c>
      <c r="D93" s="1347">
        <v>-0.26216348222300001</v>
      </c>
      <c r="E93" s="1347">
        <v>0.11528220992300001</v>
      </c>
    </row>
    <row r="94" spans="1:6" x14ac:dyDescent="0.45">
      <c r="A94" s="1347">
        <v>323</v>
      </c>
      <c r="B94" s="1347" t="s">
        <v>497</v>
      </c>
      <c r="C94" s="1347" t="s">
        <v>345</v>
      </c>
      <c r="D94" s="1347">
        <v>-0.34261970775299999</v>
      </c>
      <c r="E94" s="1349">
        <v>9.0214325596399997E-2</v>
      </c>
      <c r="F94" s="1349"/>
    </row>
    <row r="95" spans="1:6" x14ac:dyDescent="0.45">
      <c r="A95" s="1347">
        <v>324</v>
      </c>
      <c r="B95" s="1347" t="s">
        <v>499</v>
      </c>
      <c r="C95" s="1347" t="s">
        <v>364</v>
      </c>
      <c r="D95" s="1347">
        <v>0</v>
      </c>
      <c r="E95" s="1347">
        <v>0</v>
      </c>
    </row>
    <row r="96" spans="1:6" x14ac:dyDescent="0.45">
      <c r="A96" s="1347">
        <v>325</v>
      </c>
      <c r="B96" s="1347" t="s">
        <v>501</v>
      </c>
      <c r="C96" s="1347" t="s">
        <v>364</v>
      </c>
      <c r="D96" s="1347">
        <v>0</v>
      </c>
      <c r="E96" s="1347">
        <v>0</v>
      </c>
    </row>
    <row r="97" spans="1:6" x14ac:dyDescent="0.45">
      <c r="A97" s="1347">
        <v>326</v>
      </c>
      <c r="B97" s="1347" t="s">
        <v>503</v>
      </c>
      <c r="C97" s="1347" t="s">
        <v>364</v>
      </c>
      <c r="D97" s="1347">
        <v>0</v>
      </c>
      <c r="E97" s="1347">
        <v>0</v>
      </c>
    </row>
    <row r="98" spans="1:6" x14ac:dyDescent="0.45">
      <c r="A98" s="1347">
        <v>327</v>
      </c>
      <c r="B98" s="1347" t="s">
        <v>505</v>
      </c>
      <c r="C98" s="1347" t="s">
        <v>364</v>
      </c>
      <c r="D98" s="1347">
        <v>0</v>
      </c>
      <c r="E98" s="1347">
        <v>0</v>
      </c>
    </row>
    <row r="99" spans="1:6" x14ac:dyDescent="0.45">
      <c r="A99" s="1347">
        <v>328</v>
      </c>
      <c r="B99" s="1347" t="s">
        <v>1058</v>
      </c>
      <c r="C99" s="1347" t="s">
        <v>364</v>
      </c>
      <c r="D99" s="1347">
        <v>0</v>
      </c>
      <c r="E99" s="1347">
        <v>0</v>
      </c>
    </row>
    <row r="100" spans="1:6" x14ac:dyDescent="0.45">
      <c r="A100" s="1347">
        <v>329</v>
      </c>
      <c r="B100" s="1347" t="s">
        <v>507</v>
      </c>
      <c r="C100" s="1347" t="s">
        <v>345</v>
      </c>
      <c r="D100" s="1349">
        <v>6.62311230207E-2</v>
      </c>
      <c r="E100" s="1349">
        <v>3.1916057938899997E-2</v>
      </c>
      <c r="F100" s="1349"/>
    </row>
    <row r="101" spans="1:6" x14ac:dyDescent="0.45">
      <c r="A101" s="1347">
        <v>330</v>
      </c>
      <c r="B101" s="1347" t="s">
        <v>1059</v>
      </c>
      <c r="C101" s="1347" t="s">
        <v>364</v>
      </c>
      <c r="D101" s="1347">
        <v>0</v>
      </c>
      <c r="E101" s="1347">
        <v>0</v>
      </c>
    </row>
    <row r="102" spans="1:6" x14ac:dyDescent="0.45">
      <c r="A102" s="1347">
        <v>331</v>
      </c>
      <c r="B102" s="1347" t="s">
        <v>508</v>
      </c>
      <c r="C102" s="1347" t="s">
        <v>345</v>
      </c>
      <c r="D102" s="1349">
        <v>7.8148553591200001E-2</v>
      </c>
      <c r="E102" s="1349">
        <v>3.2280685376999997E-2</v>
      </c>
      <c r="F102" s="1349"/>
    </row>
    <row r="103" spans="1:6" x14ac:dyDescent="0.45">
      <c r="A103" s="1347">
        <v>332</v>
      </c>
      <c r="B103" s="1347" t="s">
        <v>1060</v>
      </c>
      <c r="C103" s="1347" t="s">
        <v>345</v>
      </c>
      <c r="D103" s="1347">
        <v>-0.36162839107299999</v>
      </c>
      <c r="E103" s="1349">
        <v>8.7888778938600004E-2</v>
      </c>
      <c r="F103" s="1349"/>
    </row>
    <row r="104" spans="1:6" x14ac:dyDescent="0.45">
      <c r="A104" s="1347">
        <v>333</v>
      </c>
      <c r="B104" s="1347" t="s">
        <v>1061</v>
      </c>
      <c r="C104" s="1347" t="s">
        <v>345</v>
      </c>
      <c r="D104" s="1347">
        <v>-0.16749789355</v>
      </c>
      <c r="E104" s="1349">
        <v>7.0661603536100001E-2</v>
      </c>
      <c r="F104" s="1349"/>
    </row>
    <row r="105" spans="1:6" x14ac:dyDescent="0.45">
      <c r="A105" s="1347">
        <v>351</v>
      </c>
      <c r="B105" s="1347" t="s">
        <v>509</v>
      </c>
      <c r="C105" s="1347" t="s">
        <v>364</v>
      </c>
      <c r="D105" s="1347">
        <v>0</v>
      </c>
      <c r="E105" s="1347">
        <v>0</v>
      </c>
    </row>
    <row r="106" spans="1:6" x14ac:dyDescent="0.45">
      <c r="A106" s="1347">
        <v>400</v>
      </c>
      <c r="B106" s="1347" t="s">
        <v>511</v>
      </c>
      <c r="C106" s="1347" t="s">
        <v>345</v>
      </c>
      <c r="D106" s="1347">
        <v>-2.0825068933400002</v>
      </c>
      <c r="E106" s="1347">
        <v>0.38245842813800002</v>
      </c>
    </row>
    <row r="107" spans="1:6" x14ac:dyDescent="0.45">
      <c r="A107" s="1347">
        <v>401</v>
      </c>
      <c r="B107" s="1347" t="s">
        <v>513</v>
      </c>
      <c r="C107" s="1347" t="s">
        <v>345</v>
      </c>
      <c r="D107" s="1347">
        <v>2.2906954036</v>
      </c>
      <c r="E107" s="1347">
        <v>0.48375760605099999</v>
      </c>
    </row>
    <row r="108" spans="1:6" x14ac:dyDescent="0.45">
      <c r="A108" s="1347">
        <v>402</v>
      </c>
      <c r="B108" s="1347" t="s">
        <v>515</v>
      </c>
      <c r="C108" s="1347" t="s">
        <v>345</v>
      </c>
      <c r="D108" s="1347">
        <v>0.16969119518199999</v>
      </c>
      <c r="E108" s="1349">
        <v>9.0308451551400007E-2</v>
      </c>
      <c r="F108" s="1349"/>
    </row>
    <row r="109" spans="1:6" x14ac:dyDescent="0.45">
      <c r="A109" s="1347">
        <v>403</v>
      </c>
      <c r="B109" s="1347" t="s">
        <v>517</v>
      </c>
      <c r="C109" s="1347" t="s">
        <v>345</v>
      </c>
      <c r="D109" s="1347">
        <v>0.49340626914899999</v>
      </c>
      <c r="E109" s="1347">
        <v>0.100906137534</v>
      </c>
    </row>
    <row r="110" spans="1:6" x14ac:dyDescent="0.45">
      <c r="A110" s="1347">
        <v>404</v>
      </c>
      <c r="B110" s="1347" t="s">
        <v>519</v>
      </c>
      <c r="C110" s="1347" t="s">
        <v>345</v>
      </c>
      <c r="D110" s="1347">
        <v>0.37994419983299998</v>
      </c>
      <c r="E110" s="1347">
        <v>0.112456519485</v>
      </c>
    </row>
    <row r="111" spans="1:6" x14ac:dyDescent="0.45">
      <c r="A111" s="1347">
        <v>405</v>
      </c>
      <c r="B111" s="1347" t="s">
        <v>521</v>
      </c>
      <c r="C111" s="1347" t="s">
        <v>364</v>
      </c>
      <c r="D111" s="1347">
        <v>0</v>
      </c>
      <c r="E111" s="1347">
        <v>0</v>
      </c>
    </row>
    <row r="112" spans="1:6" x14ac:dyDescent="0.45">
      <c r="A112" s="1347">
        <v>406</v>
      </c>
      <c r="B112" s="1347" t="s">
        <v>523</v>
      </c>
      <c r="C112" s="1347" t="s">
        <v>345</v>
      </c>
      <c r="D112" s="1347">
        <v>-0.23495871103800001</v>
      </c>
      <c r="E112" s="1347">
        <v>0.198044990162</v>
      </c>
    </row>
    <row r="113" spans="1:6" x14ac:dyDescent="0.45">
      <c r="A113" s="1347">
        <v>407</v>
      </c>
      <c r="B113" s="1347" t="s">
        <v>525</v>
      </c>
      <c r="C113" s="1347" t="s">
        <v>345</v>
      </c>
      <c r="D113" s="1347">
        <v>-0.35091134456200002</v>
      </c>
      <c r="E113" s="1347">
        <v>0.15776630873399999</v>
      </c>
    </row>
    <row r="114" spans="1:6" x14ac:dyDescent="0.45">
      <c r="A114" s="1347">
        <v>408</v>
      </c>
      <c r="B114" s="1347" t="s">
        <v>527</v>
      </c>
      <c r="C114" s="1347" t="s">
        <v>345</v>
      </c>
      <c r="D114" s="1347">
        <v>-0.41495252702399998</v>
      </c>
      <c r="E114" s="1347">
        <v>0.16551471296100001</v>
      </c>
    </row>
    <row r="115" spans="1:6" x14ac:dyDescent="0.45">
      <c r="A115" s="1347">
        <v>409</v>
      </c>
      <c r="B115" s="1347" t="s">
        <v>529</v>
      </c>
      <c r="C115" s="1347" t="s">
        <v>345</v>
      </c>
      <c r="D115" s="1349">
        <v>-7.0369393264800004E-2</v>
      </c>
      <c r="E115" s="1349">
        <v>7.2336620951800004E-2</v>
      </c>
      <c r="F115" s="1349"/>
    </row>
    <row r="116" spans="1:6" x14ac:dyDescent="0.45">
      <c r="A116" s="1347">
        <v>410</v>
      </c>
      <c r="B116" s="1347" t="s">
        <v>531</v>
      </c>
      <c r="C116" s="1347" t="s">
        <v>364</v>
      </c>
      <c r="D116" s="1347">
        <v>0</v>
      </c>
      <c r="E116" s="1347">
        <v>0</v>
      </c>
    </row>
    <row r="117" spans="1:6" x14ac:dyDescent="0.45">
      <c r="A117" s="1347">
        <v>411</v>
      </c>
      <c r="B117" s="1347" t="s">
        <v>533</v>
      </c>
      <c r="C117" s="1347" t="s">
        <v>345</v>
      </c>
      <c r="D117" s="1347">
        <v>0.115383900761</v>
      </c>
      <c r="E117" s="1349">
        <v>6.3692490189000001E-2</v>
      </c>
      <c r="F117" s="1349"/>
    </row>
    <row r="118" spans="1:6" x14ac:dyDescent="0.45">
      <c r="A118" s="1347">
        <v>412</v>
      </c>
      <c r="B118" s="1347" t="s">
        <v>535</v>
      </c>
      <c r="C118" s="1347" t="s">
        <v>345</v>
      </c>
      <c r="D118" s="1349">
        <v>2.9663415100999999E-2</v>
      </c>
      <c r="E118" s="1349">
        <v>7.7800361113399996E-2</v>
      </c>
      <c r="F118" s="1349"/>
    </row>
    <row r="119" spans="1:6" x14ac:dyDescent="0.45">
      <c r="A119" s="1347">
        <v>413</v>
      </c>
      <c r="B119" s="1347" t="s">
        <v>537</v>
      </c>
      <c r="C119" s="1347" t="s">
        <v>364</v>
      </c>
      <c r="D119" s="1347">
        <v>0</v>
      </c>
      <c r="E119" s="1347">
        <v>0</v>
      </c>
    </row>
    <row r="120" spans="1:6" x14ac:dyDescent="0.45">
      <c r="A120" s="1347">
        <v>414</v>
      </c>
      <c r="B120" s="1347" t="s">
        <v>539</v>
      </c>
      <c r="C120" s="1347" t="s">
        <v>364</v>
      </c>
      <c r="D120" s="1347">
        <v>0</v>
      </c>
      <c r="E120" s="1347">
        <v>0</v>
      </c>
    </row>
    <row r="121" spans="1:6" x14ac:dyDescent="0.45">
      <c r="A121" s="1347">
        <v>416</v>
      </c>
      <c r="B121" s="1347" t="s">
        <v>542</v>
      </c>
      <c r="C121" s="1347" t="s">
        <v>364</v>
      </c>
      <c r="D121" s="1347">
        <v>0</v>
      </c>
      <c r="E121" s="1347">
        <v>0</v>
      </c>
    </row>
    <row r="122" spans="1:6" x14ac:dyDescent="0.45">
      <c r="A122" s="1347">
        <v>417</v>
      </c>
      <c r="B122" s="1347" t="s">
        <v>544</v>
      </c>
      <c r="C122" s="1347" t="s">
        <v>345</v>
      </c>
      <c r="D122" s="1347">
        <v>-0.384896866713</v>
      </c>
      <c r="E122" s="1347">
        <v>0.155324308134</v>
      </c>
    </row>
    <row r="123" spans="1:6" x14ac:dyDescent="0.45">
      <c r="A123" s="1347">
        <v>418</v>
      </c>
      <c r="B123" s="1347" t="s">
        <v>546</v>
      </c>
      <c r="C123" s="1347" t="s">
        <v>345</v>
      </c>
      <c r="D123" s="1347">
        <v>-0.298755266844</v>
      </c>
      <c r="E123" s="1347">
        <v>0.105782047602</v>
      </c>
    </row>
    <row r="124" spans="1:6" x14ac:dyDescent="0.45">
      <c r="A124" s="1347">
        <v>419</v>
      </c>
      <c r="B124" s="1347" t="s">
        <v>548</v>
      </c>
      <c r="C124" s="1347" t="s">
        <v>364</v>
      </c>
      <c r="D124" s="1347">
        <v>0</v>
      </c>
      <c r="E124" s="1347">
        <v>0</v>
      </c>
    </row>
    <row r="125" spans="1:6" x14ac:dyDescent="0.45">
      <c r="A125" s="1347">
        <v>420</v>
      </c>
      <c r="B125" s="1347" t="s">
        <v>550</v>
      </c>
      <c r="C125" s="1347" t="s">
        <v>345</v>
      </c>
      <c r="D125" s="1347">
        <v>-0.45044495678699997</v>
      </c>
      <c r="E125" s="1347">
        <v>0.111808812742</v>
      </c>
    </row>
    <row r="126" spans="1:6" x14ac:dyDescent="0.45">
      <c r="A126" s="1347">
        <v>421</v>
      </c>
      <c r="B126" s="1347" t="s">
        <v>552</v>
      </c>
      <c r="C126" s="1347" t="s">
        <v>345</v>
      </c>
      <c r="D126" s="1347">
        <v>-0.30637165114300002</v>
      </c>
      <c r="E126" s="1347">
        <v>0.12249375098900001</v>
      </c>
    </row>
    <row r="127" spans="1:6" x14ac:dyDescent="0.45">
      <c r="A127" s="1347">
        <v>422</v>
      </c>
      <c r="B127" s="1347" t="s">
        <v>554</v>
      </c>
      <c r="C127" s="1347" t="s">
        <v>345</v>
      </c>
      <c r="D127" s="1347">
        <v>-0.20794112521899999</v>
      </c>
      <c r="E127" s="1347">
        <v>0.105787203341</v>
      </c>
    </row>
    <row r="128" spans="1:6" x14ac:dyDescent="0.45">
      <c r="A128" s="1347">
        <v>423</v>
      </c>
      <c r="B128" s="1347" t="s">
        <v>556</v>
      </c>
      <c r="C128" s="1347" t="s">
        <v>345</v>
      </c>
      <c r="D128" s="1349">
        <v>6.3943550630299995E-2</v>
      </c>
      <c r="E128" s="1349">
        <v>7.2430516162200004E-2</v>
      </c>
      <c r="F128" s="1349"/>
    </row>
    <row r="129" spans="1:6" x14ac:dyDescent="0.45">
      <c r="A129" s="1347">
        <v>424</v>
      </c>
      <c r="B129" s="1347" t="s">
        <v>558</v>
      </c>
      <c r="C129" s="1347" t="s">
        <v>364</v>
      </c>
      <c r="D129" s="1347">
        <v>0</v>
      </c>
      <c r="E129" s="1347">
        <v>0</v>
      </c>
    </row>
    <row r="130" spans="1:6" x14ac:dyDescent="0.45">
      <c r="A130" s="1347">
        <v>425</v>
      </c>
      <c r="B130" s="1347" t="s">
        <v>560</v>
      </c>
      <c r="C130" s="1347" t="s">
        <v>364</v>
      </c>
      <c r="D130" s="1347">
        <v>0</v>
      </c>
      <c r="E130" s="1347">
        <v>0</v>
      </c>
    </row>
    <row r="131" spans="1:6" x14ac:dyDescent="0.45">
      <c r="A131" s="1347">
        <v>426</v>
      </c>
      <c r="B131" s="1347" t="s">
        <v>562</v>
      </c>
      <c r="C131" s="1347" t="s">
        <v>364</v>
      </c>
      <c r="D131" s="1347">
        <v>0</v>
      </c>
      <c r="E131" s="1347">
        <v>0</v>
      </c>
    </row>
    <row r="132" spans="1:6" x14ac:dyDescent="0.45">
      <c r="A132" s="1347">
        <v>427</v>
      </c>
      <c r="B132" s="1347" t="s">
        <v>564</v>
      </c>
      <c r="C132" s="1347" t="s">
        <v>364</v>
      </c>
      <c r="D132" s="1347">
        <v>0</v>
      </c>
      <c r="E132" s="1347">
        <v>0</v>
      </c>
    </row>
    <row r="133" spans="1:6" x14ac:dyDescent="0.45">
      <c r="A133" s="1347">
        <v>428</v>
      </c>
      <c r="B133" s="1347" t="s">
        <v>1062</v>
      </c>
      <c r="C133" s="1347" t="s">
        <v>364</v>
      </c>
      <c r="D133" s="1347">
        <v>0</v>
      </c>
      <c r="E133" s="1347">
        <v>0</v>
      </c>
    </row>
    <row r="134" spans="1:6" x14ac:dyDescent="0.45">
      <c r="A134" s="1347">
        <v>429</v>
      </c>
      <c r="B134" s="1347" t="s">
        <v>566</v>
      </c>
      <c r="C134" s="1347" t="s">
        <v>345</v>
      </c>
      <c r="D134" s="1349">
        <v>2.9308614462100001E-2</v>
      </c>
      <c r="E134" s="1349">
        <v>2.95936449719E-2</v>
      </c>
      <c r="F134" s="1349"/>
    </row>
    <row r="135" spans="1:6" x14ac:dyDescent="0.45">
      <c r="A135" s="1347">
        <v>430</v>
      </c>
      <c r="B135" s="1347" t="s">
        <v>1063</v>
      </c>
      <c r="C135" s="1347" t="s">
        <v>364</v>
      </c>
      <c r="D135" s="1347">
        <v>0</v>
      </c>
      <c r="E135" s="1347">
        <v>0</v>
      </c>
    </row>
    <row r="136" spans="1:6" x14ac:dyDescent="0.45">
      <c r="A136" s="1347">
        <v>431</v>
      </c>
      <c r="B136" s="1347" t="s">
        <v>567</v>
      </c>
      <c r="C136" s="1347" t="s">
        <v>345</v>
      </c>
      <c r="D136" s="1349">
        <v>-7.5671272814599996E-2</v>
      </c>
      <c r="E136" s="1349">
        <v>2.6612973181300001E-2</v>
      </c>
      <c r="F136" s="1349"/>
    </row>
    <row r="137" spans="1:6" x14ac:dyDescent="0.45">
      <c r="A137" s="1347">
        <v>432</v>
      </c>
      <c r="B137" s="1347" t="s">
        <v>1064</v>
      </c>
      <c r="C137" s="1347" t="s">
        <v>345</v>
      </c>
      <c r="D137" s="1347">
        <v>-0.97950456358000004</v>
      </c>
      <c r="E137" s="1349">
        <v>7.5274766318899997E-2</v>
      </c>
      <c r="F137" s="1349"/>
    </row>
    <row r="138" spans="1:6" x14ac:dyDescent="0.45">
      <c r="A138" s="1347">
        <v>433</v>
      </c>
      <c r="B138" s="1347" t="s">
        <v>1065</v>
      </c>
      <c r="C138" s="1347" t="s">
        <v>345</v>
      </c>
      <c r="D138" s="1347">
        <v>-0.23241280488499999</v>
      </c>
      <c r="E138" s="1349">
        <v>5.5872974268800002E-2</v>
      </c>
      <c r="F138" s="1349"/>
    </row>
    <row r="139" spans="1:6" x14ac:dyDescent="0.45">
      <c r="A139" s="1347">
        <v>451</v>
      </c>
      <c r="B139" s="1347" t="s">
        <v>568</v>
      </c>
      <c r="C139" s="1347" t="s">
        <v>364</v>
      </c>
      <c r="D139" s="1347">
        <v>0</v>
      </c>
      <c r="E139" s="1347">
        <v>0</v>
      </c>
    </row>
    <row r="140" spans="1:6" x14ac:dyDescent="0.45">
      <c r="A140" s="1347">
        <v>500</v>
      </c>
      <c r="B140" s="1347" t="s">
        <v>570</v>
      </c>
      <c r="C140" s="1347" t="s">
        <v>345</v>
      </c>
      <c r="D140" s="1347">
        <v>-2.2551512740300002</v>
      </c>
      <c r="E140" s="1347">
        <v>0.39663489790299999</v>
      </c>
    </row>
    <row r="141" spans="1:6" x14ac:dyDescent="0.45">
      <c r="A141" s="1347">
        <v>501</v>
      </c>
      <c r="B141" s="1347" t="s">
        <v>572</v>
      </c>
      <c r="C141" s="1347" t="s">
        <v>345</v>
      </c>
      <c r="D141" s="1347">
        <v>1.53876920613</v>
      </c>
      <c r="E141" s="1347">
        <v>0.49356864748099999</v>
      </c>
    </row>
    <row r="142" spans="1:6" x14ac:dyDescent="0.45">
      <c r="A142" s="1347">
        <v>502</v>
      </c>
      <c r="B142" s="1347" t="s">
        <v>574</v>
      </c>
      <c r="C142" s="1347" t="s">
        <v>345</v>
      </c>
      <c r="D142" s="1349">
        <v>2.1363353819000001E-2</v>
      </c>
      <c r="E142" s="1349">
        <v>9.0053684134900003E-2</v>
      </c>
      <c r="F142" s="1349"/>
    </row>
    <row r="143" spans="1:6" x14ac:dyDescent="0.45">
      <c r="A143" s="1347">
        <v>503</v>
      </c>
      <c r="B143" s="1347" t="s">
        <v>576</v>
      </c>
      <c r="C143" s="1347" t="s">
        <v>345</v>
      </c>
      <c r="D143" s="1347">
        <v>0.15209130060600001</v>
      </c>
      <c r="E143" s="1349">
        <v>9.6577959227499996E-2</v>
      </c>
      <c r="F143" s="1349"/>
    </row>
    <row r="144" spans="1:6" x14ac:dyDescent="0.45">
      <c r="A144" s="1347">
        <v>504</v>
      </c>
      <c r="B144" s="1347" t="s">
        <v>578</v>
      </c>
      <c r="C144" s="1347" t="s">
        <v>345</v>
      </c>
      <c r="D144" s="1347">
        <v>0.40352461405000001</v>
      </c>
      <c r="E144" s="1347">
        <v>0.109264342109</v>
      </c>
    </row>
    <row r="145" spans="1:6" x14ac:dyDescent="0.45">
      <c r="A145" s="1347">
        <v>505</v>
      </c>
      <c r="B145" s="1347" t="s">
        <v>580</v>
      </c>
      <c r="C145" s="1347" t="s">
        <v>345</v>
      </c>
      <c r="D145" s="1347">
        <v>0.14357679773400001</v>
      </c>
      <c r="E145" s="1347">
        <v>0.15211669466300001</v>
      </c>
    </row>
    <row r="146" spans="1:6" x14ac:dyDescent="0.45">
      <c r="A146" s="1347">
        <v>506</v>
      </c>
      <c r="B146" s="1347" t="s">
        <v>582</v>
      </c>
      <c r="C146" s="1347" t="s">
        <v>345</v>
      </c>
      <c r="D146" s="1347">
        <v>-0.48330139279399997</v>
      </c>
      <c r="E146" s="1347">
        <v>0.21179666320500001</v>
      </c>
    </row>
    <row r="147" spans="1:6" x14ac:dyDescent="0.45">
      <c r="A147" s="1347">
        <v>507</v>
      </c>
      <c r="B147" s="1347" t="s">
        <v>584</v>
      </c>
      <c r="C147" s="1347" t="s">
        <v>345</v>
      </c>
      <c r="D147" s="1347">
        <v>-0.56595716487699999</v>
      </c>
      <c r="E147" s="1347">
        <v>0.162508512365</v>
      </c>
    </row>
    <row r="148" spans="1:6" x14ac:dyDescent="0.45">
      <c r="A148" s="1347">
        <v>508</v>
      </c>
      <c r="B148" s="1347" t="s">
        <v>586</v>
      </c>
      <c r="C148" s="1347" t="s">
        <v>364</v>
      </c>
      <c r="D148" s="1347">
        <v>0</v>
      </c>
      <c r="E148" s="1347">
        <v>0</v>
      </c>
    </row>
    <row r="149" spans="1:6" x14ac:dyDescent="0.45">
      <c r="A149" s="1347">
        <v>509</v>
      </c>
      <c r="B149" s="1347" t="s">
        <v>588</v>
      </c>
      <c r="C149" s="1347" t="s">
        <v>345</v>
      </c>
      <c r="D149" s="1347">
        <v>-0.104561593137</v>
      </c>
      <c r="E149" s="1349">
        <v>7.3183313890999996E-2</v>
      </c>
      <c r="F149" s="1349"/>
    </row>
    <row r="150" spans="1:6" x14ac:dyDescent="0.45">
      <c r="A150" s="1347">
        <v>510</v>
      </c>
      <c r="B150" s="1347" t="s">
        <v>590</v>
      </c>
      <c r="C150" s="1347" t="s">
        <v>364</v>
      </c>
      <c r="D150" s="1347">
        <v>0</v>
      </c>
      <c r="E150" s="1347">
        <v>0</v>
      </c>
    </row>
    <row r="151" spans="1:6" x14ac:dyDescent="0.45">
      <c r="A151" s="1347">
        <v>511</v>
      </c>
      <c r="B151" s="1347" t="s">
        <v>592</v>
      </c>
      <c r="C151" s="1347" t="s">
        <v>364</v>
      </c>
      <c r="D151" s="1347">
        <v>0</v>
      </c>
      <c r="E151" s="1347">
        <v>0</v>
      </c>
    </row>
    <row r="152" spans="1:6" x14ac:dyDescent="0.45">
      <c r="A152" s="1347">
        <v>512</v>
      </c>
      <c r="B152" s="1347" t="s">
        <v>594</v>
      </c>
      <c r="C152" s="1347" t="s">
        <v>345</v>
      </c>
      <c r="D152" s="1349">
        <v>5.7455556441500001E-2</v>
      </c>
      <c r="E152" s="1349">
        <v>7.9253377404E-2</v>
      </c>
      <c r="F152" s="1349"/>
    </row>
    <row r="153" spans="1:6" x14ac:dyDescent="0.45">
      <c r="A153" s="1347">
        <v>513</v>
      </c>
      <c r="B153" s="1347" t="s">
        <v>596</v>
      </c>
      <c r="C153" s="1347" t="s">
        <v>345</v>
      </c>
      <c r="D153" s="1347">
        <v>0.19161158987400001</v>
      </c>
      <c r="E153" s="1349">
        <v>7.7686932739500003E-2</v>
      </c>
      <c r="F153" s="1349"/>
    </row>
    <row r="154" spans="1:6" x14ac:dyDescent="0.45">
      <c r="A154" s="1347">
        <v>514</v>
      </c>
      <c r="B154" s="1347" t="s">
        <v>598</v>
      </c>
      <c r="C154" s="1347" t="s">
        <v>364</v>
      </c>
      <c r="D154" s="1347">
        <v>0</v>
      </c>
      <c r="E154" s="1347">
        <v>0</v>
      </c>
    </row>
    <row r="155" spans="1:6" x14ac:dyDescent="0.45">
      <c r="A155" s="1347">
        <v>516</v>
      </c>
      <c r="B155" s="1347" t="s">
        <v>601</v>
      </c>
      <c r="C155" s="1347" t="s">
        <v>345</v>
      </c>
      <c r="D155" s="1347">
        <v>0.156453402735</v>
      </c>
      <c r="E155" s="1349">
        <v>5.9671089373400002E-2</v>
      </c>
      <c r="F155" s="1349"/>
    </row>
    <row r="156" spans="1:6" x14ac:dyDescent="0.45">
      <c r="A156" s="1347">
        <v>517</v>
      </c>
      <c r="B156" s="1347" t="s">
        <v>603</v>
      </c>
      <c r="C156" s="1347" t="s">
        <v>364</v>
      </c>
      <c r="D156" s="1347">
        <v>0</v>
      </c>
      <c r="E156" s="1347">
        <v>0</v>
      </c>
    </row>
    <row r="157" spans="1:6" x14ac:dyDescent="0.45">
      <c r="A157" s="1347">
        <v>518</v>
      </c>
      <c r="B157" s="1347" t="s">
        <v>605</v>
      </c>
      <c r="C157" s="1347" t="s">
        <v>364</v>
      </c>
      <c r="D157" s="1347">
        <v>0</v>
      </c>
      <c r="E157" s="1347">
        <v>0</v>
      </c>
    </row>
    <row r="158" spans="1:6" x14ac:dyDescent="0.45">
      <c r="A158" s="1347">
        <v>519</v>
      </c>
      <c r="B158" s="1347" t="s">
        <v>607</v>
      </c>
      <c r="C158" s="1347" t="s">
        <v>345</v>
      </c>
      <c r="D158" s="1347">
        <v>-0.29155341555399999</v>
      </c>
      <c r="E158" s="1347">
        <v>0.167411417585</v>
      </c>
    </row>
    <row r="159" spans="1:6" x14ac:dyDescent="0.45">
      <c r="A159" s="1347">
        <v>520</v>
      </c>
      <c r="B159" s="1347" t="s">
        <v>609</v>
      </c>
      <c r="C159" s="1347" t="s">
        <v>364</v>
      </c>
      <c r="D159" s="1347">
        <v>0</v>
      </c>
      <c r="E159" s="1347">
        <v>0</v>
      </c>
    </row>
    <row r="160" spans="1:6" x14ac:dyDescent="0.45">
      <c r="A160" s="1347">
        <v>521</v>
      </c>
      <c r="B160" s="1347" t="s">
        <v>611</v>
      </c>
      <c r="C160" s="1347" t="s">
        <v>345</v>
      </c>
      <c r="D160" s="1347">
        <v>-0.23060470699800001</v>
      </c>
      <c r="E160" s="1347">
        <v>0.126347477327</v>
      </c>
    </row>
    <row r="161" spans="1:6" x14ac:dyDescent="0.45">
      <c r="A161" s="1347">
        <v>522</v>
      </c>
      <c r="B161" s="1347" t="s">
        <v>613</v>
      </c>
      <c r="C161" s="1347" t="s">
        <v>345</v>
      </c>
      <c r="D161" s="1347">
        <v>-0.30518042548399998</v>
      </c>
      <c r="E161" s="1347">
        <v>0.103854435117</v>
      </c>
    </row>
    <row r="162" spans="1:6" x14ac:dyDescent="0.45">
      <c r="A162" s="1347">
        <v>523</v>
      </c>
      <c r="B162" s="1347" t="s">
        <v>615</v>
      </c>
      <c r="C162" s="1347" t="s">
        <v>345</v>
      </c>
      <c r="D162" s="1349">
        <v>4.7427549270000001E-2</v>
      </c>
      <c r="E162" s="1349">
        <v>6.9432428588500003E-2</v>
      </c>
      <c r="F162" s="1349"/>
    </row>
    <row r="163" spans="1:6" x14ac:dyDescent="0.45">
      <c r="A163" s="1347">
        <v>524</v>
      </c>
      <c r="B163" s="1347" t="s">
        <v>617</v>
      </c>
      <c r="C163" s="1347" t="s">
        <v>364</v>
      </c>
      <c r="D163" s="1347">
        <v>0</v>
      </c>
      <c r="E163" s="1347">
        <v>0</v>
      </c>
    </row>
    <row r="164" spans="1:6" x14ac:dyDescent="0.45">
      <c r="A164" s="1347">
        <v>525</v>
      </c>
      <c r="B164" s="1347" t="s">
        <v>619</v>
      </c>
      <c r="C164" s="1347" t="s">
        <v>364</v>
      </c>
      <c r="D164" s="1347">
        <v>0</v>
      </c>
      <c r="E164" s="1347">
        <v>0</v>
      </c>
    </row>
    <row r="165" spans="1:6" x14ac:dyDescent="0.45">
      <c r="A165" s="1347">
        <v>526</v>
      </c>
      <c r="B165" s="1347" t="s">
        <v>621</v>
      </c>
      <c r="C165" s="1347" t="s">
        <v>364</v>
      </c>
      <c r="D165" s="1347">
        <v>0</v>
      </c>
      <c r="E165" s="1347">
        <v>0</v>
      </c>
    </row>
    <row r="166" spans="1:6" x14ac:dyDescent="0.45">
      <c r="A166" s="1347">
        <v>527</v>
      </c>
      <c r="B166" s="1347" t="s">
        <v>623</v>
      </c>
      <c r="C166" s="1347" t="s">
        <v>364</v>
      </c>
      <c r="D166" s="1347">
        <v>0</v>
      </c>
      <c r="E166" s="1347">
        <v>0</v>
      </c>
    </row>
    <row r="167" spans="1:6" x14ac:dyDescent="0.45">
      <c r="A167" s="1347">
        <v>528</v>
      </c>
      <c r="B167" s="1347" t="s">
        <v>1066</v>
      </c>
      <c r="C167" s="1347" t="s">
        <v>364</v>
      </c>
      <c r="D167" s="1347">
        <v>0</v>
      </c>
      <c r="E167" s="1347">
        <v>0</v>
      </c>
    </row>
    <row r="168" spans="1:6" x14ac:dyDescent="0.45">
      <c r="A168" s="1347">
        <v>529</v>
      </c>
      <c r="B168" s="1347" t="s">
        <v>625</v>
      </c>
      <c r="C168" s="1347" t="s">
        <v>345</v>
      </c>
      <c r="D168" s="1349">
        <v>3.2339996106899999E-2</v>
      </c>
      <c r="E168" s="1349">
        <v>3.8017179416499999E-2</v>
      </c>
      <c r="F168" s="1349"/>
    </row>
    <row r="169" spans="1:6" x14ac:dyDescent="0.45">
      <c r="A169" s="1347">
        <v>530</v>
      </c>
      <c r="B169" s="1347" t="s">
        <v>1067</v>
      </c>
      <c r="C169" s="1347" t="s">
        <v>364</v>
      </c>
      <c r="D169" s="1347">
        <v>0</v>
      </c>
      <c r="E169" s="1347">
        <v>0</v>
      </c>
    </row>
    <row r="170" spans="1:6" x14ac:dyDescent="0.45">
      <c r="A170" s="1347">
        <v>531</v>
      </c>
      <c r="B170" s="1347" t="s">
        <v>626</v>
      </c>
      <c r="C170" s="1347" t="s">
        <v>345</v>
      </c>
      <c r="D170" s="1349">
        <v>-3.6036766669599998E-2</v>
      </c>
      <c r="E170" s="1349">
        <v>3.4432369002800001E-2</v>
      </c>
      <c r="F170" s="1349"/>
    </row>
    <row r="171" spans="1:6" x14ac:dyDescent="0.45">
      <c r="A171" s="1347">
        <v>532</v>
      </c>
      <c r="B171" s="1347" t="s">
        <v>1068</v>
      </c>
      <c r="C171" s="1347" t="s">
        <v>345</v>
      </c>
      <c r="D171" s="1347">
        <v>-0.89221574084400002</v>
      </c>
      <c r="E171" s="1349">
        <v>7.6126063701800001E-2</v>
      </c>
      <c r="F171" s="1349"/>
    </row>
    <row r="172" spans="1:6" x14ac:dyDescent="0.45">
      <c r="A172" s="1347">
        <v>533</v>
      </c>
      <c r="B172" s="1347" t="s">
        <v>1069</v>
      </c>
      <c r="C172" s="1347" t="s">
        <v>345</v>
      </c>
      <c r="D172" s="1347">
        <v>-0.21394173623099999</v>
      </c>
      <c r="E172" s="1349">
        <v>5.8021617986099998E-2</v>
      </c>
      <c r="F172" s="1349"/>
    </row>
    <row r="173" spans="1:6" x14ac:dyDescent="0.45">
      <c r="A173" s="1347">
        <v>551</v>
      </c>
      <c r="B173" s="1347" t="s">
        <v>627</v>
      </c>
      <c r="C173" s="1347" t="s">
        <v>364</v>
      </c>
      <c r="D173" s="1347">
        <v>0</v>
      </c>
      <c r="E173" s="1347">
        <v>0</v>
      </c>
    </row>
    <row r="174" spans="1:6" x14ac:dyDescent="0.45">
      <c r="A174" s="1347">
        <v>600</v>
      </c>
      <c r="B174" s="1347" t="s">
        <v>629</v>
      </c>
      <c r="C174" s="1347" t="s">
        <v>345</v>
      </c>
      <c r="D174" s="1347">
        <v>-2.90980960559</v>
      </c>
      <c r="E174" s="1347">
        <v>0.27195621397300002</v>
      </c>
    </row>
    <row r="175" spans="1:6" x14ac:dyDescent="0.45">
      <c r="A175" s="1347">
        <v>601</v>
      </c>
      <c r="B175" s="1347" t="s">
        <v>631</v>
      </c>
      <c r="C175" s="1347" t="s">
        <v>345</v>
      </c>
      <c r="D175" s="1347">
        <v>0.682188989252</v>
      </c>
      <c r="E175" s="1347">
        <v>0.36641519574300002</v>
      </c>
    </row>
    <row r="176" spans="1:6" x14ac:dyDescent="0.45">
      <c r="A176" s="1347">
        <v>602</v>
      </c>
      <c r="B176" s="1347" t="s">
        <v>633</v>
      </c>
      <c r="C176" s="1347" t="s">
        <v>345</v>
      </c>
      <c r="D176" s="1347">
        <v>-0.26164161894499999</v>
      </c>
      <c r="E176" s="1347">
        <v>0.104244164291</v>
      </c>
    </row>
    <row r="177" spans="1:6" x14ac:dyDescent="0.45">
      <c r="A177" s="1347">
        <v>603</v>
      </c>
      <c r="B177" s="1347" t="s">
        <v>635</v>
      </c>
      <c r="C177" s="1347" t="s">
        <v>364</v>
      </c>
      <c r="D177" s="1347">
        <v>0</v>
      </c>
      <c r="E177" s="1347">
        <v>0</v>
      </c>
    </row>
    <row r="178" spans="1:6" x14ac:dyDescent="0.45">
      <c r="A178" s="1347">
        <v>604</v>
      </c>
      <c r="B178" s="1347" t="s">
        <v>637</v>
      </c>
      <c r="C178" s="1347" t="s">
        <v>364</v>
      </c>
      <c r="D178" s="1347">
        <v>0</v>
      </c>
      <c r="E178" s="1347">
        <v>0</v>
      </c>
    </row>
    <row r="179" spans="1:6" x14ac:dyDescent="0.45">
      <c r="A179" s="1347">
        <v>605</v>
      </c>
      <c r="B179" s="1347" t="s">
        <v>639</v>
      </c>
      <c r="C179" s="1347" t="s">
        <v>364</v>
      </c>
      <c r="D179" s="1347">
        <v>0</v>
      </c>
      <c r="E179" s="1347">
        <v>0</v>
      </c>
    </row>
    <row r="180" spans="1:6" x14ac:dyDescent="0.45">
      <c r="A180" s="1347">
        <v>606</v>
      </c>
      <c r="B180" s="1347" t="s">
        <v>641</v>
      </c>
      <c r="C180" s="1347" t="s">
        <v>345</v>
      </c>
      <c r="D180" s="1347">
        <v>-0.416919956639</v>
      </c>
      <c r="E180" s="1347">
        <v>0.23296739249000001</v>
      </c>
    </row>
    <row r="181" spans="1:6" x14ac:dyDescent="0.45">
      <c r="A181" s="1347">
        <v>607</v>
      </c>
      <c r="B181" s="1347" t="s">
        <v>643</v>
      </c>
      <c r="C181" s="1347" t="s">
        <v>345</v>
      </c>
      <c r="D181" s="1347">
        <v>-0.75945964651599995</v>
      </c>
      <c r="E181" s="1347">
        <v>0.18636272433500001</v>
      </c>
    </row>
    <row r="182" spans="1:6" x14ac:dyDescent="0.45">
      <c r="A182" s="1347">
        <v>608</v>
      </c>
      <c r="B182" s="1347" t="s">
        <v>645</v>
      </c>
      <c r="C182" s="1347" t="s">
        <v>345</v>
      </c>
      <c r="D182" s="1347">
        <v>-0.28195572470899999</v>
      </c>
      <c r="E182" s="1347">
        <v>0.18882670025600001</v>
      </c>
    </row>
    <row r="183" spans="1:6" x14ac:dyDescent="0.45">
      <c r="A183" s="1347">
        <v>609</v>
      </c>
      <c r="B183" s="1347" t="s">
        <v>647</v>
      </c>
      <c r="C183" s="1347" t="s">
        <v>345</v>
      </c>
      <c r="D183" s="1347">
        <v>-0.101685689821</v>
      </c>
      <c r="E183" s="1349">
        <v>9.0261101243999997E-2</v>
      </c>
      <c r="F183" s="1349"/>
    </row>
    <row r="184" spans="1:6" x14ac:dyDescent="0.45">
      <c r="A184" s="1347">
        <v>610</v>
      </c>
      <c r="B184" s="1347" t="s">
        <v>649</v>
      </c>
      <c r="C184" s="1347" t="s">
        <v>345</v>
      </c>
      <c r="D184" s="1347">
        <v>-0.12921988156899999</v>
      </c>
      <c r="E184" s="1349">
        <v>8.40161022038E-2</v>
      </c>
      <c r="F184" s="1349"/>
    </row>
    <row r="185" spans="1:6" x14ac:dyDescent="0.45">
      <c r="A185" s="1347">
        <v>611</v>
      </c>
      <c r="B185" s="1347" t="s">
        <v>651</v>
      </c>
      <c r="C185" s="1347" t="s">
        <v>364</v>
      </c>
      <c r="D185" s="1347">
        <v>0</v>
      </c>
      <c r="E185" s="1347">
        <v>0</v>
      </c>
    </row>
    <row r="186" spans="1:6" x14ac:dyDescent="0.45">
      <c r="A186" s="1347">
        <v>612</v>
      </c>
      <c r="B186" s="1347" t="s">
        <v>653</v>
      </c>
      <c r="C186" s="1347" t="s">
        <v>345</v>
      </c>
      <c r="D186" s="1349">
        <v>8.0869880241699998E-2</v>
      </c>
      <c r="E186" s="1349">
        <v>8.5759220715199994E-2</v>
      </c>
      <c r="F186" s="1349"/>
    </row>
    <row r="187" spans="1:6" x14ac:dyDescent="0.45">
      <c r="A187" s="1347">
        <v>613</v>
      </c>
      <c r="B187" s="1347" t="s">
        <v>655</v>
      </c>
      <c r="C187" s="1347" t="s">
        <v>364</v>
      </c>
      <c r="D187" s="1347">
        <v>0</v>
      </c>
      <c r="E187" s="1347">
        <v>0</v>
      </c>
    </row>
    <row r="188" spans="1:6" x14ac:dyDescent="0.45">
      <c r="A188" s="1347">
        <v>614</v>
      </c>
      <c r="B188" s="1347" t="s">
        <v>657</v>
      </c>
      <c r="C188" s="1347" t="s">
        <v>364</v>
      </c>
      <c r="D188" s="1347">
        <v>0</v>
      </c>
      <c r="E188" s="1347">
        <v>0</v>
      </c>
    </row>
    <row r="189" spans="1:6" x14ac:dyDescent="0.45">
      <c r="A189" s="1347">
        <v>616</v>
      </c>
      <c r="B189" s="1347" t="s">
        <v>660</v>
      </c>
      <c r="C189" s="1347" t="s">
        <v>345</v>
      </c>
      <c r="D189" s="1347">
        <v>-0.16267799774799999</v>
      </c>
      <c r="E189" s="1349">
        <v>7.3870352236600004E-2</v>
      </c>
      <c r="F189" s="1349"/>
    </row>
    <row r="190" spans="1:6" x14ac:dyDescent="0.45">
      <c r="A190" s="1347">
        <v>617</v>
      </c>
      <c r="B190" s="1347" t="s">
        <v>662</v>
      </c>
      <c r="C190" s="1347" t="s">
        <v>364</v>
      </c>
      <c r="D190" s="1347">
        <v>0</v>
      </c>
      <c r="E190" s="1347">
        <v>0</v>
      </c>
    </row>
    <row r="191" spans="1:6" x14ac:dyDescent="0.45">
      <c r="A191" s="1347">
        <v>618</v>
      </c>
      <c r="B191" s="1347" t="s">
        <v>664</v>
      </c>
      <c r="C191" s="1347" t="s">
        <v>345</v>
      </c>
      <c r="D191" s="1347">
        <v>-0.77288709444399994</v>
      </c>
      <c r="E191" s="1347">
        <v>0.13080198421299999</v>
      </c>
    </row>
    <row r="192" spans="1:6" x14ac:dyDescent="0.45">
      <c r="A192" s="1347">
        <v>619</v>
      </c>
      <c r="B192" s="1347" t="s">
        <v>666</v>
      </c>
      <c r="C192" s="1347" t="s">
        <v>364</v>
      </c>
      <c r="D192" s="1347">
        <v>0</v>
      </c>
      <c r="E192" s="1347">
        <v>0</v>
      </c>
    </row>
    <row r="193" spans="1:6" x14ac:dyDescent="0.45">
      <c r="A193" s="1347">
        <v>620</v>
      </c>
      <c r="B193" s="1347" t="s">
        <v>668</v>
      </c>
      <c r="C193" s="1347" t="s">
        <v>345</v>
      </c>
      <c r="D193" s="1347">
        <v>-0.51821598620999998</v>
      </c>
      <c r="E193" s="1347">
        <v>0.12879620182000001</v>
      </c>
    </row>
    <row r="194" spans="1:6" x14ac:dyDescent="0.45">
      <c r="A194" s="1347">
        <v>621</v>
      </c>
      <c r="B194" s="1347" t="s">
        <v>670</v>
      </c>
      <c r="C194" s="1347" t="s">
        <v>364</v>
      </c>
      <c r="D194" s="1347">
        <v>0</v>
      </c>
      <c r="E194" s="1347">
        <v>0</v>
      </c>
    </row>
    <row r="195" spans="1:6" x14ac:dyDescent="0.45">
      <c r="A195" s="1347">
        <v>622</v>
      </c>
      <c r="B195" s="1347" t="s">
        <v>672</v>
      </c>
      <c r="C195" s="1347" t="s">
        <v>364</v>
      </c>
      <c r="D195" s="1347">
        <v>0</v>
      </c>
      <c r="E195" s="1347">
        <v>0</v>
      </c>
    </row>
    <row r="196" spans="1:6" x14ac:dyDescent="0.45">
      <c r="A196" s="1347">
        <v>623</v>
      </c>
      <c r="B196" s="1347" t="s">
        <v>674</v>
      </c>
      <c r="C196" s="1347" t="s">
        <v>364</v>
      </c>
      <c r="D196" s="1347">
        <v>0</v>
      </c>
      <c r="E196" s="1347">
        <v>0</v>
      </c>
    </row>
    <row r="197" spans="1:6" x14ac:dyDescent="0.45">
      <c r="A197" s="1347">
        <v>624</v>
      </c>
      <c r="B197" s="1347" t="s">
        <v>676</v>
      </c>
      <c r="C197" s="1347" t="s">
        <v>364</v>
      </c>
      <c r="D197" s="1347">
        <v>0</v>
      </c>
      <c r="E197" s="1347">
        <v>0</v>
      </c>
    </row>
    <row r="198" spans="1:6" x14ac:dyDescent="0.45">
      <c r="A198" s="1347">
        <v>625</v>
      </c>
      <c r="B198" s="1347" t="s">
        <v>678</v>
      </c>
      <c r="C198" s="1347" t="s">
        <v>364</v>
      </c>
      <c r="D198" s="1347">
        <v>0</v>
      </c>
      <c r="E198" s="1347">
        <v>0</v>
      </c>
    </row>
    <row r="199" spans="1:6" x14ac:dyDescent="0.45">
      <c r="A199" s="1347">
        <v>626</v>
      </c>
      <c r="B199" s="1347" t="s">
        <v>680</v>
      </c>
      <c r="C199" s="1347" t="s">
        <v>364</v>
      </c>
      <c r="D199" s="1347">
        <v>0</v>
      </c>
      <c r="E199" s="1347">
        <v>0</v>
      </c>
    </row>
    <row r="200" spans="1:6" x14ac:dyDescent="0.45">
      <c r="A200" s="1347">
        <v>627</v>
      </c>
      <c r="B200" s="1347" t="s">
        <v>682</v>
      </c>
      <c r="C200" s="1347" t="s">
        <v>364</v>
      </c>
      <c r="D200" s="1347">
        <v>0</v>
      </c>
      <c r="E200" s="1347">
        <v>0</v>
      </c>
    </row>
    <row r="201" spans="1:6" x14ac:dyDescent="0.45">
      <c r="A201" s="1347">
        <v>628</v>
      </c>
      <c r="B201" s="1347" t="s">
        <v>1070</v>
      </c>
      <c r="C201" s="1347" t="s">
        <v>364</v>
      </c>
      <c r="D201" s="1347">
        <v>0</v>
      </c>
      <c r="E201" s="1347">
        <v>0</v>
      </c>
    </row>
    <row r="202" spans="1:6" x14ac:dyDescent="0.45">
      <c r="A202" s="1347">
        <v>629</v>
      </c>
      <c r="B202" s="1347" t="s">
        <v>684</v>
      </c>
      <c r="C202" s="1347" t="s">
        <v>345</v>
      </c>
      <c r="D202" s="1349">
        <v>2.6649678941399999E-2</v>
      </c>
      <c r="E202" s="1349">
        <v>3.06429514854E-2</v>
      </c>
      <c r="F202" s="1349"/>
    </row>
    <row r="203" spans="1:6" x14ac:dyDescent="0.45">
      <c r="A203" s="1347">
        <v>630</v>
      </c>
      <c r="B203" s="1347" t="s">
        <v>1071</v>
      </c>
      <c r="C203" s="1347" t="s">
        <v>364</v>
      </c>
      <c r="D203" s="1347">
        <v>0</v>
      </c>
      <c r="E203" s="1347">
        <v>0</v>
      </c>
    </row>
    <row r="204" spans="1:6" x14ac:dyDescent="0.45">
      <c r="A204" s="1347">
        <v>631</v>
      </c>
      <c r="B204" s="1347" t="s">
        <v>685</v>
      </c>
      <c r="C204" s="1347" t="s">
        <v>345</v>
      </c>
      <c r="D204" s="1349">
        <v>-6.50443097217E-2</v>
      </c>
      <c r="E204" s="1349">
        <v>2.24466071915E-2</v>
      </c>
      <c r="F204" s="1349"/>
    </row>
    <row r="205" spans="1:6" x14ac:dyDescent="0.45">
      <c r="A205" s="1347">
        <v>632</v>
      </c>
      <c r="B205" s="1347" t="s">
        <v>1072</v>
      </c>
      <c r="C205" s="1347" t="s">
        <v>345</v>
      </c>
      <c r="D205" s="1347">
        <v>-0.72078261221700002</v>
      </c>
      <c r="E205" s="1349">
        <v>9.9248022884800002E-2</v>
      </c>
      <c r="F205" s="1349"/>
    </row>
    <row r="206" spans="1:6" x14ac:dyDescent="0.45">
      <c r="A206" s="1347">
        <v>633</v>
      </c>
      <c r="B206" s="1347" t="s">
        <v>1073</v>
      </c>
      <c r="C206" s="1347" t="s">
        <v>345</v>
      </c>
      <c r="D206" s="1349">
        <v>-8.6248917471399997E-2</v>
      </c>
      <c r="E206" s="1349">
        <v>6.7672342920000003E-2</v>
      </c>
      <c r="F206" s="1349"/>
    </row>
    <row r="207" spans="1:6" x14ac:dyDescent="0.45">
      <c r="A207" s="1347">
        <v>651</v>
      </c>
      <c r="B207" s="1347" t="s">
        <v>686</v>
      </c>
      <c r="C207" s="1347" t="s">
        <v>364</v>
      </c>
      <c r="D207" s="1347">
        <v>0</v>
      </c>
      <c r="E207" s="1347">
        <v>0</v>
      </c>
    </row>
    <row r="208" spans="1:6" x14ac:dyDescent="0.45">
      <c r="A208" s="1347">
        <v>700</v>
      </c>
      <c r="B208" s="1347" t="s">
        <v>688</v>
      </c>
      <c r="C208" s="1347" t="s">
        <v>345</v>
      </c>
      <c r="D208" s="1347">
        <v>-2.08546939905</v>
      </c>
      <c r="E208" s="1347">
        <v>0.32124756493599999</v>
      </c>
    </row>
    <row r="209" spans="1:6" x14ac:dyDescent="0.45">
      <c r="A209" s="1347">
        <v>701</v>
      </c>
      <c r="B209" s="1347" t="s">
        <v>690</v>
      </c>
      <c r="C209" s="1347" t="s">
        <v>345</v>
      </c>
      <c r="D209" s="1347">
        <v>1.3986335615100001</v>
      </c>
      <c r="E209" s="1347">
        <v>0.449000372802</v>
      </c>
    </row>
    <row r="210" spans="1:6" x14ac:dyDescent="0.45">
      <c r="A210" s="1347">
        <v>702</v>
      </c>
      <c r="B210" s="1347" t="s">
        <v>692</v>
      </c>
      <c r="C210" s="1347" t="s">
        <v>364</v>
      </c>
      <c r="D210" s="1347">
        <v>0</v>
      </c>
      <c r="E210" s="1347">
        <v>0</v>
      </c>
    </row>
    <row r="211" spans="1:6" x14ac:dyDescent="0.45">
      <c r="A211" s="1347">
        <v>703</v>
      </c>
      <c r="B211" s="1347" t="s">
        <v>694</v>
      </c>
      <c r="C211" s="1347" t="s">
        <v>364</v>
      </c>
      <c r="D211" s="1347">
        <v>0</v>
      </c>
      <c r="E211" s="1347">
        <v>0</v>
      </c>
    </row>
    <row r="212" spans="1:6" x14ac:dyDescent="0.45">
      <c r="A212" s="1347">
        <v>704</v>
      </c>
      <c r="B212" s="1347" t="s">
        <v>696</v>
      </c>
      <c r="C212" s="1347" t="s">
        <v>364</v>
      </c>
      <c r="D212" s="1347">
        <v>0</v>
      </c>
      <c r="E212" s="1347">
        <v>0</v>
      </c>
    </row>
    <row r="213" spans="1:6" x14ac:dyDescent="0.45">
      <c r="A213" s="1347">
        <v>705</v>
      </c>
      <c r="B213" s="1347" t="s">
        <v>698</v>
      </c>
      <c r="C213" s="1347" t="s">
        <v>364</v>
      </c>
      <c r="D213" s="1347">
        <v>0</v>
      </c>
      <c r="E213" s="1347">
        <v>0</v>
      </c>
    </row>
    <row r="214" spans="1:6" x14ac:dyDescent="0.45">
      <c r="A214" s="1347">
        <v>706</v>
      </c>
      <c r="B214" s="1347" t="s">
        <v>700</v>
      </c>
      <c r="C214" s="1347" t="s">
        <v>364</v>
      </c>
      <c r="D214" s="1347">
        <v>0</v>
      </c>
      <c r="E214" s="1347">
        <v>0</v>
      </c>
    </row>
    <row r="215" spans="1:6" x14ac:dyDescent="0.45">
      <c r="A215" s="1347">
        <v>707</v>
      </c>
      <c r="B215" s="1347" t="s">
        <v>702</v>
      </c>
      <c r="C215" s="1347" t="s">
        <v>345</v>
      </c>
      <c r="D215" s="1347">
        <v>0.35898948241799999</v>
      </c>
      <c r="E215" s="1347">
        <v>0.13178831545799999</v>
      </c>
    </row>
    <row r="216" spans="1:6" x14ac:dyDescent="0.45">
      <c r="A216" s="1347">
        <v>708</v>
      </c>
      <c r="B216" s="1347" t="s">
        <v>704</v>
      </c>
      <c r="C216" s="1347" t="s">
        <v>345</v>
      </c>
      <c r="D216" s="1347">
        <v>0.431153967779</v>
      </c>
      <c r="E216" s="1347">
        <v>0.14221694566099999</v>
      </c>
    </row>
    <row r="217" spans="1:6" x14ac:dyDescent="0.45">
      <c r="A217" s="1347">
        <v>709</v>
      </c>
      <c r="B217" s="1347" t="s">
        <v>706</v>
      </c>
      <c r="C217" s="1347" t="s">
        <v>345</v>
      </c>
      <c r="D217" s="1347">
        <v>-0.234149263518</v>
      </c>
      <c r="E217" s="1349">
        <v>8.1094069888399997E-2</v>
      </c>
      <c r="F217" s="1349"/>
    </row>
    <row r="218" spans="1:6" x14ac:dyDescent="0.45">
      <c r="A218" s="1347">
        <v>710</v>
      </c>
      <c r="B218" s="1347" t="s">
        <v>708</v>
      </c>
      <c r="C218" s="1347" t="s">
        <v>345</v>
      </c>
      <c r="D218" s="1347">
        <v>-0.167536338136</v>
      </c>
      <c r="E218" s="1349">
        <v>7.6437589762000005E-2</v>
      </c>
      <c r="F218" s="1349"/>
    </row>
    <row r="219" spans="1:6" x14ac:dyDescent="0.45">
      <c r="A219" s="1347">
        <v>711</v>
      </c>
      <c r="B219" s="1347" t="s">
        <v>710</v>
      </c>
      <c r="C219" s="1347" t="s">
        <v>345</v>
      </c>
      <c r="D219" s="1347">
        <v>0.24127006967100001</v>
      </c>
      <c r="E219" s="1349">
        <v>6.9880847992400005E-2</v>
      </c>
      <c r="F219" s="1349"/>
    </row>
    <row r="220" spans="1:6" x14ac:dyDescent="0.45">
      <c r="A220" s="1347">
        <v>712</v>
      </c>
      <c r="B220" s="1347" t="s">
        <v>712</v>
      </c>
      <c r="C220" s="1347" t="s">
        <v>345</v>
      </c>
      <c r="D220" s="1349">
        <v>9.3852055995699998E-2</v>
      </c>
      <c r="E220" s="1349">
        <v>7.1724835357699995E-2</v>
      </c>
      <c r="F220" s="1349"/>
    </row>
    <row r="221" spans="1:6" x14ac:dyDescent="0.45">
      <c r="A221" s="1347">
        <v>713</v>
      </c>
      <c r="B221" s="1347" t="s">
        <v>714</v>
      </c>
      <c r="C221" s="1347" t="s">
        <v>364</v>
      </c>
      <c r="D221" s="1347">
        <v>0</v>
      </c>
      <c r="E221" s="1347">
        <v>0</v>
      </c>
    </row>
    <row r="222" spans="1:6" x14ac:dyDescent="0.45">
      <c r="A222" s="1347">
        <v>714</v>
      </c>
      <c r="B222" s="1347" t="s">
        <v>716</v>
      </c>
      <c r="C222" s="1347" t="s">
        <v>364</v>
      </c>
      <c r="D222" s="1347">
        <v>0</v>
      </c>
      <c r="E222" s="1347">
        <v>0</v>
      </c>
    </row>
    <row r="223" spans="1:6" x14ac:dyDescent="0.45">
      <c r="A223" s="1347">
        <v>716</v>
      </c>
      <c r="B223" s="1347" t="s">
        <v>719</v>
      </c>
      <c r="C223" s="1347" t="s">
        <v>364</v>
      </c>
      <c r="D223" s="1347">
        <v>0</v>
      </c>
      <c r="E223" s="1347">
        <v>0</v>
      </c>
    </row>
    <row r="224" spans="1:6" x14ac:dyDescent="0.45">
      <c r="A224" s="1347">
        <v>717</v>
      </c>
      <c r="B224" s="1347" t="s">
        <v>721</v>
      </c>
      <c r="C224" s="1347" t="s">
        <v>364</v>
      </c>
      <c r="D224" s="1347">
        <v>0</v>
      </c>
      <c r="E224" s="1347">
        <v>0</v>
      </c>
    </row>
    <row r="225" spans="1:6" x14ac:dyDescent="0.45">
      <c r="A225" s="1347">
        <v>718</v>
      </c>
      <c r="B225" s="1347" t="s">
        <v>723</v>
      </c>
      <c r="C225" s="1347" t="s">
        <v>345</v>
      </c>
      <c r="D225" s="1347">
        <v>-0.34985702366999999</v>
      </c>
      <c r="E225" s="1347">
        <v>0.114480383724</v>
      </c>
    </row>
    <row r="226" spans="1:6" x14ac:dyDescent="0.45">
      <c r="A226" s="1347">
        <v>719</v>
      </c>
      <c r="B226" s="1347" t="s">
        <v>725</v>
      </c>
      <c r="C226" s="1347" t="s">
        <v>364</v>
      </c>
      <c r="D226" s="1347">
        <v>0</v>
      </c>
      <c r="E226" s="1347">
        <v>0</v>
      </c>
    </row>
    <row r="227" spans="1:6" x14ac:dyDescent="0.45">
      <c r="A227" s="1347">
        <v>720</v>
      </c>
      <c r="B227" s="1347" t="s">
        <v>727</v>
      </c>
      <c r="C227" s="1347" t="s">
        <v>345</v>
      </c>
      <c r="D227" s="1347">
        <v>-0.36186341505500003</v>
      </c>
      <c r="E227" s="1347">
        <v>0.128764410479</v>
      </c>
    </row>
    <row r="228" spans="1:6" x14ac:dyDescent="0.45">
      <c r="A228" s="1347">
        <v>721</v>
      </c>
      <c r="B228" s="1347" t="s">
        <v>729</v>
      </c>
      <c r="C228" s="1347" t="s">
        <v>364</v>
      </c>
      <c r="D228" s="1347">
        <v>0</v>
      </c>
      <c r="E228" s="1347">
        <v>0</v>
      </c>
    </row>
    <row r="229" spans="1:6" x14ac:dyDescent="0.45">
      <c r="A229" s="1347">
        <v>722</v>
      </c>
      <c r="B229" s="1347" t="s">
        <v>731</v>
      </c>
      <c r="C229" s="1347" t="s">
        <v>364</v>
      </c>
      <c r="D229" s="1347">
        <v>0</v>
      </c>
      <c r="E229" s="1347">
        <v>0</v>
      </c>
    </row>
    <row r="230" spans="1:6" x14ac:dyDescent="0.45">
      <c r="A230" s="1347">
        <v>723</v>
      </c>
      <c r="B230" s="1347" t="s">
        <v>733</v>
      </c>
      <c r="C230" s="1347" t="s">
        <v>345</v>
      </c>
      <c r="D230" s="1347">
        <v>-0.293229996376</v>
      </c>
      <c r="E230" s="1349">
        <v>7.3109038985100003E-2</v>
      </c>
      <c r="F230" s="1349"/>
    </row>
    <row r="231" spans="1:6" x14ac:dyDescent="0.45">
      <c r="A231" s="1347">
        <v>724</v>
      </c>
      <c r="B231" s="1347" t="s">
        <v>735</v>
      </c>
      <c r="C231" s="1347" t="s">
        <v>345</v>
      </c>
      <c r="D231" s="1347">
        <v>-0.54873078522399998</v>
      </c>
      <c r="E231" s="1347">
        <v>0.17086455741500001</v>
      </c>
    </row>
    <row r="232" spans="1:6" x14ac:dyDescent="0.45">
      <c r="A232" s="1347">
        <v>725</v>
      </c>
      <c r="B232" s="1347" t="s">
        <v>737</v>
      </c>
      <c r="C232" s="1347" t="s">
        <v>364</v>
      </c>
      <c r="D232" s="1347">
        <v>0</v>
      </c>
      <c r="E232" s="1347">
        <v>0</v>
      </c>
    </row>
    <row r="233" spans="1:6" x14ac:dyDescent="0.45">
      <c r="A233" s="1347">
        <v>726</v>
      </c>
      <c r="B233" s="1347" t="s">
        <v>739</v>
      </c>
      <c r="C233" s="1347" t="s">
        <v>364</v>
      </c>
      <c r="D233" s="1347">
        <v>0</v>
      </c>
      <c r="E233" s="1347">
        <v>0</v>
      </c>
    </row>
    <row r="234" spans="1:6" x14ac:dyDescent="0.45">
      <c r="A234" s="1347">
        <v>727</v>
      </c>
      <c r="B234" s="1347" t="s">
        <v>741</v>
      </c>
      <c r="C234" s="1347" t="s">
        <v>364</v>
      </c>
      <c r="D234" s="1347">
        <v>0</v>
      </c>
      <c r="E234" s="1347">
        <v>0</v>
      </c>
    </row>
    <row r="235" spans="1:6" x14ac:dyDescent="0.45">
      <c r="A235" s="1347">
        <v>728</v>
      </c>
      <c r="B235" s="1347" t="s">
        <v>1074</v>
      </c>
      <c r="C235" s="1347" t="s">
        <v>364</v>
      </c>
      <c r="D235" s="1347">
        <v>0</v>
      </c>
      <c r="E235" s="1347">
        <v>0</v>
      </c>
    </row>
    <row r="236" spans="1:6" x14ac:dyDescent="0.45">
      <c r="A236" s="1347">
        <v>729</v>
      </c>
      <c r="B236" s="1347" t="s">
        <v>743</v>
      </c>
      <c r="C236" s="1347" t="s">
        <v>345</v>
      </c>
      <c r="D236" s="1349">
        <v>2.29954619822E-2</v>
      </c>
      <c r="E236" s="1349">
        <v>3.1395119496600003E-2</v>
      </c>
      <c r="F236" s="1349"/>
    </row>
    <row r="237" spans="1:6" x14ac:dyDescent="0.45">
      <c r="A237" s="1347">
        <v>730</v>
      </c>
      <c r="B237" s="1347" t="s">
        <v>1075</v>
      </c>
      <c r="C237" s="1347" t="s">
        <v>364</v>
      </c>
      <c r="D237" s="1347">
        <v>0</v>
      </c>
      <c r="E237" s="1347">
        <v>0</v>
      </c>
    </row>
    <row r="238" spans="1:6" x14ac:dyDescent="0.45">
      <c r="A238" s="1347">
        <v>731</v>
      </c>
      <c r="B238" s="1347" t="s">
        <v>744</v>
      </c>
      <c r="C238" s="1347" t="s">
        <v>345</v>
      </c>
      <c r="D238" s="1347">
        <v>-0.111980041125</v>
      </c>
      <c r="E238" s="1349">
        <v>3.27413239829E-2</v>
      </c>
      <c r="F238" s="1349"/>
    </row>
    <row r="239" spans="1:6" x14ac:dyDescent="0.45">
      <c r="A239" s="1347">
        <v>732</v>
      </c>
      <c r="B239" s="1347" t="s">
        <v>1076</v>
      </c>
      <c r="C239" s="1347" t="s">
        <v>345</v>
      </c>
      <c r="D239" s="1347">
        <v>-0.68960917956599999</v>
      </c>
      <c r="E239" s="1349">
        <v>8.0600542922699997E-2</v>
      </c>
      <c r="F239" s="1349"/>
    </row>
    <row r="240" spans="1:6" x14ac:dyDescent="0.45">
      <c r="A240" s="1347">
        <v>733</v>
      </c>
      <c r="B240" s="1347" t="s">
        <v>1077</v>
      </c>
      <c r="C240" s="1347" t="s">
        <v>345</v>
      </c>
      <c r="D240" s="1347">
        <v>-0.11786941990700001</v>
      </c>
      <c r="E240" s="1349">
        <v>5.9723682217000001E-2</v>
      </c>
      <c r="F240" s="1349"/>
    </row>
    <row r="241" spans="1:6" x14ac:dyDescent="0.45">
      <c r="A241" s="1347">
        <v>751</v>
      </c>
      <c r="B241" s="1347" t="s">
        <v>745</v>
      </c>
      <c r="C241" s="1347" t="s">
        <v>345</v>
      </c>
      <c r="D241" s="1347">
        <v>-0.18079091804700001</v>
      </c>
      <c r="E241" s="1349">
        <v>7.6789602747199995E-2</v>
      </c>
      <c r="F241" s="1349"/>
    </row>
    <row r="242" spans="1:6" x14ac:dyDescent="0.45">
      <c r="A242" s="1347">
        <v>802</v>
      </c>
      <c r="B242" s="1347" t="s">
        <v>747</v>
      </c>
      <c r="C242" s="1347" t="s">
        <v>345</v>
      </c>
      <c r="D242" s="1347">
        <v>0.60977667498099997</v>
      </c>
      <c r="E242" s="1347">
        <v>0.128080199462</v>
      </c>
    </row>
    <row r="243" spans="1:6" x14ac:dyDescent="0.45">
      <c r="A243" s="1347">
        <v>803</v>
      </c>
      <c r="B243" s="1347" t="s">
        <v>749</v>
      </c>
      <c r="C243" s="1347" t="s">
        <v>345</v>
      </c>
      <c r="D243" s="1347">
        <v>0.35295912634999999</v>
      </c>
      <c r="E243" s="1347">
        <v>0.16466203186600001</v>
      </c>
    </row>
    <row r="244" spans="1:6" x14ac:dyDescent="0.45">
      <c r="A244" s="1347">
        <v>804</v>
      </c>
      <c r="B244" s="1347" t="s">
        <v>751</v>
      </c>
      <c r="C244" s="1347" t="s">
        <v>345</v>
      </c>
      <c r="D244" s="1347">
        <v>0.20798756906099999</v>
      </c>
      <c r="E244" s="1347">
        <v>0.17385859842699999</v>
      </c>
    </row>
    <row r="245" spans="1:6" x14ac:dyDescent="0.45">
      <c r="A245" s="1347">
        <v>805</v>
      </c>
      <c r="B245" s="1347" t="s">
        <v>753</v>
      </c>
      <c r="C245" s="1347" t="s">
        <v>345</v>
      </c>
      <c r="D245" s="1347">
        <v>0.315354053508</v>
      </c>
      <c r="E245" s="1347">
        <v>0.20022415663599999</v>
      </c>
    </row>
    <row r="246" spans="1:6" x14ac:dyDescent="0.45">
      <c r="A246" s="1347">
        <v>806</v>
      </c>
      <c r="B246" s="1347" t="s">
        <v>755</v>
      </c>
      <c r="C246" s="1347" t="s">
        <v>345</v>
      </c>
      <c r="D246" s="1347">
        <v>0.98676165078800004</v>
      </c>
      <c r="E246" s="1347">
        <v>0.245078031063</v>
      </c>
    </row>
    <row r="247" spans="1:6" x14ac:dyDescent="0.45">
      <c r="A247" s="1347">
        <v>807</v>
      </c>
      <c r="B247" s="1347" t="s">
        <v>757</v>
      </c>
      <c r="C247" s="1347" t="s">
        <v>345</v>
      </c>
      <c r="D247" s="1347">
        <v>0.72867818651399996</v>
      </c>
      <c r="E247" s="1347">
        <v>0.23440152249400001</v>
      </c>
    </row>
    <row r="248" spans="1:6" x14ac:dyDescent="0.45">
      <c r="A248" s="1347">
        <v>808</v>
      </c>
      <c r="B248" s="1347" t="s">
        <v>759</v>
      </c>
      <c r="C248" s="1347" t="s">
        <v>364</v>
      </c>
      <c r="D248" s="1347">
        <v>0</v>
      </c>
      <c r="E248" s="1347">
        <v>0</v>
      </c>
    </row>
    <row r="249" spans="1:6" x14ac:dyDescent="0.45">
      <c r="A249" s="1347">
        <v>809</v>
      </c>
      <c r="B249" s="1347" t="s">
        <v>761</v>
      </c>
      <c r="C249" s="1347" t="s">
        <v>364</v>
      </c>
      <c r="D249" s="1347">
        <v>0</v>
      </c>
      <c r="E249" s="1347">
        <v>0</v>
      </c>
    </row>
    <row r="250" spans="1:6" x14ac:dyDescent="0.45">
      <c r="A250" s="1347">
        <v>810</v>
      </c>
      <c r="B250" s="1347" t="s">
        <v>763</v>
      </c>
      <c r="C250" s="1347" t="s">
        <v>364</v>
      </c>
      <c r="D250" s="1347">
        <v>0</v>
      </c>
      <c r="E250" s="1347">
        <v>0</v>
      </c>
    </row>
    <row r="251" spans="1:6" x14ac:dyDescent="0.45">
      <c r="A251" s="1347">
        <v>811</v>
      </c>
      <c r="B251" s="1347" t="s">
        <v>765</v>
      </c>
      <c r="C251" s="1347" t="s">
        <v>364</v>
      </c>
      <c r="D251" s="1347">
        <v>0</v>
      </c>
      <c r="E251" s="1347">
        <v>0</v>
      </c>
    </row>
    <row r="252" spans="1:6" x14ac:dyDescent="0.45">
      <c r="A252" s="1347">
        <v>812</v>
      </c>
      <c r="B252" s="1347" t="s">
        <v>767</v>
      </c>
      <c r="C252" s="1347" t="s">
        <v>364</v>
      </c>
      <c r="D252" s="1347">
        <v>0</v>
      </c>
      <c r="E252" s="1347">
        <v>0</v>
      </c>
    </row>
    <row r="253" spans="1:6" x14ac:dyDescent="0.45">
      <c r="A253" s="1347">
        <v>813</v>
      </c>
      <c r="B253" s="1347" t="s">
        <v>769</v>
      </c>
      <c r="C253" s="1347" t="s">
        <v>364</v>
      </c>
      <c r="D253" s="1347">
        <v>0</v>
      </c>
      <c r="E253" s="1347">
        <v>0</v>
      </c>
    </row>
    <row r="254" spans="1:6" x14ac:dyDescent="0.45">
      <c r="A254" s="1347">
        <v>814</v>
      </c>
      <c r="B254" s="1347" t="s">
        <v>771</v>
      </c>
      <c r="C254" s="1347" t="s">
        <v>364</v>
      </c>
      <c r="D254" s="1347">
        <v>0</v>
      </c>
      <c r="E254" s="1347">
        <v>0</v>
      </c>
    </row>
    <row r="255" spans="1:6" x14ac:dyDescent="0.45">
      <c r="A255" s="1347">
        <v>816</v>
      </c>
      <c r="B255" s="1347" t="s">
        <v>774</v>
      </c>
      <c r="C255" s="1347" t="s">
        <v>345</v>
      </c>
      <c r="D255" s="1347">
        <v>-0.18079951417699999</v>
      </c>
      <c r="E255" s="1349">
        <v>9.2912879322299996E-2</v>
      </c>
      <c r="F255" s="1349"/>
    </row>
    <row r="256" spans="1:6" x14ac:dyDescent="0.45">
      <c r="A256" s="1347">
        <v>817</v>
      </c>
      <c r="B256" s="1347" t="s">
        <v>776</v>
      </c>
      <c r="C256" s="1347" t="s">
        <v>345</v>
      </c>
      <c r="D256" s="1347">
        <v>-0.81715753822299997</v>
      </c>
      <c r="E256" s="1347">
        <v>0.20846644234200001</v>
      </c>
    </row>
    <row r="257" spans="1:6" x14ac:dyDescent="0.45">
      <c r="A257" s="1347">
        <v>818</v>
      </c>
      <c r="B257" s="1347" t="s">
        <v>778</v>
      </c>
      <c r="C257" s="1347" t="s">
        <v>345</v>
      </c>
      <c r="D257" s="1347">
        <v>0.67896564697200001</v>
      </c>
      <c r="E257" s="1347">
        <v>0.14519117145900001</v>
      </c>
    </row>
    <row r="258" spans="1:6" x14ac:dyDescent="0.45">
      <c r="A258" s="1347">
        <v>819</v>
      </c>
      <c r="B258" s="1347" t="s">
        <v>780</v>
      </c>
      <c r="C258" s="1347" t="s">
        <v>345</v>
      </c>
      <c r="D258" s="1347">
        <v>-0.30146391227899999</v>
      </c>
      <c r="E258" s="1347">
        <v>0.21906814580600001</v>
      </c>
    </row>
    <row r="259" spans="1:6" x14ac:dyDescent="0.45">
      <c r="A259" s="1347">
        <v>820</v>
      </c>
      <c r="B259" s="1347" t="s">
        <v>782</v>
      </c>
      <c r="C259" s="1347" t="s">
        <v>345</v>
      </c>
      <c r="D259" s="1347">
        <v>0.59568631490599999</v>
      </c>
      <c r="E259" s="1347">
        <v>0.15649128941000001</v>
      </c>
    </row>
    <row r="260" spans="1:6" x14ac:dyDescent="0.45">
      <c r="A260" s="1347">
        <v>821</v>
      </c>
      <c r="B260" s="1347" t="s">
        <v>784</v>
      </c>
      <c r="C260" s="1347" t="s">
        <v>345</v>
      </c>
      <c r="D260" s="1347">
        <v>0.48251789561800001</v>
      </c>
      <c r="E260" s="1347">
        <v>0.15859473762099999</v>
      </c>
    </row>
    <row r="261" spans="1:6" x14ac:dyDescent="0.45">
      <c r="A261" s="1347">
        <v>822</v>
      </c>
      <c r="B261" s="1347" t="s">
        <v>786</v>
      </c>
      <c r="C261" s="1347" t="s">
        <v>364</v>
      </c>
      <c r="D261" s="1347">
        <v>0</v>
      </c>
      <c r="E261" s="1347">
        <v>0</v>
      </c>
    </row>
    <row r="262" spans="1:6" x14ac:dyDescent="0.45">
      <c r="A262" s="1347">
        <v>823</v>
      </c>
      <c r="B262" s="1347" t="s">
        <v>788</v>
      </c>
      <c r="C262" s="1347" t="s">
        <v>364</v>
      </c>
      <c r="D262" s="1347">
        <v>0</v>
      </c>
      <c r="E262" s="1347">
        <v>0</v>
      </c>
    </row>
    <row r="263" spans="1:6" x14ac:dyDescent="0.45">
      <c r="A263" s="1347">
        <v>824</v>
      </c>
      <c r="B263" s="1347" t="s">
        <v>790</v>
      </c>
      <c r="C263" s="1347" t="s">
        <v>345</v>
      </c>
      <c r="D263" s="1347">
        <v>0.57205792138099998</v>
      </c>
      <c r="E263" s="1347">
        <v>0.218120081893</v>
      </c>
    </row>
    <row r="264" spans="1:6" x14ac:dyDescent="0.45">
      <c r="A264" s="1347">
        <v>825</v>
      </c>
      <c r="B264" s="1347" t="s">
        <v>792</v>
      </c>
      <c r="C264" s="1347" t="s">
        <v>364</v>
      </c>
      <c r="D264" s="1347">
        <v>0</v>
      </c>
      <c r="E264" s="1347">
        <v>0</v>
      </c>
    </row>
    <row r="265" spans="1:6" x14ac:dyDescent="0.45">
      <c r="A265" s="1347">
        <v>826</v>
      </c>
      <c r="B265" s="1347" t="s">
        <v>794</v>
      </c>
      <c r="C265" s="1347" t="s">
        <v>345</v>
      </c>
      <c r="D265" s="1349">
        <v>1.5230910946399999E-3</v>
      </c>
      <c r="E265" s="1349">
        <v>6.8335153450399999E-4</v>
      </c>
      <c r="F265" s="1349"/>
    </row>
    <row r="266" spans="1:6" x14ac:dyDescent="0.45">
      <c r="A266" s="1347">
        <v>827</v>
      </c>
      <c r="B266" s="1347" t="s">
        <v>796</v>
      </c>
      <c r="C266" s="1347" t="s">
        <v>345</v>
      </c>
      <c r="D266" s="1349">
        <v>1.9262479263599998E-2</v>
      </c>
      <c r="E266" s="1349">
        <v>1.6920720072599999E-2</v>
      </c>
      <c r="F266" s="1349"/>
    </row>
    <row r="267" spans="1:6" x14ac:dyDescent="0.45">
      <c r="A267" s="1347">
        <v>828</v>
      </c>
      <c r="B267" s="1347" t="s">
        <v>1078</v>
      </c>
      <c r="C267" s="1347" t="s">
        <v>364</v>
      </c>
      <c r="D267" s="1347">
        <v>0</v>
      </c>
      <c r="E267" s="1347">
        <v>0</v>
      </c>
    </row>
    <row r="268" spans="1:6" x14ac:dyDescent="0.45">
      <c r="A268" s="1347">
        <v>851</v>
      </c>
      <c r="B268" s="1347" t="s">
        <v>798</v>
      </c>
      <c r="C268" s="1347" t="s">
        <v>364</v>
      </c>
      <c r="D268" s="1347">
        <v>0</v>
      </c>
      <c r="E268" s="1347">
        <v>0</v>
      </c>
    </row>
    <row r="269" spans="1:6" x14ac:dyDescent="0.45">
      <c r="A269" s="1347">
        <v>902</v>
      </c>
      <c r="B269" s="1347" t="s">
        <v>800</v>
      </c>
      <c r="C269" s="1347" t="s">
        <v>364</v>
      </c>
      <c r="D269" s="1347">
        <v>0</v>
      </c>
      <c r="E269" s="1347">
        <v>0</v>
      </c>
    </row>
    <row r="270" spans="1:6" x14ac:dyDescent="0.45">
      <c r="A270" s="1347">
        <v>903</v>
      </c>
      <c r="B270" s="1347" t="s">
        <v>802</v>
      </c>
      <c r="C270" s="1347" t="s">
        <v>364</v>
      </c>
      <c r="D270" s="1347">
        <v>0</v>
      </c>
      <c r="E270" s="1347">
        <v>0</v>
      </c>
    </row>
    <row r="271" spans="1:6" x14ac:dyDescent="0.45">
      <c r="A271" s="1347">
        <v>904</v>
      </c>
      <c r="B271" s="1347" t="s">
        <v>804</v>
      </c>
      <c r="C271" s="1347" t="s">
        <v>345</v>
      </c>
      <c r="D271" s="1349">
        <v>7.1217396064699998E-2</v>
      </c>
      <c r="E271" s="1349">
        <v>0.13474476815299999</v>
      </c>
    </row>
    <row r="272" spans="1:6" x14ac:dyDescent="0.45">
      <c r="A272" s="1347">
        <v>905</v>
      </c>
      <c r="B272" s="1347" t="s">
        <v>806</v>
      </c>
      <c r="C272" s="1347" t="s">
        <v>364</v>
      </c>
      <c r="D272" s="1347">
        <v>0</v>
      </c>
      <c r="E272" s="1347">
        <v>0</v>
      </c>
    </row>
    <row r="273" spans="1:5" x14ac:dyDescent="0.45">
      <c r="A273" s="1347">
        <v>906</v>
      </c>
      <c r="B273" s="1347" t="s">
        <v>808</v>
      </c>
      <c r="C273" s="1347" t="s">
        <v>345</v>
      </c>
      <c r="D273" s="1347">
        <v>0.96179941879599995</v>
      </c>
      <c r="E273" s="1347">
        <v>0.25600115385400002</v>
      </c>
    </row>
    <row r="274" spans="1:5" x14ac:dyDescent="0.45">
      <c r="A274" s="1347">
        <v>907</v>
      </c>
      <c r="B274" s="1347" t="s">
        <v>810</v>
      </c>
      <c r="C274" s="1347" t="s">
        <v>345</v>
      </c>
      <c r="D274" s="1347">
        <v>0.243967243976</v>
      </c>
      <c r="E274" s="1347">
        <v>0.20329572422600001</v>
      </c>
    </row>
    <row r="275" spans="1:5" x14ac:dyDescent="0.45">
      <c r="A275" s="1347">
        <v>908</v>
      </c>
      <c r="B275" s="1347" t="s">
        <v>812</v>
      </c>
      <c r="C275" s="1347" t="s">
        <v>364</v>
      </c>
      <c r="D275" s="1347">
        <v>0</v>
      </c>
      <c r="E275" s="1347">
        <v>0</v>
      </c>
    </row>
    <row r="276" spans="1:5" x14ac:dyDescent="0.45">
      <c r="A276" s="1347">
        <v>909</v>
      </c>
      <c r="B276" s="1347" t="s">
        <v>814</v>
      </c>
      <c r="C276" s="1347" t="s">
        <v>364</v>
      </c>
      <c r="D276" s="1347">
        <v>0</v>
      </c>
      <c r="E276" s="1347">
        <v>0</v>
      </c>
    </row>
    <row r="277" spans="1:5" x14ac:dyDescent="0.45">
      <c r="A277" s="1347">
        <v>910</v>
      </c>
      <c r="B277" s="1347" t="s">
        <v>816</v>
      </c>
      <c r="C277" s="1347" t="s">
        <v>364</v>
      </c>
      <c r="D277" s="1347">
        <v>0</v>
      </c>
      <c r="E277" s="1347">
        <v>0</v>
      </c>
    </row>
    <row r="278" spans="1:5" x14ac:dyDescent="0.45">
      <c r="A278" s="1347">
        <v>911</v>
      </c>
      <c r="B278" s="1347" t="s">
        <v>818</v>
      </c>
      <c r="C278" s="1347" t="s">
        <v>364</v>
      </c>
      <c r="D278" s="1347">
        <v>0</v>
      </c>
      <c r="E278" s="1347">
        <v>0</v>
      </c>
    </row>
    <row r="279" spans="1:5" x14ac:dyDescent="0.45">
      <c r="A279" s="1347">
        <v>912</v>
      </c>
      <c r="B279" s="1347" t="s">
        <v>820</v>
      </c>
      <c r="C279" s="1347" t="s">
        <v>364</v>
      </c>
      <c r="D279" s="1347">
        <v>0</v>
      </c>
      <c r="E279" s="1347">
        <v>0</v>
      </c>
    </row>
    <row r="280" spans="1:5" x14ac:dyDescent="0.45">
      <c r="A280" s="1347">
        <v>913</v>
      </c>
      <c r="B280" s="1347" t="s">
        <v>822</v>
      </c>
      <c r="C280" s="1347" t="s">
        <v>364</v>
      </c>
      <c r="D280" s="1347">
        <v>0</v>
      </c>
      <c r="E280" s="1347">
        <v>0</v>
      </c>
    </row>
    <row r="281" spans="1:5" x14ac:dyDescent="0.45">
      <c r="A281" s="1347">
        <v>914</v>
      </c>
      <c r="B281" s="1347" t="s">
        <v>824</v>
      </c>
      <c r="C281" s="1347" t="s">
        <v>364</v>
      </c>
      <c r="D281" s="1347">
        <v>0</v>
      </c>
      <c r="E281" s="1347">
        <v>0</v>
      </c>
    </row>
    <row r="282" spans="1:5" x14ac:dyDescent="0.45">
      <c r="A282" s="1347">
        <v>916</v>
      </c>
      <c r="B282" s="1347" t="s">
        <v>827</v>
      </c>
      <c r="C282" s="1347" t="s">
        <v>364</v>
      </c>
      <c r="D282" s="1347">
        <v>0</v>
      </c>
      <c r="E282" s="1347">
        <v>0</v>
      </c>
    </row>
    <row r="283" spans="1:5" x14ac:dyDescent="0.45">
      <c r="A283" s="1347">
        <v>917</v>
      </c>
      <c r="B283" s="1347" t="s">
        <v>829</v>
      </c>
      <c r="C283" s="1347" t="s">
        <v>364</v>
      </c>
      <c r="D283" s="1347">
        <v>0</v>
      </c>
      <c r="E283" s="1347">
        <v>0</v>
      </c>
    </row>
    <row r="284" spans="1:5" x14ac:dyDescent="0.45">
      <c r="A284" s="1347">
        <v>918</v>
      </c>
      <c r="B284" s="1347" t="s">
        <v>831</v>
      </c>
      <c r="C284" s="1347" t="s">
        <v>364</v>
      </c>
      <c r="D284" s="1347">
        <v>0</v>
      </c>
      <c r="E284" s="1347">
        <v>0</v>
      </c>
    </row>
    <row r="285" spans="1:5" x14ac:dyDescent="0.45">
      <c r="A285" s="1347">
        <v>919</v>
      </c>
      <c r="B285" s="1347" t="s">
        <v>833</v>
      </c>
      <c r="C285" s="1347" t="s">
        <v>364</v>
      </c>
      <c r="D285" s="1347">
        <v>0</v>
      </c>
      <c r="E285" s="1347">
        <v>0</v>
      </c>
    </row>
    <row r="286" spans="1:5" x14ac:dyDescent="0.45">
      <c r="A286" s="1347">
        <v>920</v>
      </c>
      <c r="B286" s="1347" t="s">
        <v>835</v>
      </c>
      <c r="C286" s="1347" t="s">
        <v>364</v>
      </c>
      <c r="D286" s="1347">
        <v>0</v>
      </c>
      <c r="E286" s="1347">
        <v>0</v>
      </c>
    </row>
    <row r="287" spans="1:5" x14ac:dyDescent="0.45">
      <c r="A287" s="1347">
        <v>921</v>
      </c>
      <c r="B287" s="1347" t="s">
        <v>837</v>
      </c>
      <c r="C287" s="1347" t="s">
        <v>364</v>
      </c>
      <c r="D287" s="1347">
        <v>0</v>
      </c>
      <c r="E287" s="1347">
        <v>0</v>
      </c>
    </row>
    <row r="288" spans="1:5" x14ac:dyDescent="0.45">
      <c r="A288" s="1347">
        <v>922</v>
      </c>
      <c r="B288" s="1347" t="s">
        <v>839</v>
      </c>
      <c r="C288" s="1347" t="s">
        <v>364</v>
      </c>
      <c r="D288" s="1347">
        <v>0</v>
      </c>
      <c r="E288" s="1347">
        <v>0</v>
      </c>
    </row>
    <row r="289" spans="1:5" x14ac:dyDescent="0.45">
      <c r="A289" s="1347">
        <v>923</v>
      </c>
      <c r="B289" s="1347" t="s">
        <v>841</v>
      </c>
      <c r="C289" s="1347" t="s">
        <v>364</v>
      </c>
      <c r="D289" s="1347">
        <v>0</v>
      </c>
      <c r="E289" s="1347">
        <v>0</v>
      </c>
    </row>
    <row r="290" spans="1:5" x14ac:dyDescent="0.45">
      <c r="A290" s="1347">
        <v>924</v>
      </c>
      <c r="B290" s="1347" t="s">
        <v>843</v>
      </c>
      <c r="C290" s="1347" t="s">
        <v>345</v>
      </c>
      <c r="D290" s="1347">
        <v>0.29114282556600002</v>
      </c>
      <c r="E290" s="1347">
        <v>0.19724735176899999</v>
      </c>
    </row>
    <row r="291" spans="1:5" x14ac:dyDescent="0.45">
      <c r="A291" s="1347">
        <v>925</v>
      </c>
      <c r="B291" s="1347" t="s">
        <v>845</v>
      </c>
      <c r="C291" s="1347" t="s">
        <v>364</v>
      </c>
      <c r="D291" s="1347">
        <v>0</v>
      </c>
      <c r="E291" s="1347">
        <v>0</v>
      </c>
    </row>
    <row r="292" spans="1:5" x14ac:dyDescent="0.45">
      <c r="A292" s="1347">
        <v>926</v>
      </c>
      <c r="B292" s="1347" t="s">
        <v>847</v>
      </c>
      <c r="C292" s="1347" t="s">
        <v>364</v>
      </c>
      <c r="D292" s="1347">
        <v>0</v>
      </c>
      <c r="E292" s="1347">
        <v>0</v>
      </c>
    </row>
    <row r="293" spans="1:5" x14ac:dyDescent="0.45">
      <c r="A293" s="1347">
        <v>927</v>
      </c>
      <c r="B293" s="1347" t="s">
        <v>849</v>
      </c>
      <c r="C293" s="1347" t="s">
        <v>364</v>
      </c>
      <c r="D293" s="1347">
        <v>0</v>
      </c>
      <c r="E293" s="1347">
        <v>0</v>
      </c>
    </row>
    <row r="294" spans="1:5" x14ac:dyDescent="0.45">
      <c r="A294" s="1347">
        <v>928</v>
      </c>
      <c r="B294" s="1347" t="s">
        <v>1079</v>
      </c>
      <c r="C294" s="1347" t="s">
        <v>364</v>
      </c>
      <c r="D294" s="1347">
        <v>0</v>
      </c>
      <c r="E294" s="1347">
        <v>0</v>
      </c>
    </row>
    <row r="295" spans="1:5" x14ac:dyDescent="0.45">
      <c r="A295" s="1347">
        <v>951</v>
      </c>
      <c r="B295" s="1347" t="s">
        <v>851</v>
      </c>
      <c r="C295" s="1347" t="s">
        <v>364</v>
      </c>
      <c r="D295" s="1347">
        <v>0</v>
      </c>
      <c r="E295" s="1347">
        <v>0</v>
      </c>
    </row>
    <row r="296" spans="1:5" x14ac:dyDescent="0.45">
      <c r="A296" s="1347">
        <v>1010</v>
      </c>
      <c r="B296" s="1347" t="s">
        <v>853</v>
      </c>
      <c r="C296" s="1347" t="s">
        <v>345</v>
      </c>
      <c r="D296" s="1347">
        <v>0.45786643087000001</v>
      </c>
      <c r="E296" s="1349">
        <v>4.9568119890399998E-2</v>
      </c>
    </row>
    <row r="297" spans="1:5" x14ac:dyDescent="0.45">
      <c r="A297" s="1347">
        <v>1011</v>
      </c>
      <c r="B297" s="1347" t="s">
        <v>855</v>
      </c>
      <c r="C297" s="1347" t="s">
        <v>345</v>
      </c>
      <c r="D297" s="1347">
        <v>-1.89314616394</v>
      </c>
      <c r="E297" s="1347">
        <v>0.57613584750900004</v>
      </c>
    </row>
    <row r="298" spans="1:5" x14ac:dyDescent="0.45">
      <c r="A298" s="1347">
        <v>1012</v>
      </c>
      <c r="B298" s="1347" t="s">
        <v>857</v>
      </c>
      <c r="C298" s="1347" t="s">
        <v>345</v>
      </c>
      <c r="D298" s="1347">
        <v>0.18030694579100001</v>
      </c>
      <c r="E298" s="1347">
        <v>0.62187768623799999</v>
      </c>
    </row>
    <row r="299" spans="1:5" x14ac:dyDescent="0.45">
      <c r="A299" s="1347">
        <v>1013</v>
      </c>
      <c r="B299" s="1347" t="s">
        <v>859</v>
      </c>
      <c r="C299" s="1347" t="s">
        <v>345</v>
      </c>
      <c r="D299" s="1347">
        <v>1.0017474184599999</v>
      </c>
      <c r="E299" s="1347">
        <v>0.14233490212200001</v>
      </c>
    </row>
    <row r="300" spans="1:5" x14ac:dyDescent="0.45">
      <c r="A300" s="1347">
        <v>1014</v>
      </c>
      <c r="B300" s="1347" t="s">
        <v>861</v>
      </c>
      <c r="C300" s="1347" t="s">
        <v>345</v>
      </c>
      <c r="D300" s="1347">
        <v>-0.28287807831299999</v>
      </c>
      <c r="E300" s="1347">
        <v>0.120479044407</v>
      </c>
    </row>
    <row r="301" spans="1:5" x14ac:dyDescent="0.45">
      <c r="A301" s="1347">
        <v>1015</v>
      </c>
      <c r="B301" s="1347" t="s">
        <v>863</v>
      </c>
      <c r="C301" s="1347" t="s">
        <v>345</v>
      </c>
      <c r="D301" s="1347">
        <v>-0.194127679345</v>
      </c>
      <c r="E301" s="1347">
        <v>0.119478230115</v>
      </c>
    </row>
    <row r="302" spans="1:5" x14ac:dyDescent="0.45">
      <c r="A302" s="1347">
        <v>1016</v>
      </c>
      <c r="B302" s="1347" t="s">
        <v>865</v>
      </c>
      <c r="C302" s="1347" t="s">
        <v>345</v>
      </c>
      <c r="D302" s="1347">
        <v>0.46459217164200001</v>
      </c>
      <c r="E302" s="1347">
        <v>0.13264059034799999</v>
      </c>
    </row>
    <row r="303" spans="1:5" x14ac:dyDescent="0.45">
      <c r="A303" s="1347">
        <v>1018</v>
      </c>
      <c r="B303" s="1347" t="s">
        <v>868</v>
      </c>
      <c r="C303" s="1347" t="s">
        <v>345</v>
      </c>
      <c r="D303" s="1349">
        <v>-1.38992994507E-2</v>
      </c>
      <c r="E303" s="1349">
        <v>1.2653900972E-2</v>
      </c>
    </row>
    <row r="304" spans="1:5" x14ac:dyDescent="0.45">
      <c r="A304" s="1347">
        <v>1019</v>
      </c>
      <c r="B304" s="1347" t="s">
        <v>870</v>
      </c>
      <c r="C304" s="1347" t="s">
        <v>345</v>
      </c>
      <c r="D304" s="1349">
        <v>-2.6690635235499999E-2</v>
      </c>
      <c r="E304" s="1349">
        <v>1.0998801125000001E-2</v>
      </c>
    </row>
    <row r="305" spans="1:5" x14ac:dyDescent="0.45">
      <c r="A305" s="1347">
        <v>1020</v>
      </c>
      <c r="B305" s="1347" t="s">
        <v>872</v>
      </c>
      <c r="C305" s="1347" t="s">
        <v>345</v>
      </c>
      <c r="D305" s="1347">
        <v>0.95021951402399996</v>
      </c>
      <c r="E305" s="1347">
        <v>0.10238682995499999</v>
      </c>
    </row>
    <row r="306" spans="1:5" x14ac:dyDescent="0.45">
      <c r="A306" s="1347">
        <v>1021</v>
      </c>
      <c r="B306" s="1347" t="s">
        <v>874</v>
      </c>
      <c r="C306" s="1347" t="s">
        <v>345</v>
      </c>
      <c r="D306" s="1349">
        <v>4.6119139492799999E-2</v>
      </c>
      <c r="E306" s="1347">
        <v>0.41540154208300001</v>
      </c>
    </row>
    <row r="307" spans="1:5" x14ac:dyDescent="0.45">
      <c r="A307" s="1347">
        <v>1022</v>
      </c>
      <c r="B307" s="1347" t="s">
        <v>876</v>
      </c>
      <c r="C307" s="1347" t="s">
        <v>345</v>
      </c>
      <c r="D307" s="1347">
        <v>-0.50334562369900004</v>
      </c>
      <c r="E307" s="1347">
        <v>0.66139929395700003</v>
      </c>
    </row>
    <row r="308" spans="1:5" x14ac:dyDescent="0.45">
      <c r="A308" s="1347">
        <v>1023</v>
      </c>
      <c r="B308" s="1347" t="s">
        <v>878</v>
      </c>
      <c r="C308" s="1347" t="s">
        <v>345</v>
      </c>
      <c r="D308" s="1347">
        <v>1.0587748827500001</v>
      </c>
      <c r="E308" s="1347">
        <v>0.17104443400899999</v>
      </c>
    </row>
    <row r="309" spans="1:5" x14ac:dyDescent="0.45">
      <c r="A309" s="1347">
        <v>1024</v>
      </c>
      <c r="B309" s="1347" t="s">
        <v>880</v>
      </c>
      <c r="C309" s="1347" t="s">
        <v>345</v>
      </c>
      <c r="D309" s="1347">
        <v>-0.53848378214500003</v>
      </c>
      <c r="E309" s="1347">
        <v>0.154153742116</v>
      </c>
    </row>
    <row r="310" spans="1:5" x14ac:dyDescent="0.45">
      <c r="A310" s="1347">
        <v>1025</v>
      </c>
      <c r="B310" s="1347" t="s">
        <v>882</v>
      </c>
      <c r="C310" s="1347" t="s">
        <v>345</v>
      </c>
      <c r="D310" s="1347">
        <v>-0.56980481664100002</v>
      </c>
      <c r="E310" s="1347">
        <v>0.16016145834100001</v>
      </c>
    </row>
    <row r="311" spans="1:5" x14ac:dyDescent="0.45">
      <c r="A311" s="1347">
        <v>1026</v>
      </c>
      <c r="B311" s="1347" t="s">
        <v>884</v>
      </c>
      <c r="C311" s="1347" t="s">
        <v>345</v>
      </c>
      <c r="D311" s="1347">
        <v>-0.36556883931099998</v>
      </c>
      <c r="E311" s="1347">
        <v>0.18320172963199999</v>
      </c>
    </row>
    <row r="312" spans="1:5" x14ac:dyDescent="0.45">
      <c r="A312" s="1347">
        <v>1028</v>
      </c>
      <c r="B312" s="1347" t="s">
        <v>886</v>
      </c>
      <c r="C312" s="1347" t="s">
        <v>345</v>
      </c>
      <c r="D312" s="1349">
        <v>-5.12318617046E-2</v>
      </c>
      <c r="E312" s="1349">
        <v>1.3304189193100001E-2</v>
      </c>
    </row>
    <row r="313" spans="1:5" x14ac:dyDescent="0.45">
      <c r="A313" s="1347">
        <v>1029</v>
      </c>
      <c r="B313" s="1347" t="s">
        <v>888</v>
      </c>
      <c r="C313" s="1347" t="s">
        <v>364</v>
      </c>
      <c r="D313" s="1347">
        <v>0</v>
      </c>
      <c r="E313" s="1347">
        <v>0</v>
      </c>
    </row>
    <row r="314" spans="1:5" x14ac:dyDescent="0.45">
      <c r="A314" s="1347">
        <v>1033</v>
      </c>
      <c r="B314" s="1347" t="s">
        <v>890</v>
      </c>
      <c r="C314" s="1347" t="s">
        <v>345</v>
      </c>
      <c r="D314" s="1347">
        <v>2.3191467598700002</v>
      </c>
      <c r="E314" s="1347">
        <v>0.136173241754</v>
      </c>
    </row>
    <row r="315" spans="1:5" x14ac:dyDescent="0.45">
      <c r="A315" s="1347">
        <v>1034</v>
      </c>
      <c r="B315" s="1347" t="s">
        <v>892</v>
      </c>
      <c r="C315" s="1347" t="s">
        <v>345</v>
      </c>
      <c r="D315" s="1347">
        <v>0.43882869599800001</v>
      </c>
      <c r="E315" s="1347">
        <v>0.10894075697</v>
      </c>
    </row>
    <row r="316" spans="1:5" x14ac:dyDescent="0.45">
      <c r="A316" s="1347">
        <v>1035</v>
      </c>
      <c r="B316" s="1347" t="s">
        <v>894</v>
      </c>
      <c r="C316" s="1347" t="s">
        <v>345</v>
      </c>
      <c r="D316" s="1347">
        <v>0.38801901626300001</v>
      </c>
      <c r="E316" s="1347">
        <v>0.10877211906500001</v>
      </c>
    </row>
    <row r="317" spans="1:5" x14ac:dyDescent="0.45">
      <c r="A317" s="1347">
        <v>1036</v>
      </c>
      <c r="B317" s="1347" t="s">
        <v>896</v>
      </c>
      <c r="C317" s="1347" t="s">
        <v>345</v>
      </c>
      <c r="D317" s="1347">
        <v>0.60596435895300005</v>
      </c>
      <c r="E317" s="1347">
        <v>0.1304688333</v>
      </c>
    </row>
    <row r="318" spans="1:5" x14ac:dyDescent="0.45">
      <c r="A318" s="1347">
        <v>1043</v>
      </c>
      <c r="B318" s="1347" t="s">
        <v>898</v>
      </c>
      <c r="C318" s="1347" t="s">
        <v>345</v>
      </c>
      <c r="D318" s="1347">
        <v>-0.54382622784000001</v>
      </c>
      <c r="E318" s="1347">
        <v>0.15110036866099999</v>
      </c>
    </row>
    <row r="319" spans="1:5" x14ac:dyDescent="0.45">
      <c r="A319" s="1347">
        <v>1044</v>
      </c>
      <c r="B319" s="1347" t="s">
        <v>900</v>
      </c>
      <c r="C319" s="1347" t="s">
        <v>345</v>
      </c>
      <c r="D319" s="1347">
        <v>0.15599073698400001</v>
      </c>
      <c r="E319" s="1347">
        <v>0.138007692589</v>
      </c>
    </row>
    <row r="320" spans="1:5" x14ac:dyDescent="0.45">
      <c r="A320" s="1347">
        <v>1045</v>
      </c>
      <c r="B320" s="1347" t="s">
        <v>902</v>
      </c>
      <c r="C320" s="1347" t="s">
        <v>345</v>
      </c>
      <c r="D320" s="1347">
        <v>0.14237055478999999</v>
      </c>
      <c r="E320" s="1347">
        <v>0.10164171746099999</v>
      </c>
    </row>
    <row r="321" spans="1:5" x14ac:dyDescent="0.45">
      <c r="A321" s="1347">
        <v>1046</v>
      </c>
      <c r="B321" s="1347" t="s">
        <v>904</v>
      </c>
      <c r="C321" s="1347" t="s">
        <v>345</v>
      </c>
      <c r="D321" s="1347">
        <v>0.23516411117700001</v>
      </c>
      <c r="E321" s="1347">
        <v>0.124754364891</v>
      </c>
    </row>
    <row r="322" spans="1:5" x14ac:dyDescent="0.45">
      <c r="A322" s="1347">
        <v>1053</v>
      </c>
      <c r="B322" s="1347" t="s">
        <v>906</v>
      </c>
      <c r="C322" s="1347" t="s">
        <v>345</v>
      </c>
      <c r="D322" s="1347">
        <v>-0.39185646229999999</v>
      </c>
      <c r="E322" s="1347">
        <v>0.15348181858500001</v>
      </c>
    </row>
    <row r="323" spans="1:5" x14ac:dyDescent="0.45">
      <c r="A323" s="1347">
        <v>1054</v>
      </c>
      <c r="B323" s="1347" t="s">
        <v>908</v>
      </c>
      <c r="C323" s="1347" t="s">
        <v>345</v>
      </c>
      <c r="D323" s="1347">
        <v>0.18528363720900001</v>
      </c>
      <c r="E323" s="1347">
        <v>0.103504738651</v>
      </c>
    </row>
    <row r="324" spans="1:5" x14ac:dyDescent="0.45">
      <c r="A324" s="1347">
        <v>1055</v>
      </c>
      <c r="B324" s="1347" t="s">
        <v>910</v>
      </c>
      <c r="C324" s="1347" t="s">
        <v>345</v>
      </c>
      <c r="D324" s="1347">
        <v>0.50750506111000004</v>
      </c>
      <c r="E324" s="1347">
        <v>0.135366538585</v>
      </c>
    </row>
    <row r="325" spans="1:5" x14ac:dyDescent="0.45">
      <c r="A325" s="1347">
        <v>1056</v>
      </c>
      <c r="B325" s="1347" t="s">
        <v>912</v>
      </c>
      <c r="C325" s="1347" t="s">
        <v>345</v>
      </c>
      <c r="D325" s="1347">
        <v>-0.31245288367200003</v>
      </c>
      <c r="E325" s="1347">
        <v>0.13766069123399999</v>
      </c>
    </row>
    <row r="326" spans="1:5" x14ac:dyDescent="0.45">
      <c r="A326" s="1347">
        <v>1063</v>
      </c>
      <c r="B326" s="1347" t="s">
        <v>914</v>
      </c>
      <c r="C326" s="1347" t="s">
        <v>345</v>
      </c>
      <c r="D326" s="1349">
        <v>-6.4681278984199994E-2</v>
      </c>
      <c r="E326" s="1347">
        <v>0.19475521972099999</v>
      </c>
    </row>
    <row r="327" spans="1:5" x14ac:dyDescent="0.45">
      <c r="A327" s="1347">
        <v>1064</v>
      </c>
      <c r="B327" s="1347" t="s">
        <v>916</v>
      </c>
      <c r="C327" s="1347" t="s">
        <v>345</v>
      </c>
      <c r="D327" s="1347">
        <v>0.221464065658</v>
      </c>
      <c r="E327" s="1347">
        <v>0.12596929955200001</v>
      </c>
    </row>
    <row r="328" spans="1:5" x14ac:dyDescent="0.45">
      <c r="A328" s="1347">
        <v>1065</v>
      </c>
      <c r="B328" s="1347" t="s">
        <v>918</v>
      </c>
      <c r="C328" s="1347" t="s">
        <v>345</v>
      </c>
      <c r="D328" s="1347">
        <v>0.29629414684499999</v>
      </c>
      <c r="E328" s="1347">
        <v>0.125690409315</v>
      </c>
    </row>
    <row r="329" spans="1:5" x14ac:dyDescent="0.45">
      <c r="A329" s="1347">
        <v>1066</v>
      </c>
      <c r="B329" s="1347" t="s">
        <v>920</v>
      </c>
      <c r="C329" s="1347" t="s">
        <v>345</v>
      </c>
      <c r="D329" s="1347">
        <v>-0.267306995178</v>
      </c>
      <c r="E329" s="1347">
        <v>0.185898066853</v>
      </c>
    </row>
    <row r="330" spans="1:5" x14ac:dyDescent="0.45">
      <c r="A330" s="1347">
        <v>1073</v>
      </c>
      <c r="B330" s="1347" t="s">
        <v>922</v>
      </c>
      <c r="C330" s="1347" t="s">
        <v>345</v>
      </c>
      <c r="D330" s="1347">
        <v>-0.54163888619599998</v>
      </c>
      <c r="E330" s="1347">
        <v>0.14840672506399999</v>
      </c>
    </row>
    <row r="331" spans="1:5" x14ac:dyDescent="0.45">
      <c r="A331" s="1347">
        <v>1074</v>
      </c>
      <c r="B331" s="1347" t="s">
        <v>924</v>
      </c>
      <c r="C331" s="1347" t="s">
        <v>345</v>
      </c>
      <c r="D331" s="1349">
        <v>-7.6209529090599998E-2</v>
      </c>
      <c r="E331" s="1347">
        <v>0.104198853464</v>
      </c>
    </row>
    <row r="332" spans="1:5" x14ac:dyDescent="0.45">
      <c r="A332" s="1347">
        <v>1075</v>
      </c>
      <c r="B332" s="1347" t="s">
        <v>926</v>
      </c>
      <c r="C332" s="1347" t="s">
        <v>345</v>
      </c>
      <c r="D332" s="1347">
        <v>0.110794657029</v>
      </c>
      <c r="E332" s="1347">
        <v>0.102963578926</v>
      </c>
    </row>
    <row r="333" spans="1:5" x14ac:dyDescent="0.45">
      <c r="A333" s="1347">
        <v>1076</v>
      </c>
      <c r="B333" s="1347" t="s">
        <v>928</v>
      </c>
      <c r="C333" s="1347" t="s">
        <v>345</v>
      </c>
      <c r="D333" s="1347">
        <v>0.411725267462</v>
      </c>
      <c r="E333" s="1347">
        <v>0.121243551507</v>
      </c>
    </row>
    <row r="334" spans="1:5" x14ac:dyDescent="0.45">
      <c r="A334" s="1347">
        <v>1112</v>
      </c>
      <c r="B334" s="1347" t="s">
        <v>930</v>
      </c>
      <c r="C334" s="1347" t="s">
        <v>345</v>
      </c>
      <c r="D334" s="1347">
        <v>-1.5644309596599999</v>
      </c>
      <c r="E334" s="1347">
        <v>0.224639719387</v>
      </c>
    </row>
    <row r="335" spans="1:5" x14ac:dyDescent="0.45">
      <c r="A335" s="1347">
        <v>1113</v>
      </c>
      <c r="B335" s="1347" t="s">
        <v>932</v>
      </c>
      <c r="C335" s="1347" t="s">
        <v>345</v>
      </c>
      <c r="D335" s="1347">
        <v>-1.2740274169500001</v>
      </c>
      <c r="E335" s="1347">
        <v>0.14631302643899999</v>
      </c>
    </row>
    <row r="336" spans="1:5" x14ac:dyDescent="0.45">
      <c r="A336" s="1347">
        <v>1114</v>
      </c>
      <c r="B336" s="1347" t="s">
        <v>934</v>
      </c>
      <c r="C336" s="1347" t="s">
        <v>345</v>
      </c>
      <c r="D336" s="1347">
        <v>-1.0749348599599999</v>
      </c>
      <c r="E336" s="1347">
        <v>0.13224239337300001</v>
      </c>
    </row>
    <row r="337" spans="1:5" x14ac:dyDescent="0.45">
      <c r="A337" s="1347">
        <v>1115</v>
      </c>
      <c r="B337" s="1347" t="s">
        <v>936</v>
      </c>
      <c r="C337" s="1347" t="s">
        <v>345</v>
      </c>
      <c r="D337" s="1347">
        <v>-0.94518526709999995</v>
      </c>
      <c r="E337" s="1347">
        <v>0.132113849128</v>
      </c>
    </row>
    <row r="338" spans="1:5" x14ac:dyDescent="0.45">
      <c r="A338" s="1347">
        <v>1116</v>
      </c>
      <c r="B338" s="1347" t="s">
        <v>938</v>
      </c>
      <c r="C338" s="1347" t="s">
        <v>345</v>
      </c>
      <c r="D338" s="1347">
        <v>-0.50215980633099999</v>
      </c>
      <c r="E338" s="1347">
        <v>0.14933172267600001</v>
      </c>
    </row>
    <row r="339" spans="1:5" x14ac:dyDescent="0.45">
      <c r="A339" s="1347">
        <v>1117</v>
      </c>
      <c r="B339" s="1347" t="s">
        <v>940</v>
      </c>
      <c r="C339" s="1347" t="s">
        <v>345</v>
      </c>
      <c r="D339" s="1347">
        <v>-0.540636525358</v>
      </c>
      <c r="E339" s="1347">
        <v>0.12999404310900001</v>
      </c>
    </row>
    <row r="340" spans="1:5" x14ac:dyDescent="0.45">
      <c r="A340" s="1347">
        <v>1123</v>
      </c>
      <c r="B340" s="1347" t="s">
        <v>942</v>
      </c>
      <c r="C340" s="1347" t="s">
        <v>345</v>
      </c>
      <c r="D340" s="1347">
        <v>-1.3616026243299999</v>
      </c>
      <c r="E340" s="1347">
        <v>0.18486691593400001</v>
      </c>
    </row>
    <row r="341" spans="1:5" x14ac:dyDescent="0.45">
      <c r="A341" s="1347">
        <v>1124</v>
      </c>
      <c r="B341" s="1347" t="s">
        <v>944</v>
      </c>
      <c r="C341" s="1347" t="s">
        <v>345</v>
      </c>
      <c r="D341" s="1347">
        <v>-0.84898836229399999</v>
      </c>
      <c r="E341" s="1347">
        <v>0.16905056953700001</v>
      </c>
    </row>
    <row r="342" spans="1:5" x14ac:dyDescent="0.45">
      <c r="A342" s="1347">
        <v>1125</v>
      </c>
      <c r="B342" s="1347" t="s">
        <v>946</v>
      </c>
      <c r="C342" s="1347" t="s">
        <v>345</v>
      </c>
      <c r="D342" s="1347">
        <v>-0.78613389560799996</v>
      </c>
      <c r="E342" s="1347">
        <v>0.176564904863</v>
      </c>
    </row>
    <row r="343" spans="1:5" x14ac:dyDescent="0.45">
      <c r="A343" s="1347">
        <v>1126</v>
      </c>
      <c r="B343" s="1347" t="s">
        <v>948</v>
      </c>
      <c r="C343" s="1347" t="s">
        <v>345</v>
      </c>
      <c r="D343" s="1347">
        <v>-0.54681847911299997</v>
      </c>
      <c r="E343" s="1347">
        <v>0.21285345767800001</v>
      </c>
    </row>
    <row r="344" spans="1:5" x14ac:dyDescent="0.45">
      <c r="A344" s="1347">
        <v>1127</v>
      </c>
      <c r="B344" s="1347" t="s">
        <v>950</v>
      </c>
      <c r="C344" s="1347" t="s">
        <v>345</v>
      </c>
      <c r="D344" s="1347">
        <v>-0.52556611822199994</v>
      </c>
      <c r="E344" s="1347">
        <v>0.15189256027199999</v>
      </c>
    </row>
    <row r="345" spans="1:5" x14ac:dyDescent="0.45">
      <c r="A345" s="1347">
        <v>1134</v>
      </c>
      <c r="B345" s="1347" t="s">
        <v>952</v>
      </c>
      <c r="C345" s="1347" t="s">
        <v>345</v>
      </c>
      <c r="D345" s="1347">
        <v>0.36235102462699997</v>
      </c>
      <c r="E345" s="1347">
        <v>0.144538546041</v>
      </c>
    </row>
    <row r="346" spans="1:5" x14ac:dyDescent="0.45">
      <c r="A346" s="1347">
        <v>1135</v>
      </c>
      <c r="B346" s="1347" t="s">
        <v>954</v>
      </c>
      <c r="C346" s="1347" t="s">
        <v>345</v>
      </c>
      <c r="D346" s="1347">
        <v>-0.10012866324</v>
      </c>
      <c r="E346" s="1347">
        <v>0.152884807889</v>
      </c>
    </row>
    <row r="347" spans="1:5" x14ac:dyDescent="0.45">
      <c r="A347" s="1347">
        <v>1136</v>
      </c>
      <c r="B347" s="1347" t="s">
        <v>956</v>
      </c>
      <c r="C347" s="1347" t="s">
        <v>345</v>
      </c>
      <c r="D347" s="1347">
        <v>-0.106732192286</v>
      </c>
      <c r="E347" s="1347">
        <v>0.20153827167999999</v>
      </c>
    </row>
    <row r="348" spans="1:5" x14ac:dyDescent="0.45">
      <c r="A348" s="1347">
        <v>1137</v>
      </c>
      <c r="B348" s="1347" t="s">
        <v>958</v>
      </c>
      <c r="C348" s="1347" t="s">
        <v>345</v>
      </c>
      <c r="D348" s="1347">
        <v>0.216505983215</v>
      </c>
      <c r="E348" s="1347">
        <v>0.15059854532</v>
      </c>
    </row>
    <row r="349" spans="1:5" x14ac:dyDescent="0.45">
      <c r="A349" s="1347">
        <v>1145</v>
      </c>
      <c r="B349" s="1347" t="s">
        <v>960</v>
      </c>
      <c r="C349" s="1347" t="s">
        <v>345</v>
      </c>
      <c r="D349" s="1349">
        <v>-5.5921311625300001E-2</v>
      </c>
      <c r="E349" s="1347">
        <v>0.13469477576399999</v>
      </c>
    </row>
    <row r="350" spans="1:5" x14ac:dyDescent="0.45">
      <c r="A350" s="1347">
        <v>1146</v>
      </c>
      <c r="B350" s="1347" t="s">
        <v>962</v>
      </c>
      <c r="C350" s="1347" t="s">
        <v>345</v>
      </c>
      <c r="D350" s="1347">
        <v>0.24358333611300001</v>
      </c>
      <c r="E350" s="1347">
        <v>0.15373841985200001</v>
      </c>
    </row>
    <row r="351" spans="1:5" x14ac:dyDescent="0.45">
      <c r="A351" s="1347">
        <v>1147</v>
      </c>
      <c r="B351" s="1347" t="s">
        <v>964</v>
      </c>
      <c r="C351" s="1347" t="s">
        <v>345</v>
      </c>
      <c r="D351" s="1347">
        <v>-0.18853487847799999</v>
      </c>
      <c r="E351" s="1347">
        <v>0.13566832221</v>
      </c>
    </row>
    <row r="352" spans="1:5" x14ac:dyDescent="0.45">
      <c r="A352" s="1347">
        <v>1156</v>
      </c>
      <c r="B352" s="1347" t="s">
        <v>966</v>
      </c>
      <c r="C352" s="1347" t="s">
        <v>345</v>
      </c>
      <c r="D352" s="1347">
        <v>-0.442260708467</v>
      </c>
      <c r="E352" s="1347">
        <v>0.18109830841499999</v>
      </c>
    </row>
    <row r="353" spans="1:5" x14ac:dyDescent="0.45">
      <c r="A353" s="1347">
        <v>1157</v>
      </c>
      <c r="B353" s="1347" t="s">
        <v>968</v>
      </c>
      <c r="C353" s="1347" t="s">
        <v>345</v>
      </c>
      <c r="D353" s="1349">
        <v>1.03014939628E-2</v>
      </c>
      <c r="E353" s="1347">
        <v>0.136699941145</v>
      </c>
    </row>
    <row r="354" spans="1:5" x14ac:dyDescent="0.45">
      <c r="A354" s="1347">
        <v>1213</v>
      </c>
      <c r="B354" s="1347" t="s">
        <v>970</v>
      </c>
      <c r="C354" s="1347" t="s">
        <v>345</v>
      </c>
      <c r="D354" s="1347">
        <v>-1.36481525144</v>
      </c>
      <c r="E354" s="1347">
        <v>0.213935551733</v>
      </c>
    </row>
    <row r="355" spans="1:5" x14ac:dyDescent="0.45">
      <c r="A355" s="1347">
        <v>1214</v>
      </c>
      <c r="B355" s="1347" t="s">
        <v>972</v>
      </c>
      <c r="C355" s="1347" t="s">
        <v>345</v>
      </c>
      <c r="D355" s="1347">
        <v>-0.61775033894800002</v>
      </c>
      <c r="E355" s="1347">
        <v>0.178409047859</v>
      </c>
    </row>
    <row r="356" spans="1:5" x14ac:dyDescent="0.45">
      <c r="A356" s="1347">
        <v>1215</v>
      </c>
      <c r="B356" s="1347" t="s">
        <v>974</v>
      </c>
      <c r="C356" s="1347" t="s">
        <v>345</v>
      </c>
      <c r="D356" s="1347">
        <v>-0.64325229668899997</v>
      </c>
      <c r="E356" s="1347">
        <v>0.17845753720900001</v>
      </c>
    </row>
    <row r="357" spans="1:5" x14ac:dyDescent="0.45">
      <c r="A357" s="1347">
        <v>1216</v>
      </c>
      <c r="B357" s="1347" t="s">
        <v>976</v>
      </c>
      <c r="C357" s="1347" t="s">
        <v>345</v>
      </c>
      <c r="D357" s="1347">
        <v>-0.44793136682599999</v>
      </c>
      <c r="E357" s="1347">
        <v>0.181483033667</v>
      </c>
    </row>
    <row r="358" spans="1:5" x14ac:dyDescent="0.45">
      <c r="A358" s="1347">
        <v>1217</v>
      </c>
      <c r="B358" s="1347" t="s">
        <v>978</v>
      </c>
      <c r="C358" s="1347" t="s">
        <v>345</v>
      </c>
      <c r="D358" s="1347">
        <v>-0.93801074918799998</v>
      </c>
      <c r="E358" s="1347">
        <v>0.21607999553099999</v>
      </c>
    </row>
    <row r="359" spans="1:5" x14ac:dyDescent="0.45">
      <c r="A359" s="1347">
        <v>1223</v>
      </c>
      <c r="B359" s="1347" t="s">
        <v>980</v>
      </c>
      <c r="C359" s="1347" t="s">
        <v>345</v>
      </c>
      <c r="D359" s="1347">
        <v>-1.1092063858900001</v>
      </c>
      <c r="E359" s="1347">
        <v>0.370344630891</v>
      </c>
    </row>
    <row r="360" spans="1:5" x14ac:dyDescent="0.45">
      <c r="A360" s="1347">
        <v>1224</v>
      </c>
      <c r="B360" s="1347" t="s">
        <v>982</v>
      </c>
      <c r="C360" s="1347" t="s">
        <v>345</v>
      </c>
      <c r="D360" s="1347">
        <v>-0.37840972925499999</v>
      </c>
      <c r="E360" s="1347">
        <v>0.313970689852</v>
      </c>
    </row>
    <row r="361" spans="1:5" x14ac:dyDescent="0.45">
      <c r="A361" s="1347">
        <v>1225</v>
      </c>
      <c r="B361" s="1347" t="s">
        <v>984</v>
      </c>
      <c r="C361" s="1347" t="s">
        <v>345</v>
      </c>
      <c r="D361" s="1347">
        <v>-1.13150811347</v>
      </c>
      <c r="E361" s="1347">
        <v>0.38650169800500001</v>
      </c>
    </row>
    <row r="362" spans="1:5" x14ac:dyDescent="0.45">
      <c r="A362" s="1347">
        <v>1226</v>
      </c>
      <c r="B362" s="1347" t="s">
        <v>986</v>
      </c>
      <c r="C362" s="1347" t="s">
        <v>345</v>
      </c>
      <c r="D362" s="1347">
        <v>0.46235910839400002</v>
      </c>
      <c r="E362" s="1347">
        <v>0.30484805380300001</v>
      </c>
    </row>
    <row r="363" spans="1:5" x14ac:dyDescent="0.45">
      <c r="A363" s="1347">
        <v>1227</v>
      </c>
      <c r="B363" s="1347" t="s">
        <v>988</v>
      </c>
      <c r="C363" s="1347" t="s">
        <v>345</v>
      </c>
      <c r="D363" s="1347">
        <v>-0.18611062162</v>
      </c>
      <c r="E363" s="1347">
        <v>0.30245170810499999</v>
      </c>
    </row>
    <row r="364" spans="1:5" x14ac:dyDescent="0.45">
      <c r="A364" s="1347">
        <v>1234</v>
      </c>
      <c r="B364" s="1347" t="s">
        <v>990</v>
      </c>
      <c r="C364" s="1347" t="s">
        <v>345</v>
      </c>
      <c r="D364" s="1347">
        <v>-0.52820419371100003</v>
      </c>
      <c r="E364" s="1347">
        <v>0.13239381282400001</v>
      </c>
    </row>
    <row r="365" spans="1:5" x14ac:dyDescent="0.45">
      <c r="A365" s="1347">
        <v>1235</v>
      </c>
      <c r="B365" s="1347" t="s">
        <v>992</v>
      </c>
      <c r="C365" s="1347" t="s">
        <v>345</v>
      </c>
      <c r="D365" s="1347">
        <v>-0.73156894307999998</v>
      </c>
      <c r="E365" s="1347">
        <v>0.133056976051</v>
      </c>
    </row>
    <row r="366" spans="1:5" x14ac:dyDescent="0.45">
      <c r="A366" s="1347">
        <v>1236</v>
      </c>
      <c r="B366" s="1347" t="s">
        <v>994</v>
      </c>
      <c r="C366" s="1347" t="s">
        <v>345</v>
      </c>
      <c r="D366" s="1347">
        <v>-0.38019855195000002</v>
      </c>
      <c r="E366" s="1347">
        <v>0.14684937548099999</v>
      </c>
    </row>
    <row r="367" spans="1:5" x14ac:dyDescent="0.45">
      <c r="A367" s="1347">
        <v>1237</v>
      </c>
      <c r="B367" s="1347" t="s">
        <v>996</v>
      </c>
      <c r="C367" s="1347" t="s">
        <v>345</v>
      </c>
      <c r="D367" s="1347">
        <v>-0.17169006107099999</v>
      </c>
      <c r="E367" s="1347">
        <v>0.142238147806</v>
      </c>
    </row>
    <row r="368" spans="1:5" x14ac:dyDescent="0.45">
      <c r="A368" s="1347">
        <v>1245</v>
      </c>
      <c r="B368" s="1347" t="s">
        <v>998</v>
      </c>
      <c r="C368" s="1347" t="s">
        <v>345</v>
      </c>
      <c r="D368" s="1347">
        <v>-0.20732203726000001</v>
      </c>
      <c r="E368" s="1347">
        <v>0.11852639567000001</v>
      </c>
    </row>
    <row r="369" spans="1:5" x14ac:dyDescent="0.45">
      <c r="A369" s="1347">
        <v>1246</v>
      </c>
      <c r="B369" s="1347" t="s">
        <v>1000</v>
      </c>
      <c r="C369" s="1347" t="s">
        <v>345</v>
      </c>
      <c r="D369" s="1347">
        <v>-0.48987563118100003</v>
      </c>
      <c r="E369" s="1347">
        <v>0.124878742653</v>
      </c>
    </row>
    <row r="370" spans="1:5" x14ac:dyDescent="0.45">
      <c r="A370" s="1347">
        <v>1247</v>
      </c>
      <c r="B370" s="1347" t="s">
        <v>1002</v>
      </c>
      <c r="C370" s="1347" t="s">
        <v>345</v>
      </c>
      <c r="D370" s="1347">
        <v>-0.70672408033</v>
      </c>
      <c r="E370" s="1347">
        <v>0.13249790399200001</v>
      </c>
    </row>
    <row r="371" spans="1:5" x14ac:dyDescent="0.45">
      <c r="A371" s="1347">
        <v>1256</v>
      </c>
      <c r="B371" s="1347" t="s">
        <v>1004</v>
      </c>
      <c r="C371" s="1347" t="s">
        <v>345</v>
      </c>
      <c r="D371" s="1347">
        <v>-0.48653889900000002</v>
      </c>
      <c r="E371" s="1347">
        <v>0.12577423821799999</v>
      </c>
    </row>
    <row r="372" spans="1:5" x14ac:dyDescent="0.45">
      <c r="A372" s="1347">
        <v>1257</v>
      </c>
      <c r="B372" s="1347" t="s">
        <v>1006</v>
      </c>
      <c r="C372" s="1347" t="s">
        <v>345</v>
      </c>
      <c r="D372" s="1347">
        <v>-0.64057657042600002</v>
      </c>
      <c r="E372" s="1347">
        <v>0.13255225617899999</v>
      </c>
    </row>
    <row r="373" spans="1:5" x14ac:dyDescent="0.45">
      <c r="A373" s="1347">
        <v>1311</v>
      </c>
      <c r="B373" s="1347" t="s">
        <v>1008</v>
      </c>
      <c r="C373" s="1347" t="s">
        <v>345</v>
      </c>
      <c r="D373" s="1347">
        <v>-3.0895488316500002</v>
      </c>
      <c r="E373" s="1347">
        <v>0.36327898618600002</v>
      </c>
    </row>
    <row r="374" spans="1:5" x14ac:dyDescent="0.45">
      <c r="A374" s="1347">
        <v>1312</v>
      </c>
      <c r="B374" s="1347" t="s">
        <v>1010</v>
      </c>
      <c r="C374" s="1347" t="s">
        <v>345</v>
      </c>
      <c r="D374" s="1347">
        <v>-4.6880391214500001</v>
      </c>
      <c r="E374" s="1347">
        <v>0.57640168160100003</v>
      </c>
    </row>
    <row r="375" spans="1:5" x14ac:dyDescent="0.45">
      <c r="A375" s="1347">
        <v>1313</v>
      </c>
      <c r="B375" s="1347" t="s">
        <v>1012</v>
      </c>
      <c r="C375" s="1347" t="s">
        <v>345</v>
      </c>
      <c r="D375" s="1347">
        <v>-5.2719733197699998</v>
      </c>
      <c r="E375" s="1347">
        <v>0.73013147632399999</v>
      </c>
    </row>
    <row r="376" spans="1:5" x14ac:dyDescent="0.45">
      <c r="A376" s="1347">
        <v>1321</v>
      </c>
      <c r="B376" s="1347" t="s">
        <v>1014</v>
      </c>
      <c r="C376" s="1347" t="s">
        <v>345</v>
      </c>
      <c r="D376" s="1347">
        <v>-2.98919984582</v>
      </c>
      <c r="E376" s="1347">
        <v>0.37157555724699998</v>
      </c>
    </row>
    <row r="377" spans="1:5" x14ac:dyDescent="0.45">
      <c r="A377" s="1347">
        <v>1322</v>
      </c>
      <c r="B377" s="1347" t="s">
        <v>1016</v>
      </c>
      <c r="C377" s="1347" t="s">
        <v>345</v>
      </c>
      <c r="D377" s="1347">
        <v>-4.5628566934299997</v>
      </c>
      <c r="E377" s="1347">
        <v>0.58828647794199995</v>
      </c>
    </row>
    <row r="378" spans="1:5" x14ac:dyDescent="0.45">
      <c r="A378" s="1347">
        <v>1323</v>
      </c>
      <c r="B378" s="1347" t="s">
        <v>1018</v>
      </c>
      <c r="C378" s="1347" t="s">
        <v>345</v>
      </c>
      <c r="D378" s="1347">
        <v>-5.1473826788899997</v>
      </c>
      <c r="E378" s="1347">
        <v>0.73556958719800003</v>
      </c>
    </row>
    <row r="379" spans="1:5" x14ac:dyDescent="0.45">
      <c r="A379" s="1347">
        <v>1331</v>
      </c>
      <c r="B379" s="1347" t="s">
        <v>1020</v>
      </c>
      <c r="C379" s="1347" t="s">
        <v>345</v>
      </c>
      <c r="D379" s="1347">
        <v>-2.7935912245000001</v>
      </c>
      <c r="E379" s="1347">
        <v>0.40698639111700002</v>
      </c>
    </row>
    <row r="380" spans="1:5" x14ac:dyDescent="0.45">
      <c r="A380" s="1347">
        <v>1332</v>
      </c>
      <c r="B380" s="1347" t="s">
        <v>1022</v>
      </c>
      <c r="C380" s="1347" t="s">
        <v>345</v>
      </c>
      <c r="D380" s="1347">
        <v>-4.48645805507</v>
      </c>
      <c r="E380" s="1347">
        <v>0.63531980662400001</v>
      </c>
    </row>
    <row r="381" spans="1:5" x14ac:dyDescent="0.45">
      <c r="A381" s="1347">
        <v>1401</v>
      </c>
      <c r="B381" s="1347" t="s">
        <v>1024</v>
      </c>
      <c r="C381" s="1347" t="s">
        <v>345</v>
      </c>
      <c r="D381" s="1349">
        <v>6.7478150238300005E-2</v>
      </c>
      <c r="E381" s="1349">
        <v>7.4856710214499994E-2</v>
      </c>
    </row>
    <row r="382" spans="1:5" x14ac:dyDescent="0.45">
      <c r="A382" s="1347">
        <v>1402</v>
      </c>
      <c r="B382" s="1347" t="s">
        <v>1026</v>
      </c>
      <c r="C382" s="1347" t="s">
        <v>345</v>
      </c>
      <c r="D382" s="1347">
        <v>0.242762214772</v>
      </c>
      <c r="E382" s="1347">
        <v>0.16447388461199999</v>
      </c>
    </row>
    <row r="383" spans="1:5" x14ac:dyDescent="0.45">
      <c r="A383" s="1347">
        <v>1403</v>
      </c>
      <c r="B383" s="1347" t="s">
        <v>1028</v>
      </c>
      <c r="C383" s="1347" t="s">
        <v>345</v>
      </c>
      <c r="D383" s="1347">
        <v>0.56918922083500001</v>
      </c>
      <c r="E383" s="1347">
        <v>0.14030841917600001</v>
      </c>
    </row>
    <row r="384" spans="1:5" x14ac:dyDescent="0.45">
      <c r="A384" s="1347">
        <v>1404</v>
      </c>
      <c r="B384" s="1347" t="s">
        <v>1030</v>
      </c>
      <c r="C384" s="1347" t="s">
        <v>345</v>
      </c>
      <c r="D384" s="1347">
        <v>-0.78749655288599996</v>
      </c>
      <c r="E384" s="1347">
        <v>0.27155393719199999</v>
      </c>
    </row>
    <row r="385" spans="1:5" x14ac:dyDescent="0.45">
      <c r="A385" s="1347">
        <v>1405</v>
      </c>
      <c r="B385" s="1347" t="s">
        <v>1032</v>
      </c>
      <c r="C385" s="1347" t="s">
        <v>345</v>
      </c>
      <c r="D385" s="1349">
        <v>-3.33577933428E-2</v>
      </c>
      <c r="E385" s="1349">
        <v>1.34688940643E-2</v>
      </c>
    </row>
    <row r="386" spans="1:5" x14ac:dyDescent="0.45">
      <c r="A386" s="1347">
        <v>1406</v>
      </c>
      <c r="B386" s="1347" t="s">
        <v>1080</v>
      </c>
      <c r="C386" s="1347" t="s">
        <v>364</v>
      </c>
      <c r="D386" s="1347">
        <v>0</v>
      </c>
      <c r="E386" s="1347">
        <v>0</v>
      </c>
    </row>
    <row r="387" spans="1:5" x14ac:dyDescent="0.45">
      <c r="A387" s="1347">
        <v>1411</v>
      </c>
      <c r="B387" s="1347" t="s">
        <v>1034</v>
      </c>
      <c r="C387" s="1347" t="s">
        <v>345</v>
      </c>
      <c r="D387" s="1347">
        <v>0.275597517954</v>
      </c>
      <c r="E387" s="1349">
        <v>7.92071392923E-2</v>
      </c>
    </row>
    <row r="388" spans="1:5" x14ac:dyDescent="0.45">
      <c r="A388" s="1347">
        <v>1412</v>
      </c>
      <c r="B388" s="1347" t="s">
        <v>1036</v>
      </c>
      <c r="C388" s="1347" t="s">
        <v>345</v>
      </c>
      <c r="D388" s="1347">
        <v>0.17673343790000001</v>
      </c>
      <c r="E388" s="1347">
        <v>0.161582965006</v>
      </c>
    </row>
    <row r="389" spans="1:5" x14ac:dyDescent="0.45">
      <c r="A389" s="1347">
        <v>1413</v>
      </c>
      <c r="B389" s="1347" t="s">
        <v>1038</v>
      </c>
      <c r="C389" s="1347" t="s">
        <v>364</v>
      </c>
      <c r="D389" s="1347">
        <v>0</v>
      </c>
      <c r="E389" s="1347">
        <v>0</v>
      </c>
    </row>
    <row r="390" spans="1:5" x14ac:dyDescent="0.45">
      <c r="A390" s="1347">
        <v>1414</v>
      </c>
      <c r="B390" s="1347" t="s">
        <v>1040</v>
      </c>
      <c r="C390" s="1347" t="s">
        <v>345</v>
      </c>
      <c r="D390" s="1347">
        <v>0.537087817676</v>
      </c>
      <c r="E390" s="1347">
        <v>0.237884406262</v>
      </c>
    </row>
    <row r="391" spans="1:5" x14ac:dyDescent="0.45">
      <c r="A391" s="1347">
        <v>1415</v>
      </c>
      <c r="B391" s="1347" t="s">
        <v>1042</v>
      </c>
      <c r="C391" s="1347" t="s">
        <v>345</v>
      </c>
      <c r="D391" s="1349">
        <v>4.1828202442499999E-3</v>
      </c>
      <c r="E391" s="1349">
        <v>1.5229940310899999E-2</v>
      </c>
    </row>
    <row r="392" spans="1:5" x14ac:dyDescent="0.45">
      <c r="A392" s="1347">
        <v>1416</v>
      </c>
      <c r="B392" s="1347" t="s">
        <v>1081</v>
      </c>
      <c r="C392" s="1347" t="s">
        <v>364</v>
      </c>
      <c r="D392" s="1347">
        <v>0</v>
      </c>
      <c r="E392" s="1347">
        <v>0</v>
      </c>
    </row>
    <row r="393" spans="1:5" x14ac:dyDescent="0.45">
      <c r="A393" s="1347">
        <v>-1</v>
      </c>
    </row>
    <row r="394" spans="1:5" x14ac:dyDescent="0.45">
      <c r="B394" s="1347" t="s">
        <v>1099</v>
      </c>
      <c r="C394" s="1349">
        <v>399</v>
      </c>
      <c r="D394" s="1349" t="s">
        <v>1100</v>
      </c>
      <c r="E394" s="1349" t="s">
        <v>1101</v>
      </c>
    </row>
    <row r="395" spans="1:5" x14ac:dyDescent="0.45">
      <c r="A395" s="1347">
        <v>4</v>
      </c>
      <c r="B395" s="1347" t="s">
        <v>1102</v>
      </c>
      <c r="C395" s="1347">
        <v>35</v>
      </c>
      <c r="D395" s="1348" t="s">
        <v>1103</v>
      </c>
    </row>
    <row r="396" spans="1:5" x14ac:dyDescent="0.45">
      <c r="A396" s="1347">
        <v>8</v>
      </c>
      <c r="B396" s="1347" t="s">
        <v>1104</v>
      </c>
      <c r="C396" s="1347" t="s">
        <v>1105</v>
      </c>
      <c r="D396" s="1347" t="s">
        <v>1106</v>
      </c>
      <c r="E396" s="1347" t="s">
        <v>1107</v>
      </c>
    </row>
    <row r="397" spans="1:5" x14ac:dyDescent="0.45">
      <c r="B397" s="1347" t="s">
        <v>1108</v>
      </c>
      <c r="D397" s="1347" t="s">
        <v>1109</v>
      </c>
      <c r="E397" s="1347" t="s">
        <v>1110</v>
      </c>
    </row>
    <row r="398" spans="1:5" x14ac:dyDescent="0.45">
      <c r="B398" s="1347" t="s">
        <v>1111</v>
      </c>
      <c r="C398" s="1347" t="s">
        <v>1105</v>
      </c>
      <c r="D398" s="1347" t="s">
        <v>1112</v>
      </c>
      <c r="E398" s="1347" t="s">
        <v>1113</v>
      </c>
    </row>
    <row r="399" spans="1:5" x14ac:dyDescent="0.45">
      <c r="B399" s="1347" t="s">
        <v>1108</v>
      </c>
      <c r="D399" s="1347" t="s">
        <v>1109</v>
      </c>
      <c r="E399" s="1347" t="s">
        <v>1110</v>
      </c>
    </row>
    <row r="400" spans="1:5" x14ac:dyDescent="0.45">
      <c r="B400" s="1347" t="s">
        <v>1108</v>
      </c>
      <c r="D400" s="1347" t="s">
        <v>1109</v>
      </c>
      <c r="E400" s="1347" t="s">
        <v>1110</v>
      </c>
    </row>
    <row r="401" spans="1:5" x14ac:dyDescent="0.45">
      <c r="B401" s="1347" t="s">
        <v>1108</v>
      </c>
      <c r="D401" s="1347" t="s">
        <v>1114</v>
      </c>
      <c r="E401" s="1347" t="s">
        <v>1115</v>
      </c>
    </row>
    <row r="402" spans="1:5" x14ac:dyDescent="0.45">
      <c r="B402" s="1347" t="s">
        <v>1108</v>
      </c>
      <c r="D402" s="1347" t="s">
        <v>1116</v>
      </c>
      <c r="E402" s="1347" t="s">
        <v>1117</v>
      </c>
    </row>
    <row r="403" spans="1:5" x14ac:dyDescent="0.45">
      <c r="A403" s="1347">
        <v>4</v>
      </c>
      <c r="B403" s="1347" t="s">
        <v>1118</v>
      </c>
      <c r="D403" s="1347" t="s">
        <v>1119</v>
      </c>
      <c r="E403" s="1347" t="s">
        <v>1120</v>
      </c>
    </row>
    <row r="404" spans="1:5" x14ac:dyDescent="0.45">
      <c r="B404" s="1347" t="s">
        <v>1108</v>
      </c>
      <c r="D404" s="1347" t="s">
        <v>1109</v>
      </c>
      <c r="E404" s="1347" t="s">
        <v>1110</v>
      </c>
    </row>
    <row r="405" spans="1:5" x14ac:dyDescent="0.45">
      <c r="B405" s="1347" t="s">
        <v>1108</v>
      </c>
      <c r="D405" s="1347" t="s">
        <v>1109</v>
      </c>
      <c r="E405" s="1347" t="s">
        <v>1110</v>
      </c>
    </row>
    <row r="406" spans="1:5" x14ac:dyDescent="0.45">
      <c r="B406" s="1347" t="s">
        <v>1108</v>
      </c>
      <c r="D406" s="1347" t="s">
        <v>1109</v>
      </c>
      <c r="E406" s="1347" t="s">
        <v>1110</v>
      </c>
    </row>
    <row r="407" spans="1:5" x14ac:dyDescent="0.45">
      <c r="B407" s="1347" t="s">
        <v>1108</v>
      </c>
      <c r="D407" s="1347" t="s">
        <v>1109</v>
      </c>
      <c r="E407" s="1347" t="s">
        <v>1110</v>
      </c>
    </row>
    <row r="408" spans="1:5" x14ac:dyDescent="0.45">
      <c r="B408" s="1347" t="s">
        <v>1108</v>
      </c>
      <c r="D408" s="1347" t="s">
        <v>1109</v>
      </c>
      <c r="E408" s="1347" t="s">
        <v>1110</v>
      </c>
    </row>
    <row r="409" spans="1:5" x14ac:dyDescent="0.45">
      <c r="B409" s="1347" t="s">
        <v>1108</v>
      </c>
      <c r="D409" s="1347" t="s">
        <v>1109</v>
      </c>
      <c r="E409" s="1347" t="s">
        <v>1110</v>
      </c>
    </row>
    <row r="410" spans="1:5" x14ac:dyDescent="0.45">
      <c r="B410" s="1347" t="s">
        <v>1108</v>
      </c>
      <c r="D410" s="1347" t="s">
        <v>1109</v>
      </c>
      <c r="E410" s="1347" t="s">
        <v>1110</v>
      </c>
    </row>
    <row r="411" spans="1:5" x14ac:dyDescent="0.45">
      <c r="B411" s="1347" t="s">
        <v>1108</v>
      </c>
      <c r="D411" s="1347" t="s">
        <v>1109</v>
      </c>
      <c r="E411" s="1347" t="s">
        <v>1110</v>
      </c>
    </row>
    <row r="412" spans="1:5" x14ac:dyDescent="0.45">
      <c r="B412" s="1347" t="s">
        <v>1108</v>
      </c>
      <c r="D412" s="1347" t="s">
        <v>1109</v>
      </c>
      <c r="E412" s="1347" t="s">
        <v>1110</v>
      </c>
    </row>
    <row r="413" spans="1:5" x14ac:dyDescent="0.45">
      <c r="B413" s="1347" t="s">
        <v>1121</v>
      </c>
      <c r="C413" s="1347" t="s">
        <v>1105</v>
      </c>
      <c r="D413" s="1347" t="s">
        <v>1122</v>
      </c>
      <c r="E413" s="1347" t="s">
        <v>1123</v>
      </c>
    </row>
    <row r="414" spans="1:5" x14ac:dyDescent="0.45">
      <c r="B414" s="1347" t="s">
        <v>1108</v>
      </c>
      <c r="D414" s="1347" t="s">
        <v>1124</v>
      </c>
      <c r="E414" s="1347" t="s">
        <v>1110</v>
      </c>
    </row>
    <row r="415" spans="1:5" x14ac:dyDescent="0.45">
      <c r="B415" s="1347" t="s">
        <v>1108</v>
      </c>
      <c r="D415" s="1347" t="s">
        <v>1109</v>
      </c>
      <c r="E415" s="1347" t="s">
        <v>1110</v>
      </c>
    </row>
    <row r="416" spans="1:5" x14ac:dyDescent="0.45">
      <c r="B416" s="1347" t="s">
        <v>1108</v>
      </c>
      <c r="D416" s="1347" t="s">
        <v>1109</v>
      </c>
      <c r="E416" s="1347" t="s">
        <v>1110</v>
      </c>
    </row>
    <row r="417" spans="1:5" x14ac:dyDescent="0.45">
      <c r="B417" s="1347" t="s">
        <v>1108</v>
      </c>
      <c r="D417" s="1347" t="s">
        <v>1109</v>
      </c>
      <c r="E417" s="1347" t="s">
        <v>1110</v>
      </c>
    </row>
    <row r="418" spans="1:5" x14ac:dyDescent="0.45">
      <c r="B418" s="1347" t="s">
        <v>1108</v>
      </c>
      <c r="D418" s="1347" t="s">
        <v>1109</v>
      </c>
      <c r="E418" s="1347" t="s">
        <v>1110</v>
      </c>
    </row>
    <row r="419" spans="1:5" x14ac:dyDescent="0.45">
      <c r="B419" s="1347" t="s">
        <v>1125</v>
      </c>
      <c r="C419" s="1347">
        <v>-4</v>
      </c>
      <c r="D419" s="1347" t="s">
        <v>1126</v>
      </c>
      <c r="E419" s="1347" t="s">
        <v>1127</v>
      </c>
    </row>
    <row r="420" spans="1:5" x14ac:dyDescent="0.45">
      <c r="B420" s="1347" t="s">
        <v>1108</v>
      </c>
      <c r="D420" s="1347" t="s">
        <v>1128</v>
      </c>
      <c r="E420" s="1347" t="s">
        <v>1110</v>
      </c>
    </row>
    <row r="421" spans="1:5" x14ac:dyDescent="0.45">
      <c r="A421" s="1347">
        <v>5</v>
      </c>
      <c r="B421" s="1347" t="s">
        <v>1129</v>
      </c>
      <c r="D421" s="1347" t="s">
        <v>1109</v>
      </c>
      <c r="E421" s="1347" t="s">
        <v>1110</v>
      </c>
    </row>
    <row r="422" spans="1:5" x14ac:dyDescent="0.45">
      <c r="B422" s="1347" t="s">
        <v>1108</v>
      </c>
      <c r="D422" s="1347" t="s">
        <v>1109</v>
      </c>
      <c r="E422" s="1347" t="s">
        <v>1110</v>
      </c>
    </row>
    <row r="423" spans="1:5" x14ac:dyDescent="0.45">
      <c r="B423" s="1347" t="s">
        <v>1108</v>
      </c>
      <c r="D423" s="1347" t="s">
        <v>1109</v>
      </c>
      <c r="E423" s="1347" t="s">
        <v>1130</v>
      </c>
    </row>
    <row r="424" spans="1:5" x14ac:dyDescent="0.45">
      <c r="A424" s="1347">
        <v>4</v>
      </c>
      <c r="B424" s="1347" t="s">
        <v>1131</v>
      </c>
      <c r="D424" s="1347" t="s">
        <v>1132</v>
      </c>
      <c r="E424" s="1347" t="s">
        <v>1133</v>
      </c>
    </row>
    <row r="425" spans="1:5" x14ac:dyDescent="0.45">
      <c r="B425" s="1347" t="s">
        <v>1108</v>
      </c>
      <c r="D425" s="1347" t="s">
        <v>1134</v>
      </c>
      <c r="E425" s="1347" t="s">
        <v>1135</v>
      </c>
    </row>
    <row r="426" spans="1:5" x14ac:dyDescent="0.45">
      <c r="B426" s="1347" t="s">
        <v>1108</v>
      </c>
      <c r="D426" s="1347" t="s">
        <v>1109</v>
      </c>
      <c r="E426" s="1347" t="s">
        <v>1110</v>
      </c>
    </row>
    <row r="427" spans="1:5" x14ac:dyDescent="0.45">
      <c r="B427" s="1347" t="s">
        <v>1108</v>
      </c>
      <c r="D427" s="1347" t="s">
        <v>1109</v>
      </c>
      <c r="E427" s="1347" t="s">
        <v>1110</v>
      </c>
    </row>
    <row r="428" spans="1:5" x14ac:dyDescent="0.45">
      <c r="B428" s="1347" t="s">
        <v>1108</v>
      </c>
      <c r="D428" s="1347" t="s">
        <v>1136</v>
      </c>
      <c r="E428" s="1347" t="s">
        <v>1137</v>
      </c>
    </row>
    <row r="429" spans="1:5" x14ac:dyDescent="0.45">
      <c r="B429" s="1347" t="s">
        <v>1108</v>
      </c>
      <c r="D429" s="1347" t="s">
        <v>1138</v>
      </c>
      <c r="E429" s="1347" t="s">
        <v>1139</v>
      </c>
    </row>
    <row r="430" spans="1:5" x14ac:dyDescent="0.45">
      <c r="B430" s="1347" t="s">
        <v>1108</v>
      </c>
      <c r="D430" s="1347" t="s">
        <v>1140</v>
      </c>
      <c r="E430" s="1347" t="s">
        <v>1141</v>
      </c>
    </row>
    <row r="431" spans="1:5" x14ac:dyDescent="0.45">
      <c r="B431" s="1347" t="s">
        <v>1142</v>
      </c>
      <c r="C431" s="1347" t="s">
        <v>1105</v>
      </c>
      <c r="D431" s="1347" t="s">
        <v>1143</v>
      </c>
      <c r="E431" s="1347" t="s">
        <v>1144</v>
      </c>
    </row>
    <row r="432" spans="1:5" x14ac:dyDescent="0.45">
      <c r="B432" s="1347" t="s">
        <v>1108</v>
      </c>
      <c r="D432" s="1347" t="s">
        <v>1145</v>
      </c>
      <c r="E432" s="1347" t="s">
        <v>1110</v>
      </c>
    </row>
    <row r="433" spans="1:5" x14ac:dyDescent="0.45">
      <c r="A433" s="1347">
        <v>3</v>
      </c>
      <c r="B433" s="1347" t="s">
        <v>1146</v>
      </c>
      <c r="D433" s="1347" t="s">
        <v>1147</v>
      </c>
      <c r="E433" s="1347" t="s">
        <v>1148</v>
      </c>
    </row>
    <row r="434" spans="1:5" x14ac:dyDescent="0.45">
      <c r="A434" s="1347">
        <v>3</v>
      </c>
      <c r="B434" s="1347" t="s">
        <v>1149</v>
      </c>
      <c r="C434" s="1347" t="s">
        <v>1105</v>
      </c>
      <c r="D434" s="1347" t="s">
        <v>1150</v>
      </c>
      <c r="E434" s="1347" t="s">
        <v>1151</v>
      </c>
    </row>
    <row r="435" spans="1:5" x14ac:dyDescent="0.45">
      <c r="A435" s="1347">
        <v>1</v>
      </c>
      <c r="B435" s="1347" t="s">
        <v>1152</v>
      </c>
      <c r="D435" s="1347" t="s">
        <v>1109</v>
      </c>
      <c r="E435" s="1347" t="s">
        <v>1153</v>
      </c>
    </row>
    <row r="436" spans="1:5" x14ac:dyDescent="0.45">
      <c r="B436" s="1347" t="s">
        <v>1154</v>
      </c>
      <c r="D436" s="1347" t="s">
        <v>1155</v>
      </c>
      <c r="E436" s="1347" t="s">
        <v>1156</v>
      </c>
    </row>
    <row r="437" spans="1:5" x14ac:dyDescent="0.45">
      <c r="B437" s="1347" t="s">
        <v>1108</v>
      </c>
      <c r="D437" s="1347" t="s">
        <v>1109</v>
      </c>
      <c r="E437" s="1347" t="s">
        <v>1110</v>
      </c>
    </row>
    <row r="438" spans="1:5" x14ac:dyDescent="0.45">
      <c r="B438" s="1347" t="s">
        <v>1108</v>
      </c>
      <c r="D438" s="1347" t="s">
        <v>1109</v>
      </c>
      <c r="E438" s="1347" t="s">
        <v>1110</v>
      </c>
    </row>
    <row r="439" spans="1:5" x14ac:dyDescent="0.45">
      <c r="B439" s="1347" t="s">
        <v>1108</v>
      </c>
      <c r="D439" s="1347" t="s">
        <v>1157</v>
      </c>
      <c r="E439" s="1347" t="s">
        <v>1158</v>
      </c>
    </row>
    <row r="440" spans="1:5" x14ac:dyDescent="0.45">
      <c r="B440" s="1347" t="s">
        <v>1108</v>
      </c>
      <c r="D440" s="1347" t="s">
        <v>1159</v>
      </c>
      <c r="E440" s="1347" t="s">
        <v>1160</v>
      </c>
    </row>
    <row r="441" spans="1:5" x14ac:dyDescent="0.45">
      <c r="B441" s="1347" t="s">
        <v>1108</v>
      </c>
      <c r="D441" s="1347" t="s">
        <v>1161</v>
      </c>
      <c r="E441" s="1347" t="s">
        <v>1162</v>
      </c>
    </row>
    <row r="442" spans="1:5" x14ac:dyDescent="0.45">
      <c r="B442" s="1347" t="s">
        <v>1163</v>
      </c>
      <c r="C442" s="1347" t="s">
        <v>1105</v>
      </c>
      <c r="D442" s="1347" t="s">
        <v>1164</v>
      </c>
      <c r="E442" s="1347" t="s">
        <v>1165</v>
      </c>
    </row>
    <row r="443" spans="1:5" x14ac:dyDescent="0.45">
      <c r="B443" s="1347" t="s">
        <v>1108</v>
      </c>
      <c r="D443" s="1347" t="s">
        <v>1166</v>
      </c>
      <c r="E443" s="1347" t="s">
        <v>1167</v>
      </c>
    </row>
    <row r="444" spans="1:5" x14ac:dyDescent="0.45">
      <c r="B444" s="1347" t="s">
        <v>1108</v>
      </c>
      <c r="D444" s="1347" t="s">
        <v>1168</v>
      </c>
      <c r="E444" s="1347" t="s">
        <v>1169</v>
      </c>
    </row>
    <row r="445" spans="1:5" x14ac:dyDescent="0.45">
      <c r="B445" s="1347" t="s">
        <v>1170</v>
      </c>
      <c r="D445" s="1347" t="s">
        <v>1171</v>
      </c>
      <c r="E445" s="1347" t="s">
        <v>1172</v>
      </c>
    </row>
    <row r="446" spans="1:5" x14ac:dyDescent="0.45">
      <c r="A446" s="1347">
        <v>-12</v>
      </c>
      <c r="B446" s="1347" t="s">
        <v>1173</v>
      </c>
      <c r="D446" s="1347" t="s">
        <v>1174</v>
      </c>
      <c r="E446" s="1347" t="s">
        <v>1175</v>
      </c>
    </row>
    <row r="447" spans="1:5" x14ac:dyDescent="0.45">
      <c r="B447" s="1347" t="s">
        <v>1108</v>
      </c>
      <c r="D447" s="1347" t="s">
        <v>1176</v>
      </c>
      <c r="E447" s="1347" t="s">
        <v>1177</v>
      </c>
    </row>
    <row r="448" spans="1:5" x14ac:dyDescent="0.45">
      <c r="A448" s="1347">
        <v>7</v>
      </c>
      <c r="B448" s="1347" t="s">
        <v>1178</v>
      </c>
      <c r="D448" s="1347" t="s">
        <v>1179</v>
      </c>
      <c r="E448" s="1347" t="s">
        <v>1180</v>
      </c>
    </row>
    <row r="449" spans="1:5" x14ac:dyDescent="0.45">
      <c r="A449" s="1347">
        <v>2</v>
      </c>
      <c r="B449" s="1347" t="s">
        <v>1181</v>
      </c>
      <c r="C449" s="1347" t="s">
        <v>1105</v>
      </c>
      <c r="D449" s="1347" t="s">
        <v>1182</v>
      </c>
      <c r="E449" s="1347" t="s">
        <v>1183</v>
      </c>
    </row>
    <row r="450" spans="1:5" x14ac:dyDescent="0.45">
      <c r="B450" s="1347" t="s">
        <v>1184</v>
      </c>
      <c r="D450" s="1347" t="s">
        <v>1109</v>
      </c>
      <c r="E450" s="1347" t="s">
        <v>1185</v>
      </c>
    </row>
    <row r="451" spans="1:5" x14ac:dyDescent="0.45">
      <c r="A451" s="1347">
        <v>-7</v>
      </c>
      <c r="B451" s="1347" t="s">
        <v>1186</v>
      </c>
      <c r="D451" s="1347" t="s">
        <v>1187</v>
      </c>
      <c r="E451" s="1347" t="s">
        <v>1188</v>
      </c>
    </row>
    <row r="452" spans="1:5" x14ac:dyDescent="0.45">
      <c r="A452" s="1347">
        <v>59</v>
      </c>
      <c r="B452" s="1347" t="s">
        <v>1189</v>
      </c>
      <c r="C452" s="1347">
        <v>1</v>
      </c>
      <c r="D452" s="1347" t="s">
        <v>1190</v>
      </c>
      <c r="E452" s="1347" t="s">
        <v>1191</v>
      </c>
    </row>
    <row r="453" spans="1:5" x14ac:dyDescent="0.45">
      <c r="B453" s="1347" t="s">
        <v>1108</v>
      </c>
      <c r="C453" s="1347" t="s">
        <v>1105</v>
      </c>
      <c r="D453" s="1347" t="s">
        <v>1192</v>
      </c>
      <c r="E453" s="1347" t="s">
        <v>1110</v>
      </c>
    </row>
    <row r="454" spans="1:5" x14ac:dyDescent="0.45">
      <c r="B454" s="1347" t="s">
        <v>1193</v>
      </c>
      <c r="D454" s="1347" t="s">
        <v>1194</v>
      </c>
      <c r="E454" s="1347" t="s">
        <v>1195</v>
      </c>
    </row>
    <row r="455" spans="1:5" x14ac:dyDescent="0.45">
      <c r="B455" s="1347" t="s">
        <v>1196</v>
      </c>
      <c r="C455" s="1347">
        <v>-1</v>
      </c>
      <c r="D455" s="1347" t="s">
        <v>1197</v>
      </c>
      <c r="E455" s="1347" t="s">
        <v>1198</v>
      </c>
    </row>
    <row r="456" spans="1:5" x14ac:dyDescent="0.45">
      <c r="B456" s="1347" t="s">
        <v>1108</v>
      </c>
      <c r="D456" s="1347" t="s">
        <v>1199</v>
      </c>
      <c r="E456" s="1347" t="s">
        <v>1200</v>
      </c>
    </row>
    <row r="457" spans="1:5" x14ac:dyDescent="0.45">
      <c r="B457" s="1347" t="s">
        <v>1108</v>
      </c>
      <c r="D457" s="1347" t="s">
        <v>1201</v>
      </c>
      <c r="E457" s="1347" t="s">
        <v>1202</v>
      </c>
    </row>
    <row r="458" spans="1:5" x14ac:dyDescent="0.45">
      <c r="B458" s="1347" t="s">
        <v>1203</v>
      </c>
      <c r="D458" s="1347" t="s">
        <v>1204</v>
      </c>
      <c r="E458" s="1347" t="s">
        <v>1205</v>
      </c>
    </row>
    <row r="459" spans="1:5" x14ac:dyDescent="0.45">
      <c r="B459" s="1347" t="s">
        <v>1108</v>
      </c>
      <c r="D459" s="1347" t="s">
        <v>1109</v>
      </c>
      <c r="E459" s="1347" t="s">
        <v>1110</v>
      </c>
    </row>
    <row r="460" spans="1:5" x14ac:dyDescent="0.45">
      <c r="B460" s="1347" t="s">
        <v>1108</v>
      </c>
      <c r="D460" s="1347" t="s">
        <v>1109</v>
      </c>
      <c r="E460" s="1347" t="s">
        <v>1110</v>
      </c>
    </row>
    <row r="461" spans="1:5" x14ac:dyDescent="0.45">
      <c r="B461" s="1347" t="s">
        <v>1108</v>
      </c>
      <c r="D461" s="1347" t="s">
        <v>1109</v>
      </c>
      <c r="E461" s="1347" t="s">
        <v>1110</v>
      </c>
    </row>
    <row r="462" spans="1:5" x14ac:dyDescent="0.45">
      <c r="B462" s="1347" t="s">
        <v>1108</v>
      </c>
      <c r="D462" s="1347" t="s">
        <v>1109</v>
      </c>
      <c r="E462" s="1347" t="s">
        <v>1206</v>
      </c>
    </row>
    <row r="463" spans="1:5" x14ac:dyDescent="0.45">
      <c r="A463" s="1347" t="s">
        <v>1105</v>
      </c>
      <c r="B463" s="1347" t="s">
        <v>1207</v>
      </c>
      <c r="D463" s="1347" t="s">
        <v>1208</v>
      </c>
      <c r="E463" s="1347" t="s">
        <v>1209</v>
      </c>
    </row>
    <row r="464" spans="1:5" x14ac:dyDescent="0.45">
      <c r="B464" s="1347" t="s">
        <v>1108</v>
      </c>
      <c r="D464" s="1347" t="s">
        <v>1210</v>
      </c>
      <c r="E464" s="1347" t="s">
        <v>1211</v>
      </c>
    </row>
    <row r="465" spans="1:5" x14ac:dyDescent="0.45">
      <c r="A465" s="1347" t="s">
        <v>1105</v>
      </c>
      <c r="B465" s="1347" t="s">
        <v>1212</v>
      </c>
      <c r="D465" s="1347" t="s">
        <v>1213</v>
      </c>
      <c r="E465" s="1347" t="s">
        <v>1214</v>
      </c>
    </row>
    <row r="466" spans="1:5" x14ac:dyDescent="0.45">
      <c r="A466" s="1347">
        <v>2</v>
      </c>
      <c r="B466" s="1347" t="s">
        <v>1215</v>
      </c>
      <c r="D466" s="1347" t="s">
        <v>1109</v>
      </c>
      <c r="E466" s="1347" t="s">
        <v>1110</v>
      </c>
    </row>
    <row r="467" spans="1:5" x14ac:dyDescent="0.45">
      <c r="B467" s="1347" t="s">
        <v>1108</v>
      </c>
      <c r="D467" s="1347" t="s">
        <v>1109</v>
      </c>
      <c r="E467" s="1347" t="s">
        <v>1110</v>
      </c>
    </row>
    <row r="468" spans="1:5" x14ac:dyDescent="0.45">
      <c r="B468" s="1347" t="s">
        <v>1108</v>
      </c>
      <c r="D468" s="1347" t="s">
        <v>1109</v>
      </c>
      <c r="E468" s="1347" t="s">
        <v>1110</v>
      </c>
    </row>
    <row r="469" spans="1:5" x14ac:dyDescent="0.45">
      <c r="B469" s="1347" t="s">
        <v>1108</v>
      </c>
      <c r="D469" s="1347" t="s">
        <v>1109</v>
      </c>
      <c r="E469" s="1347" t="s">
        <v>1110</v>
      </c>
    </row>
    <row r="470" spans="1:5" x14ac:dyDescent="0.45">
      <c r="B470" s="1347" t="s">
        <v>1108</v>
      </c>
      <c r="D470" s="1347" t="s">
        <v>1109</v>
      </c>
      <c r="E470" s="1347" t="s">
        <v>1110</v>
      </c>
    </row>
    <row r="471" spans="1:5" x14ac:dyDescent="0.45">
      <c r="B471" s="1347" t="s">
        <v>1108</v>
      </c>
      <c r="D471" s="1347" t="s">
        <v>1109</v>
      </c>
      <c r="E471" s="1347" t="s">
        <v>1110</v>
      </c>
    </row>
    <row r="472" spans="1:5" x14ac:dyDescent="0.45">
      <c r="B472" s="1347" t="s">
        <v>1108</v>
      </c>
      <c r="D472" s="1347" t="s">
        <v>1109</v>
      </c>
      <c r="E472" s="1347" t="s">
        <v>1110</v>
      </c>
    </row>
    <row r="473" spans="1:5" x14ac:dyDescent="0.45">
      <c r="B473" s="1347" t="s">
        <v>1108</v>
      </c>
      <c r="D473" s="1347" t="s">
        <v>1109</v>
      </c>
      <c r="E473" s="1347" t="s">
        <v>1110</v>
      </c>
    </row>
    <row r="474" spans="1:5" x14ac:dyDescent="0.45">
      <c r="B474" s="1347" t="s">
        <v>1108</v>
      </c>
      <c r="D474" s="1347" t="s">
        <v>1109</v>
      </c>
      <c r="E474" s="1347" t="s">
        <v>1110</v>
      </c>
    </row>
    <row r="475" spans="1:5" x14ac:dyDescent="0.45">
      <c r="B475" s="1347" t="s">
        <v>1108</v>
      </c>
      <c r="D475" s="1347" t="s">
        <v>1109</v>
      </c>
      <c r="E475" s="1347" t="s">
        <v>1110</v>
      </c>
    </row>
    <row r="476" spans="1:5" x14ac:dyDescent="0.45">
      <c r="B476" s="1347" t="s">
        <v>1108</v>
      </c>
      <c r="D476" s="1347" t="s">
        <v>1109</v>
      </c>
      <c r="E476" s="1347" t="s">
        <v>1110</v>
      </c>
    </row>
    <row r="477" spans="1:5" x14ac:dyDescent="0.45">
      <c r="B477" s="1347" t="s">
        <v>1108</v>
      </c>
      <c r="D477" s="1347" t="s">
        <v>1109</v>
      </c>
      <c r="E477" s="1347" t="s">
        <v>1110</v>
      </c>
    </row>
    <row r="478" spans="1:5" x14ac:dyDescent="0.45">
      <c r="B478" s="1347" t="s">
        <v>1108</v>
      </c>
      <c r="D478" s="1347" t="s">
        <v>1109</v>
      </c>
      <c r="E478" s="1347" t="s">
        <v>1110</v>
      </c>
    </row>
    <row r="479" spans="1:5" x14ac:dyDescent="0.45">
      <c r="B479" s="1347" t="s">
        <v>1108</v>
      </c>
      <c r="D479" s="1347" t="s">
        <v>1109</v>
      </c>
      <c r="E479" s="1347" t="s">
        <v>1110</v>
      </c>
    </row>
    <row r="480" spans="1:5" x14ac:dyDescent="0.45">
      <c r="B480" s="1347" t="s">
        <v>1108</v>
      </c>
      <c r="D480" s="1347" t="s">
        <v>1109</v>
      </c>
      <c r="E480" s="1347" t="s">
        <v>1110</v>
      </c>
    </row>
    <row r="481" spans="1:5" x14ac:dyDescent="0.45">
      <c r="B481" s="1347" t="s">
        <v>1108</v>
      </c>
      <c r="D481" s="1347" t="s">
        <v>1109</v>
      </c>
      <c r="E481" s="1347" t="s">
        <v>1110</v>
      </c>
    </row>
    <row r="482" spans="1:5" x14ac:dyDescent="0.45">
      <c r="B482" s="1347" t="s">
        <v>1108</v>
      </c>
      <c r="D482" s="1347" t="s">
        <v>1109</v>
      </c>
      <c r="E482" s="1347" t="s">
        <v>1110</v>
      </c>
    </row>
    <row r="483" spans="1:5" x14ac:dyDescent="0.45">
      <c r="B483" s="1347" t="s">
        <v>1108</v>
      </c>
      <c r="D483" s="1347" t="s">
        <v>1109</v>
      </c>
      <c r="E483" s="1347" t="s">
        <v>1110</v>
      </c>
    </row>
    <row r="484" spans="1:5" x14ac:dyDescent="0.45">
      <c r="B484" s="1347" t="s">
        <v>1108</v>
      </c>
      <c r="D484" s="1347" t="s">
        <v>1109</v>
      </c>
      <c r="E484" s="1347" t="s">
        <v>1110</v>
      </c>
    </row>
    <row r="485" spans="1:5" x14ac:dyDescent="0.45">
      <c r="B485" s="1347" t="s">
        <v>1108</v>
      </c>
      <c r="D485" s="1347" t="s">
        <v>1109</v>
      </c>
      <c r="E485" s="1347" t="s">
        <v>1110</v>
      </c>
    </row>
    <row r="486" spans="1:5" x14ac:dyDescent="0.45">
      <c r="B486" s="1347" t="s">
        <v>1108</v>
      </c>
      <c r="D486" s="1347" t="s">
        <v>1216</v>
      </c>
      <c r="E486" s="1347" t="s">
        <v>1217</v>
      </c>
    </row>
    <row r="487" spans="1:5" x14ac:dyDescent="0.45">
      <c r="B487" s="1347" t="s">
        <v>1218</v>
      </c>
      <c r="D487" s="1347" t="s">
        <v>1219</v>
      </c>
      <c r="E487" s="1347" t="s">
        <v>1220</v>
      </c>
    </row>
    <row r="488" spans="1:5" x14ac:dyDescent="0.45">
      <c r="B488" s="1347" t="s">
        <v>1108</v>
      </c>
      <c r="D488" s="1347" t="s">
        <v>1221</v>
      </c>
      <c r="E488" s="1347" t="s">
        <v>1222</v>
      </c>
    </row>
    <row r="489" spans="1:5" x14ac:dyDescent="0.45">
      <c r="B489" s="1347">
        <f>-9   -262</f>
        <v>-271</v>
      </c>
      <c r="D489" s="1347" t="s">
        <v>1223</v>
      </c>
      <c r="E489" s="1347" t="s">
        <v>1224</v>
      </c>
    </row>
    <row r="490" spans="1:5" x14ac:dyDescent="0.45">
      <c r="A490" s="1347">
        <v>-3</v>
      </c>
      <c r="B490" s="1347" t="s">
        <v>1225</v>
      </c>
      <c r="D490" s="1347" t="s">
        <v>1109</v>
      </c>
      <c r="E490" s="1347" t="s">
        <v>1110</v>
      </c>
    </row>
    <row r="491" spans="1:5" x14ac:dyDescent="0.45">
      <c r="B491" s="1347" t="s">
        <v>1108</v>
      </c>
      <c r="D491" s="1347" t="s">
        <v>1109</v>
      </c>
      <c r="E491" s="1347" t="s">
        <v>1110</v>
      </c>
    </row>
    <row r="492" spans="1:5" x14ac:dyDescent="0.45">
      <c r="B492" s="1347" t="s">
        <v>1108</v>
      </c>
      <c r="D492" s="1347" t="s">
        <v>1109</v>
      </c>
      <c r="E492" s="1347" t="s">
        <v>1110</v>
      </c>
    </row>
    <row r="493" spans="1:5" x14ac:dyDescent="0.45">
      <c r="B493" s="1347" t="s">
        <v>1108</v>
      </c>
      <c r="D493" s="1347" t="s">
        <v>1109</v>
      </c>
      <c r="E493" s="1347" t="s">
        <v>1110</v>
      </c>
    </row>
    <row r="494" spans="1:5" x14ac:dyDescent="0.45">
      <c r="B494" s="1347" t="s">
        <v>1108</v>
      </c>
      <c r="D494" s="1347" t="s">
        <v>1109</v>
      </c>
      <c r="E494" s="1347" t="s">
        <v>1110</v>
      </c>
    </row>
    <row r="495" spans="1:5" x14ac:dyDescent="0.45">
      <c r="B495" s="1347" t="s">
        <v>1108</v>
      </c>
      <c r="D495" s="1347" t="s">
        <v>1109</v>
      </c>
      <c r="E495" s="1347" t="s">
        <v>1110</v>
      </c>
    </row>
    <row r="496" spans="1:5" x14ac:dyDescent="0.45">
      <c r="B496" s="1347" t="s">
        <v>1108</v>
      </c>
      <c r="D496" s="1347" t="s">
        <v>1109</v>
      </c>
      <c r="E496" s="1347" t="s">
        <v>1110</v>
      </c>
    </row>
    <row r="497" spans="1:5" x14ac:dyDescent="0.45">
      <c r="B497" s="1347" t="s">
        <v>1108</v>
      </c>
      <c r="D497" s="1347" t="s">
        <v>1109</v>
      </c>
      <c r="E497" s="1347" t="s">
        <v>1110</v>
      </c>
    </row>
    <row r="498" spans="1:5" x14ac:dyDescent="0.45">
      <c r="B498" s="1347" t="s">
        <v>1108</v>
      </c>
      <c r="D498" s="1347" t="s">
        <v>1109</v>
      </c>
      <c r="E498" s="1347" t="s">
        <v>1110</v>
      </c>
    </row>
    <row r="499" spans="1:5" x14ac:dyDescent="0.45">
      <c r="B499" s="1347" t="s">
        <v>1108</v>
      </c>
      <c r="D499" s="1347" t="s">
        <v>1109</v>
      </c>
      <c r="E499" s="1347" t="s">
        <v>1110</v>
      </c>
    </row>
    <row r="500" spans="1:5" x14ac:dyDescent="0.45">
      <c r="B500" s="1347" t="s">
        <v>1108</v>
      </c>
      <c r="D500" s="1347" t="s">
        <v>1109</v>
      </c>
      <c r="E500" s="1347" t="s">
        <v>1110</v>
      </c>
    </row>
    <row r="501" spans="1:5" x14ac:dyDescent="0.45">
      <c r="B501" s="1347" t="s">
        <v>1108</v>
      </c>
      <c r="D501" s="1347" t="s">
        <v>1109</v>
      </c>
      <c r="E501" s="1347" t="s">
        <v>1110</v>
      </c>
    </row>
    <row r="502" spans="1:5" x14ac:dyDescent="0.45">
      <c r="B502" s="1347" t="s">
        <v>1108</v>
      </c>
      <c r="D502" s="1347" t="s">
        <v>1109</v>
      </c>
      <c r="E502" s="1347" t="s">
        <v>1110</v>
      </c>
    </row>
    <row r="503" spans="1:5" x14ac:dyDescent="0.45">
      <c r="B503" s="1347" t="s">
        <v>1108</v>
      </c>
      <c r="D503" s="1347" t="s">
        <v>1109</v>
      </c>
      <c r="E503" s="1347" t="s">
        <v>1110</v>
      </c>
    </row>
    <row r="504" spans="1:5" x14ac:dyDescent="0.45">
      <c r="B504" s="1347" t="s">
        <v>1226</v>
      </c>
      <c r="C504" s="1347" t="s">
        <v>1105</v>
      </c>
      <c r="D504" s="1347" t="s">
        <v>1227</v>
      </c>
      <c r="E504" s="1347" t="s">
        <v>1228</v>
      </c>
    </row>
    <row r="505" spans="1:5" x14ac:dyDescent="0.45">
      <c r="B505" s="1347" t="s">
        <v>1108</v>
      </c>
      <c r="D505" s="1347" t="s">
        <v>1229</v>
      </c>
      <c r="E505" s="1347" t="s">
        <v>1110</v>
      </c>
    </row>
    <row r="506" spans="1:5" x14ac:dyDescent="0.45">
      <c r="A506" s="1347" t="s">
        <v>1105</v>
      </c>
      <c r="B506" s="1347" t="s">
        <v>1212</v>
      </c>
      <c r="D506" s="1347" t="s">
        <v>1230</v>
      </c>
      <c r="E506" s="1347" t="s">
        <v>1231</v>
      </c>
    </row>
    <row r="507" spans="1:5" x14ac:dyDescent="0.45">
      <c r="B507" s="1347" t="s">
        <v>1232</v>
      </c>
      <c r="C507" s="1347" t="s">
        <v>1105</v>
      </c>
      <c r="D507" s="1347" t="s">
        <v>1233</v>
      </c>
      <c r="E507" s="1347" t="s">
        <v>1234</v>
      </c>
    </row>
    <row r="508" spans="1:5" x14ac:dyDescent="0.45">
      <c r="B508" s="1347" t="s">
        <v>1108</v>
      </c>
      <c r="D508" s="1347" t="s">
        <v>1235</v>
      </c>
      <c r="E508" s="1347" t="s">
        <v>1110</v>
      </c>
    </row>
    <row r="509" spans="1:5" x14ac:dyDescent="0.45">
      <c r="B509" s="1347" t="s">
        <v>1108</v>
      </c>
      <c r="D509" s="1347" t="s">
        <v>1109</v>
      </c>
      <c r="E509" s="1347" t="s">
        <v>1110</v>
      </c>
    </row>
    <row r="510" spans="1:5" x14ac:dyDescent="0.45">
      <c r="B510" s="1347" t="s">
        <v>1108</v>
      </c>
      <c r="D510" s="1347" t="s">
        <v>1109</v>
      </c>
      <c r="E510" s="1347" t="s">
        <v>1110</v>
      </c>
    </row>
    <row r="511" spans="1:5" x14ac:dyDescent="0.45">
      <c r="B511" s="1347" t="s">
        <v>1108</v>
      </c>
      <c r="D511" s="1347" t="s">
        <v>1109</v>
      </c>
      <c r="E511" s="1347" t="s">
        <v>1110</v>
      </c>
    </row>
    <row r="512" spans="1:5" x14ac:dyDescent="0.45">
      <c r="B512" s="1347" t="s">
        <v>1108</v>
      </c>
      <c r="D512" s="1347" t="s">
        <v>1109</v>
      </c>
      <c r="E512" s="1347" t="s">
        <v>1110</v>
      </c>
    </row>
    <row r="513" spans="1:5" x14ac:dyDescent="0.45">
      <c r="B513" s="1347" t="s">
        <v>1108</v>
      </c>
      <c r="D513" s="1347" t="s">
        <v>1109</v>
      </c>
      <c r="E513" s="1347" t="s">
        <v>1236</v>
      </c>
    </row>
    <row r="514" spans="1:5" x14ac:dyDescent="0.45">
      <c r="A514" s="1347" t="s">
        <v>1105</v>
      </c>
      <c r="B514" s="1347" t="s">
        <v>1237</v>
      </c>
      <c r="D514" s="1347" t="s">
        <v>1238</v>
      </c>
      <c r="E514" s="1347" t="s">
        <v>1239</v>
      </c>
    </row>
    <row r="515" spans="1:5" x14ac:dyDescent="0.45">
      <c r="B515" s="1347" t="s">
        <v>1108</v>
      </c>
      <c r="D515" s="1347" t="s">
        <v>1240</v>
      </c>
      <c r="E515" s="1347" t="s">
        <v>1241</v>
      </c>
    </row>
    <row r="516" spans="1:5" x14ac:dyDescent="0.45">
      <c r="A516" s="1347" t="s">
        <v>1105</v>
      </c>
      <c r="B516" s="1347" t="s">
        <v>1242</v>
      </c>
      <c r="D516" s="1347" t="s">
        <v>1243</v>
      </c>
      <c r="E516" s="1347" t="s">
        <v>1244</v>
      </c>
    </row>
    <row r="517" spans="1:5" x14ac:dyDescent="0.45">
      <c r="A517" s="1347">
        <v>21</v>
      </c>
      <c r="B517" s="1347" t="s">
        <v>1245</v>
      </c>
      <c r="D517" s="1347" t="s">
        <v>1246</v>
      </c>
      <c r="E517" s="1347" t="s">
        <v>1247</v>
      </c>
    </row>
    <row r="518" spans="1:5" x14ac:dyDescent="0.45">
      <c r="B518" s="1347" t="s">
        <v>1108</v>
      </c>
      <c r="D518" s="1347" t="s">
        <v>1248</v>
      </c>
      <c r="E518" s="1347" t="s">
        <v>1110</v>
      </c>
    </row>
    <row r="519" spans="1:5" x14ac:dyDescent="0.45">
      <c r="B519" s="1347" t="s">
        <v>1108</v>
      </c>
      <c r="D519" s="1347" t="s">
        <v>1109</v>
      </c>
      <c r="E519" s="1347" t="s">
        <v>1110</v>
      </c>
    </row>
    <row r="520" spans="1:5" x14ac:dyDescent="0.45">
      <c r="B520" s="1347" t="s">
        <v>1108</v>
      </c>
      <c r="D520" s="1347" t="s">
        <v>1109</v>
      </c>
      <c r="E520" s="1347" t="s">
        <v>1110</v>
      </c>
    </row>
    <row r="521" spans="1:5" x14ac:dyDescent="0.45">
      <c r="B521" s="1347" t="s">
        <v>1108</v>
      </c>
      <c r="D521" s="1347" t="s">
        <v>1109</v>
      </c>
      <c r="E521" s="1347" t="s">
        <v>1110</v>
      </c>
    </row>
    <row r="522" spans="1:5" x14ac:dyDescent="0.45">
      <c r="B522" s="1347" t="s">
        <v>1108</v>
      </c>
      <c r="D522" s="1347" t="s">
        <v>1109</v>
      </c>
      <c r="E522" s="1347" t="s">
        <v>1110</v>
      </c>
    </row>
    <row r="523" spans="1:5" x14ac:dyDescent="0.45">
      <c r="B523" s="1347" t="s">
        <v>1108</v>
      </c>
      <c r="D523" s="1347" t="s">
        <v>1109</v>
      </c>
      <c r="E523" s="1347" t="s">
        <v>1110</v>
      </c>
    </row>
    <row r="524" spans="1:5" x14ac:dyDescent="0.45">
      <c r="B524" s="1347" t="s">
        <v>1108</v>
      </c>
      <c r="D524" s="1347" t="s">
        <v>1109</v>
      </c>
      <c r="E524" s="1347" t="s">
        <v>1110</v>
      </c>
    </row>
    <row r="525" spans="1:5" x14ac:dyDescent="0.45">
      <c r="B525" s="1347" t="s">
        <v>1108</v>
      </c>
      <c r="D525" s="1347" t="s">
        <v>1109</v>
      </c>
      <c r="E525" s="1347" t="s">
        <v>1110</v>
      </c>
    </row>
    <row r="526" spans="1:5" x14ac:dyDescent="0.45">
      <c r="B526" s="1347" t="s">
        <v>1108</v>
      </c>
      <c r="D526" s="1347" t="s">
        <v>1109</v>
      </c>
      <c r="E526" s="1347" t="s">
        <v>1110</v>
      </c>
    </row>
    <row r="527" spans="1:5" x14ac:dyDescent="0.45">
      <c r="B527" s="1347" t="s">
        <v>1108</v>
      </c>
      <c r="D527" s="1347" t="s">
        <v>1109</v>
      </c>
      <c r="E527" s="1347" t="s">
        <v>1110</v>
      </c>
    </row>
    <row r="528" spans="1:5" x14ac:dyDescent="0.45">
      <c r="B528" s="1347" t="s">
        <v>1108</v>
      </c>
      <c r="D528" s="1347" t="s">
        <v>1109</v>
      </c>
      <c r="E528" s="1347" t="s">
        <v>1110</v>
      </c>
    </row>
    <row r="529" spans="2:5" x14ac:dyDescent="0.45">
      <c r="B529" s="1347" t="s">
        <v>1108</v>
      </c>
      <c r="D529" s="1347" t="s">
        <v>1109</v>
      </c>
      <c r="E529" s="1347" t="s">
        <v>1110</v>
      </c>
    </row>
    <row r="530" spans="2:5" x14ac:dyDescent="0.45">
      <c r="B530" s="1347" t="s">
        <v>1108</v>
      </c>
      <c r="D530" s="1347" t="s">
        <v>1109</v>
      </c>
      <c r="E530" s="1347" t="s">
        <v>1110</v>
      </c>
    </row>
    <row r="531" spans="2:5" x14ac:dyDescent="0.45">
      <c r="B531" s="1347" t="s">
        <v>1108</v>
      </c>
      <c r="D531" s="1347" t="s">
        <v>1109</v>
      </c>
      <c r="E531" s="1347" t="s">
        <v>1110</v>
      </c>
    </row>
    <row r="532" spans="2:5" x14ac:dyDescent="0.45">
      <c r="B532" s="1347" t="s">
        <v>1108</v>
      </c>
      <c r="D532" s="1347" t="s">
        <v>1109</v>
      </c>
      <c r="E532" s="1347" t="s">
        <v>1110</v>
      </c>
    </row>
    <row r="533" spans="2:5" x14ac:dyDescent="0.45">
      <c r="B533" s="1347" t="s">
        <v>1108</v>
      </c>
      <c r="D533" s="1347" t="s">
        <v>1109</v>
      </c>
      <c r="E533" s="1347" t="s">
        <v>1110</v>
      </c>
    </row>
    <row r="534" spans="2:5" x14ac:dyDescent="0.45">
      <c r="B534" s="1347" t="s">
        <v>1108</v>
      </c>
      <c r="D534" s="1347" t="s">
        <v>1109</v>
      </c>
      <c r="E534" s="1347" t="s">
        <v>1110</v>
      </c>
    </row>
    <row r="535" spans="2:5" x14ac:dyDescent="0.45">
      <c r="B535" s="1347" t="s">
        <v>1108</v>
      </c>
      <c r="D535" s="1347" t="s">
        <v>1109</v>
      </c>
      <c r="E535" s="1347" t="s">
        <v>1110</v>
      </c>
    </row>
    <row r="536" spans="2:5" x14ac:dyDescent="0.45">
      <c r="B536" s="1347" t="s">
        <v>1108</v>
      </c>
      <c r="D536" s="1347" t="s">
        <v>1109</v>
      </c>
      <c r="E536" s="1347" t="s">
        <v>1110</v>
      </c>
    </row>
    <row r="537" spans="2:5" x14ac:dyDescent="0.45">
      <c r="B537" s="1347" t="s">
        <v>1108</v>
      </c>
      <c r="D537" s="1347" t="s">
        <v>1109</v>
      </c>
      <c r="E537" s="1347" t="s">
        <v>1110</v>
      </c>
    </row>
    <row r="538" spans="2:5" x14ac:dyDescent="0.45">
      <c r="B538" s="1347" t="s">
        <v>1108</v>
      </c>
      <c r="D538" s="1347" t="s">
        <v>1109</v>
      </c>
      <c r="E538" s="1347" t="s">
        <v>1110</v>
      </c>
    </row>
    <row r="539" spans="2:5" x14ac:dyDescent="0.45">
      <c r="B539" s="1347" t="s">
        <v>1108</v>
      </c>
      <c r="D539" s="1347" t="s">
        <v>1109</v>
      </c>
      <c r="E539" s="1347" t="s">
        <v>1110</v>
      </c>
    </row>
    <row r="540" spans="2:5" x14ac:dyDescent="0.45">
      <c r="B540" s="1347" t="s">
        <v>1108</v>
      </c>
      <c r="D540" s="1347" t="s">
        <v>1109</v>
      </c>
      <c r="E540" s="1347" t="s">
        <v>1110</v>
      </c>
    </row>
    <row r="541" spans="2:5" x14ac:dyDescent="0.45">
      <c r="B541" s="1347" t="s">
        <v>1108</v>
      </c>
      <c r="D541" s="1347" t="s">
        <v>1109</v>
      </c>
      <c r="E541" s="1347" t="s">
        <v>1110</v>
      </c>
    </row>
    <row r="542" spans="2:5" x14ac:dyDescent="0.45">
      <c r="B542" s="1347" t="s">
        <v>1108</v>
      </c>
      <c r="D542" s="1347" t="s">
        <v>1109</v>
      </c>
      <c r="E542" s="1347" t="s">
        <v>1110</v>
      </c>
    </row>
    <row r="543" spans="2:5" x14ac:dyDescent="0.45">
      <c r="B543" s="1347" t="s">
        <v>1108</v>
      </c>
      <c r="D543" s="1347" t="s">
        <v>1109</v>
      </c>
      <c r="E543" s="1347" t="s">
        <v>1110</v>
      </c>
    </row>
    <row r="544" spans="2:5" x14ac:dyDescent="0.45">
      <c r="B544" s="1347" t="s">
        <v>1108</v>
      </c>
      <c r="D544" s="1347" t="s">
        <v>1249</v>
      </c>
      <c r="E544" s="1347" t="s">
        <v>1250</v>
      </c>
    </row>
    <row r="545" spans="1:5" x14ac:dyDescent="0.45">
      <c r="B545" s="1347" t="s">
        <v>1108</v>
      </c>
      <c r="D545" s="1347" t="s">
        <v>1251</v>
      </c>
      <c r="E545" s="1347" t="s">
        <v>1252</v>
      </c>
    </row>
    <row r="546" spans="1:5" x14ac:dyDescent="0.45">
      <c r="B546" s="1347" t="s">
        <v>1108</v>
      </c>
      <c r="D546" s="1347" t="s">
        <v>1253</v>
      </c>
      <c r="E546" s="1347" t="s">
        <v>1254</v>
      </c>
    </row>
    <row r="547" spans="1:5" x14ac:dyDescent="0.45">
      <c r="B547" s="1347" t="s">
        <v>1255</v>
      </c>
      <c r="D547" s="1347" t="s">
        <v>1256</v>
      </c>
      <c r="E547" s="1347" t="s">
        <v>1257</v>
      </c>
    </row>
    <row r="548" spans="1:5" x14ac:dyDescent="0.45">
      <c r="A548" s="1347">
        <v>-11</v>
      </c>
      <c r="B548" s="1347" t="s">
        <v>1258</v>
      </c>
      <c r="D548" s="1347" t="s">
        <v>1259</v>
      </c>
      <c r="E548" s="1347" t="s">
        <v>1260</v>
      </c>
    </row>
    <row r="549" spans="1:5" x14ac:dyDescent="0.45">
      <c r="B549" s="1347" t="s">
        <v>1108</v>
      </c>
      <c r="D549" s="1347" t="s">
        <v>1261</v>
      </c>
      <c r="E549" s="1347" t="s">
        <v>1110</v>
      </c>
    </row>
    <row r="550" spans="1:5" x14ac:dyDescent="0.45">
      <c r="B550" s="1347" t="s">
        <v>1108</v>
      </c>
      <c r="D550" s="1347" t="s">
        <v>1109</v>
      </c>
      <c r="E550" s="1347" t="s">
        <v>1110</v>
      </c>
    </row>
    <row r="551" spans="1:5" x14ac:dyDescent="0.45">
      <c r="B551" s="1347" t="s">
        <v>1108</v>
      </c>
      <c r="D551" s="1347" t="s">
        <v>1109</v>
      </c>
      <c r="E551" s="1347" t="s">
        <v>1110</v>
      </c>
    </row>
    <row r="552" spans="1:5" x14ac:dyDescent="0.45">
      <c r="B552" s="1347" t="s">
        <v>1108</v>
      </c>
      <c r="D552" s="1347" t="s">
        <v>1109</v>
      </c>
      <c r="E552" s="1347" t="s">
        <v>1110</v>
      </c>
    </row>
    <row r="553" spans="1:5" x14ac:dyDescent="0.45">
      <c r="B553" s="1347" t="s">
        <v>1108</v>
      </c>
      <c r="D553" s="1347" t="s">
        <v>1109</v>
      </c>
      <c r="E553" s="1347" t="s">
        <v>1110</v>
      </c>
    </row>
    <row r="554" spans="1:5" x14ac:dyDescent="0.45">
      <c r="B554" s="1347" t="s">
        <v>1108</v>
      </c>
      <c r="D554" s="1347" t="s">
        <v>1109</v>
      </c>
      <c r="E554" s="1347" t="s">
        <v>1110</v>
      </c>
    </row>
    <row r="555" spans="1:5" x14ac:dyDescent="0.45">
      <c r="B555" s="1347" t="s">
        <v>1108</v>
      </c>
      <c r="D555" s="1347" t="s">
        <v>1109</v>
      </c>
      <c r="E555" s="1347" t="s">
        <v>1262</v>
      </c>
    </row>
    <row r="556" spans="1:5" x14ac:dyDescent="0.45">
      <c r="B556" s="1347" t="s">
        <v>1263</v>
      </c>
      <c r="D556" s="1347" t="s">
        <v>1264</v>
      </c>
      <c r="E556" s="1347" t="s">
        <v>1265</v>
      </c>
    </row>
    <row r="557" spans="1:5" x14ac:dyDescent="0.45">
      <c r="B557" s="1347" t="s">
        <v>1108</v>
      </c>
      <c r="D557" s="1347" t="s">
        <v>1266</v>
      </c>
      <c r="E557" s="1347" t="s">
        <v>1267</v>
      </c>
    </row>
    <row r="558" spans="1:5" x14ac:dyDescent="0.45">
      <c r="A558" s="1347">
        <v>-1</v>
      </c>
      <c r="B558" s="1347" t="s">
        <v>1268</v>
      </c>
      <c r="D558" s="1347" t="s">
        <v>1269</v>
      </c>
      <c r="E558" s="1347" t="s">
        <v>1270</v>
      </c>
    </row>
    <row r="559" spans="1:5" x14ac:dyDescent="0.45">
      <c r="A559" s="1347">
        <v>2</v>
      </c>
      <c r="B559" s="1347" t="s">
        <v>1271</v>
      </c>
      <c r="D559" s="1347" t="s">
        <v>1272</v>
      </c>
      <c r="E559" s="1347" t="s">
        <v>1273</v>
      </c>
    </row>
    <row r="560" spans="1:5" x14ac:dyDescent="0.45">
      <c r="B560" s="1347" t="s">
        <v>1108</v>
      </c>
      <c r="D560" s="1347" t="s">
        <v>1274</v>
      </c>
      <c r="E560" s="1347" t="s">
        <v>1275</v>
      </c>
    </row>
    <row r="561" spans="1:5" x14ac:dyDescent="0.45">
      <c r="B561" s="1347" t="s">
        <v>1276</v>
      </c>
      <c r="D561" s="1347" t="s">
        <v>1277</v>
      </c>
      <c r="E561" s="1347" t="s">
        <v>1278</v>
      </c>
    </row>
    <row r="562" spans="1:5" x14ac:dyDescent="0.45">
      <c r="B562" s="1347" t="s">
        <v>1279</v>
      </c>
      <c r="D562" s="1347" t="s">
        <v>1280</v>
      </c>
      <c r="E562" s="1347" t="s">
        <v>1113</v>
      </c>
    </row>
    <row r="563" spans="1:5" x14ac:dyDescent="0.45">
      <c r="B563" s="1347" t="s">
        <v>1108</v>
      </c>
      <c r="D563" s="1347" t="s">
        <v>1281</v>
      </c>
      <c r="E563" s="1347" t="s">
        <v>1282</v>
      </c>
    </row>
    <row r="564" spans="1:5" x14ac:dyDescent="0.45">
      <c r="A564" s="1347">
        <v>2</v>
      </c>
      <c r="B564" s="1347" t="s">
        <v>1283</v>
      </c>
      <c r="D564" s="1347" t="s">
        <v>1284</v>
      </c>
      <c r="E564" s="1347" t="s">
        <v>1285</v>
      </c>
    </row>
    <row r="565" spans="1:5" x14ac:dyDescent="0.45">
      <c r="A565" s="1347">
        <v>-5</v>
      </c>
      <c r="B565" s="1347" t="s">
        <v>1286</v>
      </c>
      <c r="D565" s="1347" t="s">
        <v>1109</v>
      </c>
      <c r="E565" s="1347" t="s">
        <v>1287</v>
      </c>
    </row>
    <row r="566" spans="1:5" x14ac:dyDescent="0.45">
      <c r="A566" s="1347">
        <v>-5</v>
      </c>
      <c r="B566" s="1347" t="s">
        <v>1288</v>
      </c>
      <c r="D566" s="1347" t="s">
        <v>1289</v>
      </c>
      <c r="E566" s="1347" t="s">
        <v>1290</v>
      </c>
    </row>
    <row r="567" spans="1:5" x14ac:dyDescent="0.45">
      <c r="A567" s="1347" t="s">
        <v>1105</v>
      </c>
      <c r="B567" s="1347" t="s">
        <v>1291</v>
      </c>
      <c r="D567" s="1347" t="s">
        <v>1109</v>
      </c>
      <c r="E567" s="1347" t="s">
        <v>1110</v>
      </c>
    </row>
    <row r="568" spans="1:5" x14ac:dyDescent="0.45">
      <c r="B568" s="1347" t="s">
        <v>1108</v>
      </c>
      <c r="D568" s="1347" t="s">
        <v>1109</v>
      </c>
      <c r="E568" s="1347" t="s">
        <v>1110</v>
      </c>
    </row>
    <row r="569" spans="1:5" x14ac:dyDescent="0.45">
      <c r="B569" s="1347" t="s">
        <v>1108</v>
      </c>
      <c r="D569" s="1347" t="s">
        <v>1109</v>
      </c>
      <c r="E569" s="1347" t="s">
        <v>1110</v>
      </c>
    </row>
    <row r="570" spans="1:5" x14ac:dyDescent="0.45">
      <c r="B570" s="1347" t="s">
        <v>1108</v>
      </c>
      <c r="D570" s="1347" t="s">
        <v>1109</v>
      </c>
      <c r="E570" s="1347" t="s">
        <v>1110</v>
      </c>
    </row>
    <row r="571" spans="1:5" x14ac:dyDescent="0.45">
      <c r="B571" s="1347" t="s">
        <v>1108</v>
      </c>
      <c r="D571" s="1347" t="s">
        <v>1109</v>
      </c>
      <c r="E571" s="1347" t="s">
        <v>1110</v>
      </c>
    </row>
    <row r="572" spans="1:5" x14ac:dyDescent="0.45">
      <c r="B572" s="1347" t="s">
        <v>1108</v>
      </c>
      <c r="D572" s="1347" t="s">
        <v>1109</v>
      </c>
      <c r="E572" s="1347" t="s">
        <v>1110</v>
      </c>
    </row>
    <row r="573" spans="1:5" x14ac:dyDescent="0.45">
      <c r="B573" s="1347" t="s">
        <v>1108</v>
      </c>
      <c r="D573" s="1347" t="s">
        <v>1109</v>
      </c>
      <c r="E573" s="1347" t="s">
        <v>1110</v>
      </c>
    </row>
    <row r="574" spans="1:5" x14ac:dyDescent="0.45">
      <c r="B574" s="1347" t="s">
        <v>1108</v>
      </c>
      <c r="D574" s="1347" t="s">
        <v>1109</v>
      </c>
      <c r="E574" s="1347" t="s">
        <v>1110</v>
      </c>
    </row>
    <row r="575" spans="1:5" x14ac:dyDescent="0.45">
      <c r="B575" s="1347" t="s">
        <v>1108</v>
      </c>
      <c r="D575" s="1347" t="s">
        <v>1109</v>
      </c>
      <c r="E575" s="1347" t="s">
        <v>1110</v>
      </c>
    </row>
    <row r="576" spans="1:5" x14ac:dyDescent="0.45">
      <c r="B576" s="1347" t="s">
        <v>1108</v>
      </c>
      <c r="D576" s="1347" t="s">
        <v>1109</v>
      </c>
      <c r="E576" s="1347" t="s">
        <v>1110</v>
      </c>
    </row>
    <row r="577" spans="1:5" x14ac:dyDescent="0.45">
      <c r="B577" s="1347" t="s">
        <v>1108</v>
      </c>
      <c r="D577" s="1347" t="s">
        <v>1109</v>
      </c>
      <c r="E577" s="1347" t="s">
        <v>1110</v>
      </c>
    </row>
    <row r="578" spans="1:5" x14ac:dyDescent="0.45">
      <c r="B578" s="1347" t="s">
        <v>1108</v>
      </c>
      <c r="D578" s="1347" t="s">
        <v>1109</v>
      </c>
      <c r="E578" s="1347" t="s">
        <v>1110</v>
      </c>
    </row>
    <row r="579" spans="1:5" x14ac:dyDescent="0.45">
      <c r="A579" s="1347">
        <v>4</v>
      </c>
      <c r="B579" s="1347" t="s">
        <v>1292</v>
      </c>
      <c r="D579" s="1347" t="s">
        <v>1293</v>
      </c>
      <c r="E579" s="1347" t="s">
        <v>1294</v>
      </c>
    </row>
    <row r="580" spans="1:5" x14ac:dyDescent="0.45">
      <c r="B580" s="1347" t="s">
        <v>1295</v>
      </c>
      <c r="D580" s="1347" t="s">
        <v>1296</v>
      </c>
      <c r="E580" s="1347" t="s">
        <v>1297</v>
      </c>
    </row>
    <row r="581" spans="1:5" x14ac:dyDescent="0.45">
      <c r="B581" s="1347" t="s">
        <v>1108</v>
      </c>
      <c r="D581" s="1347" t="s">
        <v>1298</v>
      </c>
      <c r="E581" s="1347" t="s">
        <v>1299</v>
      </c>
    </row>
    <row r="582" spans="1:5" x14ac:dyDescent="0.45">
      <c r="A582" s="1347">
        <v>2</v>
      </c>
      <c r="B582" s="1347" t="s">
        <v>1300</v>
      </c>
      <c r="D582" s="1347" t="s">
        <v>1301</v>
      </c>
      <c r="E582" s="1347" t="s">
        <v>1302</v>
      </c>
    </row>
    <row r="583" spans="1:5" x14ac:dyDescent="0.45">
      <c r="B583" s="1347" t="s">
        <v>1108</v>
      </c>
      <c r="D583" s="1347" t="s">
        <v>1303</v>
      </c>
      <c r="E583" s="1347" t="s">
        <v>1304</v>
      </c>
    </row>
    <row r="584" spans="1:5" x14ac:dyDescent="0.45">
      <c r="B584" s="1347" t="s">
        <v>1108</v>
      </c>
      <c r="D584" s="1347" t="s">
        <v>1305</v>
      </c>
      <c r="E584" s="1347" t="s">
        <v>1306</v>
      </c>
    </row>
    <row r="585" spans="1:5" x14ac:dyDescent="0.45">
      <c r="B585" s="1347" t="s">
        <v>1307</v>
      </c>
      <c r="C585" s="1347">
        <v>3</v>
      </c>
      <c r="D585" s="1347" t="s">
        <v>1308</v>
      </c>
      <c r="E585" s="1347" t="s">
        <v>1309</v>
      </c>
    </row>
    <row r="586" spans="1:5" x14ac:dyDescent="0.45">
      <c r="B586" s="1347" t="s">
        <v>1108</v>
      </c>
      <c r="D586" s="1347" t="s">
        <v>1310</v>
      </c>
      <c r="E586" s="1347" t="s">
        <v>1110</v>
      </c>
    </row>
    <row r="587" spans="1:5" x14ac:dyDescent="0.45">
      <c r="A587" s="1347" t="s">
        <v>1105</v>
      </c>
      <c r="B587" s="1347" t="s">
        <v>1311</v>
      </c>
      <c r="D587" s="1347" t="s">
        <v>1312</v>
      </c>
      <c r="E587" s="1347" t="s">
        <v>1313</v>
      </c>
    </row>
    <row r="588" spans="1:5" x14ac:dyDescent="0.45">
      <c r="B588" s="1347" t="s">
        <v>1314</v>
      </c>
      <c r="C588" s="1347">
        <v>2</v>
      </c>
      <c r="D588" s="1347" t="s">
        <v>1315</v>
      </c>
      <c r="E588" s="1347" t="s">
        <v>1316</v>
      </c>
    </row>
    <row r="589" spans="1:5" x14ac:dyDescent="0.45">
      <c r="B589" s="1347" t="s">
        <v>1108</v>
      </c>
      <c r="D589" s="1347" t="s">
        <v>1317</v>
      </c>
      <c r="E589" s="1347" t="s">
        <v>1318</v>
      </c>
    </row>
    <row r="590" spans="1:5" x14ac:dyDescent="0.45">
      <c r="B590" s="1347" t="s">
        <v>1154</v>
      </c>
      <c r="D590" s="1347" t="s">
        <v>1109</v>
      </c>
      <c r="E590" s="1347" t="s">
        <v>1319</v>
      </c>
    </row>
    <row r="591" spans="1:5" x14ac:dyDescent="0.45">
      <c r="B591" s="1347" t="s">
        <v>1108</v>
      </c>
      <c r="C591" s="1347">
        <v>-1</v>
      </c>
      <c r="D591" s="1347" t="s">
        <v>1320</v>
      </c>
      <c r="E591" s="1347" t="s">
        <v>1110</v>
      </c>
    </row>
    <row r="592" spans="1:5" x14ac:dyDescent="0.45">
      <c r="B592" s="1347" t="s">
        <v>1108</v>
      </c>
      <c r="D592" s="1347" t="s">
        <v>1109</v>
      </c>
      <c r="E592" s="1347" t="s">
        <v>1110</v>
      </c>
    </row>
    <row r="593" spans="1:5" x14ac:dyDescent="0.45">
      <c r="B593" s="1347" t="s">
        <v>1108</v>
      </c>
      <c r="D593" s="1347" t="s">
        <v>1109</v>
      </c>
      <c r="E593" s="1347" t="s">
        <v>1110</v>
      </c>
    </row>
    <row r="594" spans="1:5" x14ac:dyDescent="0.45">
      <c r="B594" s="1347" t="s">
        <v>1108</v>
      </c>
      <c r="D594" s="1347" t="s">
        <v>1109</v>
      </c>
      <c r="E594" s="1347" t="s">
        <v>1110</v>
      </c>
    </row>
    <row r="595" spans="1:5" x14ac:dyDescent="0.45">
      <c r="B595" s="1347" t="s">
        <v>1108</v>
      </c>
      <c r="D595" s="1347" t="s">
        <v>1109</v>
      </c>
      <c r="E595" s="1347" t="s">
        <v>1110</v>
      </c>
    </row>
    <row r="596" spans="1:5" x14ac:dyDescent="0.45">
      <c r="B596" s="1347" t="s">
        <v>1108</v>
      </c>
      <c r="D596" s="1347" t="s">
        <v>1109</v>
      </c>
      <c r="E596" s="1347" t="s">
        <v>1110</v>
      </c>
    </row>
    <row r="597" spans="1:5" x14ac:dyDescent="0.45">
      <c r="B597" s="1347" t="s">
        <v>1108</v>
      </c>
      <c r="D597" s="1347" t="s">
        <v>1109</v>
      </c>
      <c r="E597" s="1347" t="s">
        <v>1321</v>
      </c>
    </row>
    <row r="598" spans="1:5" x14ac:dyDescent="0.45">
      <c r="A598" s="1347">
        <v>-1</v>
      </c>
      <c r="B598" s="1347" t="s">
        <v>1322</v>
      </c>
      <c r="D598" s="1347" t="s">
        <v>1323</v>
      </c>
      <c r="E598" s="1347" t="s">
        <v>1324</v>
      </c>
    </row>
    <row r="599" spans="1:5" x14ac:dyDescent="0.45">
      <c r="B599" s="1347" t="s">
        <v>1108</v>
      </c>
      <c r="D599" s="1347" t="s">
        <v>1325</v>
      </c>
      <c r="E599" s="1347" t="s">
        <v>1326</v>
      </c>
    </row>
    <row r="600" spans="1:5" x14ac:dyDescent="0.45">
      <c r="B600" s="1347" t="s">
        <v>1327</v>
      </c>
      <c r="D600" s="1347" t="s">
        <v>1328</v>
      </c>
      <c r="E600" s="1347" t="s">
        <v>1329</v>
      </c>
    </row>
    <row r="601" spans="1:5" x14ac:dyDescent="0.45">
      <c r="A601" s="1347" t="s">
        <v>1105</v>
      </c>
      <c r="B601" s="1347" t="s">
        <v>1330</v>
      </c>
      <c r="D601" s="1347" t="s">
        <v>1331</v>
      </c>
      <c r="E601" s="1347" t="s">
        <v>1332</v>
      </c>
    </row>
    <row r="602" spans="1:5" x14ac:dyDescent="0.45">
      <c r="B602" s="1347" t="s">
        <v>1108</v>
      </c>
      <c r="D602" s="1347" t="s">
        <v>1333</v>
      </c>
      <c r="E602" s="1347" t="s">
        <v>1275</v>
      </c>
    </row>
    <row r="603" spans="1:5" x14ac:dyDescent="0.45">
      <c r="B603" s="1347" t="s">
        <v>1334</v>
      </c>
      <c r="D603" s="1347" t="s">
        <v>1335</v>
      </c>
      <c r="E603" s="1347" t="s">
        <v>1336</v>
      </c>
    </row>
    <row r="604" spans="1:5" x14ac:dyDescent="0.45">
      <c r="B604" s="1347" t="s">
        <v>1108</v>
      </c>
      <c r="D604" s="1347" t="s">
        <v>1109</v>
      </c>
      <c r="E604" s="1347" t="s">
        <v>1110</v>
      </c>
    </row>
    <row r="605" spans="1:5" x14ac:dyDescent="0.45">
      <c r="B605" s="1347" t="s">
        <v>1108</v>
      </c>
      <c r="D605" s="1347" t="s">
        <v>1109</v>
      </c>
      <c r="E605" s="1347" t="s">
        <v>1110</v>
      </c>
    </row>
    <row r="606" spans="1:5" x14ac:dyDescent="0.45">
      <c r="B606" s="1347" t="s">
        <v>1108</v>
      </c>
      <c r="D606" s="1347" t="s">
        <v>1109</v>
      </c>
      <c r="E606" s="1347" t="s">
        <v>1110</v>
      </c>
    </row>
    <row r="607" spans="1:5" x14ac:dyDescent="0.45">
      <c r="B607" s="1347" t="s">
        <v>1108</v>
      </c>
      <c r="D607" s="1347" t="s">
        <v>1109</v>
      </c>
      <c r="E607" s="1347" t="s">
        <v>1110</v>
      </c>
    </row>
    <row r="608" spans="1:5" x14ac:dyDescent="0.45">
      <c r="B608" s="1347" t="s">
        <v>1108</v>
      </c>
      <c r="D608" s="1347" t="s">
        <v>1109</v>
      </c>
      <c r="E608" s="1347" t="s">
        <v>1110</v>
      </c>
    </row>
    <row r="609" spans="2:5" x14ac:dyDescent="0.45">
      <c r="B609" s="1347" t="s">
        <v>1108</v>
      </c>
      <c r="D609" s="1347" t="s">
        <v>1109</v>
      </c>
      <c r="E609" s="1347" t="s">
        <v>1110</v>
      </c>
    </row>
    <row r="610" spans="2:5" x14ac:dyDescent="0.45">
      <c r="B610" s="1347" t="s">
        <v>1108</v>
      </c>
      <c r="D610" s="1347" t="s">
        <v>1109</v>
      </c>
      <c r="E610" s="1347" t="s">
        <v>1110</v>
      </c>
    </row>
    <row r="611" spans="2:5" x14ac:dyDescent="0.45">
      <c r="B611" s="1347" t="s">
        <v>1108</v>
      </c>
      <c r="D611" s="1347" t="s">
        <v>1109</v>
      </c>
      <c r="E611" s="1347" t="s">
        <v>1110</v>
      </c>
    </row>
    <row r="612" spans="2:5" x14ac:dyDescent="0.45">
      <c r="B612" s="1347" t="s">
        <v>1108</v>
      </c>
      <c r="D612" s="1347" t="s">
        <v>1109</v>
      </c>
      <c r="E612" s="1347" t="s">
        <v>1110</v>
      </c>
    </row>
    <row r="613" spans="2:5" x14ac:dyDescent="0.45">
      <c r="B613" s="1347" t="s">
        <v>1108</v>
      </c>
      <c r="D613" s="1347" t="s">
        <v>1109</v>
      </c>
      <c r="E613" s="1347" t="s">
        <v>1110</v>
      </c>
    </row>
    <row r="614" spans="2:5" x14ac:dyDescent="0.45">
      <c r="B614" s="1347" t="s">
        <v>1108</v>
      </c>
      <c r="D614" s="1347" t="s">
        <v>1109</v>
      </c>
      <c r="E614" s="1347" t="s">
        <v>1110</v>
      </c>
    </row>
    <row r="615" spans="2:5" x14ac:dyDescent="0.45">
      <c r="B615" s="1347" t="s">
        <v>1108</v>
      </c>
      <c r="D615" s="1347" t="s">
        <v>1109</v>
      </c>
      <c r="E615" s="1347" t="s">
        <v>1110</v>
      </c>
    </row>
    <row r="616" spans="2:5" x14ac:dyDescent="0.45">
      <c r="B616" s="1347" t="s">
        <v>1108</v>
      </c>
      <c r="D616" s="1347" t="s">
        <v>1109</v>
      </c>
      <c r="E616" s="1347" t="s">
        <v>1110</v>
      </c>
    </row>
    <row r="617" spans="2:5" x14ac:dyDescent="0.45">
      <c r="B617" s="1347" t="s">
        <v>1108</v>
      </c>
      <c r="D617" s="1347" t="s">
        <v>1109</v>
      </c>
      <c r="E617" s="1347" t="s">
        <v>1110</v>
      </c>
    </row>
    <row r="618" spans="2:5" x14ac:dyDescent="0.45">
      <c r="B618" s="1347" t="s">
        <v>1108</v>
      </c>
      <c r="D618" s="1347" t="s">
        <v>1109</v>
      </c>
      <c r="E618" s="1347" t="s">
        <v>1110</v>
      </c>
    </row>
    <row r="619" spans="2:5" x14ac:dyDescent="0.45">
      <c r="B619" s="1347" t="s">
        <v>1108</v>
      </c>
      <c r="D619" s="1347" t="s">
        <v>1109</v>
      </c>
      <c r="E619" s="1347" t="s">
        <v>1110</v>
      </c>
    </row>
    <row r="620" spans="2:5" x14ac:dyDescent="0.45">
      <c r="B620" s="1347" t="s">
        <v>1108</v>
      </c>
      <c r="D620" s="1347" t="s">
        <v>1109</v>
      </c>
      <c r="E620" s="1347" t="s">
        <v>1110</v>
      </c>
    </row>
    <row r="621" spans="2:5" x14ac:dyDescent="0.45">
      <c r="B621" s="1347" t="s">
        <v>1108</v>
      </c>
      <c r="D621" s="1347" t="s">
        <v>1109</v>
      </c>
      <c r="E621" s="1347" t="s">
        <v>1110</v>
      </c>
    </row>
    <row r="622" spans="2:5" x14ac:dyDescent="0.45">
      <c r="B622" s="1347" t="s">
        <v>1108</v>
      </c>
      <c r="D622" s="1347" t="s">
        <v>1109</v>
      </c>
      <c r="E622" s="1347" t="s">
        <v>1110</v>
      </c>
    </row>
    <row r="623" spans="2:5" x14ac:dyDescent="0.45">
      <c r="B623" s="1347" t="s">
        <v>1108</v>
      </c>
      <c r="D623" s="1347" t="s">
        <v>1109</v>
      </c>
      <c r="E623" s="1347" t="s">
        <v>1110</v>
      </c>
    </row>
    <row r="624" spans="2:5" x14ac:dyDescent="0.45">
      <c r="B624" s="1347" t="s">
        <v>1108</v>
      </c>
      <c r="D624" s="1347" t="s">
        <v>1109</v>
      </c>
      <c r="E624" s="1347" t="s">
        <v>1110</v>
      </c>
    </row>
    <row r="625" spans="1:5" x14ac:dyDescent="0.45">
      <c r="B625" s="1347" t="s">
        <v>1108</v>
      </c>
      <c r="D625" s="1347" t="s">
        <v>1109</v>
      </c>
      <c r="E625" s="1347" t="s">
        <v>1110</v>
      </c>
    </row>
    <row r="626" spans="1:5" x14ac:dyDescent="0.45">
      <c r="B626" s="1347" t="s">
        <v>1108</v>
      </c>
      <c r="D626" s="1347" t="s">
        <v>1109</v>
      </c>
      <c r="E626" s="1347" t="s">
        <v>1110</v>
      </c>
    </row>
    <row r="627" spans="1:5" x14ac:dyDescent="0.45">
      <c r="B627" s="1347" t="s">
        <v>1108</v>
      </c>
      <c r="D627" s="1347" t="s">
        <v>1109</v>
      </c>
      <c r="E627" s="1347" t="s">
        <v>1110</v>
      </c>
    </row>
    <row r="628" spans="1:5" x14ac:dyDescent="0.45">
      <c r="B628" s="1347" t="s">
        <v>1108</v>
      </c>
      <c r="D628" s="1347" t="s">
        <v>1109</v>
      </c>
      <c r="E628" s="1347" t="s">
        <v>1110</v>
      </c>
    </row>
    <row r="629" spans="1:5" x14ac:dyDescent="0.45">
      <c r="B629" s="1347" t="s">
        <v>1108</v>
      </c>
      <c r="D629" s="1347" t="s">
        <v>1109</v>
      </c>
      <c r="E629" s="1347" t="s">
        <v>1110</v>
      </c>
    </row>
    <row r="630" spans="1:5" x14ac:dyDescent="0.45">
      <c r="B630" s="1347" t="s">
        <v>1108</v>
      </c>
      <c r="D630" s="1347" t="s">
        <v>1109</v>
      </c>
      <c r="E630" s="1347" t="s">
        <v>1337</v>
      </c>
    </row>
    <row r="631" spans="1:5" x14ac:dyDescent="0.45">
      <c r="A631" s="1347">
        <v>-2</v>
      </c>
      <c r="B631" s="1347" t="s">
        <v>1338</v>
      </c>
      <c r="D631" s="1347" t="s">
        <v>1339</v>
      </c>
      <c r="E631" s="1347" t="s">
        <v>1340</v>
      </c>
    </row>
    <row r="632" spans="1:5" x14ac:dyDescent="0.45">
      <c r="B632" s="1347" t="s">
        <v>1108</v>
      </c>
      <c r="D632" s="1347" t="s">
        <v>1341</v>
      </c>
      <c r="E632" s="1347" t="s">
        <v>1342</v>
      </c>
    </row>
    <row r="633" spans="1:5" x14ac:dyDescent="0.45">
      <c r="A633" s="1347" t="s">
        <v>1105</v>
      </c>
      <c r="B633" s="1347" t="s">
        <v>1343</v>
      </c>
      <c r="D633" s="1347" t="s">
        <v>1344</v>
      </c>
      <c r="E633" s="1347" t="s">
        <v>1345</v>
      </c>
    </row>
    <row r="634" spans="1:5" x14ac:dyDescent="0.45">
      <c r="A634" s="1347">
        <v>-3</v>
      </c>
      <c r="B634" s="1347" t="s">
        <v>1346</v>
      </c>
      <c r="D634" s="1347" t="s">
        <v>1347</v>
      </c>
      <c r="E634" s="1347" t="s">
        <v>1348</v>
      </c>
    </row>
    <row r="635" spans="1:5" x14ac:dyDescent="0.45">
      <c r="B635" s="1347" t="s">
        <v>1108</v>
      </c>
      <c r="D635" s="1347" t="s">
        <v>1349</v>
      </c>
      <c r="E635" s="1347" t="s">
        <v>1350</v>
      </c>
    </row>
    <row r="636" spans="1:5" x14ac:dyDescent="0.45">
      <c r="B636" s="1347" t="s">
        <v>1351</v>
      </c>
      <c r="D636" s="1347" t="s">
        <v>1352</v>
      </c>
      <c r="E636" s="1347" t="s">
        <v>1353</v>
      </c>
    </row>
    <row r="637" spans="1:5" x14ac:dyDescent="0.45">
      <c r="A637" s="1347">
        <v>18</v>
      </c>
      <c r="B637" s="1347" t="s">
        <v>1354</v>
      </c>
      <c r="D637" s="1347" t="s">
        <v>1355</v>
      </c>
      <c r="E637" s="1347" t="s">
        <v>1356</v>
      </c>
    </row>
    <row r="638" spans="1:5" x14ac:dyDescent="0.45">
      <c r="B638" s="1347" t="s">
        <v>1108</v>
      </c>
      <c r="D638" s="1347" t="s">
        <v>1357</v>
      </c>
      <c r="E638" s="1347" t="s">
        <v>1358</v>
      </c>
    </row>
    <row r="639" spans="1:5" x14ac:dyDescent="0.45">
      <c r="B639" s="1347" t="s">
        <v>1108</v>
      </c>
      <c r="D639" s="1347" t="s">
        <v>1359</v>
      </c>
      <c r="E639" s="1347" t="s">
        <v>1360</v>
      </c>
    </row>
    <row r="640" spans="1:5" x14ac:dyDescent="0.45">
      <c r="B640" s="1347" t="s">
        <v>1361</v>
      </c>
      <c r="D640" s="1347" t="s">
        <v>1362</v>
      </c>
      <c r="E640" s="1347" t="s">
        <v>1363</v>
      </c>
    </row>
    <row r="641" spans="1:5" x14ac:dyDescent="0.45">
      <c r="A641" s="1347" t="s">
        <v>1105</v>
      </c>
      <c r="B641" s="1347" t="s">
        <v>1364</v>
      </c>
      <c r="D641" s="1347" t="s">
        <v>1365</v>
      </c>
      <c r="E641" s="1347" t="s">
        <v>1110</v>
      </c>
    </row>
    <row r="642" spans="1:5" x14ac:dyDescent="0.45">
      <c r="B642" s="1347" t="s">
        <v>1108</v>
      </c>
      <c r="D642" s="1347" t="s">
        <v>1366</v>
      </c>
      <c r="E642" s="1347" t="s">
        <v>1110</v>
      </c>
    </row>
    <row r="643" spans="1:5" x14ac:dyDescent="0.45">
      <c r="A643" s="1347">
        <v>-1</v>
      </c>
      <c r="B643" s="1347" t="s">
        <v>1367</v>
      </c>
      <c r="D643" s="1347" t="s">
        <v>1368</v>
      </c>
      <c r="E643" s="1347" t="s">
        <v>1369</v>
      </c>
    </row>
    <row r="644" spans="1:5" x14ac:dyDescent="0.45">
      <c r="B644" s="1347" t="s">
        <v>1108</v>
      </c>
      <c r="D644" s="1347" t="s">
        <v>1370</v>
      </c>
      <c r="E644" s="1347" t="s">
        <v>1371</v>
      </c>
    </row>
    <row r="645" spans="1:5" x14ac:dyDescent="0.45">
      <c r="B645" s="1347" t="s">
        <v>1108</v>
      </c>
      <c r="D645" s="1347" t="s">
        <v>1372</v>
      </c>
      <c r="E645" s="1347" t="s">
        <v>1373</v>
      </c>
    </row>
    <row r="646" spans="1:5" x14ac:dyDescent="0.45">
      <c r="B646" s="1347" t="s">
        <v>1108</v>
      </c>
      <c r="D646" s="1347" t="s">
        <v>1374</v>
      </c>
      <c r="E646" s="1347" t="s">
        <v>1375</v>
      </c>
    </row>
    <row r="647" spans="1:5" x14ac:dyDescent="0.45">
      <c r="B647" s="1347" t="s">
        <v>1376</v>
      </c>
      <c r="D647" s="1347" t="s">
        <v>1377</v>
      </c>
      <c r="E647" s="1347" t="s">
        <v>1378</v>
      </c>
    </row>
    <row r="648" spans="1:5" x14ac:dyDescent="0.45">
      <c r="B648" s="1347" t="s">
        <v>1379</v>
      </c>
      <c r="D648" s="1347" t="s">
        <v>1380</v>
      </c>
      <c r="E648" s="1347" t="s">
        <v>1381</v>
      </c>
    </row>
    <row r="649" spans="1:5" x14ac:dyDescent="0.45">
      <c r="B649" s="1347" t="s">
        <v>1108</v>
      </c>
      <c r="D649" s="1347" t="s">
        <v>1382</v>
      </c>
      <c r="E649" s="1347" t="s">
        <v>1110</v>
      </c>
    </row>
    <row r="650" spans="1:5" x14ac:dyDescent="0.45">
      <c r="A650" s="1347">
        <v>-1</v>
      </c>
      <c r="B650" s="1347" t="s">
        <v>1383</v>
      </c>
      <c r="D650" s="1347" t="s">
        <v>1384</v>
      </c>
      <c r="E650" s="1347" t="s">
        <v>1385</v>
      </c>
    </row>
    <row r="651" spans="1:5" x14ac:dyDescent="0.45">
      <c r="B651" s="1347" t="s">
        <v>1108</v>
      </c>
      <c r="D651" s="1347" t="s">
        <v>1386</v>
      </c>
      <c r="E651" s="1347" t="s">
        <v>1220</v>
      </c>
    </row>
    <row r="652" spans="1:5" x14ac:dyDescent="0.45">
      <c r="B652" s="1347" t="s">
        <v>1108</v>
      </c>
      <c r="D652" s="1347" t="s">
        <v>1109</v>
      </c>
      <c r="E652" s="1347" t="s">
        <v>1110</v>
      </c>
    </row>
    <row r="653" spans="1:5" x14ac:dyDescent="0.45">
      <c r="B653" s="1347" t="s">
        <v>1108</v>
      </c>
      <c r="D653" s="1347" t="s">
        <v>1109</v>
      </c>
      <c r="E653" s="1347" t="s">
        <v>1110</v>
      </c>
    </row>
    <row r="654" spans="1:5" x14ac:dyDescent="0.45">
      <c r="B654" s="1347" t="s">
        <v>1108</v>
      </c>
      <c r="D654" s="1347" t="s">
        <v>1109</v>
      </c>
      <c r="E654" s="1347" t="s">
        <v>1110</v>
      </c>
    </row>
    <row r="655" spans="1:5" x14ac:dyDescent="0.45">
      <c r="B655" s="1347" t="s">
        <v>1108</v>
      </c>
      <c r="D655" s="1347" t="s">
        <v>1109</v>
      </c>
      <c r="E655" s="1347" t="s">
        <v>1110</v>
      </c>
    </row>
    <row r="656" spans="1:5" x14ac:dyDescent="0.45">
      <c r="B656" s="1347" t="s">
        <v>1108</v>
      </c>
      <c r="D656" s="1347" t="s">
        <v>1109</v>
      </c>
      <c r="E656" s="1347" t="s">
        <v>1110</v>
      </c>
    </row>
    <row r="657" spans="1:5" x14ac:dyDescent="0.45">
      <c r="B657" s="1347" t="s">
        <v>1108</v>
      </c>
      <c r="D657" s="1347" t="s">
        <v>1109</v>
      </c>
      <c r="E657" s="1347" t="s">
        <v>1110</v>
      </c>
    </row>
    <row r="658" spans="1:5" x14ac:dyDescent="0.45">
      <c r="B658" s="1347" t="s">
        <v>1108</v>
      </c>
      <c r="D658" s="1347" t="s">
        <v>1109</v>
      </c>
      <c r="E658" s="1347" t="s">
        <v>1110</v>
      </c>
    </row>
    <row r="659" spans="1:5" x14ac:dyDescent="0.45">
      <c r="B659" s="1347" t="s">
        <v>1108</v>
      </c>
      <c r="D659" s="1347" t="s">
        <v>1109</v>
      </c>
      <c r="E659" s="1347" t="s">
        <v>1110</v>
      </c>
    </row>
    <row r="660" spans="1:5" x14ac:dyDescent="0.45">
      <c r="B660" s="1347" t="s">
        <v>1108</v>
      </c>
      <c r="D660" s="1347" t="s">
        <v>1109</v>
      </c>
      <c r="E660" s="1347" t="s">
        <v>1110</v>
      </c>
    </row>
    <row r="661" spans="1:5" x14ac:dyDescent="0.45">
      <c r="B661" s="1347" t="s">
        <v>1108</v>
      </c>
      <c r="D661" s="1347" t="s">
        <v>1109</v>
      </c>
      <c r="E661" s="1347" t="s">
        <v>1110</v>
      </c>
    </row>
    <row r="662" spans="1:5" x14ac:dyDescent="0.45">
      <c r="B662" s="1347" t="s">
        <v>1108</v>
      </c>
      <c r="D662" s="1347" t="s">
        <v>1109</v>
      </c>
      <c r="E662" s="1347" t="s">
        <v>1110</v>
      </c>
    </row>
    <row r="663" spans="1:5" x14ac:dyDescent="0.45">
      <c r="B663" s="1347" t="s">
        <v>1108</v>
      </c>
      <c r="D663" s="1347" t="s">
        <v>1109</v>
      </c>
      <c r="E663" s="1347" t="s">
        <v>1110</v>
      </c>
    </row>
    <row r="664" spans="1:5" x14ac:dyDescent="0.45">
      <c r="B664" s="1347" t="s">
        <v>1108</v>
      </c>
      <c r="D664" s="1347" t="s">
        <v>1109</v>
      </c>
      <c r="E664" s="1347" t="s">
        <v>1110</v>
      </c>
    </row>
    <row r="665" spans="1:5" x14ac:dyDescent="0.45">
      <c r="B665" s="1347" t="s">
        <v>1108</v>
      </c>
      <c r="D665" s="1347" t="s">
        <v>1109</v>
      </c>
      <c r="E665" s="1347" t="s">
        <v>1110</v>
      </c>
    </row>
    <row r="666" spans="1:5" x14ac:dyDescent="0.45">
      <c r="B666" s="1347" t="s">
        <v>1387</v>
      </c>
      <c r="D666" s="1347" t="s">
        <v>1388</v>
      </c>
      <c r="E666" s="1347" t="s">
        <v>1389</v>
      </c>
    </row>
    <row r="667" spans="1:5" x14ac:dyDescent="0.45">
      <c r="B667" s="1347" t="s">
        <v>1108</v>
      </c>
      <c r="D667" s="1347" t="s">
        <v>1390</v>
      </c>
      <c r="E667" s="1347" t="s">
        <v>1110</v>
      </c>
    </row>
    <row r="668" spans="1:5" x14ac:dyDescent="0.45">
      <c r="A668" s="1347" t="s">
        <v>1105</v>
      </c>
      <c r="B668" s="1347" t="s">
        <v>1391</v>
      </c>
      <c r="D668" s="1347" t="s">
        <v>1392</v>
      </c>
      <c r="E668" s="1347" t="s">
        <v>1393</v>
      </c>
    </row>
    <row r="669" spans="1:5" x14ac:dyDescent="0.45">
      <c r="B669" s="1347" t="s">
        <v>1394</v>
      </c>
      <c r="D669" s="1347" t="s">
        <v>1395</v>
      </c>
      <c r="E669" s="1347" t="s">
        <v>1396</v>
      </c>
    </row>
    <row r="670" spans="1:5" x14ac:dyDescent="0.45">
      <c r="B670" s="1347" t="s">
        <v>1108</v>
      </c>
      <c r="D670" s="1347" t="s">
        <v>1397</v>
      </c>
      <c r="E670" s="1347" t="s">
        <v>1398</v>
      </c>
    </row>
    <row r="671" spans="1:5" x14ac:dyDescent="0.45">
      <c r="B671" s="1347" t="s">
        <v>1399</v>
      </c>
      <c r="D671" s="1347" t="s">
        <v>1109</v>
      </c>
      <c r="E671" s="1347" t="s">
        <v>1400</v>
      </c>
    </row>
    <row r="672" spans="1:5" x14ac:dyDescent="0.45">
      <c r="B672" s="1347" t="s">
        <v>1108</v>
      </c>
      <c r="C672" s="1347" t="s">
        <v>1105</v>
      </c>
      <c r="D672" s="1347" t="s">
        <v>1401</v>
      </c>
      <c r="E672" s="1347" t="s">
        <v>1402</v>
      </c>
    </row>
    <row r="673" spans="2:5" x14ac:dyDescent="0.45">
      <c r="B673" s="1347" t="s">
        <v>1403</v>
      </c>
      <c r="C673" s="1347" t="s">
        <v>1105</v>
      </c>
      <c r="D673" s="1347" t="s">
        <v>1404</v>
      </c>
      <c r="E673" s="1347" t="s">
        <v>1405</v>
      </c>
    </row>
    <row r="674" spans="2:5" x14ac:dyDescent="0.45">
      <c r="B674" s="1347" t="s">
        <v>1108</v>
      </c>
      <c r="D674" s="1347" t="s">
        <v>1406</v>
      </c>
      <c r="E674" s="1347" t="s">
        <v>1407</v>
      </c>
    </row>
    <row r="675" spans="2:5" x14ac:dyDescent="0.45">
      <c r="B675" s="1347" t="s">
        <v>1108</v>
      </c>
      <c r="D675" s="1347" t="s">
        <v>1408</v>
      </c>
      <c r="E675" s="1347" t="s">
        <v>1409</v>
      </c>
    </row>
    <row r="676" spans="2:5" x14ac:dyDescent="0.45">
      <c r="B676" s="1347" t="s">
        <v>1410</v>
      </c>
      <c r="D676" s="1347" t="s">
        <v>1411</v>
      </c>
      <c r="E676" s="1347" t="s">
        <v>1412</v>
      </c>
    </row>
    <row r="677" spans="2:5" x14ac:dyDescent="0.45">
      <c r="B677" s="1347" t="s">
        <v>1413</v>
      </c>
      <c r="D677" s="1347" t="s">
        <v>1414</v>
      </c>
      <c r="E677" s="1347" t="s">
        <v>1415</v>
      </c>
    </row>
    <row r="678" spans="2:5" x14ac:dyDescent="0.45">
      <c r="B678" s="1347" t="s">
        <v>1108</v>
      </c>
      <c r="D678" s="1347" t="s">
        <v>1416</v>
      </c>
      <c r="E678" s="1347" t="s">
        <v>1110</v>
      </c>
    </row>
    <row r="679" spans="2:5" x14ac:dyDescent="0.45">
      <c r="B679" s="1347" t="s">
        <v>1417</v>
      </c>
      <c r="D679" s="1347" t="s">
        <v>1418</v>
      </c>
      <c r="E679" s="1347" t="s">
        <v>1419</v>
      </c>
    </row>
    <row r="680" spans="2:5" x14ac:dyDescent="0.45">
      <c r="B680" s="1347" t="s">
        <v>1108</v>
      </c>
      <c r="D680" s="1347" t="s">
        <v>1420</v>
      </c>
      <c r="E680" s="1347" t="s">
        <v>1421</v>
      </c>
    </row>
    <row r="681" spans="2:5" x14ac:dyDescent="0.45">
      <c r="B681" s="1347" t="s">
        <v>1108</v>
      </c>
      <c r="D681" s="1347" t="s">
        <v>1109</v>
      </c>
      <c r="E681" s="1347" t="s">
        <v>1110</v>
      </c>
    </row>
    <row r="682" spans="2:5" x14ac:dyDescent="0.45">
      <c r="B682" s="1347" t="s">
        <v>1108</v>
      </c>
      <c r="D682" s="1347" t="s">
        <v>1109</v>
      </c>
      <c r="E682" s="1347" t="s">
        <v>1110</v>
      </c>
    </row>
    <row r="683" spans="2:5" x14ac:dyDescent="0.45">
      <c r="B683" s="1347" t="s">
        <v>1108</v>
      </c>
      <c r="D683" s="1347" t="s">
        <v>1109</v>
      </c>
      <c r="E683" s="1347" t="s">
        <v>1110</v>
      </c>
    </row>
    <row r="684" spans="2:5" x14ac:dyDescent="0.45">
      <c r="B684" s="1347" t="s">
        <v>1108</v>
      </c>
      <c r="D684" s="1347" t="s">
        <v>1109</v>
      </c>
      <c r="E684" s="1347" t="s">
        <v>1110</v>
      </c>
    </row>
    <row r="685" spans="2:5" x14ac:dyDescent="0.45">
      <c r="B685" s="1347" t="s">
        <v>1108</v>
      </c>
      <c r="D685" s="1347" t="s">
        <v>1109</v>
      </c>
      <c r="E685" s="1347" t="s">
        <v>1110</v>
      </c>
    </row>
    <row r="686" spans="2:5" x14ac:dyDescent="0.45">
      <c r="B686" s="1347" t="s">
        <v>1108</v>
      </c>
      <c r="D686" s="1347" t="s">
        <v>1109</v>
      </c>
      <c r="E686" s="1347" t="s">
        <v>1110</v>
      </c>
    </row>
    <row r="687" spans="2:5" x14ac:dyDescent="0.45">
      <c r="B687" s="1347" t="s">
        <v>1108</v>
      </c>
      <c r="D687" s="1347" t="s">
        <v>1109</v>
      </c>
      <c r="E687" s="1347" t="s">
        <v>1110</v>
      </c>
    </row>
    <row r="688" spans="2:5" x14ac:dyDescent="0.45">
      <c r="B688" s="1347" t="s">
        <v>1108</v>
      </c>
      <c r="D688" s="1347" t="s">
        <v>1109</v>
      </c>
      <c r="E688" s="1347" t="s">
        <v>1422</v>
      </c>
    </row>
    <row r="689" spans="1:5" x14ac:dyDescent="0.45">
      <c r="A689" s="1347" t="s">
        <v>1105</v>
      </c>
      <c r="B689" s="1347" t="s">
        <v>1423</v>
      </c>
      <c r="D689" s="1347" t="s">
        <v>1424</v>
      </c>
      <c r="E689" s="1347" t="s">
        <v>1425</v>
      </c>
    </row>
    <row r="690" spans="1:5" x14ac:dyDescent="0.45">
      <c r="B690" s="1347" t="s">
        <v>1108</v>
      </c>
      <c r="D690" s="1347" t="s">
        <v>1426</v>
      </c>
      <c r="E690" s="1347" t="s">
        <v>1427</v>
      </c>
    </row>
    <row r="691" spans="1:5" x14ac:dyDescent="0.45">
      <c r="B691" s="1347" t="s">
        <v>1428</v>
      </c>
      <c r="D691" s="1347" t="s">
        <v>1429</v>
      </c>
      <c r="E691" s="1347" t="s">
        <v>1430</v>
      </c>
    </row>
    <row r="692" spans="1:5" x14ac:dyDescent="0.45">
      <c r="B692" s="1347" t="s">
        <v>1431</v>
      </c>
      <c r="D692" s="1347" t="s">
        <v>1432</v>
      </c>
      <c r="E692" s="1347" t="s">
        <v>1433</v>
      </c>
    </row>
    <row r="693" spans="1:5" x14ac:dyDescent="0.45">
      <c r="B693" s="1347" t="s">
        <v>1108</v>
      </c>
      <c r="D693" s="1347" t="s">
        <v>1434</v>
      </c>
      <c r="E693" s="1347" t="s">
        <v>1435</v>
      </c>
    </row>
    <row r="694" spans="1:5" x14ac:dyDescent="0.45">
      <c r="B694" s="1347" t="s">
        <v>1436</v>
      </c>
      <c r="D694" s="1347" t="s">
        <v>1437</v>
      </c>
      <c r="E694" s="1347" t="s">
        <v>1438</v>
      </c>
    </row>
    <row r="695" spans="1:5" x14ac:dyDescent="0.45">
      <c r="A695" s="1347">
        <v>6</v>
      </c>
      <c r="B695" s="1347" t="s">
        <v>1439</v>
      </c>
      <c r="D695" s="1347" t="s">
        <v>1440</v>
      </c>
      <c r="E695" s="1347" t="s">
        <v>1441</v>
      </c>
    </row>
    <row r="696" spans="1:5" x14ac:dyDescent="0.45">
      <c r="A696" s="1347">
        <v>5</v>
      </c>
      <c r="B696" s="1347" t="s">
        <v>1442</v>
      </c>
      <c r="D696" s="1347" t="s">
        <v>1443</v>
      </c>
      <c r="E696" s="1347" t="s">
        <v>1444</v>
      </c>
    </row>
    <row r="697" spans="1:5" x14ac:dyDescent="0.45">
      <c r="B697" s="1347" t="s">
        <v>1445</v>
      </c>
      <c r="D697" s="1347" t="s">
        <v>1446</v>
      </c>
      <c r="E697" s="1347" t="s">
        <v>1156</v>
      </c>
    </row>
    <row r="698" spans="1:5" x14ac:dyDescent="0.45">
      <c r="B698" s="1347" t="s">
        <v>1108</v>
      </c>
      <c r="D698" s="1347" t="s">
        <v>1447</v>
      </c>
      <c r="E698" s="1347" t="s">
        <v>1448</v>
      </c>
    </row>
    <row r="699" spans="1:5" x14ac:dyDescent="0.45">
      <c r="B699" s="1347" t="s">
        <v>1449</v>
      </c>
      <c r="D699" s="1347" t="s">
        <v>1450</v>
      </c>
      <c r="E699" s="1347" t="s">
        <v>1451</v>
      </c>
    </row>
    <row r="700" spans="1:5" x14ac:dyDescent="0.45">
      <c r="B700" s="1347" t="s">
        <v>1452</v>
      </c>
      <c r="D700" s="1347" t="s">
        <v>1109</v>
      </c>
      <c r="E700" s="1347" t="s">
        <v>1453</v>
      </c>
    </row>
    <row r="701" spans="1:5" x14ac:dyDescent="0.45">
      <c r="B701" s="1347" t="s">
        <v>1454</v>
      </c>
      <c r="D701" s="1347" t="s">
        <v>1455</v>
      </c>
      <c r="E701" s="1347" t="s">
        <v>1456</v>
      </c>
    </row>
    <row r="702" spans="1:5" x14ac:dyDescent="0.45">
      <c r="B702" s="1347" t="s">
        <v>1457</v>
      </c>
      <c r="D702" s="1347" t="s">
        <v>1458</v>
      </c>
      <c r="E702" s="1347" t="s">
        <v>1459</v>
      </c>
    </row>
    <row r="703" spans="1:5" x14ac:dyDescent="0.45">
      <c r="B703" s="1347" t="s">
        <v>1108</v>
      </c>
      <c r="C703" s="1347">
        <v>1</v>
      </c>
      <c r="D703" s="1347" t="s">
        <v>1460</v>
      </c>
      <c r="E703" s="1347" t="s">
        <v>1461</v>
      </c>
    </row>
    <row r="704" spans="1:5" x14ac:dyDescent="0.45">
      <c r="A704" s="1347">
        <v>-15</v>
      </c>
      <c r="B704" s="1347" t="s">
        <v>1462</v>
      </c>
      <c r="D704" s="1347" t="s">
        <v>1463</v>
      </c>
      <c r="E704" s="1347" t="s">
        <v>1464</v>
      </c>
    </row>
    <row r="705" spans="1:5" x14ac:dyDescent="0.45">
      <c r="B705" s="1347" t="s">
        <v>1108</v>
      </c>
      <c r="D705" s="1347" t="s">
        <v>1465</v>
      </c>
      <c r="E705" s="1347" t="s">
        <v>1110</v>
      </c>
    </row>
    <row r="706" spans="1:5" x14ac:dyDescent="0.45">
      <c r="B706" s="1347" t="s">
        <v>1466</v>
      </c>
      <c r="D706" s="1347" t="s">
        <v>1467</v>
      </c>
      <c r="E706" s="1347" t="s">
        <v>1468</v>
      </c>
    </row>
    <row r="707" spans="1:5" x14ac:dyDescent="0.45">
      <c r="B707" s="1347" t="s">
        <v>1469</v>
      </c>
      <c r="D707" s="1347">
        <f>-88   -169   -354   -31</f>
        <v>-642</v>
      </c>
      <c r="E707" s="1347" t="s">
        <v>1470</v>
      </c>
    </row>
    <row r="708" spans="1:5" x14ac:dyDescent="0.45">
      <c r="B708" s="1347" t="s">
        <v>1108</v>
      </c>
      <c r="D708" s="1347" t="s">
        <v>1471</v>
      </c>
      <c r="E708" s="1347" t="s">
        <v>1472</v>
      </c>
    </row>
    <row r="709" spans="1:5" x14ac:dyDescent="0.45">
      <c r="A709" s="1347" t="s">
        <v>1105</v>
      </c>
      <c r="B709" s="1347" t="s">
        <v>1473</v>
      </c>
      <c r="D709" s="1347" t="s">
        <v>1109</v>
      </c>
      <c r="E709" s="1347" t="s">
        <v>1474</v>
      </c>
    </row>
    <row r="710" spans="1:5" x14ac:dyDescent="0.45">
      <c r="B710" s="1347" t="s">
        <v>1108</v>
      </c>
      <c r="C710" s="1347" t="s">
        <v>1105</v>
      </c>
      <c r="D710" s="1347" t="s">
        <v>1475</v>
      </c>
      <c r="E710" s="1347" t="s">
        <v>1476</v>
      </c>
    </row>
    <row r="711" spans="1:5" x14ac:dyDescent="0.45">
      <c r="A711" s="1347">
        <v>2</v>
      </c>
      <c r="B711" s="1347" t="s">
        <v>1477</v>
      </c>
      <c r="C711" s="1347" t="s">
        <v>1105</v>
      </c>
      <c r="D711" s="1347" t="s">
        <v>1478</v>
      </c>
      <c r="E711" s="1347" t="s">
        <v>1479</v>
      </c>
    </row>
    <row r="712" spans="1:5" x14ac:dyDescent="0.45">
      <c r="B712" s="1347" t="s">
        <v>1480</v>
      </c>
      <c r="D712" s="1347">
        <f>-33   -202  -1033</f>
        <v>-1268</v>
      </c>
      <c r="E712" s="1347" t="s">
        <v>1481</v>
      </c>
    </row>
    <row r="713" spans="1:5" x14ac:dyDescent="0.45">
      <c r="B713" s="1347" t="s">
        <v>1482</v>
      </c>
      <c r="D713" s="1347" t="s">
        <v>1483</v>
      </c>
      <c r="E713" s="1347" t="s">
        <v>1484</v>
      </c>
    </row>
    <row r="714" spans="1:5" x14ac:dyDescent="0.45">
      <c r="B714" s="1347" t="s">
        <v>1108</v>
      </c>
      <c r="D714" s="1347" t="s">
        <v>1485</v>
      </c>
      <c r="E714" s="1347" t="s">
        <v>1486</v>
      </c>
    </row>
    <row r="715" spans="1:5" x14ac:dyDescent="0.45">
      <c r="A715" s="1347" t="s">
        <v>1105</v>
      </c>
      <c r="B715" s="1347" t="s">
        <v>1487</v>
      </c>
      <c r="D715" s="1347">
        <f>-193   -667   -532   -28</f>
        <v>-1420</v>
      </c>
      <c r="E715" s="1347" t="s">
        <v>1488</v>
      </c>
    </row>
    <row r="716" spans="1:5" x14ac:dyDescent="0.45">
      <c r="B716" s="1347" t="s">
        <v>1108</v>
      </c>
      <c r="D716" s="1347" t="s">
        <v>1489</v>
      </c>
      <c r="E716" s="1347" t="s">
        <v>1490</v>
      </c>
    </row>
    <row r="717" spans="1:5" x14ac:dyDescent="0.45">
      <c r="B717" s="1347" t="s">
        <v>1108</v>
      </c>
      <c r="D717" s="1347" t="s">
        <v>1491</v>
      </c>
      <c r="E717" s="1347" t="s">
        <v>1492</v>
      </c>
    </row>
    <row r="718" spans="1:5" x14ac:dyDescent="0.45">
      <c r="B718" s="1347" t="s">
        <v>1493</v>
      </c>
      <c r="C718" s="1347" t="s">
        <v>1105</v>
      </c>
      <c r="D718" s="1347" t="s">
        <v>1494</v>
      </c>
      <c r="E718" s="1347" t="s">
        <v>1495</v>
      </c>
    </row>
    <row r="719" spans="1:5" x14ac:dyDescent="0.45">
      <c r="A719" s="1347">
        <v>2</v>
      </c>
      <c r="B719" s="1347" t="s">
        <v>1496</v>
      </c>
      <c r="D719" s="1347" t="s">
        <v>1497</v>
      </c>
      <c r="E719" s="1347" t="s">
        <v>1498</v>
      </c>
    </row>
    <row r="720" spans="1:5" x14ac:dyDescent="0.45">
      <c r="B720" s="1347" t="s">
        <v>1499</v>
      </c>
      <c r="D720" s="1347" t="s">
        <v>1500</v>
      </c>
      <c r="E720" s="1347" t="s">
        <v>1501</v>
      </c>
    </row>
    <row r="721" spans="1:5" x14ac:dyDescent="0.45">
      <c r="B721" s="1347" t="s">
        <v>1502</v>
      </c>
      <c r="D721" s="1347" t="s">
        <v>1503</v>
      </c>
      <c r="E721" s="1347" t="s">
        <v>1504</v>
      </c>
    </row>
    <row r="722" spans="1:5" x14ac:dyDescent="0.45">
      <c r="B722" s="1347" t="s">
        <v>1108</v>
      </c>
      <c r="D722" s="1347" t="s">
        <v>1505</v>
      </c>
      <c r="E722" s="1347" t="s">
        <v>1506</v>
      </c>
    </row>
    <row r="723" spans="1:5" x14ac:dyDescent="0.45">
      <c r="B723" s="1347" t="s">
        <v>1507</v>
      </c>
      <c r="D723" s="1347" t="s">
        <v>1508</v>
      </c>
      <c r="E723" s="1347" t="s">
        <v>1509</v>
      </c>
    </row>
    <row r="724" spans="1:5" x14ac:dyDescent="0.45">
      <c r="B724" s="1347" t="s">
        <v>1108</v>
      </c>
      <c r="D724" s="1347" t="s">
        <v>1510</v>
      </c>
      <c r="E724" s="1347" t="s">
        <v>1511</v>
      </c>
    </row>
    <row r="725" spans="1:5" x14ac:dyDescent="0.45">
      <c r="B725" s="1347" t="s">
        <v>1108</v>
      </c>
      <c r="D725" s="1347" t="s">
        <v>1512</v>
      </c>
      <c r="E725" s="1347" t="s">
        <v>1513</v>
      </c>
    </row>
    <row r="726" spans="1:5" x14ac:dyDescent="0.45">
      <c r="B726" s="1347" t="s">
        <v>1514</v>
      </c>
      <c r="C726" s="1347" t="s">
        <v>1105</v>
      </c>
      <c r="D726" s="1347" t="s">
        <v>1515</v>
      </c>
      <c r="E726" s="1347" t="s">
        <v>1516</v>
      </c>
    </row>
    <row r="727" spans="1:5" x14ac:dyDescent="0.45">
      <c r="A727" s="1347">
        <v>-9</v>
      </c>
      <c r="B727" s="1347" t="s">
        <v>1517</v>
      </c>
      <c r="D727" s="1347" t="s">
        <v>1518</v>
      </c>
      <c r="E727" s="1347" t="s">
        <v>1519</v>
      </c>
    </row>
    <row r="728" spans="1:5" x14ac:dyDescent="0.45">
      <c r="A728" s="1347">
        <v>5</v>
      </c>
      <c r="B728" s="1347" t="s">
        <v>1520</v>
      </c>
      <c r="D728" s="1347" t="s">
        <v>1521</v>
      </c>
      <c r="E728" s="1347" t="s">
        <v>1522</v>
      </c>
    </row>
    <row r="729" spans="1:5" x14ac:dyDescent="0.45">
      <c r="B729" s="1347" t="s">
        <v>1108</v>
      </c>
      <c r="D729" s="1347" t="s">
        <v>1523</v>
      </c>
      <c r="E729" s="1347" t="s">
        <v>1110</v>
      </c>
    </row>
    <row r="730" spans="1:5" x14ac:dyDescent="0.45">
      <c r="B730" s="1347" t="s">
        <v>1524</v>
      </c>
      <c r="D730" s="1347" t="s">
        <v>1525</v>
      </c>
      <c r="E730" s="1347" t="s">
        <v>1526</v>
      </c>
    </row>
    <row r="731" spans="1:5" x14ac:dyDescent="0.45">
      <c r="B731" s="1347" t="s">
        <v>1527</v>
      </c>
      <c r="D731" s="1347" t="s">
        <v>1528</v>
      </c>
      <c r="E731" s="1347" t="s">
        <v>1529</v>
      </c>
    </row>
    <row r="732" spans="1:5" x14ac:dyDescent="0.45">
      <c r="B732" s="1347" t="s">
        <v>1108</v>
      </c>
      <c r="D732" s="1347" t="s">
        <v>1530</v>
      </c>
      <c r="E732" s="1347" t="s">
        <v>1531</v>
      </c>
    </row>
    <row r="733" spans="1:5" x14ac:dyDescent="0.45">
      <c r="B733" s="1347" t="s">
        <v>1532</v>
      </c>
      <c r="D733" s="1347" t="s">
        <v>1109</v>
      </c>
      <c r="E733" s="1347" t="s">
        <v>1533</v>
      </c>
    </row>
    <row r="734" spans="1:5" x14ac:dyDescent="0.45">
      <c r="B734" s="1347" t="s">
        <v>1108</v>
      </c>
      <c r="C734" s="1347" t="s">
        <v>1105</v>
      </c>
      <c r="D734" s="1347" t="s">
        <v>1534</v>
      </c>
      <c r="E734" s="1347" t="s">
        <v>1110</v>
      </c>
    </row>
    <row r="735" spans="1:5" x14ac:dyDescent="0.45">
      <c r="A735" s="1347">
        <v>9</v>
      </c>
      <c r="B735" s="1347" t="s">
        <v>1535</v>
      </c>
      <c r="C735" s="1347" t="s">
        <v>1105</v>
      </c>
      <c r="D735" s="1347" t="s">
        <v>1536</v>
      </c>
      <c r="E735" s="1347" t="s">
        <v>1537</v>
      </c>
    </row>
    <row r="736" spans="1:5" x14ac:dyDescent="0.45">
      <c r="A736" s="1347">
        <v>-15</v>
      </c>
      <c r="B736" s="1347" t="s">
        <v>1538</v>
      </c>
      <c r="C736" s="1347">
        <v>1</v>
      </c>
      <c r="D736" s="1347" t="s">
        <v>1539</v>
      </c>
      <c r="E736" s="1347" t="s">
        <v>1540</v>
      </c>
    </row>
    <row r="737" spans="1:5" x14ac:dyDescent="0.45">
      <c r="B737" s="1347" t="s">
        <v>1541</v>
      </c>
      <c r="D737" s="1347" t="s">
        <v>1542</v>
      </c>
      <c r="E737" s="1347" t="s">
        <v>1110</v>
      </c>
    </row>
    <row r="738" spans="1:5" x14ac:dyDescent="0.45">
      <c r="B738" s="1347" t="s">
        <v>1108</v>
      </c>
      <c r="D738" s="1347" t="s">
        <v>1543</v>
      </c>
      <c r="E738" s="1347" t="s">
        <v>1544</v>
      </c>
    </row>
    <row r="739" spans="1:5" x14ac:dyDescent="0.45">
      <c r="B739" s="1347" t="s">
        <v>1545</v>
      </c>
      <c r="D739" s="1347" t="s">
        <v>1546</v>
      </c>
      <c r="E739" s="1347" t="s">
        <v>1547</v>
      </c>
    </row>
    <row r="740" spans="1:5" x14ac:dyDescent="0.45">
      <c r="B740" s="1347" t="s">
        <v>1548</v>
      </c>
      <c r="D740" s="1347" t="s">
        <v>1109</v>
      </c>
      <c r="E740" s="1347" t="s">
        <v>1549</v>
      </c>
    </row>
    <row r="741" spans="1:5" x14ac:dyDescent="0.45">
      <c r="B741" s="1347" t="s">
        <v>1550</v>
      </c>
      <c r="D741" s="1347" t="s">
        <v>1551</v>
      </c>
      <c r="E741" s="1347" t="s">
        <v>1552</v>
      </c>
    </row>
    <row r="742" spans="1:5" x14ac:dyDescent="0.45">
      <c r="B742" s="1347" t="s">
        <v>1553</v>
      </c>
      <c r="D742" s="1347" t="s">
        <v>1554</v>
      </c>
      <c r="E742" s="1347" t="s">
        <v>1555</v>
      </c>
    </row>
    <row r="743" spans="1:5" x14ac:dyDescent="0.45">
      <c r="B743" s="1347" t="s">
        <v>1108</v>
      </c>
      <c r="C743" s="1347">
        <v>1</v>
      </c>
      <c r="D743" s="1347" t="s">
        <v>1556</v>
      </c>
      <c r="E743" s="1347" t="s">
        <v>1557</v>
      </c>
    </row>
    <row r="744" spans="1:5" x14ac:dyDescent="0.45">
      <c r="A744" s="1347">
        <v>5</v>
      </c>
      <c r="B744" s="1347" t="s">
        <v>1558</v>
      </c>
      <c r="D744" s="1347" t="s">
        <v>1559</v>
      </c>
      <c r="E744" s="1347" t="s">
        <v>1156</v>
      </c>
    </row>
    <row r="745" spans="1:5" x14ac:dyDescent="0.45">
      <c r="B745" s="1347" t="s">
        <v>1108</v>
      </c>
      <c r="D745" s="1347" t="s">
        <v>1109</v>
      </c>
      <c r="E745" s="1347" t="s">
        <v>1110</v>
      </c>
    </row>
    <row r="746" spans="1:5" x14ac:dyDescent="0.45">
      <c r="B746" s="1347" t="s">
        <v>1108</v>
      </c>
      <c r="D746" s="1347" t="s">
        <v>1109</v>
      </c>
      <c r="E746" s="1347" t="s">
        <v>1110</v>
      </c>
    </row>
    <row r="747" spans="1:5" x14ac:dyDescent="0.45">
      <c r="B747" s="1347" t="s">
        <v>1108</v>
      </c>
      <c r="D747" s="1347" t="s">
        <v>1109</v>
      </c>
      <c r="E747" s="1347" t="s">
        <v>1110</v>
      </c>
    </row>
    <row r="748" spans="1:5" x14ac:dyDescent="0.45">
      <c r="B748" s="1347" t="s">
        <v>1108</v>
      </c>
      <c r="D748" s="1347" t="s">
        <v>1109</v>
      </c>
      <c r="E748" s="1347" t="s">
        <v>1110</v>
      </c>
    </row>
    <row r="749" spans="1:5" x14ac:dyDescent="0.45">
      <c r="B749" s="1347" t="s">
        <v>1108</v>
      </c>
      <c r="D749" s="1347" t="s">
        <v>1109</v>
      </c>
      <c r="E749" s="1347" t="s">
        <v>1110</v>
      </c>
    </row>
    <row r="750" spans="1:5" x14ac:dyDescent="0.45">
      <c r="B750" s="1347" t="s">
        <v>1108</v>
      </c>
      <c r="D750" s="1347" t="s">
        <v>1109</v>
      </c>
      <c r="E750" s="1347" t="s">
        <v>1110</v>
      </c>
    </row>
    <row r="751" spans="1:5" x14ac:dyDescent="0.45">
      <c r="B751" s="1347" t="s">
        <v>1108</v>
      </c>
      <c r="D751" s="1347" t="s">
        <v>1109</v>
      </c>
      <c r="E751" s="1347" t="s">
        <v>1110</v>
      </c>
    </row>
    <row r="752" spans="1:5" x14ac:dyDescent="0.45">
      <c r="B752" s="1347" t="s">
        <v>1108</v>
      </c>
      <c r="D752" s="1347" t="s">
        <v>1109</v>
      </c>
      <c r="E752" s="1347" t="s">
        <v>1110</v>
      </c>
    </row>
    <row r="753" spans="2:5" x14ac:dyDescent="0.45">
      <c r="B753" s="1347" t="s">
        <v>1108</v>
      </c>
      <c r="D753" s="1347" t="s">
        <v>1109</v>
      </c>
      <c r="E753" s="1347" t="s">
        <v>1110</v>
      </c>
    </row>
    <row r="754" spans="2:5" x14ac:dyDescent="0.45">
      <c r="B754" s="1347" t="s">
        <v>1108</v>
      </c>
      <c r="D754" s="1347" t="s">
        <v>1109</v>
      </c>
      <c r="E754" s="1347" t="s">
        <v>1110</v>
      </c>
    </row>
    <row r="755" spans="2:5" x14ac:dyDescent="0.45">
      <c r="B755" s="1347" t="s">
        <v>1108</v>
      </c>
      <c r="D755" s="1347" t="s">
        <v>1109</v>
      </c>
      <c r="E755" s="1347" t="s">
        <v>1110</v>
      </c>
    </row>
    <row r="756" spans="2:5" x14ac:dyDescent="0.45">
      <c r="B756" s="1347" t="s">
        <v>1108</v>
      </c>
      <c r="D756" s="1347" t="s">
        <v>1109</v>
      </c>
      <c r="E756" s="1347" t="s">
        <v>1110</v>
      </c>
    </row>
    <row r="757" spans="2:5" x14ac:dyDescent="0.45">
      <c r="B757" s="1347" t="s">
        <v>1108</v>
      </c>
      <c r="D757" s="1347" t="s">
        <v>1109</v>
      </c>
      <c r="E757" s="1347" t="s">
        <v>1110</v>
      </c>
    </row>
    <row r="758" spans="2:5" x14ac:dyDescent="0.45">
      <c r="B758" s="1347" t="s">
        <v>1108</v>
      </c>
      <c r="D758" s="1347" t="s">
        <v>1109</v>
      </c>
      <c r="E758" s="1347" t="s">
        <v>1110</v>
      </c>
    </row>
    <row r="759" spans="2:5" x14ac:dyDescent="0.45">
      <c r="B759" s="1347" t="s">
        <v>1108</v>
      </c>
      <c r="D759" s="1347" t="s">
        <v>1109</v>
      </c>
      <c r="E759" s="1347" t="s">
        <v>1110</v>
      </c>
    </row>
    <row r="760" spans="2:5" x14ac:dyDescent="0.45">
      <c r="B760" s="1347" t="s">
        <v>1108</v>
      </c>
      <c r="D760" s="1347" t="s">
        <v>1109</v>
      </c>
      <c r="E760" s="1347" t="s">
        <v>1110</v>
      </c>
    </row>
    <row r="761" spans="2:5" x14ac:dyDescent="0.45">
      <c r="B761" s="1347" t="s">
        <v>1108</v>
      </c>
      <c r="D761" s="1347" t="s">
        <v>1109</v>
      </c>
      <c r="E761" s="1347" t="s">
        <v>1110</v>
      </c>
    </row>
    <row r="762" spans="2:5" x14ac:dyDescent="0.45">
      <c r="B762" s="1347" t="s">
        <v>1108</v>
      </c>
      <c r="D762" s="1347" t="s">
        <v>1109</v>
      </c>
      <c r="E762" s="1347" t="s">
        <v>1110</v>
      </c>
    </row>
    <row r="763" spans="2:5" x14ac:dyDescent="0.45">
      <c r="B763" s="1347" t="s">
        <v>1108</v>
      </c>
      <c r="D763" s="1347" t="s">
        <v>1109</v>
      </c>
      <c r="E763" s="1347" t="s">
        <v>1110</v>
      </c>
    </row>
    <row r="764" spans="2:5" x14ac:dyDescent="0.45">
      <c r="B764" s="1347" t="s">
        <v>1108</v>
      </c>
      <c r="D764" s="1347" t="s">
        <v>1109</v>
      </c>
      <c r="E764" s="1347" t="s">
        <v>1110</v>
      </c>
    </row>
    <row r="765" spans="2:5" x14ac:dyDescent="0.45">
      <c r="B765" s="1347" t="s">
        <v>1108</v>
      </c>
      <c r="D765" s="1347" t="s">
        <v>1109</v>
      </c>
      <c r="E765" s="1347" t="s">
        <v>1110</v>
      </c>
    </row>
    <row r="766" spans="2:5" x14ac:dyDescent="0.45">
      <c r="B766" s="1347" t="s">
        <v>1108</v>
      </c>
      <c r="D766" s="1347" t="s">
        <v>1109</v>
      </c>
      <c r="E766" s="1347" t="s">
        <v>1110</v>
      </c>
    </row>
    <row r="767" spans="2:5" x14ac:dyDescent="0.45">
      <c r="B767" s="1347" t="s">
        <v>1108</v>
      </c>
      <c r="D767" s="1347" t="s">
        <v>1109</v>
      </c>
      <c r="E767" s="1347" t="s">
        <v>1110</v>
      </c>
    </row>
    <row r="768" spans="2:5" x14ac:dyDescent="0.45">
      <c r="B768" s="1347" t="s">
        <v>1108</v>
      </c>
      <c r="D768" s="1347" t="s">
        <v>1109</v>
      </c>
      <c r="E768" s="1347" t="s">
        <v>1110</v>
      </c>
    </row>
    <row r="769" spans="2:5" x14ac:dyDescent="0.45">
      <c r="B769" s="1347" t="s">
        <v>1108</v>
      </c>
      <c r="D769" s="1347" t="s">
        <v>1109</v>
      </c>
      <c r="E769" s="1347" t="s">
        <v>1110</v>
      </c>
    </row>
    <row r="770" spans="2:5" x14ac:dyDescent="0.45">
      <c r="B770" s="1347" t="s">
        <v>1108</v>
      </c>
      <c r="D770" s="1347" t="s">
        <v>1109</v>
      </c>
      <c r="E770" s="1347" t="s">
        <v>1110</v>
      </c>
    </row>
    <row r="771" spans="2:5" x14ac:dyDescent="0.45">
      <c r="B771" s="1347" t="s">
        <v>1108</v>
      </c>
      <c r="D771" s="1347" t="s">
        <v>1109</v>
      </c>
      <c r="E771" s="1347" t="s">
        <v>1110</v>
      </c>
    </row>
    <row r="772" spans="2:5" x14ac:dyDescent="0.45">
      <c r="B772" s="1347" t="s">
        <v>1108</v>
      </c>
      <c r="D772" s="1347" t="s">
        <v>1109</v>
      </c>
      <c r="E772" s="1347" t="s">
        <v>1110</v>
      </c>
    </row>
    <row r="773" spans="2:5" x14ac:dyDescent="0.45">
      <c r="B773" s="1347" t="s">
        <v>1108</v>
      </c>
      <c r="D773" s="1347" t="s">
        <v>1109</v>
      </c>
      <c r="E773" s="1347" t="s">
        <v>1110</v>
      </c>
    </row>
    <row r="774" spans="2:5" x14ac:dyDescent="0.45">
      <c r="B774" s="1347" t="s">
        <v>1108</v>
      </c>
      <c r="D774" s="1347" t="s">
        <v>1109</v>
      </c>
      <c r="E774" s="1347" t="s">
        <v>1110</v>
      </c>
    </row>
    <row r="775" spans="2:5" x14ac:dyDescent="0.45">
      <c r="B775" s="1347" t="s">
        <v>1108</v>
      </c>
      <c r="D775" s="1347" t="s">
        <v>1109</v>
      </c>
      <c r="E775" s="1347" t="s">
        <v>1110</v>
      </c>
    </row>
    <row r="776" spans="2:5" x14ac:dyDescent="0.45">
      <c r="B776" s="1347" t="s">
        <v>1108</v>
      </c>
      <c r="D776" s="1347" t="s">
        <v>1109</v>
      </c>
      <c r="E776" s="1347" t="s">
        <v>1110</v>
      </c>
    </row>
    <row r="777" spans="2:5" x14ac:dyDescent="0.45">
      <c r="B777" s="1347" t="s">
        <v>1108</v>
      </c>
      <c r="D777" s="1347" t="s">
        <v>1109</v>
      </c>
      <c r="E777" s="1347" t="s">
        <v>1110</v>
      </c>
    </row>
    <row r="778" spans="2:5" x14ac:dyDescent="0.45">
      <c r="B778" s="1347" t="s">
        <v>1108</v>
      </c>
      <c r="D778" s="1347" t="s">
        <v>1109</v>
      </c>
      <c r="E778" s="1347" t="s">
        <v>1110</v>
      </c>
    </row>
    <row r="779" spans="2:5" x14ac:dyDescent="0.45">
      <c r="B779" s="1347" t="s">
        <v>1108</v>
      </c>
      <c r="D779" s="1347" t="s">
        <v>1109</v>
      </c>
      <c r="E779" s="1347" t="s">
        <v>1110</v>
      </c>
    </row>
    <row r="780" spans="2:5" x14ac:dyDescent="0.45">
      <c r="B780" s="1347" t="s">
        <v>1108</v>
      </c>
      <c r="D780" s="1347" t="s">
        <v>1109</v>
      </c>
      <c r="E780" s="1347" t="s">
        <v>1110</v>
      </c>
    </row>
    <row r="781" spans="2:5" x14ac:dyDescent="0.45">
      <c r="B781" s="1347" t="s">
        <v>1108</v>
      </c>
      <c r="D781" s="1347" t="s">
        <v>1109</v>
      </c>
      <c r="E781" s="1347" t="s">
        <v>1110</v>
      </c>
    </row>
    <row r="782" spans="2:5" x14ac:dyDescent="0.45">
      <c r="B782" s="1347" t="s">
        <v>1108</v>
      </c>
      <c r="D782" s="1347" t="s">
        <v>1109</v>
      </c>
      <c r="E782" s="1347" t="s">
        <v>1110</v>
      </c>
    </row>
    <row r="783" spans="2:5" x14ac:dyDescent="0.45">
      <c r="B783" s="1347" t="s">
        <v>1108</v>
      </c>
      <c r="D783" s="1347" t="s">
        <v>1109</v>
      </c>
      <c r="E783" s="1347" t="s">
        <v>1110</v>
      </c>
    </row>
    <row r="784" spans="2:5" x14ac:dyDescent="0.45">
      <c r="B784" s="1347" t="s">
        <v>1108</v>
      </c>
      <c r="D784" s="1347" t="s">
        <v>1109</v>
      </c>
      <c r="E784" s="1347" t="s">
        <v>1110</v>
      </c>
    </row>
    <row r="785" spans="1:5" x14ac:dyDescent="0.45">
      <c r="B785" s="1347" t="s">
        <v>1108</v>
      </c>
      <c r="D785" s="1347" t="s">
        <v>1109</v>
      </c>
      <c r="E785" s="1347" t="s">
        <v>1110</v>
      </c>
    </row>
    <row r="786" spans="1:5" x14ac:dyDescent="0.45">
      <c r="B786" s="1347" t="s">
        <v>1108</v>
      </c>
      <c r="D786" s="1347" t="s">
        <v>1109</v>
      </c>
      <c r="E786" s="1347" t="s">
        <v>1110</v>
      </c>
    </row>
    <row r="787" spans="1:5" x14ac:dyDescent="0.45">
      <c r="B787" s="1347" t="s">
        <v>1108</v>
      </c>
      <c r="D787" s="1347" t="s">
        <v>1109</v>
      </c>
      <c r="E787" s="1347" t="s">
        <v>1560</v>
      </c>
    </row>
    <row r="788" spans="1:5" x14ac:dyDescent="0.45">
      <c r="B788" s="1347" t="s">
        <v>1561</v>
      </c>
      <c r="D788" s="1347" t="s">
        <v>1562</v>
      </c>
      <c r="E788" s="1347" t="s">
        <v>1563</v>
      </c>
    </row>
    <row r="789" spans="1:5" x14ac:dyDescent="0.45">
      <c r="B789" s="1347" t="s">
        <v>1108</v>
      </c>
      <c r="D789" s="1347" t="s">
        <v>1564</v>
      </c>
      <c r="E789" s="1347" t="s">
        <v>1565</v>
      </c>
    </row>
    <row r="790" spans="1:5" x14ac:dyDescent="0.45">
      <c r="B790" s="1347" t="s">
        <v>1566</v>
      </c>
      <c r="D790" s="1347" t="s">
        <v>1567</v>
      </c>
      <c r="E790" s="1347" t="s">
        <v>1568</v>
      </c>
    </row>
    <row r="791" spans="1:5" x14ac:dyDescent="0.45">
      <c r="A791" s="1347">
        <v>4</v>
      </c>
      <c r="B791" s="1347" t="s">
        <v>1569</v>
      </c>
      <c r="D791" s="1347" t="s">
        <v>1570</v>
      </c>
      <c r="E791" s="1347" t="s">
        <v>1571</v>
      </c>
    </row>
    <row r="792" spans="1:5" x14ac:dyDescent="0.45">
      <c r="B792" s="1347" t="s">
        <v>1108</v>
      </c>
      <c r="D792" s="1347" t="s">
        <v>1572</v>
      </c>
      <c r="E792" s="1347" t="s">
        <v>1350</v>
      </c>
    </row>
    <row r="793" spans="1:5" x14ac:dyDescent="0.45">
      <c r="B793" s="1347" t="s">
        <v>1573</v>
      </c>
      <c r="D793" s="1347" t="s">
        <v>1574</v>
      </c>
      <c r="E793" s="1347" t="s">
        <v>1575</v>
      </c>
    </row>
    <row r="794" spans="1:5" x14ac:dyDescent="0.45">
      <c r="A794" s="1347">
        <v>7</v>
      </c>
      <c r="B794" s="1347" t="s">
        <v>1576</v>
      </c>
      <c r="D794" s="1347" t="s">
        <v>1577</v>
      </c>
      <c r="E794" s="1347" t="s">
        <v>1578</v>
      </c>
    </row>
    <row r="795" spans="1:5" x14ac:dyDescent="0.45">
      <c r="A795" s="1347">
        <v>5</v>
      </c>
      <c r="B795" s="1347" t="s">
        <v>1579</v>
      </c>
      <c r="D795" s="1347" t="s">
        <v>1580</v>
      </c>
      <c r="E795" s="1347" t="s">
        <v>1581</v>
      </c>
    </row>
    <row r="796" spans="1:5" x14ac:dyDescent="0.45">
      <c r="B796" s="1347" t="s">
        <v>1108</v>
      </c>
      <c r="D796" s="1347" t="s">
        <v>1109</v>
      </c>
      <c r="E796" s="1347" t="s">
        <v>1110</v>
      </c>
    </row>
    <row r="797" spans="1:5" x14ac:dyDescent="0.45">
      <c r="B797" s="1347" t="s">
        <v>1108</v>
      </c>
      <c r="D797" s="1347" t="s">
        <v>1109</v>
      </c>
      <c r="E797" s="1347" t="s">
        <v>1110</v>
      </c>
    </row>
    <row r="798" spans="1:5" x14ac:dyDescent="0.45">
      <c r="B798" s="1347" t="s">
        <v>1108</v>
      </c>
      <c r="D798" s="1347" t="s">
        <v>1109</v>
      </c>
      <c r="E798" s="1347" t="s">
        <v>1110</v>
      </c>
    </row>
    <row r="799" spans="1:5" x14ac:dyDescent="0.45">
      <c r="B799" s="1347" t="s">
        <v>1108</v>
      </c>
      <c r="D799" s="1347" t="s">
        <v>1109</v>
      </c>
      <c r="E799" s="1347" t="s">
        <v>1110</v>
      </c>
    </row>
    <row r="800" spans="1:5" x14ac:dyDescent="0.45">
      <c r="B800" s="1347" t="s">
        <v>1108</v>
      </c>
      <c r="D800" s="1347" t="s">
        <v>1109</v>
      </c>
      <c r="E800" s="1347" t="s">
        <v>1110</v>
      </c>
    </row>
    <row r="801" spans="1:5" x14ac:dyDescent="0.45">
      <c r="B801" s="1347" t="s">
        <v>1108</v>
      </c>
      <c r="D801" s="1347" t="s">
        <v>1109</v>
      </c>
      <c r="E801" s="1347" t="s">
        <v>1110</v>
      </c>
    </row>
    <row r="802" spans="1:5" x14ac:dyDescent="0.45">
      <c r="B802" s="1347" t="s">
        <v>1108</v>
      </c>
      <c r="D802" s="1347" t="s">
        <v>1109</v>
      </c>
      <c r="E802" s="1347" t="s">
        <v>1110</v>
      </c>
    </row>
    <row r="803" spans="1:5" x14ac:dyDescent="0.45">
      <c r="B803" s="1347" t="s">
        <v>1108</v>
      </c>
      <c r="D803" s="1347" t="s">
        <v>1109</v>
      </c>
      <c r="E803" s="1347" t="s">
        <v>1110</v>
      </c>
    </row>
    <row r="804" spans="1:5" x14ac:dyDescent="0.45">
      <c r="B804" s="1347" t="s">
        <v>1108</v>
      </c>
      <c r="D804" s="1347" t="s">
        <v>1109</v>
      </c>
      <c r="E804" s="1347" t="s">
        <v>1110</v>
      </c>
    </row>
    <row r="805" spans="1:5" x14ac:dyDescent="0.45">
      <c r="B805" s="1347" t="s">
        <v>1108</v>
      </c>
      <c r="D805" s="1347" t="s">
        <v>1582</v>
      </c>
      <c r="E805" s="1347" t="s">
        <v>1583</v>
      </c>
    </row>
    <row r="806" spans="1:5" x14ac:dyDescent="0.45">
      <c r="B806" s="1347" t="s">
        <v>1108</v>
      </c>
      <c r="D806" s="1347" t="s">
        <v>1584</v>
      </c>
      <c r="E806" s="1347" t="s">
        <v>1585</v>
      </c>
    </row>
    <row r="807" spans="1:5" x14ac:dyDescent="0.45">
      <c r="B807" s="1347" t="s">
        <v>1108</v>
      </c>
      <c r="D807" s="1347" t="s">
        <v>1586</v>
      </c>
      <c r="E807" s="1347" t="s">
        <v>1587</v>
      </c>
    </row>
    <row r="808" spans="1:5" x14ac:dyDescent="0.45">
      <c r="B808" s="1347" t="s">
        <v>1588</v>
      </c>
      <c r="D808" s="1347" t="s">
        <v>1589</v>
      </c>
      <c r="E808" s="1347" t="s">
        <v>1590</v>
      </c>
    </row>
    <row r="809" spans="1:5" x14ac:dyDescent="0.45">
      <c r="A809" s="1347">
        <v>-4</v>
      </c>
      <c r="B809" s="1347" t="s">
        <v>1591</v>
      </c>
      <c r="D809" s="1347" t="s">
        <v>1592</v>
      </c>
      <c r="E809" s="1347" t="s">
        <v>1593</v>
      </c>
    </row>
    <row r="810" spans="1:5" x14ac:dyDescent="0.45">
      <c r="B810" s="1347" t="s">
        <v>1108</v>
      </c>
      <c r="C810" s="1347" t="s">
        <v>1105</v>
      </c>
      <c r="D810" s="1347" t="s">
        <v>1594</v>
      </c>
      <c r="E810" s="1347" t="s">
        <v>1110</v>
      </c>
    </row>
    <row r="811" spans="1:5" x14ac:dyDescent="0.45">
      <c r="B811" s="1347" t="s">
        <v>1595</v>
      </c>
      <c r="C811" s="1347" t="s">
        <v>1105</v>
      </c>
      <c r="D811" s="1347" t="s">
        <v>1596</v>
      </c>
      <c r="E811" s="1347" t="s">
        <v>1597</v>
      </c>
    </row>
    <row r="812" spans="1:5" x14ac:dyDescent="0.45">
      <c r="B812" s="1347" t="s">
        <v>1108</v>
      </c>
      <c r="D812" s="1347" t="s">
        <v>1598</v>
      </c>
      <c r="E812" s="1347" t="s">
        <v>1599</v>
      </c>
    </row>
    <row r="813" spans="1:5" x14ac:dyDescent="0.45">
      <c r="A813" s="1347" t="s">
        <v>1105</v>
      </c>
      <c r="B813" s="1347" t="s">
        <v>1600</v>
      </c>
      <c r="D813" s="1347" t="s">
        <v>1601</v>
      </c>
      <c r="E813" s="1347" t="s">
        <v>1602</v>
      </c>
    </row>
    <row r="814" spans="1:5" x14ac:dyDescent="0.45">
      <c r="B814" s="1347" t="s">
        <v>1108</v>
      </c>
      <c r="D814" s="1347" t="s">
        <v>1603</v>
      </c>
      <c r="E814" s="1347" t="s">
        <v>1604</v>
      </c>
    </row>
    <row r="815" spans="1:5" x14ac:dyDescent="0.45">
      <c r="B815" s="1347" t="s">
        <v>1605</v>
      </c>
      <c r="D815" s="1347" t="s">
        <v>1606</v>
      </c>
      <c r="E815" s="1347" t="s">
        <v>1607</v>
      </c>
    </row>
    <row r="816" spans="1:5" x14ac:dyDescent="0.45">
      <c r="B816" s="1347" t="s">
        <v>1108</v>
      </c>
      <c r="D816" s="1347" t="s">
        <v>1608</v>
      </c>
      <c r="E816" s="1347" t="s">
        <v>1609</v>
      </c>
    </row>
    <row r="817" spans="1:5" x14ac:dyDescent="0.45">
      <c r="B817" s="1347" t="s">
        <v>1610</v>
      </c>
      <c r="D817" s="1347" t="s">
        <v>1611</v>
      </c>
      <c r="E817" s="1347" t="s">
        <v>1612</v>
      </c>
    </row>
    <row r="818" spans="1:5" x14ac:dyDescent="0.45">
      <c r="B818" s="1347">
        <f>-43   -400</f>
        <v>-443</v>
      </c>
      <c r="D818" s="1347" t="s">
        <v>1613</v>
      </c>
      <c r="E818" s="1347" t="s">
        <v>1614</v>
      </c>
    </row>
    <row r="819" spans="1:5" x14ac:dyDescent="0.45">
      <c r="B819" s="1347" t="s">
        <v>1108</v>
      </c>
      <c r="D819" s="1347" t="s">
        <v>1615</v>
      </c>
      <c r="E819" s="1347" t="s">
        <v>1476</v>
      </c>
    </row>
    <row r="820" spans="1:5" x14ac:dyDescent="0.45">
      <c r="B820" s="1347" t="s">
        <v>1616</v>
      </c>
      <c r="D820" s="1347" t="s">
        <v>1617</v>
      </c>
      <c r="E820" s="1347" t="s">
        <v>1618</v>
      </c>
    </row>
    <row r="821" spans="1:5" x14ac:dyDescent="0.45">
      <c r="B821" s="1347" t="s">
        <v>1619</v>
      </c>
      <c r="D821" s="1347" t="s">
        <v>1620</v>
      </c>
      <c r="E821" s="1347" t="s">
        <v>1621</v>
      </c>
    </row>
    <row r="822" spans="1:5" x14ac:dyDescent="0.45">
      <c r="A822" s="1347">
        <v>-3</v>
      </c>
      <c r="B822" s="1347" t="s">
        <v>1622</v>
      </c>
      <c r="D822" s="1347" t="s">
        <v>1623</v>
      </c>
      <c r="E822" s="1347" t="s">
        <v>1624</v>
      </c>
    </row>
    <row r="823" spans="1:5" x14ac:dyDescent="0.45">
      <c r="B823" s="1347" t="s">
        <v>1108</v>
      </c>
      <c r="D823" s="1347" t="s">
        <v>1625</v>
      </c>
      <c r="E823" s="1347" t="s">
        <v>1626</v>
      </c>
    </row>
    <row r="824" spans="1:5" x14ac:dyDescent="0.45">
      <c r="A824" s="1347" t="s">
        <v>1105</v>
      </c>
      <c r="B824" s="1347" t="s">
        <v>1627</v>
      </c>
      <c r="D824" s="1347" t="s">
        <v>1628</v>
      </c>
      <c r="E824" s="1347" t="s">
        <v>1629</v>
      </c>
    </row>
    <row r="825" spans="1:5" x14ac:dyDescent="0.45">
      <c r="A825" s="1347" t="s">
        <v>1105</v>
      </c>
      <c r="B825" s="1347" t="s">
        <v>1630</v>
      </c>
      <c r="D825" s="1347" t="s">
        <v>1109</v>
      </c>
      <c r="E825" s="1347" t="s">
        <v>1631</v>
      </c>
    </row>
    <row r="826" spans="1:5" x14ac:dyDescent="0.45">
      <c r="B826" s="1347" t="s">
        <v>1632</v>
      </c>
      <c r="D826" s="1347" t="s">
        <v>1633</v>
      </c>
      <c r="E826" s="1347" t="s">
        <v>1634</v>
      </c>
    </row>
    <row r="827" spans="1:5" x14ac:dyDescent="0.45">
      <c r="B827" s="1347" t="s">
        <v>1635</v>
      </c>
      <c r="D827" s="1347" t="s">
        <v>1636</v>
      </c>
      <c r="E827" s="1347" t="s">
        <v>1220</v>
      </c>
    </row>
    <row r="828" spans="1:5" x14ac:dyDescent="0.45">
      <c r="B828" s="1347" t="s">
        <v>1637</v>
      </c>
      <c r="D828" s="1347" t="s">
        <v>1638</v>
      </c>
      <c r="E828" s="1347" t="s">
        <v>1639</v>
      </c>
    </row>
    <row r="829" spans="1:5" x14ac:dyDescent="0.45">
      <c r="B829" s="1347" t="s">
        <v>1108</v>
      </c>
      <c r="D829" s="1347" t="s">
        <v>1640</v>
      </c>
      <c r="E829" s="1347" t="s">
        <v>1641</v>
      </c>
    </row>
    <row r="830" spans="1:5" x14ac:dyDescent="0.45">
      <c r="A830" s="1347">
        <v>-5</v>
      </c>
      <c r="B830" s="1347" t="s">
        <v>1642</v>
      </c>
      <c r="D830" s="1347" t="s">
        <v>1643</v>
      </c>
      <c r="E830" s="1347" t="s">
        <v>1644</v>
      </c>
    </row>
    <row r="831" spans="1:5" x14ac:dyDescent="0.45">
      <c r="B831" s="1347" t="s">
        <v>1108</v>
      </c>
      <c r="C831" s="1347">
        <v>2</v>
      </c>
      <c r="D831" s="1347" t="s">
        <v>1645</v>
      </c>
      <c r="E831" s="1347" t="s">
        <v>1646</v>
      </c>
    </row>
    <row r="832" spans="1:5" x14ac:dyDescent="0.45">
      <c r="A832" s="1347" t="s">
        <v>1105</v>
      </c>
      <c r="B832" s="1347" t="s">
        <v>1647</v>
      </c>
      <c r="D832" s="1347" t="s">
        <v>1109</v>
      </c>
      <c r="E832" s="1347" t="s">
        <v>1648</v>
      </c>
    </row>
    <row r="833" spans="1:5" x14ac:dyDescent="0.45">
      <c r="A833" s="1347">
        <v>-11</v>
      </c>
      <c r="B833" s="1347" t="s">
        <v>1649</v>
      </c>
      <c r="D833" s="1347" t="s">
        <v>1109</v>
      </c>
      <c r="E833" s="1347" t="s">
        <v>1110</v>
      </c>
    </row>
    <row r="834" spans="1:5" x14ac:dyDescent="0.45">
      <c r="B834" s="1347" t="s">
        <v>1108</v>
      </c>
      <c r="D834" s="1347" t="s">
        <v>1109</v>
      </c>
      <c r="E834" s="1347" t="s">
        <v>1110</v>
      </c>
    </row>
    <row r="835" spans="1:5" x14ac:dyDescent="0.45">
      <c r="B835" s="1347" t="s">
        <v>1108</v>
      </c>
      <c r="D835" s="1347" t="s">
        <v>1109</v>
      </c>
      <c r="E835" s="1347" t="s">
        <v>1110</v>
      </c>
    </row>
    <row r="836" spans="1:5" x14ac:dyDescent="0.45">
      <c r="B836" s="1347" t="s">
        <v>1108</v>
      </c>
      <c r="D836" s="1347" t="s">
        <v>1109</v>
      </c>
      <c r="E836" s="1347" t="s">
        <v>1110</v>
      </c>
    </row>
    <row r="837" spans="1:5" x14ac:dyDescent="0.45">
      <c r="B837" s="1347" t="s">
        <v>1108</v>
      </c>
      <c r="D837" s="1347" t="s">
        <v>1109</v>
      </c>
      <c r="E837" s="1347" t="s">
        <v>1110</v>
      </c>
    </row>
    <row r="838" spans="1:5" x14ac:dyDescent="0.45">
      <c r="B838" s="1347" t="s">
        <v>1108</v>
      </c>
      <c r="D838" s="1347" t="s">
        <v>1109</v>
      </c>
      <c r="E838" s="1347" t="s">
        <v>1110</v>
      </c>
    </row>
    <row r="839" spans="1:5" x14ac:dyDescent="0.45">
      <c r="B839" s="1347" t="s">
        <v>1108</v>
      </c>
      <c r="D839" s="1347" t="s">
        <v>1109</v>
      </c>
      <c r="E839" s="1347" t="s">
        <v>1110</v>
      </c>
    </row>
    <row r="840" spans="1:5" x14ac:dyDescent="0.45">
      <c r="B840" s="1347" t="s">
        <v>1108</v>
      </c>
      <c r="D840" s="1347" t="s">
        <v>1109</v>
      </c>
      <c r="E840" s="1347" t="s">
        <v>1110</v>
      </c>
    </row>
    <row r="841" spans="1:5" x14ac:dyDescent="0.45">
      <c r="B841" s="1347" t="s">
        <v>1108</v>
      </c>
      <c r="D841" s="1347" t="s">
        <v>1109</v>
      </c>
      <c r="E841" s="1347" t="s">
        <v>1110</v>
      </c>
    </row>
    <row r="842" spans="1:5" x14ac:dyDescent="0.45">
      <c r="B842" s="1347" t="s">
        <v>1108</v>
      </c>
      <c r="D842" s="1347" t="s">
        <v>1650</v>
      </c>
      <c r="E842" s="1347" t="s">
        <v>1651</v>
      </c>
    </row>
    <row r="843" spans="1:5" x14ac:dyDescent="0.45">
      <c r="B843" s="1347" t="s">
        <v>1108</v>
      </c>
      <c r="D843" s="1347" t="s">
        <v>1652</v>
      </c>
      <c r="E843" s="1347" t="s">
        <v>1653</v>
      </c>
    </row>
    <row r="844" spans="1:5" x14ac:dyDescent="0.45">
      <c r="B844" s="1347" t="s">
        <v>1108</v>
      </c>
      <c r="D844" s="1347" t="s">
        <v>1654</v>
      </c>
      <c r="E844" s="1347" t="s">
        <v>1655</v>
      </c>
    </row>
    <row r="845" spans="1:5" x14ac:dyDescent="0.45">
      <c r="B845" s="1347" t="s">
        <v>1656</v>
      </c>
      <c r="C845" s="1347" t="s">
        <v>1105</v>
      </c>
      <c r="D845" s="1347" t="s">
        <v>1657</v>
      </c>
      <c r="E845" s="1347" t="s">
        <v>1658</v>
      </c>
    </row>
    <row r="846" spans="1:5" x14ac:dyDescent="0.45">
      <c r="B846" s="1347" t="s">
        <v>1659</v>
      </c>
      <c r="D846" s="1347" t="s">
        <v>1660</v>
      </c>
      <c r="E846" s="1347" t="s">
        <v>1661</v>
      </c>
    </row>
    <row r="847" spans="1:5" x14ac:dyDescent="0.45">
      <c r="B847" s="1347" t="s">
        <v>1108</v>
      </c>
      <c r="D847" s="1347" t="s">
        <v>1662</v>
      </c>
      <c r="E847" s="1347" t="s">
        <v>1110</v>
      </c>
    </row>
    <row r="848" spans="1:5" x14ac:dyDescent="0.45">
      <c r="A848" s="1347">
        <v>-1</v>
      </c>
      <c r="B848" s="1347" t="s">
        <v>1663</v>
      </c>
      <c r="D848" s="1347" t="s">
        <v>1664</v>
      </c>
      <c r="E848" s="1347" t="s">
        <v>1665</v>
      </c>
    </row>
    <row r="849" spans="1:5" x14ac:dyDescent="0.45">
      <c r="B849" s="1347" t="s">
        <v>1108</v>
      </c>
      <c r="D849" s="1347" t="s">
        <v>1666</v>
      </c>
      <c r="E849" s="1347" t="s">
        <v>1667</v>
      </c>
    </row>
    <row r="850" spans="1:5" x14ac:dyDescent="0.45">
      <c r="A850" s="1347" t="s">
        <v>1105</v>
      </c>
      <c r="B850" s="1347" t="s">
        <v>1668</v>
      </c>
      <c r="D850" s="1347" t="s">
        <v>1669</v>
      </c>
      <c r="E850" s="1347" t="s">
        <v>1670</v>
      </c>
    </row>
    <row r="851" spans="1:5" x14ac:dyDescent="0.45">
      <c r="B851" s="1347" t="s">
        <v>1108</v>
      </c>
      <c r="D851" s="1347" t="s">
        <v>1671</v>
      </c>
      <c r="E851" s="1347" t="s">
        <v>1672</v>
      </c>
    </row>
    <row r="852" spans="1:5" x14ac:dyDescent="0.45">
      <c r="A852" s="1347">
        <v>2</v>
      </c>
      <c r="B852" s="1347" t="s">
        <v>1673</v>
      </c>
      <c r="D852" s="1347">
        <f>-456   -173   -388</f>
        <v>-1017</v>
      </c>
      <c r="E852" s="1347" t="s">
        <v>1674</v>
      </c>
    </row>
    <row r="853" spans="1:5" x14ac:dyDescent="0.45">
      <c r="B853" s="1347" t="s">
        <v>1675</v>
      </c>
      <c r="D853" s="1347" t="s">
        <v>1676</v>
      </c>
      <c r="E853" s="1347" t="s">
        <v>1677</v>
      </c>
    </row>
    <row r="854" spans="1:5" x14ac:dyDescent="0.45">
      <c r="B854" s="1347" t="s">
        <v>1108</v>
      </c>
      <c r="D854" s="1347" t="s">
        <v>1678</v>
      </c>
      <c r="E854" s="1347" t="s">
        <v>1679</v>
      </c>
    </row>
    <row r="855" spans="1:5" x14ac:dyDescent="0.45">
      <c r="B855" s="1347" t="s">
        <v>1680</v>
      </c>
      <c r="D855" s="1347" t="s">
        <v>1681</v>
      </c>
      <c r="E855" s="1347" t="s">
        <v>1682</v>
      </c>
    </row>
    <row r="856" spans="1:5" x14ac:dyDescent="0.45">
      <c r="B856" s="1347" t="s">
        <v>1108</v>
      </c>
      <c r="D856" s="1347" t="s">
        <v>1683</v>
      </c>
      <c r="E856" s="1347" t="s">
        <v>1684</v>
      </c>
    </row>
    <row r="857" spans="1:5" x14ac:dyDescent="0.45">
      <c r="B857" s="1347" t="s">
        <v>1108</v>
      </c>
      <c r="D857" s="1347" t="s">
        <v>1685</v>
      </c>
      <c r="E857" s="1347" t="s">
        <v>1686</v>
      </c>
    </row>
    <row r="858" spans="1:5" x14ac:dyDescent="0.45">
      <c r="B858" s="1347" t="s">
        <v>1687</v>
      </c>
      <c r="C858" s="1347">
        <v>4</v>
      </c>
      <c r="D858" s="1347" t="s">
        <v>1688</v>
      </c>
      <c r="E858" s="1347" t="s">
        <v>1689</v>
      </c>
    </row>
    <row r="859" spans="1:5" x14ac:dyDescent="0.45">
      <c r="B859" s="1347">
        <f>-50     -7</f>
        <v>-57</v>
      </c>
      <c r="D859" s="1347" t="s">
        <v>1690</v>
      </c>
      <c r="E859" s="1347" t="s">
        <v>1691</v>
      </c>
    </row>
    <row r="860" spans="1:5" x14ac:dyDescent="0.45">
      <c r="B860" s="1347" t="s">
        <v>1692</v>
      </c>
      <c r="D860" s="1347" t="s">
        <v>1693</v>
      </c>
      <c r="E860" s="1347" t="s">
        <v>1694</v>
      </c>
    </row>
    <row r="861" spans="1:5" x14ac:dyDescent="0.45">
      <c r="B861" s="1347" t="s">
        <v>1695</v>
      </c>
      <c r="D861" s="1347" t="s">
        <v>1696</v>
      </c>
      <c r="E861" s="1347" t="s">
        <v>1697</v>
      </c>
    </row>
    <row r="862" spans="1:5" x14ac:dyDescent="0.45">
      <c r="B862" s="1347" t="s">
        <v>1698</v>
      </c>
      <c r="D862" s="1347" t="s">
        <v>1699</v>
      </c>
      <c r="E862" s="1347" t="s">
        <v>1700</v>
      </c>
    </row>
    <row r="863" spans="1:5" x14ac:dyDescent="0.45">
      <c r="B863" s="1347" t="s">
        <v>1108</v>
      </c>
      <c r="D863" s="1347" t="s">
        <v>1701</v>
      </c>
      <c r="E863" s="1347" t="s">
        <v>1702</v>
      </c>
    </row>
    <row r="864" spans="1:5" x14ac:dyDescent="0.45">
      <c r="B864" s="1347" t="s">
        <v>1703</v>
      </c>
      <c r="D864" s="1347" t="s">
        <v>1704</v>
      </c>
      <c r="E864" s="1347" t="s">
        <v>1705</v>
      </c>
    </row>
    <row r="865" spans="1:5" x14ac:dyDescent="0.45">
      <c r="A865" s="1347">
        <v>1</v>
      </c>
      <c r="B865" s="1347" t="s">
        <v>1706</v>
      </c>
      <c r="D865" s="1347" t="s">
        <v>1707</v>
      </c>
      <c r="E865" s="1347" t="s">
        <v>1708</v>
      </c>
    </row>
    <row r="866" spans="1:5" x14ac:dyDescent="0.45">
      <c r="B866" s="1347" t="s">
        <v>1108</v>
      </c>
      <c r="D866" s="1347" t="s">
        <v>1709</v>
      </c>
      <c r="E866" s="1347" t="s">
        <v>1113</v>
      </c>
    </row>
    <row r="867" spans="1:5" x14ac:dyDescent="0.45">
      <c r="B867" s="1347" t="s">
        <v>1710</v>
      </c>
      <c r="D867" s="1347" t="s">
        <v>1711</v>
      </c>
      <c r="E867" s="1347" t="s">
        <v>1712</v>
      </c>
    </row>
    <row r="868" spans="1:5" x14ac:dyDescent="0.45">
      <c r="A868" s="1347" t="s">
        <v>1105</v>
      </c>
      <c r="B868" s="1347" t="s">
        <v>1713</v>
      </c>
      <c r="D868" s="1347" t="s">
        <v>1714</v>
      </c>
      <c r="E868" s="1347" t="s">
        <v>1715</v>
      </c>
    </row>
    <row r="869" spans="1:5" x14ac:dyDescent="0.45">
      <c r="A869" s="1347" t="s">
        <v>1105</v>
      </c>
      <c r="B869" s="1347" t="s">
        <v>1716</v>
      </c>
      <c r="D869" s="1347" t="s">
        <v>1717</v>
      </c>
      <c r="E869" s="1347" t="s">
        <v>1718</v>
      </c>
    </row>
    <row r="870" spans="1:5" x14ac:dyDescent="0.45">
      <c r="B870" s="1347" t="s">
        <v>1108</v>
      </c>
      <c r="D870" s="1347" t="s">
        <v>1719</v>
      </c>
      <c r="E870" s="1347" t="s">
        <v>1720</v>
      </c>
    </row>
    <row r="871" spans="1:5" x14ac:dyDescent="0.45">
      <c r="B871" s="1347" t="s">
        <v>1721</v>
      </c>
      <c r="C871" s="1347" t="s">
        <v>1105</v>
      </c>
      <c r="D871" s="1347" t="s">
        <v>1722</v>
      </c>
      <c r="E871" s="1347" t="s">
        <v>1723</v>
      </c>
    </row>
    <row r="872" spans="1:5" x14ac:dyDescent="0.45">
      <c r="A872" s="1347">
        <v>-1</v>
      </c>
      <c r="B872" s="1347" t="s">
        <v>1724</v>
      </c>
      <c r="D872" s="1347" t="s">
        <v>1725</v>
      </c>
      <c r="E872" s="1347" t="s">
        <v>1350</v>
      </c>
    </row>
    <row r="873" spans="1:5" x14ac:dyDescent="0.45">
      <c r="B873" s="1347" t="s">
        <v>1108</v>
      </c>
      <c r="D873" s="1347" t="s">
        <v>1726</v>
      </c>
      <c r="E873" s="1347" t="s">
        <v>1727</v>
      </c>
    </row>
    <row r="874" spans="1:5" x14ac:dyDescent="0.45">
      <c r="A874" s="1347">
        <v>7</v>
      </c>
      <c r="B874" s="1347" t="s">
        <v>1728</v>
      </c>
      <c r="D874" s="1347" t="s">
        <v>1729</v>
      </c>
      <c r="E874" s="1347" t="s">
        <v>1730</v>
      </c>
    </row>
    <row r="875" spans="1:5" x14ac:dyDescent="0.45">
      <c r="B875" s="1347" t="s">
        <v>1731</v>
      </c>
      <c r="D875" s="1347" t="s">
        <v>1109</v>
      </c>
      <c r="E875" s="1347" t="s">
        <v>1732</v>
      </c>
    </row>
    <row r="876" spans="1:5" x14ac:dyDescent="0.45">
      <c r="A876" s="1347">
        <v>1</v>
      </c>
      <c r="B876" s="1347" t="s">
        <v>1733</v>
      </c>
      <c r="D876" s="1347" t="s">
        <v>1734</v>
      </c>
      <c r="E876" s="1347" t="s">
        <v>1735</v>
      </c>
    </row>
    <row r="877" spans="1:5" x14ac:dyDescent="0.45">
      <c r="B877" s="1347" t="s">
        <v>1736</v>
      </c>
      <c r="D877" s="1347" t="s">
        <v>1737</v>
      </c>
      <c r="E877" s="1347" t="s">
        <v>1738</v>
      </c>
    </row>
    <row r="878" spans="1:5" x14ac:dyDescent="0.45">
      <c r="B878" s="1347" t="s">
        <v>1108</v>
      </c>
      <c r="C878" s="1347" t="s">
        <v>1105</v>
      </c>
      <c r="D878" s="1347" t="s">
        <v>1739</v>
      </c>
      <c r="E878" s="1347" t="s">
        <v>1740</v>
      </c>
    </row>
    <row r="879" spans="1:5" x14ac:dyDescent="0.45">
      <c r="B879" s="1347" t="s">
        <v>1741</v>
      </c>
      <c r="D879" s="1347" t="s">
        <v>1742</v>
      </c>
      <c r="E879" s="1347" t="s">
        <v>1743</v>
      </c>
    </row>
    <row r="880" spans="1:5" x14ac:dyDescent="0.45">
      <c r="B880" s="1347" t="s">
        <v>1108</v>
      </c>
      <c r="D880" s="1347" t="s">
        <v>1744</v>
      </c>
      <c r="E880" s="1347" t="s">
        <v>1745</v>
      </c>
    </row>
    <row r="881" spans="1:5" x14ac:dyDescent="0.45">
      <c r="A881" s="1347">
        <v>24</v>
      </c>
      <c r="B881" s="1347" t="s">
        <v>1746</v>
      </c>
      <c r="D881" s="1347" t="s">
        <v>1747</v>
      </c>
      <c r="E881" s="1347" t="s">
        <v>1748</v>
      </c>
    </row>
    <row r="882" spans="1:5" x14ac:dyDescent="0.45">
      <c r="B882" s="1347" t="s">
        <v>1108</v>
      </c>
      <c r="C882" s="1347" t="s">
        <v>1105</v>
      </c>
      <c r="D882" s="1347" t="s">
        <v>1749</v>
      </c>
      <c r="E882" s="1347" t="s">
        <v>1110</v>
      </c>
    </row>
    <row r="883" spans="1:5" x14ac:dyDescent="0.45">
      <c r="A883" s="1347">
        <v>1</v>
      </c>
      <c r="B883" s="1347" t="s">
        <v>1750</v>
      </c>
      <c r="D883" s="1347" t="s">
        <v>1751</v>
      </c>
      <c r="E883" s="1347" t="s">
        <v>1752</v>
      </c>
    </row>
    <row r="884" spans="1:5" x14ac:dyDescent="0.45">
      <c r="B884" s="1347" t="s">
        <v>1753</v>
      </c>
      <c r="D884" s="1347" t="s">
        <v>1754</v>
      </c>
      <c r="E884" s="1347" t="s">
        <v>1755</v>
      </c>
    </row>
    <row r="885" spans="1:5" x14ac:dyDescent="0.45">
      <c r="B885" s="1347" t="s">
        <v>1108</v>
      </c>
      <c r="D885" s="1347" t="s">
        <v>1756</v>
      </c>
      <c r="E885" s="1347" t="s">
        <v>1757</v>
      </c>
    </row>
    <row r="886" spans="1:5" x14ac:dyDescent="0.45">
      <c r="A886" s="1347" t="s">
        <v>1105</v>
      </c>
      <c r="B886" s="1347" t="s">
        <v>1258</v>
      </c>
      <c r="D886" s="1347" t="s">
        <v>1109</v>
      </c>
      <c r="E886" s="1347" t="s">
        <v>1758</v>
      </c>
    </row>
    <row r="887" spans="1:5" x14ac:dyDescent="0.45">
      <c r="B887" s="1347" t="s">
        <v>1108</v>
      </c>
      <c r="D887" s="1347" t="s">
        <v>1759</v>
      </c>
      <c r="E887" s="1347" t="s">
        <v>1402</v>
      </c>
    </row>
    <row r="888" spans="1:5" x14ac:dyDescent="0.45">
      <c r="A888" s="1347">
        <v>-2</v>
      </c>
      <c r="B888" s="1347" t="s">
        <v>1760</v>
      </c>
      <c r="D888" s="1347" t="s">
        <v>1761</v>
      </c>
      <c r="E888" s="1347" t="s">
        <v>1762</v>
      </c>
    </row>
    <row r="889" spans="1:5" x14ac:dyDescent="0.45">
      <c r="B889" s="1347" t="s">
        <v>1763</v>
      </c>
      <c r="D889" s="1347" t="s">
        <v>1764</v>
      </c>
      <c r="E889" s="1347" t="s">
        <v>1110</v>
      </c>
    </row>
    <row r="890" spans="1:5" x14ac:dyDescent="0.45">
      <c r="A890" s="1347" t="s">
        <v>1105</v>
      </c>
      <c r="B890" s="1347" t="s">
        <v>1765</v>
      </c>
      <c r="D890" s="1347" t="s">
        <v>1766</v>
      </c>
      <c r="E890" s="1347" t="s">
        <v>1767</v>
      </c>
    </row>
    <row r="891" spans="1:5" x14ac:dyDescent="0.45">
      <c r="B891" s="1347" t="s">
        <v>1108</v>
      </c>
      <c r="D891" s="1347" t="s">
        <v>1109</v>
      </c>
      <c r="E891" s="1347" t="s">
        <v>1110</v>
      </c>
    </row>
    <row r="892" spans="1:5" x14ac:dyDescent="0.45">
      <c r="B892" s="1347" t="s">
        <v>1108</v>
      </c>
      <c r="D892" s="1347" t="s">
        <v>1109</v>
      </c>
      <c r="E892" s="1347" t="s">
        <v>1110</v>
      </c>
    </row>
    <row r="893" spans="1:5" x14ac:dyDescent="0.45">
      <c r="B893" s="1347" t="s">
        <v>1108</v>
      </c>
      <c r="D893" s="1347" t="s">
        <v>1109</v>
      </c>
      <c r="E893" s="1347" t="s">
        <v>1110</v>
      </c>
    </row>
    <row r="894" spans="1:5" x14ac:dyDescent="0.45">
      <c r="B894" s="1347" t="s">
        <v>1108</v>
      </c>
      <c r="D894" s="1347" t="s">
        <v>1109</v>
      </c>
      <c r="E894" s="1347" t="s">
        <v>1110</v>
      </c>
    </row>
    <row r="895" spans="1:5" x14ac:dyDescent="0.45">
      <c r="B895" s="1347" t="s">
        <v>1108</v>
      </c>
      <c r="D895" s="1347" t="s">
        <v>1109</v>
      </c>
      <c r="E895" s="1347" t="s">
        <v>1110</v>
      </c>
    </row>
    <row r="896" spans="1:5" x14ac:dyDescent="0.45">
      <c r="B896" s="1347" t="s">
        <v>1108</v>
      </c>
      <c r="D896" s="1347" t="s">
        <v>1109</v>
      </c>
      <c r="E896" s="1347" t="s">
        <v>1110</v>
      </c>
    </row>
    <row r="897" spans="1:5" x14ac:dyDescent="0.45">
      <c r="B897" s="1347" t="s">
        <v>1108</v>
      </c>
      <c r="D897" s="1347" t="s">
        <v>1109</v>
      </c>
      <c r="E897" s="1347" t="s">
        <v>1110</v>
      </c>
    </row>
    <row r="898" spans="1:5" x14ac:dyDescent="0.45">
      <c r="B898" s="1347" t="s">
        <v>1108</v>
      </c>
      <c r="D898" s="1347" t="s">
        <v>1109</v>
      </c>
      <c r="E898" s="1347" t="s">
        <v>1110</v>
      </c>
    </row>
    <row r="899" spans="1:5" x14ac:dyDescent="0.45">
      <c r="B899" s="1347" t="s">
        <v>1108</v>
      </c>
      <c r="D899" s="1347" t="s">
        <v>1109</v>
      </c>
      <c r="E899" s="1347" t="s">
        <v>1110</v>
      </c>
    </row>
    <row r="900" spans="1:5" x14ac:dyDescent="0.45">
      <c r="B900" s="1347" t="s">
        <v>1108</v>
      </c>
      <c r="D900" s="1347" t="s">
        <v>1109</v>
      </c>
      <c r="E900" s="1347" t="s">
        <v>1110</v>
      </c>
    </row>
    <row r="901" spans="1:5" x14ac:dyDescent="0.45">
      <c r="A901" s="1347">
        <v>-3</v>
      </c>
      <c r="B901" s="1347" t="s">
        <v>1768</v>
      </c>
      <c r="D901" s="1347" t="s">
        <v>1769</v>
      </c>
      <c r="E901" s="1347" t="s">
        <v>1770</v>
      </c>
    </row>
    <row r="902" spans="1:5" x14ac:dyDescent="0.45">
      <c r="B902" s="1347" t="s">
        <v>1771</v>
      </c>
      <c r="D902" s="1347" t="s">
        <v>1772</v>
      </c>
      <c r="E902" s="1347" t="s">
        <v>1773</v>
      </c>
    </row>
    <row r="903" spans="1:5" x14ac:dyDescent="0.45">
      <c r="B903" s="1347" t="s">
        <v>1108</v>
      </c>
      <c r="D903" s="1347" t="s">
        <v>1774</v>
      </c>
      <c r="E903" s="1347" t="s">
        <v>1775</v>
      </c>
    </row>
    <row r="904" spans="1:5" x14ac:dyDescent="0.45">
      <c r="B904" s="1347" t="s">
        <v>1776</v>
      </c>
      <c r="D904" s="1347" t="s">
        <v>1777</v>
      </c>
      <c r="E904" s="1347" t="s">
        <v>1778</v>
      </c>
    </row>
    <row r="905" spans="1:5" x14ac:dyDescent="0.45">
      <c r="B905" s="1347" t="s">
        <v>1108</v>
      </c>
      <c r="D905" s="1347" t="s">
        <v>1779</v>
      </c>
      <c r="E905" s="1347" t="s">
        <v>1780</v>
      </c>
    </row>
    <row r="906" spans="1:5" x14ac:dyDescent="0.45">
      <c r="B906" s="1347" t="s">
        <v>1108</v>
      </c>
      <c r="D906" s="1347" t="s">
        <v>1781</v>
      </c>
      <c r="E906" s="1347" t="s">
        <v>1782</v>
      </c>
    </row>
    <row r="907" spans="1:5" x14ac:dyDescent="0.45">
      <c r="B907" s="1347" t="s">
        <v>1783</v>
      </c>
      <c r="D907" s="1347" t="s">
        <v>1784</v>
      </c>
      <c r="E907" s="1347" t="s">
        <v>1785</v>
      </c>
    </row>
    <row r="908" spans="1:5" x14ac:dyDescent="0.45">
      <c r="B908" s="1347" t="s">
        <v>1786</v>
      </c>
      <c r="D908" s="1347" t="s">
        <v>1787</v>
      </c>
      <c r="E908" s="1347" t="s">
        <v>1788</v>
      </c>
    </row>
    <row r="909" spans="1:5" x14ac:dyDescent="0.45">
      <c r="A909" s="1347">
        <v>-1</v>
      </c>
      <c r="B909" s="1347" t="s">
        <v>1789</v>
      </c>
      <c r="C909" s="1347" t="s">
        <v>1105</v>
      </c>
      <c r="D909" s="1347" t="s">
        <v>1790</v>
      </c>
      <c r="E909" s="1347" t="s">
        <v>1791</v>
      </c>
    </row>
    <row r="910" spans="1:5" x14ac:dyDescent="0.45">
      <c r="B910" s="1347" t="s">
        <v>1792</v>
      </c>
      <c r="D910" s="1347" t="s">
        <v>1793</v>
      </c>
      <c r="E910" s="1347" t="s">
        <v>1794</v>
      </c>
    </row>
    <row r="911" spans="1:5" x14ac:dyDescent="0.45">
      <c r="B911" s="1347" t="s">
        <v>1795</v>
      </c>
      <c r="D911" s="1347" t="s">
        <v>1796</v>
      </c>
      <c r="E911" s="1347" t="s">
        <v>1797</v>
      </c>
    </row>
    <row r="912" spans="1:5" x14ac:dyDescent="0.45">
      <c r="B912" s="1347" t="s">
        <v>1108</v>
      </c>
      <c r="D912" s="1347" t="s">
        <v>1798</v>
      </c>
      <c r="E912" s="1347" t="s">
        <v>1110</v>
      </c>
    </row>
    <row r="913" spans="1:5" x14ac:dyDescent="0.45">
      <c r="B913" s="1347" t="s">
        <v>1799</v>
      </c>
      <c r="D913" s="1347" t="s">
        <v>1800</v>
      </c>
      <c r="E913" s="1347" t="s">
        <v>1801</v>
      </c>
    </row>
    <row r="914" spans="1:5" x14ac:dyDescent="0.45">
      <c r="B914" s="1347" t="s">
        <v>1802</v>
      </c>
      <c r="D914" s="1347" t="s">
        <v>1803</v>
      </c>
      <c r="E914" s="1347" t="s">
        <v>1804</v>
      </c>
    </row>
    <row r="915" spans="1:5" x14ac:dyDescent="0.45">
      <c r="B915" s="1347" t="s">
        <v>1108</v>
      </c>
      <c r="D915" s="1347" t="s">
        <v>1805</v>
      </c>
      <c r="E915" s="1347" t="s">
        <v>1806</v>
      </c>
    </row>
    <row r="916" spans="1:5" x14ac:dyDescent="0.45">
      <c r="B916" s="1347" t="s">
        <v>1807</v>
      </c>
      <c r="D916" s="1347" t="s">
        <v>1109</v>
      </c>
      <c r="E916" s="1347" t="s">
        <v>1808</v>
      </c>
    </row>
    <row r="917" spans="1:5" x14ac:dyDescent="0.45">
      <c r="B917" s="1347" t="s">
        <v>1108</v>
      </c>
      <c r="C917" s="1347" t="s">
        <v>1105</v>
      </c>
      <c r="D917" s="1347" t="s">
        <v>1809</v>
      </c>
      <c r="E917" s="1347" t="s">
        <v>1156</v>
      </c>
    </row>
    <row r="918" spans="1:5" x14ac:dyDescent="0.45">
      <c r="A918" s="1347">
        <v>-14</v>
      </c>
      <c r="B918" s="1347" t="s">
        <v>1810</v>
      </c>
      <c r="D918" s="1347" t="s">
        <v>1811</v>
      </c>
      <c r="E918" s="1347" t="s">
        <v>1812</v>
      </c>
    </row>
    <row r="919" spans="1:5" x14ac:dyDescent="0.45">
      <c r="A919" s="1347" t="s">
        <v>1105</v>
      </c>
      <c r="B919" s="1347" t="s">
        <v>1813</v>
      </c>
      <c r="C919" s="1347" t="s">
        <v>1105</v>
      </c>
      <c r="D919" s="1347" t="s">
        <v>1814</v>
      </c>
      <c r="E919" s="1347" t="s">
        <v>1110</v>
      </c>
    </row>
    <row r="920" spans="1:5" x14ac:dyDescent="0.45">
      <c r="A920" s="1347">
        <v>5</v>
      </c>
      <c r="B920" s="1347" t="s">
        <v>1815</v>
      </c>
      <c r="D920" s="1347" t="s">
        <v>1816</v>
      </c>
      <c r="E920" s="1347" t="s">
        <v>1817</v>
      </c>
    </row>
    <row r="921" spans="1:5" x14ac:dyDescent="0.45">
      <c r="A921" s="1347">
        <v>17</v>
      </c>
      <c r="B921" s="1347" t="s">
        <v>1818</v>
      </c>
      <c r="C921" s="1347">
        <v>3</v>
      </c>
      <c r="D921" s="1347" t="s">
        <v>1819</v>
      </c>
      <c r="E921" s="1347" t="s">
        <v>1820</v>
      </c>
    </row>
    <row r="922" spans="1:5" x14ac:dyDescent="0.45">
      <c r="A922" s="1347" t="s">
        <v>1105</v>
      </c>
      <c r="B922" s="1347" t="s">
        <v>1821</v>
      </c>
      <c r="D922" s="1347" t="s">
        <v>1822</v>
      </c>
      <c r="E922" s="1347" t="s">
        <v>1113</v>
      </c>
    </row>
    <row r="923" spans="1:5" x14ac:dyDescent="0.45">
      <c r="B923" s="1347" t="s">
        <v>1108</v>
      </c>
      <c r="D923" s="1347" t="s">
        <v>1823</v>
      </c>
      <c r="E923" s="1347" t="s">
        <v>1824</v>
      </c>
    </row>
    <row r="924" spans="1:5" x14ac:dyDescent="0.45">
      <c r="A924" s="1347">
        <v>5</v>
      </c>
      <c r="B924" s="1347" t="s">
        <v>1825</v>
      </c>
      <c r="D924" s="1347" t="s">
        <v>1826</v>
      </c>
      <c r="E924" s="1347" t="s">
        <v>1827</v>
      </c>
    </row>
    <row r="925" spans="1:5" x14ac:dyDescent="0.45">
      <c r="B925" s="1347" t="s">
        <v>1828</v>
      </c>
      <c r="D925" s="1347" t="s">
        <v>1109</v>
      </c>
      <c r="E925" s="1347" t="s">
        <v>1829</v>
      </c>
    </row>
    <row r="926" spans="1:5" x14ac:dyDescent="0.45">
      <c r="B926" s="1347" t="s">
        <v>1830</v>
      </c>
      <c r="D926" s="1347" t="s">
        <v>1831</v>
      </c>
      <c r="E926" s="1347" t="s">
        <v>1832</v>
      </c>
    </row>
    <row r="927" spans="1:5" x14ac:dyDescent="0.45">
      <c r="B927" s="1347" t="s">
        <v>1833</v>
      </c>
      <c r="D927" s="1347" t="s">
        <v>1834</v>
      </c>
      <c r="E927" s="1347" t="s">
        <v>1835</v>
      </c>
    </row>
    <row r="928" spans="1:5" x14ac:dyDescent="0.45">
      <c r="B928" s="1347" t="s">
        <v>1108</v>
      </c>
      <c r="C928" s="1347" t="s">
        <v>1105</v>
      </c>
      <c r="D928" s="1347" t="s">
        <v>1836</v>
      </c>
      <c r="E928" s="1347" t="s">
        <v>1837</v>
      </c>
    </row>
    <row r="929" spans="1:5" x14ac:dyDescent="0.45">
      <c r="A929" s="1347" t="s">
        <v>1105</v>
      </c>
      <c r="B929" s="1347" t="s">
        <v>1838</v>
      </c>
      <c r="D929" s="1347">
        <f>-66   -705  -1040  -102</f>
        <v>-1913</v>
      </c>
      <c r="E929" s="1347" t="s">
        <v>1839</v>
      </c>
    </row>
    <row r="930" spans="1:5" x14ac:dyDescent="0.45">
      <c r="B930" s="1347" t="s">
        <v>1108</v>
      </c>
      <c r="C930" s="1347" t="s">
        <v>1105</v>
      </c>
      <c r="D930" s="1347" t="s">
        <v>1840</v>
      </c>
      <c r="E930" s="1347" t="s">
        <v>1841</v>
      </c>
    </row>
    <row r="931" spans="1:5" x14ac:dyDescent="0.45">
      <c r="A931" s="1347">
        <v>12</v>
      </c>
      <c r="B931" s="1347" t="s">
        <v>1842</v>
      </c>
      <c r="C931" s="1347">
        <v>1</v>
      </c>
      <c r="D931" s="1347" t="s">
        <v>1843</v>
      </c>
      <c r="E931" s="1347" t="s">
        <v>1844</v>
      </c>
    </row>
    <row r="932" spans="1:5" x14ac:dyDescent="0.45">
      <c r="B932" s="1347" t="s">
        <v>1845</v>
      </c>
      <c r="D932" s="1347" t="s">
        <v>1846</v>
      </c>
      <c r="E932" s="1347" t="s">
        <v>1847</v>
      </c>
    </row>
    <row r="933" spans="1:5" x14ac:dyDescent="0.45">
      <c r="B933" s="1347" t="s">
        <v>1108</v>
      </c>
      <c r="D933" s="1347" t="s">
        <v>1848</v>
      </c>
      <c r="E933" s="1347" t="s">
        <v>1849</v>
      </c>
    </row>
    <row r="934" spans="1:5" x14ac:dyDescent="0.45">
      <c r="B934" s="1347" t="s">
        <v>1850</v>
      </c>
      <c r="D934" s="1347" t="s">
        <v>1851</v>
      </c>
      <c r="E934" s="1347" t="s">
        <v>1852</v>
      </c>
    </row>
    <row r="935" spans="1:5" x14ac:dyDescent="0.45">
      <c r="B935" s="1347">
        <f>-95   -144</f>
        <v>-239</v>
      </c>
      <c r="D935" s="1347" t="s">
        <v>1853</v>
      </c>
      <c r="E935" s="1347" t="s">
        <v>1854</v>
      </c>
    </row>
    <row r="936" spans="1:5" x14ac:dyDescent="0.45">
      <c r="B936" s="1347" t="s">
        <v>1108</v>
      </c>
      <c r="D936" s="1347" t="s">
        <v>1855</v>
      </c>
      <c r="E936" s="1347" t="s">
        <v>1275</v>
      </c>
    </row>
    <row r="937" spans="1:5" x14ac:dyDescent="0.45">
      <c r="B937" s="1347" t="s">
        <v>1856</v>
      </c>
      <c r="D937" s="1347" t="s">
        <v>1857</v>
      </c>
      <c r="E937" s="1347" t="s">
        <v>1858</v>
      </c>
    </row>
    <row r="938" spans="1:5" x14ac:dyDescent="0.45">
      <c r="B938" s="1347" t="s">
        <v>1859</v>
      </c>
      <c r="D938" s="1347" t="s">
        <v>1860</v>
      </c>
      <c r="E938" s="1347" t="s">
        <v>1861</v>
      </c>
    </row>
    <row r="939" spans="1:5" x14ac:dyDescent="0.45">
      <c r="A939" s="1347" t="s">
        <v>1105</v>
      </c>
      <c r="B939" s="1347" t="s">
        <v>1862</v>
      </c>
      <c r="D939" s="1347" t="s">
        <v>1863</v>
      </c>
      <c r="E939" s="1347" t="s">
        <v>1864</v>
      </c>
    </row>
    <row r="940" spans="1:5" x14ac:dyDescent="0.45">
      <c r="B940" s="1347" t="s">
        <v>1108</v>
      </c>
      <c r="D940" s="1347" t="s">
        <v>1865</v>
      </c>
      <c r="E940" s="1347" t="s">
        <v>1866</v>
      </c>
    </row>
    <row r="941" spans="1:5" x14ac:dyDescent="0.45">
      <c r="B941" s="1347" t="s">
        <v>1867</v>
      </c>
      <c r="C941" s="1347" t="s">
        <v>1105</v>
      </c>
      <c r="D941" s="1347" t="s">
        <v>1868</v>
      </c>
      <c r="E941" s="1347" t="s">
        <v>1869</v>
      </c>
    </row>
    <row r="942" spans="1:5" x14ac:dyDescent="0.45">
      <c r="B942" s="1347" t="s">
        <v>1108</v>
      </c>
      <c r="D942" s="1347" t="s">
        <v>1109</v>
      </c>
      <c r="E942" s="1347" t="s">
        <v>1110</v>
      </c>
    </row>
    <row r="943" spans="1:5" x14ac:dyDescent="0.45">
      <c r="B943" s="1347" t="s">
        <v>1108</v>
      </c>
      <c r="D943" s="1347" t="s">
        <v>1109</v>
      </c>
      <c r="E943" s="1347" t="s">
        <v>1110</v>
      </c>
    </row>
    <row r="944" spans="1:5" x14ac:dyDescent="0.45">
      <c r="B944" s="1347" t="s">
        <v>1108</v>
      </c>
      <c r="D944" s="1347" t="s">
        <v>1109</v>
      </c>
      <c r="E944" s="1347" t="s">
        <v>1110</v>
      </c>
    </row>
    <row r="945" spans="2:5" x14ac:dyDescent="0.45">
      <c r="B945" s="1347" t="s">
        <v>1108</v>
      </c>
      <c r="D945" s="1347" t="s">
        <v>1109</v>
      </c>
      <c r="E945" s="1347" t="s">
        <v>1110</v>
      </c>
    </row>
    <row r="946" spans="2:5" x14ac:dyDescent="0.45">
      <c r="B946" s="1347" t="s">
        <v>1108</v>
      </c>
      <c r="D946" s="1347" t="s">
        <v>1109</v>
      </c>
      <c r="E946" s="1347" t="s">
        <v>1110</v>
      </c>
    </row>
    <row r="947" spans="2:5" x14ac:dyDescent="0.45">
      <c r="B947" s="1347" t="s">
        <v>1108</v>
      </c>
      <c r="D947" s="1347" t="s">
        <v>1109</v>
      </c>
      <c r="E947" s="1347" t="s">
        <v>1110</v>
      </c>
    </row>
    <row r="948" spans="2:5" x14ac:dyDescent="0.45">
      <c r="B948" s="1347" t="s">
        <v>1108</v>
      </c>
      <c r="D948" s="1347" t="s">
        <v>1109</v>
      </c>
      <c r="E948" s="1347" t="s">
        <v>1110</v>
      </c>
    </row>
    <row r="949" spans="2:5" x14ac:dyDescent="0.45">
      <c r="B949" s="1347" t="s">
        <v>1108</v>
      </c>
      <c r="D949" s="1347" t="s">
        <v>1109</v>
      </c>
      <c r="E949" s="1347" t="s">
        <v>1110</v>
      </c>
    </row>
    <row r="950" spans="2:5" x14ac:dyDescent="0.45">
      <c r="B950" s="1347" t="s">
        <v>1108</v>
      </c>
      <c r="D950" s="1347" t="s">
        <v>1109</v>
      </c>
      <c r="E950" s="1347" t="s">
        <v>1110</v>
      </c>
    </row>
    <row r="951" spans="2:5" x14ac:dyDescent="0.45">
      <c r="B951" s="1347" t="s">
        <v>1108</v>
      </c>
      <c r="D951" s="1347" t="s">
        <v>1109</v>
      </c>
      <c r="E951" s="1347" t="s">
        <v>1110</v>
      </c>
    </row>
    <row r="952" spans="2:5" x14ac:dyDescent="0.45">
      <c r="B952" s="1347" t="s">
        <v>1108</v>
      </c>
      <c r="D952" s="1347" t="s">
        <v>1870</v>
      </c>
      <c r="E952" s="1347" t="s">
        <v>1871</v>
      </c>
    </row>
    <row r="953" spans="2:5" x14ac:dyDescent="0.45">
      <c r="B953" s="1347" t="s">
        <v>1108</v>
      </c>
      <c r="D953" s="1347" t="s">
        <v>1872</v>
      </c>
      <c r="E953" s="1347" t="s">
        <v>1873</v>
      </c>
    </row>
    <row r="954" spans="2:5" x14ac:dyDescent="0.45">
      <c r="B954" s="1347" t="s">
        <v>1108</v>
      </c>
      <c r="D954" s="1347" t="s">
        <v>1874</v>
      </c>
      <c r="E954" s="1347" t="s">
        <v>1875</v>
      </c>
    </row>
    <row r="955" spans="2:5" x14ac:dyDescent="0.45">
      <c r="B955" s="1347" t="s">
        <v>1876</v>
      </c>
      <c r="D955" s="1347" t="s">
        <v>1877</v>
      </c>
      <c r="E955" s="1347" t="s">
        <v>1878</v>
      </c>
    </row>
    <row r="956" spans="2:5" x14ac:dyDescent="0.45">
      <c r="B956" s="1347" t="s">
        <v>1845</v>
      </c>
      <c r="D956" s="1347" t="s">
        <v>1879</v>
      </c>
      <c r="E956" s="1347" t="s">
        <v>1880</v>
      </c>
    </row>
    <row r="957" spans="2:5" x14ac:dyDescent="0.45">
      <c r="B957" s="1347" t="s">
        <v>1108</v>
      </c>
      <c r="D957" s="1347" t="s">
        <v>1881</v>
      </c>
      <c r="E957" s="1347" t="s">
        <v>1110</v>
      </c>
    </row>
    <row r="958" spans="2:5" x14ac:dyDescent="0.45">
      <c r="B958" s="1347" t="s">
        <v>1882</v>
      </c>
      <c r="D958" s="1347" t="s">
        <v>1883</v>
      </c>
      <c r="E958" s="1347" t="s">
        <v>1884</v>
      </c>
    </row>
    <row r="959" spans="2:5" x14ac:dyDescent="0.45">
      <c r="B959" s="1347" t="s">
        <v>1108</v>
      </c>
      <c r="D959" s="1347" t="s">
        <v>1885</v>
      </c>
      <c r="E959" s="1347" t="s">
        <v>1886</v>
      </c>
    </row>
    <row r="960" spans="2:5" x14ac:dyDescent="0.45">
      <c r="B960" s="1347" t="s">
        <v>1887</v>
      </c>
      <c r="D960" s="1347" t="s">
        <v>1888</v>
      </c>
      <c r="E960" s="1347" t="s">
        <v>1889</v>
      </c>
    </row>
    <row r="961" spans="1:5" x14ac:dyDescent="0.45">
      <c r="B961" s="1347" t="s">
        <v>1108</v>
      </c>
      <c r="D961" s="1347" t="s">
        <v>1890</v>
      </c>
      <c r="E961" s="1347" t="s">
        <v>1891</v>
      </c>
    </row>
    <row r="962" spans="1:5" x14ac:dyDescent="0.45">
      <c r="A962" s="1347">
        <v>-3</v>
      </c>
      <c r="B962" s="1347" t="s">
        <v>1892</v>
      </c>
      <c r="D962" s="1347" t="s">
        <v>1893</v>
      </c>
      <c r="E962" s="1347" t="s">
        <v>1894</v>
      </c>
    </row>
    <row r="963" spans="1:5" x14ac:dyDescent="0.45">
      <c r="B963" s="1347" t="s">
        <v>1895</v>
      </c>
      <c r="D963" s="1347" t="s">
        <v>1896</v>
      </c>
      <c r="E963" s="1347" t="s">
        <v>1897</v>
      </c>
    </row>
    <row r="964" spans="1:5" x14ac:dyDescent="0.45">
      <c r="B964" s="1347" t="s">
        <v>1108</v>
      </c>
      <c r="D964" s="1347" t="s">
        <v>1898</v>
      </c>
      <c r="E964" s="1347" t="s">
        <v>1110</v>
      </c>
    </row>
    <row r="965" spans="1:5" x14ac:dyDescent="0.45">
      <c r="B965" s="1347" t="s">
        <v>1899</v>
      </c>
      <c r="D965" s="1347" t="s">
        <v>1900</v>
      </c>
      <c r="E965" s="1347" t="s">
        <v>1901</v>
      </c>
    </row>
    <row r="966" spans="1:5" x14ac:dyDescent="0.45">
      <c r="B966" s="1347" t="s">
        <v>1902</v>
      </c>
      <c r="D966" s="1347" t="s">
        <v>1903</v>
      </c>
      <c r="E966" s="1347" t="s">
        <v>1904</v>
      </c>
    </row>
    <row r="967" spans="1:5" x14ac:dyDescent="0.45">
      <c r="B967" s="1347" t="s">
        <v>1108</v>
      </c>
      <c r="D967" s="1347" t="s">
        <v>1905</v>
      </c>
      <c r="E967" s="1347" t="s">
        <v>1906</v>
      </c>
    </row>
    <row r="968" spans="1:5" x14ac:dyDescent="0.45">
      <c r="B968" s="1347" t="s">
        <v>1907</v>
      </c>
      <c r="D968" s="1347" t="s">
        <v>1109</v>
      </c>
      <c r="E968" s="1347" t="s">
        <v>1908</v>
      </c>
    </row>
    <row r="969" spans="1:5" x14ac:dyDescent="0.45">
      <c r="B969" s="1347" t="s">
        <v>1108</v>
      </c>
      <c r="D969" s="1347" t="s">
        <v>1909</v>
      </c>
      <c r="E969" s="1347" t="s">
        <v>1156</v>
      </c>
    </row>
    <row r="970" spans="1:5" x14ac:dyDescent="0.45">
      <c r="A970" s="1347">
        <v>5</v>
      </c>
      <c r="B970" s="1347" t="s">
        <v>1910</v>
      </c>
      <c r="C970" s="1347" t="s">
        <v>1105</v>
      </c>
      <c r="D970" s="1347" t="s">
        <v>1911</v>
      </c>
      <c r="E970" s="1347" t="s">
        <v>1912</v>
      </c>
    </row>
    <row r="971" spans="1:5" x14ac:dyDescent="0.45">
      <c r="B971" s="1347">
        <f>-99   -483</f>
        <v>-582</v>
      </c>
      <c r="C971" s="1347" t="s">
        <v>1105</v>
      </c>
      <c r="D971" s="1347" t="s">
        <v>1913</v>
      </c>
      <c r="E971" s="1347" t="s">
        <v>1110</v>
      </c>
    </row>
    <row r="972" spans="1:5" x14ac:dyDescent="0.45">
      <c r="A972" s="1347">
        <v>-7</v>
      </c>
      <c r="B972" s="1347" t="s">
        <v>1914</v>
      </c>
      <c r="C972" s="1347" t="s">
        <v>1105</v>
      </c>
      <c r="D972" s="1347" t="s">
        <v>1915</v>
      </c>
      <c r="E972" s="1347" t="s">
        <v>1916</v>
      </c>
    </row>
    <row r="973" spans="1:5" x14ac:dyDescent="0.45">
      <c r="A973" s="1347">
        <v>4</v>
      </c>
      <c r="B973" s="1347" t="s">
        <v>1439</v>
      </c>
      <c r="D973" s="1347" t="s">
        <v>1917</v>
      </c>
      <c r="E973" s="1347" t="s">
        <v>1918</v>
      </c>
    </row>
    <row r="974" spans="1:5" x14ac:dyDescent="0.45">
      <c r="B974" s="1347" t="s">
        <v>1108</v>
      </c>
      <c r="D974" s="1347" t="s">
        <v>1109</v>
      </c>
      <c r="E974" s="1347" t="s">
        <v>1110</v>
      </c>
    </row>
    <row r="975" spans="1:5" x14ac:dyDescent="0.45">
      <c r="B975" s="1347" t="s">
        <v>1108</v>
      </c>
      <c r="D975" s="1347" t="s">
        <v>1109</v>
      </c>
      <c r="E975" s="1347" t="s">
        <v>1110</v>
      </c>
    </row>
    <row r="976" spans="1:5" x14ac:dyDescent="0.45">
      <c r="B976" s="1347" t="s">
        <v>1108</v>
      </c>
      <c r="D976" s="1347" t="s">
        <v>1109</v>
      </c>
      <c r="E976" s="1347" t="s">
        <v>1110</v>
      </c>
    </row>
    <row r="977" spans="2:5" x14ac:dyDescent="0.45">
      <c r="B977" s="1347" t="s">
        <v>1108</v>
      </c>
      <c r="D977" s="1347" t="s">
        <v>1109</v>
      </c>
      <c r="E977" s="1347" t="s">
        <v>1110</v>
      </c>
    </row>
    <row r="978" spans="2:5" x14ac:dyDescent="0.45">
      <c r="B978" s="1347" t="s">
        <v>1108</v>
      </c>
      <c r="D978" s="1347" t="s">
        <v>1109</v>
      </c>
      <c r="E978" s="1347" t="s">
        <v>1110</v>
      </c>
    </row>
    <row r="979" spans="2:5" x14ac:dyDescent="0.45">
      <c r="B979" s="1347" t="s">
        <v>1108</v>
      </c>
      <c r="D979" s="1347" t="s">
        <v>1109</v>
      </c>
      <c r="E979" s="1347" t="s">
        <v>1110</v>
      </c>
    </row>
    <row r="980" spans="2:5" x14ac:dyDescent="0.45">
      <c r="B980" s="1347" t="s">
        <v>1108</v>
      </c>
      <c r="D980" s="1347" t="s">
        <v>1109</v>
      </c>
      <c r="E980" s="1347" t="s">
        <v>1110</v>
      </c>
    </row>
    <row r="981" spans="2:5" x14ac:dyDescent="0.45">
      <c r="B981" s="1347" t="s">
        <v>1108</v>
      </c>
      <c r="D981" s="1347" t="s">
        <v>1109</v>
      </c>
      <c r="E981" s="1347" t="s">
        <v>1110</v>
      </c>
    </row>
    <row r="982" spans="2:5" x14ac:dyDescent="0.45">
      <c r="B982" s="1347" t="s">
        <v>1108</v>
      </c>
      <c r="D982" s="1347" t="s">
        <v>1109</v>
      </c>
      <c r="E982" s="1347" t="s">
        <v>1110</v>
      </c>
    </row>
    <row r="983" spans="2:5" x14ac:dyDescent="0.45">
      <c r="B983" s="1347" t="s">
        <v>1108</v>
      </c>
      <c r="D983" s="1347" t="s">
        <v>1109</v>
      </c>
      <c r="E983" s="1347" t="s">
        <v>1110</v>
      </c>
    </row>
    <row r="984" spans="2:5" x14ac:dyDescent="0.45">
      <c r="B984" s="1347" t="s">
        <v>1108</v>
      </c>
      <c r="D984" s="1347" t="s">
        <v>1109</v>
      </c>
      <c r="E984" s="1347" t="s">
        <v>1110</v>
      </c>
    </row>
    <row r="985" spans="2:5" x14ac:dyDescent="0.45">
      <c r="B985" s="1347" t="s">
        <v>1108</v>
      </c>
      <c r="D985" s="1347" t="s">
        <v>1109</v>
      </c>
      <c r="E985" s="1347" t="s">
        <v>1110</v>
      </c>
    </row>
    <row r="986" spans="2:5" x14ac:dyDescent="0.45">
      <c r="B986" s="1347" t="s">
        <v>1108</v>
      </c>
      <c r="D986" s="1347" t="s">
        <v>1109</v>
      </c>
      <c r="E986" s="1347" t="s">
        <v>1110</v>
      </c>
    </row>
    <row r="987" spans="2:5" x14ac:dyDescent="0.45">
      <c r="B987" s="1347" t="s">
        <v>1108</v>
      </c>
      <c r="D987" s="1347" t="s">
        <v>1109</v>
      </c>
      <c r="E987" s="1347" t="s">
        <v>1110</v>
      </c>
    </row>
    <row r="988" spans="2:5" x14ac:dyDescent="0.45">
      <c r="B988" s="1347" t="s">
        <v>1108</v>
      </c>
      <c r="D988" s="1347" t="s">
        <v>1109</v>
      </c>
      <c r="E988" s="1347" t="s">
        <v>1110</v>
      </c>
    </row>
    <row r="989" spans="2:5" x14ac:dyDescent="0.45">
      <c r="B989" s="1347" t="s">
        <v>1108</v>
      </c>
      <c r="D989" s="1347" t="s">
        <v>1109</v>
      </c>
      <c r="E989" s="1347" t="s">
        <v>1110</v>
      </c>
    </row>
    <row r="990" spans="2:5" x14ac:dyDescent="0.45">
      <c r="B990" s="1347" t="s">
        <v>1108</v>
      </c>
      <c r="D990" s="1347" t="s">
        <v>1109</v>
      </c>
      <c r="E990" s="1347" t="s">
        <v>1110</v>
      </c>
    </row>
    <row r="991" spans="2:5" x14ac:dyDescent="0.45">
      <c r="B991" s="1347" t="s">
        <v>1108</v>
      </c>
      <c r="D991" s="1347" t="s">
        <v>1109</v>
      </c>
      <c r="E991" s="1347" t="s">
        <v>1110</v>
      </c>
    </row>
    <row r="992" spans="2:5" x14ac:dyDescent="0.45">
      <c r="B992" s="1347" t="s">
        <v>1108</v>
      </c>
      <c r="D992" s="1347" t="s">
        <v>1109</v>
      </c>
      <c r="E992" s="1347" t="s">
        <v>1110</v>
      </c>
    </row>
    <row r="993" spans="2:5" x14ac:dyDescent="0.45">
      <c r="B993" s="1347" t="s">
        <v>1108</v>
      </c>
      <c r="D993" s="1347" t="s">
        <v>1109</v>
      </c>
      <c r="E993" s="1347" t="s">
        <v>1110</v>
      </c>
    </row>
    <row r="994" spans="2:5" x14ac:dyDescent="0.45">
      <c r="B994" s="1347" t="s">
        <v>1108</v>
      </c>
      <c r="D994" s="1347" t="s">
        <v>1109</v>
      </c>
      <c r="E994" s="1347" t="s">
        <v>1110</v>
      </c>
    </row>
    <row r="995" spans="2:5" x14ac:dyDescent="0.45">
      <c r="B995" s="1347" t="s">
        <v>1108</v>
      </c>
      <c r="D995" s="1347" t="s">
        <v>1109</v>
      </c>
      <c r="E995" s="1347" t="s">
        <v>1110</v>
      </c>
    </row>
    <row r="996" spans="2:5" x14ac:dyDescent="0.45">
      <c r="B996" s="1347" t="s">
        <v>1108</v>
      </c>
      <c r="D996" s="1347" t="s">
        <v>1109</v>
      </c>
      <c r="E996" s="1347" t="s">
        <v>1110</v>
      </c>
    </row>
    <row r="997" spans="2:5" x14ac:dyDescent="0.45">
      <c r="B997" s="1347" t="s">
        <v>1108</v>
      </c>
      <c r="D997" s="1347" t="s">
        <v>1109</v>
      </c>
      <c r="E997" s="1347" t="s">
        <v>1110</v>
      </c>
    </row>
    <row r="998" spans="2:5" x14ac:dyDescent="0.45">
      <c r="B998" s="1347" t="s">
        <v>1108</v>
      </c>
      <c r="D998" s="1347" t="s">
        <v>1109</v>
      </c>
      <c r="E998" s="1347" t="s">
        <v>1110</v>
      </c>
    </row>
    <row r="999" spans="2:5" x14ac:dyDescent="0.45">
      <c r="B999" s="1347" t="s">
        <v>1108</v>
      </c>
      <c r="D999" s="1347" t="s">
        <v>1109</v>
      </c>
      <c r="E999" s="1347" t="s">
        <v>1110</v>
      </c>
    </row>
    <row r="1000" spans="2:5" x14ac:dyDescent="0.45">
      <c r="B1000" s="1347" t="s">
        <v>1108</v>
      </c>
      <c r="D1000" s="1347" t="s">
        <v>1109</v>
      </c>
      <c r="E1000" s="1347" t="s">
        <v>1110</v>
      </c>
    </row>
    <row r="1001" spans="2:5" x14ac:dyDescent="0.45">
      <c r="B1001" s="1347" t="s">
        <v>1108</v>
      </c>
      <c r="D1001" s="1347" t="s">
        <v>1109</v>
      </c>
      <c r="E1001" s="1347" t="s">
        <v>1110</v>
      </c>
    </row>
    <row r="1002" spans="2:5" x14ac:dyDescent="0.45">
      <c r="B1002" s="1347" t="s">
        <v>1108</v>
      </c>
      <c r="D1002" s="1347" t="s">
        <v>1109</v>
      </c>
      <c r="E1002" s="1347" t="s">
        <v>1110</v>
      </c>
    </row>
    <row r="1003" spans="2:5" x14ac:dyDescent="0.45">
      <c r="B1003" s="1347" t="s">
        <v>1108</v>
      </c>
      <c r="D1003" s="1347" t="s">
        <v>1109</v>
      </c>
      <c r="E1003" s="1347" t="s">
        <v>1110</v>
      </c>
    </row>
    <row r="1004" spans="2:5" x14ac:dyDescent="0.45">
      <c r="B1004" s="1347" t="s">
        <v>1108</v>
      </c>
      <c r="D1004" s="1347" t="s">
        <v>1109</v>
      </c>
      <c r="E1004" s="1347" t="s">
        <v>1110</v>
      </c>
    </row>
    <row r="1005" spans="2:5" x14ac:dyDescent="0.45">
      <c r="B1005" s="1347" t="s">
        <v>1108</v>
      </c>
      <c r="D1005" s="1347" t="s">
        <v>1109</v>
      </c>
      <c r="E1005" s="1347" t="s">
        <v>1110</v>
      </c>
    </row>
    <row r="1006" spans="2:5" x14ac:dyDescent="0.45">
      <c r="B1006" s="1347" t="s">
        <v>1108</v>
      </c>
      <c r="D1006" s="1347" t="s">
        <v>1685</v>
      </c>
      <c r="E1006" s="1347" t="s">
        <v>1919</v>
      </c>
    </row>
    <row r="1007" spans="2:5" x14ac:dyDescent="0.45">
      <c r="B1007" s="1347" t="s">
        <v>1108</v>
      </c>
      <c r="D1007" s="1347" t="s">
        <v>1199</v>
      </c>
      <c r="E1007" s="1347" t="s">
        <v>1920</v>
      </c>
    </row>
    <row r="1008" spans="2:5" x14ac:dyDescent="0.45">
      <c r="B1008" s="1347" t="s">
        <v>1108</v>
      </c>
      <c r="D1008" s="1347" t="s">
        <v>1921</v>
      </c>
      <c r="E1008" s="1347" t="s">
        <v>1922</v>
      </c>
    </row>
    <row r="1009" spans="1:5" x14ac:dyDescent="0.45">
      <c r="B1009" s="1347" t="s">
        <v>1923</v>
      </c>
      <c r="D1009" s="1347" t="s">
        <v>1924</v>
      </c>
      <c r="E1009" s="1347" t="s">
        <v>1925</v>
      </c>
    </row>
    <row r="1010" spans="1:5" x14ac:dyDescent="0.45">
      <c r="B1010" s="1347" t="s">
        <v>1926</v>
      </c>
      <c r="D1010" s="1347" t="s">
        <v>1927</v>
      </c>
      <c r="E1010" s="1347" t="s">
        <v>1928</v>
      </c>
    </row>
    <row r="1011" spans="1:5" x14ac:dyDescent="0.45">
      <c r="B1011" s="1347" t="s">
        <v>1108</v>
      </c>
      <c r="D1011" s="1347" t="s">
        <v>1929</v>
      </c>
      <c r="E1011" s="1347" t="s">
        <v>1110</v>
      </c>
    </row>
    <row r="1012" spans="1:5" x14ac:dyDescent="0.45">
      <c r="B1012" s="1347" t="s">
        <v>1930</v>
      </c>
      <c r="D1012" s="1347" t="s">
        <v>1931</v>
      </c>
      <c r="E1012" s="1347" t="s">
        <v>1932</v>
      </c>
    </row>
    <row r="1013" spans="1:5" x14ac:dyDescent="0.45">
      <c r="B1013" s="1347" t="s">
        <v>1108</v>
      </c>
      <c r="D1013" s="1347" t="s">
        <v>1933</v>
      </c>
      <c r="E1013" s="1347" t="s">
        <v>1934</v>
      </c>
    </row>
    <row r="1014" spans="1:5" x14ac:dyDescent="0.45">
      <c r="A1014" s="1347" t="s">
        <v>1105</v>
      </c>
      <c r="B1014" s="1347" t="s">
        <v>1935</v>
      </c>
      <c r="C1014" s="1347" t="s">
        <v>1105</v>
      </c>
      <c r="D1014" s="1347" t="s">
        <v>1936</v>
      </c>
      <c r="E1014" s="1347" t="s">
        <v>1937</v>
      </c>
    </row>
    <row r="1015" spans="1:5" x14ac:dyDescent="0.45">
      <c r="B1015" s="1347" t="s">
        <v>1108</v>
      </c>
      <c r="D1015" s="1347" t="s">
        <v>1938</v>
      </c>
      <c r="E1015" s="1347" t="s">
        <v>1939</v>
      </c>
    </row>
    <row r="1016" spans="1:5" x14ac:dyDescent="0.45">
      <c r="B1016" s="1347" t="s">
        <v>1940</v>
      </c>
      <c r="C1016" s="1347" t="s">
        <v>1105</v>
      </c>
      <c r="D1016" s="1347" t="s">
        <v>1941</v>
      </c>
      <c r="E1016" s="1347" t="s">
        <v>1942</v>
      </c>
    </row>
    <row r="1017" spans="1:5" x14ac:dyDescent="0.45">
      <c r="B1017" s="1347" t="s">
        <v>1943</v>
      </c>
      <c r="D1017" s="1347" t="s">
        <v>1944</v>
      </c>
      <c r="E1017" s="1347" t="s">
        <v>1945</v>
      </c>
    </row>
    <row r="1018" spans="1:5" x14ac:dyDescent="0.45">
      <c r="A1018" s="1347" t="s">
        <v>1105</v>
      </c>
      <c r="B1018" s="1347" t="s">
        <v>1946</v>
      </c>
      <c r="D1018" s="1347" t="s">
        <v>1947</v>
      </c>
      <c r="E1018" s="1347" t="s">
        <v>1948</v>
      </c>
    </row>
    <row r="1019" spans="1:5" x14ac:dyDescent="0.45">
      <c r="B1019" s="1347" t="s">
        <v>1108</v>
      </c>
      <c r="D1019" s="1347" t="s">
        <v>1949</v>
      </c>
      <c r="E1019" s="1347" t="s">
        <v>1950</v>
      </c>
    </row>
    <row r="1020" spans="1:5" x14ac:dyDescent="0.45">
      <c r="B1020" s="1347" t="s">
        <v>1951</v>
      </c>
      <c r="D1020" s="1347" t="s">
        <v>1952</v>
      </c>
      <c r="E1020" s="1347" t="s">
        <v>1953</v>
      </c>
    </row>
    <row r="1021" spans="1:5" x14ac:dyDescent="0.45">
      <c r="A1021" s="1347" t="s">
        <v>1105</v>
      </c>
      <c r="B1021" s="1347" t="s">
        <v>1954</v>
      </c>
      <c r="D1021" s="1347" t="s">
        <v>1955</v>
      </c>
      <c r="E1021" s="1347" t="s">
        <v>1956</v>
      </c>
    </row>
    <row r="1022" spans="1:5" x14ac:dyDescent="0.45">
      <c r="B1022" s="1347" t="s">
        <v>1108</v>
      </c>
      <c r="D1022" s="1347" t="s">
        <v>1957</v>
      </c>
      <c r="E1022" s="1347" t="s">
        <v>1958</v>
      </c>
    </row>
    <row r="1023" spans="1:5" x14ac:dyDescent="0.45">
      <c r="B1023" s="1347" t="s">
        <v>1959</v>
      </c>
      <c r="D1023" s="1347" t="s">
        <v>1960</v>
      </c>
      <c r="E1023" s="1347" t="s">
        <v>1961</v>
      </c>
    </row>
    <row r="1024" spans="1:5" x14ac:dyDescent="0.45">
      <c r="B1024" s="1347" t="s">
        <v>1962</v>
      </c>
      <c r="D1024" s="1347" t="s">
        <v>1963</v>
      </c>
      <c r="E1024" s="1347" t="s">
        <v>1964</v>
      </c>
    </row>
    <row r="1025" spans="1:5" x14ac:dyDescent="0.45">
      <c r="B1025" s="1347" t="s">
        <v>1965</v>
      </c>
      <c r="D1025" s="1347" t="s">
        <v>1966</v>
      </c>
      <c r="E1025" s="1347" t="s">
        <v>1967</v>
      </c>
    </row>
    <row r="1026" spans="1:5" x14ac:dyDescent="0.45">
      <c r="B1026" s="1347" t="s">
        <v>1108</v>
      </c>
      <c r="D1026" s="1347" t="s">
        <v>1968</v>
      </c>
      <c r="E1026" s="1347" t="s">
        <v>1969</v>
      </c>
    </row>
    <row r="1027" spans="1:5" x14ac:dyDescent="0.45">
      <c r="B1027" s="1347" t="s">
        <v>1970</v>
      </c>
      <c r="C1027" s="1347" t="s">
        <v>1105</v>
      </c>
      <c r="D1027" s="1347" t="s">
        <v>1971</v>
      </c>
      <c r="E1027" s="1347" t="s">
        <v>1972</v>
      </c>
    </row>
    <row r="1028" spans="1:5" x14ac:dyDescent="0.45">
      <c r="A1028" s="1347">
        <v>4</v>
      </c>
      <c r="B1028" s="1347" t="s">
        <v>1973</v>
      </c>
      <c r="C1028" s="1347" t="s">
        <v>1105</v>
      </c>
      <c r="D1028" s="1347" t="s">
        <v>1974</v>
      </c>
      <c r="E1028" s="1347" t="s">
        <v>1975</v>
      </c>
    </row>
    <row r="1029" spans="1:5" x14ac:dyDescent="0.45">
      <c r="B1029" s="1347" t="s">
        <v>1108</v>
      </c>
      <c r="D1029" s="1347" t="s">
        <v>1109</v>
      </c>
      <c r="E1029" s="1347" t="s">
        <v>1110</v>
      </c>
    </row>
    <row r="1030" spans="1:5" x14ac:dyDescent="0.45">
      <c r="B1030" s="1347" t="s">
        <v>1108</v>
      </c>
      <c r="D1030" s="1347" t="s">
        <v>1109</v>
      </c>
      <c r="E1030" s="1347" t="s">
        <v>1110</v>
      </c>
    </row>
    <row r="1031" spans="1:5" x14ac:dyDescent="0.45">
      <c r="B1031" s="1347" t="s">
        <v>1108</v>
      </c>
      <c r="D1031" s="1347" t="s">
        <v>1109</v>
      </c>
      <c r="E1031" s="1347" t="s">
        <v>1110</v>
      </c>
    </row>
    <row r="1032" spans="1:5" x14ac:dyDescent="0.45">
      <c r="B1032" s="1347" t="s">
        <v>1108</v>
      </c>
      <c r="D1032" s="1347" t="s">
        <v>1109</v>
      </c>
      <c r="E1032" s="1347" t="s">
        <v>1110</v>
      </c>
    </row>
    <row r="1033" spans="1:5" x14ac:dyDescent="0.45">
      <c r="B1033" s="1347" t="s">
        <v>1108</v>
      </c>
      <c r="D1033" s="1347" t="s">
        <v>1109</v>
      </c>
      <c r="E1033" s="1347" t="s">
        <v>1110</v>
      </c>
    </row>
    <row r="1034" spans="1:5" x14ac:dyDescent="0.45">
      <c r="B1034" s="1347" t="s">
        <v>1108</v>
      </c>
      <c r="D1034" s="1347" t="s">
        <v>1109</v>
      </c>
      <c r="E1034" s="1347" t="s">
        <v>1110</v>
      </c>
    </row>
    <row r="1035" spans="1:5" x14ac:dyDescent="0.45">
      <c r="B1035" s="1347" t="s">
        <v>1108</v>
      </c>
      <c r="D1035" s="1347" t="s">
        <v>1109</v>
      </c>
      <c r="E1035" s="1347" t="s">
        <v>1110</v>
      </c>
    </row>
    <row r="1036" spans="1:5" x14ac:dyDescent="0.45">
      <c r="B1036" s="1347" t="s">
        <v>1108</v>
      </c>
      <c r="D1036" s="1347" t="s">
        <v>1109</v>
      </c>
      <c r="E1036" s="1347" t="s">
        <v>1110</v>
      </c>
    </row>
    <row r="1037" spans="1:5" x14ac:dyDescent="0.45">
      <c r="B1037" s="1347" t="s">
        <v>1108</v>
      </c>
      <c r="D1037" s="1347" t="s">
        <v>1109</v>
      </c>
      <c r="E1037" s="1347" t="s">
        <v>1110</v>
      </c>
    </row>
    <row r="1038" spans="1:5" x14ac:dyDescent="0.45">
      <c r="B1038" s="1347" t="s">
        <v>1108</v>
      </c>
      <c r="D1038" s="1347" t="s">
        <v>1109</v>
      </c>
      <c r="E1038" s="1347" t="s">
        <v>1110</v>
      </c>
    </row>
    <row r="1039" spans="1:5" x14ac:dyDescent="0.45">
      <c r="B1039" s="1347" t="s">
        <v>1108</v>
      </c>
      <c r="D1039" s="1347" t="s">
        <v>1109</v>
      </c>
      <c r="E1039" s="1347" t="s">
        <v>1110</v>
      </c>
    </row>
    <row r="1040" spans="1:5" x14ac:dyDescent="0.45">
      <c r="B1040" s="1347" t="s">
        <v>1976</v>
      </c>
      <c r="D1040" s="1347" t="s">
        <v>1977</v>
      </c>
      <c r="E1040" s="1347" t="s">
        <v>1978</v>
      </c>
    </row>
    <row r="1041" spans="1:5" x14ac:dyDescent="0.45">
      <c r="B1041" s="1347" t="s">
        <v>1108</v>
      </c>
      <c r="C1041" s="1347" t="s">
        <v>1105</v>
      </c>
      <c r="D1041" s="1347" t="s">
        <v>1979</v>
      </c>
      <c r="E1041" s="1347" t="s">
        <v>1110</v>
      </c>
    </row>
    <row r="1042" spans="1:5" x14ac:dyDescent="0.45">
      <c r="B1042" s="1347" t="s">
        <v>1980</v>
      </c>
      <c r="D1042" s="1347" t="s">
        <v>1349</v>
      </c>
      <c r="E1042" s="1347" t="s">
        <v>1981</v>
      </c>
    </row>
    <row r="1043" spans="1:5" x14ac:dyDescent="0.45">
      <c r="B1043" s="1347" t="s">
        <v>1982</v>
      </c>
      <c r="D1043" s="1347" t="s">
        <v>1983</v>
      </c>
      <c r="E1043" s="1347" t="s">
        <v>1984</v>
      </c>
    </row>
    <row r="1044" spans="1:5" x14ac:dyDescent="0.45">
      <c r="B1044" s="1347" t="s">
        <v>1108</v>
      </c>
      <c r="D1044" s="1347" t="s">
        <v>1985</v>
      </c>
      <c r="E1044" s="1347" t="s">
        <v>1986</v>
      </c>
    </row>
    <row r="1045" spans="1:5" x14ac:dyDescent="0.45">
      <c r="B1045" s="1347" t="s">
        <v>1987</v>
      </c>
      <c r="D1045" s="1347" t="s">
        <v>1109</v>
      </c>
      <c r="E1045" s="1347" t="s">
        <v>1988</v>
      </c>
    </row>
    <row r="1046" spans="1:5" x14ac:dyDescent="0.45">
      <c r="B1046" s="1347" t="s">
        <v>1108</v>
      </c>
      <c r="D1046" s="1347" t="s">
        <v>1989</v>
      </c>
      <c r="E1046" s="1347" t="s">
        <v>1275</v>
      </c>
    </row>
    <row r="1047" spans="1:5" x14ac:dyDescent="0.45">
      <c r="A1047" s="1347" t="s">
        <v>1105</v>
      </c>
      <c r="B1047" s="1347" t="s">
        <v>1990</v>
      </c>
      <c r="D1047" s="1347" t="s">
        <v>1991</v>
      </c>
      <c r="E1047" s="1347" t="s">
        <v>1992</v>
      </c>
    </row>
    <row r="1048" spans="1:5" x14ac:dyDescent="0.45">
      <c r="B1048" s="1347" t="s">
        <v>1993</v>
      </c>
      <c r="D1048" s="1347">
        <f>-709   -624   -953</f>
        <v>-2286</v>
      </c>
      <c r="E1048" s="1347" t="s">
        <v>1110</v>
      </c>
    </row>
    <row r="1049" spans="1:5" x14ac:dyDescent="0.45">
      <c r="A1049" s="1347" t="s">
        <v>1105</v>
      </c>
      <c r="B1049" s="1347" t="s">
        <v>1994</v>
      </c>
      <c r="D1049" s="1347">
        <f>-392  -1257   -194</f>
        <v>-1843</v>
      </c>
      <c r="E1049" s="1347" t="s">
        <v>1995</v>
      </c>
    </row>
    <row r="1050" spans="1:5" x14ac:dyDescent="0.45">
      <c r="A1050" s="1347">
        <v>4</v>
      </c>
      <c r="B1050" s="1347" t="s">
        <v>1996</v>
      </c>
      <c r="D1050" s="1347" t="s">
        <v>1997</v>
      </c>
      <c r="E1050" s="1347" t="s">
        <v>1998</v>
      </c>
    </row>
    <row r="1051" spans="1:5" x14ac:dyDescent="0.45">
      <c r="B1051" s="1347" t="s">
        <v>1108</v>
      </c>
      <c r="D1051" s="1347" t="s">
        <v>1999</v>
      </c>
      <c r="E1051" s="1347" t="s">
        <v>2000</v>
      </c>
    </row>
    <row r="1052" spans="1:5" x14ac:dyDescent="0.45">
      <c r="B1052" s="1347" t="s">
        <v>1108</v>
      </c>
      <c r="D1052" s="1347" t="s">
        <v>2001</v>
      </c>
      <c r="E1052" s="1347" t="s">
        <v>2002</v>
      </c>
    </row>
    <row r="1053" spans="1:5" x14ac:dyDescent="0.45">
      <c r="B1053" s="1347" t="s">
        <v>1108</v>
      </c>
      <c r="D1053" s="1347" t="s">
        <v>2003</v>
      </c>
      <c r="E1053" s="1347" t="s">
        <v>2004</v>
      </c>
    </row>
    <row r="1054" spans="1:5" x14ac:dyDescent="0.45">
      <c r="B1054" s="1347" t="s">
        <v>2005</v>
      </c>
      <c r="D1054" s="1347" t="s">
        <v>2006</v>
      </c>
      <c r="E1054" s="1347" t="s">
        <v>2007</v>
      </c>
    </row>
    <row r="1055" spans="1:5" x14ac:dyDescent="0.45">
      <c r="B1055" s="1347" t="s">
        <v>2008</v>
      </c>
      <c r="D1055" s="1347" t="s">
        <v>2009</v>
      </c>
      <c r="E1055" s="1347" t="s">
        <v>2010</v>
      </c>
    </row>
    <row r="1056" spans="1:5" x14ac:dyDescent="0.45">
      <c r="B1056" s="1347" t="s">
        <v>1108</v>
      </c>
      <c r="D1056" s="1347" t="s">
        <v>2011</v>
      </c>
      <c r="E1056" s="1347" t="s">
        <v>1110</v>
      </c>
    </row>
    <row r="1057" spans="1:5" x14ac:dyDescent="0.45">
      <c r="B1057" s="1347" t="s">
        <v>2012</v>
      </c>
      <c r="D1057" s="1347" t="s">
        <v>2013</v>
      </c>
      <c r="E1057" s="1347" t="s">
        <v>2014</v>
      </c>
    </row>
    <row r="1058" spans="1:5" x14ac:dyDescent="0.45">
      <c r="B1058" s="1347" t="s">
        <v>1108</v>
      </c>
      <c r="D1058" s="1347" t="s">
        <v>2015</v>
      </c>
      <c r="E1058" s="1347" t="s">
        <v>2016</v>
      </c>
    </row>
    <row r="1059" spans="1:5" x14ac:dyDescent="0.45">
      <c r="B1059" s="1347" t="s">
        <v>2017</v>
      </c>
      <c r="D1059" s="1347" t="s">
        <v>2018</v>
      </c>
      <c r="E1059" s="1347" t="s">
        <v>2019</v>
      </c>
    </row>
    <row r="1060" spans="1:5" x14ac:dyDescent="0.45">
      <c r="B1060" s="1347" t="s">
        <v>1108</v>
      </c>
      <c r="D1060" s="1347" t="s">
        <v>2020</v>
      </c>
      <c r="E1060" s="1347" t="s">
        <v>2021</v>
      </c>
    </row>
    <row r="1061" spans="1:5" x14ac:dyDescent="0.45">
      <c r="A1061" s="1347">
        <v>-7</v>
      </c>
      <c r="B1061" s="1347" t="s">
        <v>2022</v>
      </c>
      <c r="D1061" s="1347" t="s">
        <v>2023</v>
      </c>
      <c r="E1061" s="1347" t="s">
        <v>2024</v>
      </c>
    </row>
    <row r="1062" spans="1:5" x14ac:dyDescent="0.45">
      <c r="B1062" s="1347" t="s">
        <v>2025</v>
      </c>
      <c r="D1062" s="1347" t="s">
        <v>2026</v>
      </c>
      <c r="E1062" s="1347" t="s">
        <v>2027</v>
      </c>
    </row>
    <row r="1063" spans="1:5" x14ac:dyDescent="0.45">
      <c r="A1063" s="1347" t="s">
        <v>1105</v>
      </c>
      <c r="B1063" s="1347" t="s">
        <v>2028</v>
      </c>
      <c r="D1063" s="1347" t="s">
        <v>2029</v>
      </c>
      <c r="E1063" s="1347" t="s">
        <v>2030</v>
      </c>
    </row>
    <row r="1064" spans="1:5" x14ac:dyDescent="0.45">
      <c r="B1064" s="1347" t="s">
        <v>2031</v>
      </c>
      <c r="D1064" s="1347" t="s">
        <v>2032</v>
      </c>
      <c r="E1064" s="1347" t="s">
        <v>2033</v>
      </c>
    </row>
    <row r="1065" spans="1:5" x14ac:dyDescent="0.45">
      <c r="B1065" s="1347" t="s">
        <v>1108</v>
      </c>
      <c r="D1065" s="1347" t="s">
        <v>2034</v>
      </c>
      <c r="E1065" s="1347" t="s">
        <v>2035</v>
      </c>
    </row>
    <row r="1066" spans="1:5" x14ac:dyDescent="0.45">
      <c r="B1066" s="1347" t="s">
        <v>2036</v>
      </c>
      <c r="D1066" s="1347" t="s">
        <v>2037</v>
      </c>
      <c r="E1066" s="1347" t="s">
        <v>2038</v>
      </c>
    </row>
    <row r="1067" spans="1:5" x14ac:dyDescent="0.45">
      <c r="B1067" s="1347" t="s">
        <v>1108</v>
      </c>
      <c r="D1067" s="1347" t="s">
        <v>2039</v>
      </c>
      <c r="E1067" s="1347" t="s">
        <v>2040</v>
      </c>
    </row>
    <row r="1068" spans="1:5" x14ac:dyDescent="0.45">
      <c r="B1068" s="1347" t="s">
        <v>1108</v>
      </c>
      <c r="D1068" s="1347" t="s">
        <v>2041</v>
      </c>
      <c r="E1068" s="1347" t="s">
        <v>2042</v>
      </c>
    </row>
    <row r="1069" spans="1:5" x14ac:dyDescent="0.45">
      <c r="B1069" s="1347" t="s">
        <v>2043</v>
      </c>
      <c r="D1069" s="1347" t="s">
        <v>2044</v>
      </c>
      <c r="E1069" s="1347" t="s">
        <v>2045</v>
      </c>
    </row>
    <row r="1070" spans="1:5" x14ac:dyDescent="0.45">
      <c r="B1070" s="1347" t="s">
        <v>2046</v>
      </c>
      <c r="D1070" s="1347" t="s">
        <v>2047</v>
      </c>
      <c r="E1070" s="1347" t="s">
        <v>2048</v>
      </c>
    </row>
    <row r="1071" spans="1:5" x14ac:dyDescent="0.45">
      <c r="A1071" s="1347" t="s">
        <v>1105</v>
      </c>
      <c r="B1071" s="1347" t="s">
        <v>2049</v>
      </c>
      <c r="C1071" s="1347" t="s">
        <v>1105</v>
      </c>
      <c r="D1071" s="1347" t="s">
        <v>2050</v>
      </c>
      <c r="E1071" s="1347" t="s">
        <v>2051</v>
      </c>
    </row>
    <row r="1072" spans="1:5" x14ac:dyDescent="0.45">
      <c r="B1072" s="1347" t="s">
        <v>2052</v>
      </c>
      <c r="D1072" s="1347" t="s">
        <v>2053</v>
      </c>
      <c r="E1072" s="1347" t="s">
        <v>2054</v>
      </c>
    </row>
    <row r="1073" spans="1:5" x14ac:dyDescent="0.45">
      <c r="B1073" s="1347" t="s">
        <v>2055</v>
      </c>
      <c r="C1073" s="1347">
        <v>1</v>
      </c>
      <c r="D1073" s="1347" t="s">
        <v>2056</v>
      </c>
      <c r="E1073" s="1347" t="s">
        <v>2057</v>
      </c>
    </row>
    <row r="1074" spans="1:5" x14ac:dyDescent="0.45">
      <c r="B1074" s="1347" t="s">
        <v>2058</v>
      </c>
      <c r="D1074" s="1347" t="s">
        <v>2059</v>
      </c>
      <c r="E1074" s="1347" t="s">
        <v>2060</v>
      </c>
    </row>
    <row r="1075" spans="1:5" x14ac:dyDescent="0.45">
      <c r="B1075" s="1347" t="s">
        <v>2061</v>
      </c>
      <c r="D1075" s="1347" t="s">
        <v>2062</v>
      </c>
      <c r="E1075" s="1347" t="s">
        <v>2063</v>
      </c>
    </row>
    <row r="1076" spans="1:5" x14ac:dyDescent="0.45">
      <c r="B1076" s="1347" t="s">
        <v>1108</v>
      </c>
      <c r="D1076" s="1347" t="s">
        <v>2064</v>
      </c>
      <c r="E1076" s="1347" t="s">
        <v>2065</v>
      </c>
    </row>
    <row r="1077" spans="1:5" x14ac:dyDescent="0.45">
      <c r="B1077" s="1347" t="s">
        <v>2066</v>
      </c>
      <c r="D1077" s="1347" t="s">
        <v>2067</v>
      </c>
      <c r="E1077" s="1347" t="s">
        <v>2068</v>
      </c>
    </row>
    <row r="1078" spans="1:5" x14ac:dyDescent="0.45">
      <c r="B1078" s="1347" t="s">
        <v>2069</v>
      </c>
      <c r="D1078" s="1347" t="s">
        <v>2070</v>
      </c>
      <c r="E1078" s="1347" t="s">
        <v>2071</v>
      </c>
    </row>
    <row r="1079" spans="1:5" x14ac:dyDescent="0.45">
      <c r="B1079" s="1347" t="s">
        <v>1108</v>
      </c>
      <c r="D1079" s="1347" t="s">
        <v>2072</v>
      </c>
      <c r="E1079" s="1347" t="s">
        <v>1435</v>
      </c>
    </row>
    <row r="1080" spans="1:5" x14ac:dyDescent="0.45">
      <c r="B1080" s="1347" t="s">
        <v>2073</v>
      </c>
      <c r="D1080" s="1347" t="s">
        <v>2074</v>
      </c>
      <c r="E1080" s="1347" t="s">
        <v>2075</v>
      </c>
    </row>
    <row r="1081" spans="1:5" x14ac:dyDescent="0.45">
      <c r="A1081" s="1347">
        <v>-2</v>
      </c>
      <c r="B1081" s="1347" t="s">
        <v>2076</v>
      </c>
      <c r="D1081" s="1347" t="s">
        <v>2077</v>
      </c>
      <c r="E1081" s="1347" t="s">
        <v>2078</v>
      </c>
    </row>
    <row r="1082" spans="1:5" x14ac:dyDescent="0.45">
      <c r="B1082" s="1347" t="s">
        <v>2079</v>
      </c>
      <c r="D1082" s="1347" t="s">
        <v>2080</v>
      </c>
      <c r="E1082" s="1347" t="s">
        <v>2081</v>
      </c>
    </row>
    <row r="1083" spans="1:5" x14ac:dyDescent="0.45">
      <c r="B1083" s="1347" t="s">
        <v>1108</v>
      </c>
      <c r="D1083" s="1347" t="s">
        <v>2082</v>
      </c>
      <c r="E1083" s="1347" t="s">
        <v>2083</v>
      </c>
    </row>
    <row r="1084" spans="1:5" x14ac:dyDescent="0.45">
      <c r="B1084" s="1347" t="s">
        <v>2084</v>
      </c>
      <c r="C1084" s="1347" t="s">
        <v>1105</v>
      </c>
      <c r="D1084" s="1347" t="s">
        <v>2085</v>
      </c>
      <c r="E1084" s="1347" t="s">
        <v>2086</v>
      </c>
    </row>
    <row r="1085" spans="1:5" x14ac:dyDescent="0.45">
      <c r="A1085" s="1347">
        <v>1</v>
      </c>
      <c r="B1085" s="1347" t="s">
        <v>2087</v>
      </c>
      <c r="C1085" s="1347" t="s">
        <v>1105</v>
      </c>
      <c r="D1085" s="1347" t="s">
        <v>2088</v>
      </c>
      <c r="E1085" s="1347" t="s">
        <v>2089</v>
      </c>
    </row>
    <row r="1086" spans="1:5" x14ac:dyDescent="0.45">
      <c r="A1086" s="1347">
        <v>16</v>
      </c>
      <c r="B1086" s="1347" t="s">
        <v>2090</v>
      </c>
      <c r="C1086" s="1347">
        <v>2</v>
      </c>
      <c r="D1086" s="1347" t="s">
        <v>2091</v>
      </c>
      <c r="E1086" s="1347" t="s">
        <v>1110</v>
      </c>
    </row>
    <row r="1087" spans="1:5" x14ac:dyDescent="0.45">
      <c r="B1087" s="1347" t="s">
        <v>1108</v>
      </c>
      <c r="D1087" s="1347" t="s">
        <v>1109</v>
      </c>
      <c r="E1087" s="1347" t="s">
        <v>1110</v>
      </c>
    </row>
    <row r="1088" spans="1:5" x14ac:dyDescent="0.45">
      <c r="B1088" s="1347" t="s">
        <v>1108</v>
      </c>
      <c r="D1088" s="1347" t="s">
        <v>1109</v>
      </c>
      <c r="E1088" s="1347" t="s">
        <v>1110</v>
      </c>
    </row>
    <row r="1089" spans="2:5" x14ac:dyDescent="0.45">
      <c r="B1089" s="1347" t="s">
        <v>1108</v>
      </c>
      <c r="D1089" s="1347" t="s">
        <v>1109</v>
      </c>
      <c r="E1089" s="1347" t="s">
        <v>1110</v>
      </c>
    </row>
    <row r="1090" spans="2:5" x14ac:dyDescent="0.45">
      <c r="B1090" s="1347" t="s">
        <v>1108</v>
      </c>
      <c r="D1090" s="1347" t="s">
        <v>1109</v>
      </c>
      <c r="E1090" s="1347" t="s">
        <v>1110</v>
      </c>
    </row>
    <row r="1091" spans="2:5" x14ac:dyDescent="0.45">
      <c r="B1091" s="1347" t="s">
        <v>1108</v>
      </c>
      <c r="D1091" s="1347" t="s">
        <v>1109</v>
      </c>
      <c r="E1091" s="1347" t="s">
        <v>1110</v>
      </c>
    </row>
    <row r="1092" spans="2:5" x14ac:dyDescent="0.45">
      <c r="B1092" s="1347" t="s">
        <v>1108</v>
      </c>
      <c r="D1092" s="1347" t="s">
        <v>1109</v>
      </c>
      <c r="E1092" s="1347" t="s">
        <v>1110</v>
      </c>
    </row>
    <row r="1093" spans="2:5" x14ac:dyDescent="0.45">
      <c r="B1093" s="1347" t="s">
        <v>1108</v>
      </c>
      <c r="D1093" s="1347" t="s">
        <v>1109</v>
      </c>
      <c r="E1093" s="1347" t="s">
        <v>1110</v>
      </c>
    </row>
    <row r="1094" spans="2:5" x14ac:dyDescent="0.45">
      <c r="B1094" s="1347" t="s">
        <v>1108</v>
      </c>
      <c r="D1094" s="1347" t="s">
        <v>1109</v>
      </c>
      <c r="E1094" s="1347" t="s">
        <v>1110</v>
      </c>
    </row>
    <row r="1095" spans="2:5" x14ac:dyDescent="0.45">
      <c r="B1095" s="1347" t="s">
        <v>1108</v>
      </c>
      <c r="D1095" s="1347" t="s">
        <v>1109</v>
      </c>
      <c r="E1095" s="1347" t="s">
        <v>1110</v>
      </c>
    </row>
    <row r="1096" spans="2:5" x14ac:dyDescent="0.45">
      <c r="B1096" s="1347" t="s">
        <v>1108</v>
      </c>
      <c r="D1096" s="1347" t="s">
        <v>1109</v>
      </c>
      <c r="E1096" s="1347" t="s">
        <v>1110</v>
      </c>
    </row>
    <row r="1097" spans="2:5" x14ac:dyDescent="0.45">
      <c r="B1097" s="1347" t="s">
        <v>1108</v>
      </c>
      <c r="D1097" s="1347" t="s">
        <v>1109</v>
      </c>
      <c r="E1097" s="1347" t="s">
        <v>1110</v>
      </c>
    </row>
    <row r="1098" spans="2:5" x14ac:dyDescent="0.45">
      <c r="B1098" s="1347" t="s">
        <v>1108</v>
      </c>
      <c r="D1098" s="1347" t="s">
        <v>1109</v>
      </c>
      <c r="E1098" s="1347" t="s">
        <v>1110</v>
      </c>
    </row>
    <row r="1099" spans="2:5" x14ac:dyDescent="0.45">
      <c r="B1099" s="1347" t="s">
        <v>1108</v>
      </c>
      <c r="D1099" s="1347" t="s">
        <v>1109</v>
      </c>
      <c r="E1099" s="1347" t="s">
        <v>1110</v>
      </c>
    </row>
    <row r="1100" spans="2:5" x14ac:dyDescent="0.45">
      <c r="B1100" s="1347" t="s">
        <v>1108</v>
      </c>
      <c r="D1100" s="1347" t="s">
        <v>1109</v>
      </c>
      <c r="E1100" s="1347" t="s">
        <v>1110</v>
      </c>
    </row>
    <row r="1101" spans="2:5" x14ac:dyDescent="0.45">
      <c r="B1101" s="1347" t="s">
        <v>1108</v>
      </c>
      <c r="D1101" s="1347" t="s">
        <v>1109</v>
      </c>
      <c r="E1101" s="1347" t="s">
        <v>1110</v>
      </c>
    </row>
    <row r="1102" spans="2:5" x14ac:dyDescent="0.45">
      <c r="B1102" s="1347" t="s">
        <v>1108</v>
      </c>
      <c r="D1102" s="1347" t="s">
        <v>1109</v>
      </c>
      <c r="E1102" s="1347" t="s">
        <v>1110</v>
      </c>
    </row>
    <row r="1103" spans="2:5" x14ac:dyDescent="0.45">
      <c r="B1103" s="1347" t="s">
        <v>1108</v>
      </c>
      <c r="D1103" s="1347" t="s">
        <v>1109</v>
      </c>
      <c r="E1103" s="1347" t="s">
        <v>1110</v>
      </c>
    </row>
    <row r="1104" spans="2:5" x14ac:dyDescent="0.45">
      <c r="B1104" s="1347" t="s">
        <v>1108</v>
      </c>
      <c r="D1104" s="1347" t="s">
        <v>1109</v>
      </c>
      <c r="E1104" s="1347" t="s">
        <v>1110</v>
      </c>
    </row>
    <row r="1105" spans="2:5" x14ac:dyDescent="0.45">
      <c r="B1105" s="1347" t="s">
        <v>1108</v>
      </c>
      <c r="D1105" s="1347" t="s">
        <v>1109</v>
      </c>
      <c r="E1105" s="1347" t="s">
        <v>1110</v>
      </c>
    </row>
    <row r="1106" spans="2:5" x14ac:dyDescent="0.45">
      <c r="B1106" s="1347" t="s">
        <v>1108</v>
      </c>
      <c r="D1106" s="1347" t="s">
        <v>1109</v>
      </c>
      <c r="E1106" s="1347" t="s">
        <v>1110</v>
      </c>
    </row>
    <row r="1107" spans="2:5" x14ac:dyDescent="0.45">
      <c r="B1107" s="1347" t="s">
        <v>1108</v>
      </c>
      <c r="D1107" s="1347" t="s">
        <v>1109</v>
      </c>
      <c r="E1107" s="1347" t="s">
        <v>1110</v>
      </c>
    </row>
    <row r="1108" spans="2:5" x14ac:dyDescent="0.45">
      <c r="B1108" s="1347" t="s">
        <v>1108</v>
      </c>
      <c r="D1108" s="1347" t="s">
        <v>1109</v>
      </c>
      <c r="E1108" s="1347" t="s">
        <v>1110</v>
      </c>
    </row>
    <row r="1109" spans="2:5" x14ac:dyDescent="0.45">
      <c r="B1109" s="1347" t="s">
        <v>1108</v>
      </c>
      <c r="D1109" s="1347" t="s">
        <v>1109</v>
      </c>
      <c r="E1109" s="1347" t="s">
        <v>1110</v>
      </c>
    </row>
    <row r="1110" spans="2:5" x14ac:dyDescent="0.45">
      <c r="B1110" s="1347" t="s">
        <v>1108</v>
      </c>
      <c r="D1110" s="1347" t="s">
        <v>1109</v>
      </c>
      <c r="E1110" s="1347" t="s">
        <v>1110</v>
      </c>
    </row>
    <row r="1111" spans="2:5" x14ac:dyDescent="0.45">
      <c r="B1111" s="1347" t="s">
        <v>1108</v>
      </c>
      <c r="D1111" s="1347" t="s">
        <v>1109</v>
      </c>
      <c r="E1111" s="1347" t="s">
        <v>1110</v>
      </c>
    </row>
    <row r="1112" spans="2:5" x14ac:dyDescent="0.45">
      <c r="B1112" s="1347" t="s">
        <v>1108</v>
      </c>
      <c r="D1112" s="1347" t="s">
        <v>1109</v>
      </c>
      <c r="E1112" s="1347" t="s">
        <v>1110</v>
      </c>
    </row>
    <row r="1113" spans="2:5" x14ac:dyDescent="0.45">
      <c r="B1113" s="1347" t="s">
        <v>1108</v>
      </c>
      <c r="D1113" s="1347" t="s">
        <v>1109</v>
      </c>
      <c r="E1113" s="1347" t="s">
        <v>1110</v>
      </c>
    </row>
    <row r="1114" spans="2:5" x14ac:dyDescent="0.45">
      <c r="B1114" s="1347" t="s">
        <v>1108</v>
      </c>
      <c r="D1114" s="1347" t="s">
        <v>1109</v>
      </c>
      <c r="E1114" s="1347" t="s">
        <v>1110</v>
      </c>
    </row>
    <row r="1115" spans="2:5" x14ac:dyDescent="0.45">
      <c r="B1115" s="1347" t="s">
        <v>1108</v>
      </c>
      <c r="D1115" s="1347" t="s">
        <v>1109</v>
      </c>
      <c r="E1115" s="1347" t="s">
        <v>1110</v>
      </c>
    </row>
    <row r="1116" spans="2:5" x14ac:dyDescent="0.45">
      <c r="B1116" s="1347" t="s">
        <v>1108</v>
      </c>
      <c r="D1116" s="1347" t="s">
        <v>1109</v>
      </c>
      <c r="E1116" s="1347" t="s">
        <v>1110</v>
      </c>
    </row>
    <row r="1117" spans="2:5" x14ac:dyDescent="0.45">
      <c r="B1117" s="1347" t="s">
        <v>1108</v>
      </c>
      <c r="D1117" s="1347" t="s">
        <v>1109</v>
      </c>
      <c r="E1117" s="1347" t="s">
        <v>1110</v>
      </c>
    </row>
    <row r="1118" spans="2:5" x14ac:dyDescent="0.45">
      <c r="B1118" s="1347" t="s">
        <v>1108</v>
      </c>
      <c r="D1118" s="1347" t="s">
        <v>1109</v>
      </c>
      <c r="E1118" s="1347" t="s">
        <v>1110</v>
      </c>
    </row>
    <row r="1119" spans="2:5" x14ac:dyDescent="0.45">
      <c r="B1119" s="1347" t="s">
        <v>1108</v>
      </c>
      <c r="D1119" s="1347" t="s">
        <v>1109</v>
      </c>
      <c r="E1119" s="1347" t="s">
        <v>1110</v>
      </c>
    </row>
    <row r="1120" spans="2:5" x14ac:dyDescent="0.45">
      <c r="B1120" s="1347" t="s">
        <v>1108</v>
      </c>
      <c r="D1120" s="1347" t="s">
        <v>1109</v>
      </c>
      <c r="E1120" s="1347" t="s">
        <v>1110</v>
      </c>
    </row>
    <row r="1121" spans="2:5" x14ac:dyDescent="0.45">
      <c r="B1121" s="1347" t="s">
        <v>1108</v>
      </c>
      <c r="D1121" s="1347" t="s">
        <v>1109</v>
      </c>
      <c r="E1121" s="1347" t="s">
        <v>1110</v>
      </c>
    </row>
    <row r="1122" spans="2:5" x14ac:dyDescent="0.45">
      <c r="B1122" s="1347" t="s">
        <v>1108</v>
      </c>
      <c r="D1122" s="1347" t="s">
        <v>1109</v>
      </c>
      <c r="E1122" s="1347" t="s">
        <v>1110</v>
      </c>
    </row>
    <row r="1123" spans="2:5" x14ac:dyDescent="0.45">
      <c r="B1123" s="1347" t="s">
        <v>1108</v>
      </c>
      <c r="D1123" s="1347" t="s">
        <v>1109</v>
      </c>
      <c r="E1123" s="1347" t="s">
        <v>1110</v>
      </c>
    </row>
    <row r="1124" spans="2:5" x14ac:dyDescent="0.45">
      <c r="B1124" s="1347" t="s">
        <v>1108</v>
      </c>
      <c r="D1124" s="1347" t="s">
        <v>1109</v>
      </c>
      <c r="E1124" s="1347" t="s">
        <v>1110</v>
      </c>
    </row>
    <row r="1125" spans="2:5" x14ac:dyDescent="0.45">
      <c r="B1125" s="1347" t="s">
        <v>1108</v>
      </c>
      <c r="D1125" s="1347" t="s">
        <v>1109</v>
      </c>
      <c r="E1125" s="1347" t="s">
        <v>1110</v>
      </c>
    </row>
    <row r="1126" spans="2:5" x14ac:dyDescent="0.45">
      <c r="B1126" s="1347" t="s">
        <v>1108</v>
      </c>
      <c r="D1126" s="1347" t="s">
        <v>1109</v>
      </c>
      <c r="E1126" s="1347" t="s">
        <v>1110</v>
      </c>
    </row>
    <row r="1127" spans="2:5" x14ac:dyDescent="0.45">
      <c r="B1127" s="1347" t="s">
        <v>1108</v>
      </c>
      <c r="D1127" s="1347" t="s">
        <v>1109</v>
      </c>
      <c r="E1127" s="1347" t="s">
        <v>1110</v>
      </c>
    </row>
    <row r="1128" spans="2:5" x14ac:dyDescent="0.45">
      <c r="B1128" s="1347" t="s">
        <v>1108</v>
      </c>
      <c r="D1128" s="1347" t="s">
        <v>1109</v>
      </c>
      <c r="E1128" s="1347" t="s">
        <v>1110</v>
      </c>
    </row>
    <row r="1129" spans="2:5" x14ac:dyDescent="0.45">
      <c r="B1129" s="1347" t="s">
        <v>1108</v>
      </c>
      <c r="D1129" s="1347" t="s">
        <v>1109</v>
      </c>
      <c r="E1129" s="1347" t="s">
        <v>1110</v>
      </c>
    </row>
    <row r="1130" spans="2:5" x14ac:dyDescent="0.45">
      <c r="B1130" s="1347" t="s">
        <v>1108</v>
      </c>
      <c r="D1130" s="1347" t="s">
        <v>1109</v>
      </c>
      <c r="E1130" s="1347" t="s">
        <v>1110</v>
      </c>
    </row>
    <row r="1131" spans="2:5" x14ac:dyDescent="0.45">
      <c r="B1131" s="1347" t="s">
        <v>1108</v>
      </c>
      <c r="D1131" s="1347" t="s">
        <v>1109</v>
      </c>
      <c r="E1131" s="1347" t="s">
        <v>1110</v>
      </c>
    </row>
    <row r="1132" spans="2:5" x14ac:dyDescent="0.45">
      <c r="B1132" s="1347" t="s">
        <v>1108</v>
      </c>
      <c r="D1132" s="1347" t="s">
        <v>1109</v>
      </c>
      <c r="E1132" s="1347" t="s">
        <v>1110</v>
      </c>
    </row>
    <row r="1133" spans="2:5" x14ac:dyDescent="0.45">
      <c r="B1133" s="1347" t="s">
        <v>1108</v>
      </c>
      <c r="D1133" s="1347" t="s">
        <v>1109</v>
      </c>
      <c r="E1133" s="1347" t="s">
        <v>1110</v>
      </c>
    </row>
    <row r="1134" spans="2:5" x14ac:dyDescent="0.45">
      <c r="B1134" s="1347" t="s">
        <v>1108</v>
      </c>
      <c r="D1134" s="1347" t="s">
        <v>1109</v>
      </c>
      <c r="E1134" s="1347" t="s">
        <v>1110</v>
      </c>
    </row>
    <row r="1135" spans="2:5" x14ac:dyDescent="0.45">
      <c r="B1135" s="1347" t="s">
        <v>1108</v>
      </c>
      <c r="D1135" s="1347" t="s">
        <v>1109</v>
      </c>
      <c r="E1135" s="1347" t="s">
        <v>1110</v>
      </c>
    </row>
    <row r="1136" spans="2:5" x14ac:dyDescent="0.45">
      <c r="B1136" s="1347" t="s">
        <v>1108</v>
      </c>
      <c r="D1136" s="1347" t="s">
        <v>1109</v>
      </c>
      <c r="E1136" s="1347" t="s">
        <v>1110</v>
      </c>
    </row>
    <row r="1137" spans="1:5" x14ac:dyDescent="0.45">
      <c r="B1137" s="1347" t="s">
        <v>1108</v>
      </c>
      <c r="D1137" s="1347" t="s">
        <v>1109</v>
      </c>
      <c r="E1137" s="1347" t="s">
        <v>1110</v>
      </c>
    </row>
    <row r="1138" spans="1:5" x14ac:dyDescent="0.45">
      <c r="B1138" s="1347" t="s">
        <v>1108</v>
      </c>
      <c r="D1138" s="1347" t="s">
        <v>1109</v>
      </c>
      <c r="E1138" s="1347" t="s">
        <v>1110</v>
      </c>
    </row>
    <row r="1139" spans="1:5" x14ac:dyDescent="0.45">
      <c r="B1139" s="1347" t="s">
        <v>1108</v>
      </c>
      <c r="D1139" s="1347" t="s">
        <v>1109</v>
      </c>
      <c r="E1139" s="1347" t="s">
        <v>1110</v>
      </c>
    </row>
    <row r="1140" spans="1:5" x14ac:dyDescent="0.45">
      <c r="B1140" s="1347" t="s">
        <v>1108</v>
      </c>
      <c r="D1140" s="1347" t="s">
        <v>1109</v>
      </c>
      <c r="E1140" s="1347" t="s">
        <v>1110</v>
      </c>
    </row>
    <row r="1141" spans="1:5" x14ac:dyDescent="0.45">
      <c r="B1141" s="1347" t="s">
        <v>1108</v>
      </c>
      <c r="D1141" s="1347" t="s">
        <v>1109</v>
      </c>
      <c r="E1141" s="1347" t="s">
        <v>1110</v>
      </c>
    </row>
    <row r="1142" spans="1:5" x14ac:dyDescent="0.45">
      <c r="B1142" s="1347" t="s">
        <v>1108</v>
      </c>
      <c r="D1142" s="1347" t="s">
        <v>1109</v>
      </c>
      <c r="E1142" s="1347" t="s">
        <v>1110</v>
      </c>
    </row>
    <row r="1143" spans="1:5" x14ac:dyDescent="0.45">
      <c r="B1143" s="1347" t="s">
        <v>1108</v>
      </c>
      <c r="D1143" s="1347" t="s">
        <v>1109</v>
      </c>
      <c r="E1143" s="1347" t="s">
        <v>1110</v>
      </c>
    </row>
    <row r="1144" spans="1:5" x14ac:dyDescent="0.45">
      <c r="B1144" s="1347" t="s">
        <v>1108</v>
      </c>
      <c r="D1144" s="1347" t="s">
        <v>1109</v>
      </c>
      <c r="E1144" s="1347" t="s">
        <v>1110</v>
      </c>
    </row>
    <row r="1145" spans="1:5" x14ac:dyDescent="0.45">
      <c r="B1145" s="1347" t="s">
        <v>1108</v>
      </c>
      <c r="D1145" s="1347" t="s">
        <v>1109</v>
      </c>
      <c r="E1145" s="1347" t="s">
        <v>1110</v>
      </c>
    </row>
    <row r="1146" spans="1:5" x14ac:dyDescent="0.45">
      <c r="B1146" s="1347" t="s">
        <v>1108</v>
      </c>
      <c r="D1146" s="1347" t="s">
        <v>2092</v>
      </c>
      <c r="E1146" s="1347" t="s">
        <v>2093</v>
      </c>
    </row>
    <row r="1147" spans="1:5" x14ac:dyDescent="0.45">
      <c r="A1147" s="1347" t="s">
        <v>1105</v>
      </c>
      <c r="B1147" s="1347" t="s">
        <v>2094</v>
      </c>
      <c r="D1147" s="1347" t="s">
        <v>2095</v>
      </c>
      <c r="E1147" s="1347" t="s">
        <v>1110</v>
      </c>
    </row>
    <row r="1148" spans="1:5" x14ac:dyDescent="0.45">
      <c r="B1148" s="1347" t="s">
        <v>1108</v>
      </c>
      <c r="D1148" s="1347" t="s">
        <v>2096</v>
      </c>
      <c r="E1148" s="1347" t="s">
        <v>2097</v>
      </c>
    </row>
    <row r="1149" spans="1:5" x14ac:dyDescent="0.45">
      <c r="A1149" s="1347" t="s">
        <v>1105</v>
      </c>
      <c r="B1149" s="1347" t="s">
        <v>2098</v>
      </c>
      <c r="D1149" s="1347" t="s">
        <v>2099</v>
      </c>
      <c r="E1149" s="1347" t="s">
        <v>2100</v>
      </c>
    </row>
    <row r="1150" spans="1:5" x14ac:dyDescent="0.45">
      <c r="B1150" s="1347" t="s">
        <v>2101</v>
      </c>
      <c r="D1150" s="1347" t="s">
        <v>1109</v>
      </c>
      <c r="E1150" s="1347" t="s">
        <v>2102</v>
      </c>
    </row>
    <row r="1151" spans="1:5" x14ac:dyDescent="0.45">
      <c r="A1151" s="1347" t="s">
        <v>1105</v>
      </c>
      <c r="B1151" s="1347" t="s">
        <v>2103</v>
      </c>
      <c r="D1151" s="1347" t="s">
        <v>2104</v>
      </c>
      <c r="E1151" s="1347" t="s">
        <v>2105</v>
      </c>
    </row>
    <row r="1152" spans="1:5" x14ac:dyDescent="0.45">
      <c r="B1152" s="1347">
        <f>-14    -75</f>
        <v>-89</v>
      </c>
      <c r="D1152" s="1347" t="s">
        <v>2106</v>
      </c>
      <c r="E1152" s="1347" t="s">
        <v>2107</v>
      </c>
    </row>
    <row r="1153" spans="1:5" x14ac:dyDescent="0.45">
      <c r="B1153" s="1347" t="s">
        <v>1108</v>
      </c>
      <c r="C1153" s="1347" t="s">
        <v>1105</v>
      </c>
      <c r="D1153" s="1347" t="s">
        <v>2108</v>
      </c>
      <c r="E1153" s="1347" t="s">
        <v>2109</v>
      </c>
    </row>
    <row r="1154" spans="1:5" x14ac:dyDescent="0.45">
      <c r="B1154" s="1347" t="s">
        <v>2110</v>
      </c>
      <c r="D1154" s="1347" t="s">
        <v>2111</v>
      </c>
      <c r="E1154" s="1347" t="s">
        <v>2112</v>
      </c>
    </row>
    <row r="1155" spans="1:5" x14ac:dyDescent="0.45">
      <c r="B1155" s="1347" t="s">
        <v>1108</v>
      </c>
      <c r="D1155" s="1347" t="s">
        <v>2113</v>
      </c>
      <c r="E1155" s="1347" t="s">
        <v>2114</v>
      </c>
    </row>
    <row r="1156" spans="1:5" x14ac:dyDescent="0.45">
      <c r="B1156" s="1347" t="s">
        <v>2115</v>
      </c>
      <c r="D1156" s="1347" t="s">
        <v>2116</v>
      </c>
      <c r="E1156" s="1347" t="s">
        <v>2117</v>
      </c>
    </row>
    <row r="1157" spans="1:5" x14ac:dyDescent="0.45">
      <c r="A1157" s="1347">
        <v>-16</v>
      </c>
      <c r="B1157" s="1347" t="s">
        <v>2118</v>
      </c>
      <c r="D1157" s="1347" t="s">
        <v>2119</v>
      </c>
      <c r="E1157" s="1347" t="s">
        <v>2120</v>
      </c>
    </row>
    <row r="1158" spans="1:5" x14ac:dyDescent="0.45">
      <c r="A1158" s="1347">
        <v>1</v>
      </c>
      <c r="B1158" s="1347" t="s">
        <v>1146</v>
      </c>
      <c r="D1158" s="1347" t="s">
        <v>1109</v>
      </c>
      <c r="E1158" s="1347" t="s">
        <v>1110</v>
      </c>
    </row>
    <row r="1159" spans="1:5" x14ac:dyDescent="0.45">
      <c r="B1159" s="1347" t="s">
        <v>1108</v>
      </c>
      <c r="D1159" s="1347" t="s">
        <v>1109</v>
      </c>
      <c r="E1159" s="1347" t="s">
        <v>1110</v>
      </c>
    </row>
    <row r="1160" spans="1:5" x14ac:dyDescent="0.45">
      <c r="B1160" s="1347" t="s">
        <v>1108</v>
      </c>
      <c r="D1160" s="1347" t="s">
        <v>1109</v>
      </c>
      <c r="E1160" s="1347" t="s">
        <v>1110</v>
      </c>
    </row>
    <row r="1161" spans="1:5" x14ac:dyDescent="0.45">
      <c r="B1161" s="1347" t="s">
        <v>1108</v>
      </c>
      <c r="D1161" s="1347" t="s">
        <v>1109</v>
      </c>
      <c r="E1161" s="1347" t="s">
        <v>1110</v>
      </c>
    </row>
    <row r="1162" spans="1:5" x14ac:dyDescent="0.45">
      <c r="B1162" s="1347" t="s">
        <v>1108</v>
      </c>
      <c r="D1162" s="1347" t="s">
        <v>1109</v>
      </c>
      <c r="E1162" s="1347" t="s">
        <v>1110</v>
      </c>
    </row>
    <row r="1163" spans="1:5" x14ac:dyDescent="0.45">
      <c r="B1163" s="1347" t="s">
        <v>1108</v>
      </c>
      <c r="D1163" s="1347" t="s">
        <v>1109</v>
      </c>
      <c r="E1163" s="1347" t="s">
        <v>1110</v>
      </c>
    </row>
    <row r="1164" spans="1:5" x14ac:dyDescent="0.45">
      <c r="B1164" s="1347" t="s">
        <v>1108</v>
      </c>
      <c r="D1164" s="1347" t="s">
        <v>1109</v>
      </c>
      <c r="E1164" s="1347" t="s">
        <v>1110</v>
      </c>
    </row>
    <row r="1165" spans="1:5" x14ac:dyDescent="0.45">
      <c r="B1165" s="1347" t="s">
        <v>1108</v>
      </c>
      <c r="D1165" s="1347" t="s">
        <v>1109</v>
      </c>
      <c r="E1165" s="1347" t="s">
        <v>1110</v>
      </c>
    </row>
    <row r="1166" spans="1:5" x14ac:dyDescent="0.45">
      <c r="B1166" s="1347" t="s">
        <v>1108</v>
      </c>
      <c r="D1166" s="1347" t="s">
        <v>1109</v>
      </c>
      <c r="E1166" s="1347" t="s">
        <v>1110</v>
      </c>
    </row>
    <row r="1167" spans="1:5" x14ac:dyDescent="0.45">
      <c r="B1167" s="1347" t="s">
        <v>1108</v>
      </c>
      <c r="D1167" s="1347" t="s">
        <v>1109</v>
      </c>
      <c r="E1167" s="1347" t="s">
        <v>1110</v>
      </c>
    </row>
    <row r="1168" spans="1:5" x14ac:dyDescent="0.45">
      <c r="B1168" s="1347" t="s">
        <v>1108</v>
      </c>
      <c r="D1168" s="1347" t="s">
        <v>1109</v>
      </c>
      <c r="E1168" s="1347" t="s">
        <v>1110</v>
      </c>
    </row>
    <row r="1169" spans="1:5" x14ac:dyDescent="0.45">
      <c r="B1169" s="1347" t="s">
        <v>1108</v>
      </c>
      <c r="D1169" s="1347" t="s">
        <v>1109</v>
      </c>
      <c r="E1169" s="1347" t="s">
        <v>1110</v>
      </c>
    </row>
    <row r="1170" spans="1:5" x14ac:dyDescent="0.45">
      <c r="B1170" s="1347" t="s">
        <v>1108</v>
      </c>
      <c r="D1170" s="1347" t="s">
        <v>1109</v>
      </c>
      <c r="E1170" s="1347" t="s">
        <v>1110</v>
      </c>
    </row>
    <row r="1171" spans="1:5" x14ac:dyDescent="0.45">
      <c r="A1171" s="1347" t="s">
        <v>1105</v>
      </c>
      <c r="B1171" s="1347" t="s">
        <v>2121</v>
      </c>
      <c r="D1171" s="1347" t="s">
        <v>2122</v>
      </c>
      <c r="E1171" s="1347" t="s">
        <v>2123</v>
      </c>
    </row>
    <row r="1172" spans="1:5" x14ac:dyDescent="0.45">
      <c r="B1172" s="1347" t="s">
        <v>2124</v>
      </c>
      <c r="D1172" s="1347" t="s">
        <v>2125</v>
      </c>
      <c r="E1172" s="1347" t="s">
        <v>2126</v>
      </c>
    </row>
    <row r="1173" spans="1:5" x14ac:dyDescent="0.45">
      <c r="B1173" s="1347" t="s">
        <v>1108</v>
      </c>
      <c r="D1173" s="1347" t="s">
        <v>2127</v>
      </c>
      <c r="E1173" s="1347" t="s">
        <v>2128</v>
      </c>
    </row>
    <row r="1174" spans="1:5" x14ac:dyDescent="0.45">
      <c r="A1174" s="1347" t="s">
        <v>1105</v>
      </c>
      <c r="B1174" s="1347" t="s">
        <v>2129</v>
      </c>
      <c r="D1174" s="1347" t="s">
        <v>2130</v>
      </c>
      <c r="E1174" s="1347" t="s">
        <v>2131</v>
      </c>
    </row>
    <row r="1175" spans="1:5" x14ac:dyDescent="0.45">
      <c r="B1175" s="1347" t="s">
        <v>1108</v>
      </c>
      <c r="D1175" s="1347" t="s">
        <v>2132</v>
      </c>
      <c r="E1175" s="1347" t="s">
        <v>2133</v>
      </c>
    </row>
    <row r="1176" spans="1:5" x14ac:dyDescent="0.45">
      <c r="B1176" s="1347" t="s">
        <v>1108</v>
      </c>
      <c r="D1176" s="1347" t="s">
        <v>2134</v>
      </c>
      <c r="E1176" s="1347" t="s">
        <v>2135</v>
      </c>
    </row>
    <row r="1177" spans="1:5" x14ac:dyDescent="0.45">
      <c r="B1177" s="1347" t="s">
        <v>2136</v>
      </c>
      <c r="C1177" s="1347" t="s">
        <v>1105</v>
      </c>
      <c r="D1177" s="1347" t="s">
        <v>2137</v>
      </c>
      <c r="E1177" s="1347" t="s">
        <v>2138</v>
      </c>
    </row>
    <row r="1178" spans="1:5" x14ac:dyDescent="0.45">
      <c r="B1178" s="1347" t="s">
        <v>2139</v>
      </c>
      <c r="D1178" s="1347" t="s">
        <v>2140</v>
      </c>
      <c r="E1178" s="1347" t="s">
        <v>2141</v>
      </c>
    </row>
    <row r="1179" spans="1:5" x14ac:dyDescent="0.45">
      <c r="B1179" s="1347" t="s">
        <v>2142</v>
      </c>
      <c r="D1179" s="1347" t="s">
        <v>2143</v>
      </c>
      <c r="E1179" s="1347" t="s">
        <v>2144</v>
      </c>
    </row>
    <row r="1180" spans="1:5" x14ac:dyDescent="0.45">
      <c r="B1180" s="1347" t="s">
        <v>2145</v>
      </c>
      <c r="D1180" s="1347" t="s">
        <v>2146</v>
      </c>
      <c r="E1180" s="1347" t="s">
        <v>2147</v>
      </c>
    </row>
    <row r="1181" spans="1:5" x14ac:dyDescent="0.45">
      <c r="B1181" s="1347" t="s">
        <v>2148</v>
      </c>
      <c r="D1181" s="1347" t="s">
        <v>2149</v>
      </c>
      <c r="E1181" s="1347" t="s">
        <v>2150</v>
      </c>
    </row>
    <row r="1182" spans="1:5" x14ac:dyDescent="0.45">
      <c r="B1182" s="1347" t="s">
        <v>2151</v>
      </c>
      <c r="D1182" s="1347" t="s">
        <v>2152</v>
      </c>
      <c r="E1182" s="1347" t="s">
        <v>2153</v>
      </c>
    </row>
    <row r="1183" spans="1:5" x14ac:dyDescent="0.45">
      <c r="B1183" s="1347" t="s">
        <v>1108</v>
      </c>
      <c r="D1183" s="1347" t="s">
        <v>2154</v>
      </c>
      <c r="E1183" s="1347" t="s">
        <v>2155</v>
      </c>
    </row>
    <row r="1184" spans="1:5" x14ac:dyDescent="0.45">
      <c r="B1184" s="1347" t="s">
        <v>1108</v>
      </c>
      <c r="D1184" s="1347" t="s">
        <v>2156</v>
      </c>
      <c r="E1184" s="1347" t="s">
        <v>2157</v>
      </c>
    </row>
    <row r="1185" spans="1:5" x14ac:dyDescent="0.45">
      <c r="B1185" s="1347" t="s">
        <v>1108</v>
      </c>
      <c r="D1185" s="1347" t="s">
        <v>2158</v>
      </c>
      <c r="E1185" s="1347" t="s">
        <v>2159</v>
      </c>
    </row>
    <row r="1186" spans="1:5" x14ac:dyDescent="0.45">
      <c r="B1186" s="1347" t="s">
        <v>2160</v>
      </c>
      <c r="D1186" s="1347" t="s">
        <v>2161</v>
      </c>
      <c r="E1186" s="1347" t="s">
        <v>2162</v>
      </c>
    </row>
    <row r="1187" spans="1:5" x14ac:dyDescent="0.45">
      <c r="B1187" s="1347" t="s">
        <v>2163</v>
      </c>
      <c r="D1187" s="1347" t="s">
        <v>2164</v>
      </c>
      <c r="E1187" s="1347" t="s">
        <v>2165</v>
      </c>
    </row>
    <row r="1188" spans="1:5" x14ac:dyDescent="0.45">
      <c r="B1188" s="1347" t="s">
        <v>1108</v>
      </c>
      <c r="D1188" s="1347" t="s">
        <v>2166</v>
      </c>
      <c r="E1188" s="1347" t="s">
        <v>1110</v>
      </c>
    </row>
    <row r="1189" spans="1:5" x14ac:dyDescent="0.45">
      <c r="B1189" s="1347" t="s">
        <v>1541</v>
      </c>
      <c r="D1189" s="1347" t="s">
        <v>2167</v>
      </c>
      <c r="E1189" s="1347" t="s">
        <v>2168</v>
      </c>
    </row>
    <row r="1190" spans="1:5" x14ac:dyDescent="0.45">
      <c r="B1190" s="1347" t="s">
        <v>1108</v>
      </c>
      <c r="D1190" s="1347" t="s">
        <v>2169</v>
      </c>
      <c r="E1190" s="1347" t="s">
        <v>2170</v>
      </c>
    </row>
    <row r="1191" spans="1:5" x14ac:dyDescent="0.45">
      <c r="B1191" s="1347" t="s">
        <v>2171</v>
      </c>
      <c r="D1191" s="1347" t="s">
        <v>2172</v>
      </c>
      <c r="E1191" s="1347" t="s">
        <v>2173</v>
      </c>
    </row>
    <row r="1192" spans="1:5" x14ac:dyDescent="0.45">
      <c r="B1192" s="1347" t="s">
        <v>1108</v>
      </c>
      <c r="D1192" s="1347" t="s">
        <v>2174</v>
      </c>
      <c r="E1192" s="1347" t="s">
        <v>2175</v>
      </c>
    </row>
    <row r="1193" spans="1:5" x14ac:dyDescent="0.45">
      <c r="A1193" s="1347">
        <v>-4</v>
      </c>
      <c r="B1193" s="1347" t="s">
        <v>2176</v>
      </c>
      <c r="D1193" s="1347" t="s">
        <v>2177</v>
      </c>
      <c r="E1193" s="1347" t="s">
        <v>2178</v>
      </c>
    </row>
    <row r="1194" spans="1:5" x14ac:dyDescent="0.45">
      <c r="B1194" s="1347" t="s">
        <v>2179</v>
      </c>
      <c r="D1194" s="1347" t="s">
        <v>2180</v>
      </c>
      <c r="E1194" s="1347" t="s">
        <v>2181</v>
      </c>
    </row>
    <row r="1195" spans="1:5" x14ac:dyDescent="0.45">
      <c r="A1195" s="1347" t="s">
        <v>1105</v>
      </c>
      <c r="B1195" s="1347" t="s">
        <v>2182</v>
      </c>
      <c r="D1195" s="1347" t="s">
        <v>2183</v>
      </c>
      <c r="E1195" s="1347" t="s">
        <v>2184</v>
      </c>
    </row>
    <row r="1196" spans="1:5" x14ac:dyDescent="0.45">
      <c r="A1196" s="1347" t="s">
        <v>1105</v>
      </c>
      <c r="B1196" s="1347" t="s">
        <v>2185</v>
      </c>
      <c r="D1196" s="1347" t="s">
        <v>2186</v>
      </c>
      <c r="E1196" s="1347" t="s">
        <v>2187</v>
      </c>
    </row>
    <row r="1197" spans="1:5" x14ac:dyDescent="0.45">
      <c r="B1197" s="1347" t="s">
        <v>1108</v>
      </c>
      <c r="D1197" s="1347" t="s">
        <v>2188</v>
      </c>
      <c r="E1197" s="1347" t="s">
        <v>1110</v>
      </c>
    </row>
    <row r="1198" spans="1:5" x14ac:dyDescent="0.45">
      <c r="B1198" s="1347" t="s">
        <v>2189</v>
      </c>
      <c r="D1198" s="1347" t="s">
        <v>2190</v>
      </c>
      <c r="E1198" s="1347" t="s">
        <v>2191</v>
      </c>
    </row>
    <row r="1199" spans="1:5" x14ac:dyDescent="0.45">
      <c r="B1199" s="1347" t="s">
        <v>2192</v>
      </c>
      <c r="D1199" s="1347">
        <f>-88    -72   -195   -11</f>
        <v>-366</v>
      </c>
      <c r="E1199" s="1347" t="s">
        <v>2193</v>
      </c>
    </row>
    <row r="1200" spans="1:5" x14ac:dyDescent="0.45">
      <c r="B1200" s="1347" t="s">
        <v>1108</v>
      </c>
      <c r="D1200" s="1347" t="s">
        <v>2194</v>
      </c>
      <c r="E1200" s="1347" t="s">
        <v>2195</v>
      </c>
    </row>
    <row r="1201" spans="1:5" x14ac:dyDescent="0.45">
      <c r="B1201" s="1347" t="s">
        <v>2196</v>
      </c>
      <c r="D1201" s="1347" t="s">
        <v>1109</v>
      </c>
      <c r="E1201" s="1347" t="s">
        <v>2197</v>
      </c>
    </row>
    <row r="1202" spans="1:5" x14ac:dyDescent="0.45">
      <c r="B1202" s="1347" t="s">
        <v>1108</v>
      </c>
      <c r="D1202" s="1347" t="s">
        <v>2198</v>
      </c>
      <c r="E1202" s="1347" t="s">
        <v>1350</v>
      </c>
    </row>
    <row r="1203" spans="1:5" x14ac:dyDescent="0.45">
      <c r="A1203" s="1347">
        <v>1</v>
      </c>
      <c r="B1203" s="1347" t="s">
        <v>2199</v>
      </c>
      <c r="D1203" s="1347" t="s">
        <v>2200</v>
      </c>
      <c r="E1203" s="1347" t="s">
        <v>2201</v>
      </c>
    </row>
    <row r="1204" spans="1:5" x14ac:dyDescent="0.45">
      <c r="B1204" s="1347" t="s">
        <v>2202</v>
      </c>
      <c r="D1204" s="1347" t="s">
        <v>2203</v>
      </c>
      <c r="E1204" s="1347" t="s">
        <v>1110</v>
      </c>
    </row>
    <row r="1205" spans="1:5" x14ac:dyDescent="0.45">
      <c r="B1205" s="1347" t="s">
        <v>2204</v>
      </c>
      <c r="D1205" s="1347" t="s">
        <v>2205</v>
      </c>
      <c r="E1205" s="1347" t="s">
        <v>2206</v>
      </c>
    </row>
    <row r="1206" spans="1:5" x14ac:dyDescent="0.45">
      <c r="A1206" s="1347">
        <v>1</v>
      </c>
      <c r="B1206" s="1347" t="s">
        <v>2207</v>
      </c>
      <c r="C1206" s="1347" t="s">
        <v>1105</v>
      </c>
      <c r="D1206" s="1347" t="s">
        <v>2208</v>
      </c>
      <c r="E1206" s="1347" t="s">
        <v>2209</v>
      </c>
    </row>
    <row r="1207" spans="1:5" x14ac:dyDescent="0.45">
      <c r="B1207" s="1347" t="s">
        <v>1108</v>
      </c>
      <c r="D1207" s="1347" t="s">
        <v>2210</v>
      </c>
      <c r="E1207" s="1347" t="s">
        <v>2211</v>
      </c>
    </row>
    <row r="1208" spans="1:5" x14ac:dyDescent="0.45">
      <c r="B1208" s="1347" t="s">
        <v>1108</v>
      </c>
      <c r="D1208" s="1347" t="s">
        <v>2212</v>
      </c>
      <c r="E1208" s="1347" t="s">
        <v>2213</v>
      </c>
    </row>
    <row r="1209" spans="1:5" x14ac:dyDescent="0.45">
      <c r="B1209" s="1347" t="s">
        <v>1108</v>
      </c>
      <c r="D1209" s="1347" t="s">
        <v>1109</v>
      </c>
      <c r="E1209" s="1347" t="s">
        <v>1110</v>
      </c>
    </row>
    <row r="1210" spans="1:5" x14ac:dyDescent="0.45">
      <c r="B1210" s="1347" t="s">
        <v>1108</v>
      </c>
      <c r="D1210" s="1347" t="s">
        <v>1109</v>
      </c>
      <c r="E1210" s="1347" t="s">
        <v>1110</v>
      </c>
    </row>
    <row r="1211" spans="1:5" x14ac:dyDescent="0.45">
      <c r="B1211" s="1347" t="s">
        <v>1108</v>
      </c>
      <c r="D1211" s="1347" t="s">
        <v>1109</v>
      </c>
      <c r="E1211" s="1347" t="s">
        <v>1110</v>
      </c>
    </row>
    <row r="1212" spans="1:5" x14ac:dyDescent="0.45">
      <c r="B1212" s="1347" t="s">
        <v>1108</v>
      </c>
      <c r="D1212" s="1347" t="s">
        <v>1109</v>
      </c>
      <c r="E1212" s="1347" t="s">
        <v>1110</v>
      </c>
    </row>
    <row r="1213" spans="1:5" x14ac:dyDescent="0.45">
      <c r="B1213" s="1347" t="s">
        <v>1108</v>
      </c>
      <c r="D1213" s="1347" t="s">
        <v>1109</v>
      </c>
      <c r="E1213" s="1347" t="s">
        <v>1110</v>
      </c>
    </row>
    <row r="1214" spans="1:5" x14ac:dyDescent="0.45">
      <c r="B1214" s="1347" t="s">
        <v>1108</v>
      </c>
      <c r="D1214" s="1347" t="s">
        <v>1109</v>
      </c>
      <c r="E1214" s="1347" t="s">
        <v>1110</v>
      </c>
    </row>
    <row r="1215" spans="1:5" x14ac:dyDescent="0.45">
      <c r="B1215" s="1347" t="s">
        <v>1108</v>
      </c>
      <c r="D1215" s="1347" t="s">
        <v>1109</v>
      </c>
      <c r="E1215" s="1347" t="s">
        <v>1110</v>
      </c>
    </row>
    <row r="1216" spans="1:5" x14ac:dyDescent="0.45">
      <c r="B1216" s="1347" t="s">
        <v>1108</v>
      </c>
      <c r="D1216" s="1347" t="s">
        <v>1109</v>
      </c>
      <c r="E1216" s="1347" t="s">
        <v>1110</v>
      </c>
    </row>
    <row r="1217" spans="1:5" x14ac:dyDescent="0.45">
      <c r="B1217" s="1347" t="s">
        <v>1108</v>
      </c>
      <c r="D1217" s="1347" t="s">
        <v>1109</v>
      </c>
      <c r="E1217" s="1347" t="s">
        <v>1110</v>
      </c>
    </row>
    <row r="1218" spans="1:5" x14ac:dyDescent="0.45">
      <c r="B1218" s="1347" t="s">
        <v>1108</v>
      </c>
      <c r="D1218" s="1347" t="s">
        <v>1109</v>
      </c>
      <c r="E1218" s="1347" t="s">
        <v>1110</v>
      </c>
    </row>
    <row r="1219" spans="1:5" x14ac:dyDescent="0.45">
      <c r="B1219" s="1347" t="s">
        <v>1108</v>
      </c>
      <c r="D1219" s="1347" t="s">
        <v>1109</v>
      </c>
      <c r="E1219" s="1347" t="s">
        <v>1110</v>
      </c>
    </row>
    <row r="1220" spans="1:5" x14ac:dyDescent="0.45">
      <c r="B1220" s="1347" t="s">
        <v>1108</v>
      </c>
      <c r="D1220" s="1347" t="s">
        <v>1109</v>
      </c>
      <c r="E1220" s="1347" t="s">
        <v>1110</v>
      </c>
    </row>
    <row r="1221" spans="1:5" x14ac:dyDescent="0.45">
      <c r="B1221" s="1347" t="s">
        <v>1108</v>
      </c>
      <c r="D1221" s="1347" t="s">
        <v>1109</v>
      </c>
      <c r="E1221" s="1347" t="s">
        <v>2214</v>
      </c>
    </row>
    <row r="1222" spans="1:5" x14ac:dyDescent="0.45">
      <c r="B1222" s="1347" t="s">
        <v>2215</v>
      </c>
      <c r="D1222" s="1347" t="s">
        <v>2216</v>
      </c>
      <c r="E1222" s="1347" t="s">
        <v>2217</v>
      </c>
    </row>
    <row r="1223" spans="1:5" x14ac:dyDescent="0.45">
      <c r="B1223" s="1347" t="s">
        <v>1108</v>
      </c>
      <c r="D1223" s="1347" t="s">
        <v>2218</v>
      </c>
      <c r="E1223" s="1347" t="s">
        <v>2219</v>
      </c>
    </row>
    <row r="1224" spans="1:5" x14ac:dyDescent="0.45">
      <c r="A1224" s="1347" t="s">
        <v>1105</v>
      </c>
      <c r="B1224" s="1347" t="s">
        <v>2220</v>
      </c>
      <c r="D1224" s="1347">
        <f>-460   -667    -55</f>
        <v>-1182</v>
      </c>
      <c r="E1224" s="1347" t="s">
        <v>2221</v>
      </c>
    </row>
    <row r="1225" spans="1:5" x14ac:dyDescent="0.45">
      <c r="A1225" s="1347">
        <v>1</v>
      </c>
      <c r="B1225" s="1347" t="s">
        <v>2222</v>
      </c>
      <c r="D1225" s="1347" t="s">
        <v>2223</v>
      </c>
      <c r="E1225" s="1347" t="s">
        <v>2224</v>
      </c>
    </row>
    <row r="1226" spans="1:5" x14ac:dyDescent="0.45">
      <c r="B1226" s="1347" t="s">
        <v>1108</v>
      </c>
      <c r="D1226" s="1347" t="s">
        <v>2225</v>
      </c>
      <c r="E1226" s="1347" t="s">
        <v>1275</v>
      </c>
    </row>
    <row r="1227" spans="1:5" x14ac:dyDescent="0.45">
      <c r="B1227" s="1347" t="s">
        <v>2226</v>
      </c>
      <c r="D1227" s="1347" t="s">
        <v>2227</v>
      </c>
      <c r="E1227" s="1347" t="s">
        <v>2228</v>
      </c>
    </row>
    <row r="1228" spans="1:5" x14ac:dyDescent="0.45">
      <c r="B1228" s="1347" t="s">
        <v>2229</v>
      </c>
      <c r="D1228" s="1347" t="s">
        <v>2230</v>
      </c>
      <c r="E1228" s="1347" t="s">
        <v>2231</v>
      </c>
    </row>
    <row r="1229" spans="1:5" x14ac:dyDescent="0.45">
      <c r="A1229" s="1347" t="s">
        <v>1105</v>
      </c>
      <c r="B1229" s="1347" t="s">
        <v>2232</v>
      </c>
      <c r="D1229" s="1347" t="s">
        <v>2233</v>
      </c>
      <c r="E1229" s="1347" t="s">
        <v>2234</v>
      </c>
    </row>
    <row r="1230" spans="1:5" x14ac:dyDescent="0.45">
      <c r="B1230" s="1347" t="s">
        <v>1108</v>
      </c>
      <c r="D1230" s="1347" t="s">
        <v>2235</v>
      </c>
      <c r="E1230" s="1347" t="s">
        <v>2236</v>
      </c>
    </row>
    <row r="1231" spans="1:5" x14ac:dyDescent="0.45">
      <c r="B1231" s="1347" t="s">
        <v>2237</v>
      </c>
      <c r="C1231" s="1347" t="s">
        <v>1105</v>
      </c>
      <c r="D1231" s="1347" t="s">
        <v>2238</v>
      </c>
      <c r="E1231" s="1347" t="s">
        <v>2239</v>
      </c>
    </row>
    <row r="1232" spans="1:5" x14ac:dyDescent="0.45">
      <c r="B1232" s="1347" t="s">
        <v>2240</v>
      </c>
      <c r="D1232" s="1347" t="s">
        <v>2241</v>
      </c>
      <c r="E1232" s="1347" t="s">
        <v>2242</v>
      </c>
    </row>
    <row r="1233" spans="1:5" x14ac:dyDescent="0.45">
      <c r="B1233" s="1347" t="s">
        <v>2243</v>
      </c>
      <c r="D1233" s="1347" t="s">
        <v>2244</v>
      </c>
      <c r="E1233" s="1347" t="s">
        <v>2245</v>
      </c>
    </row>
    <row r="1234" spans="1:5" x14ac:dyDescent="0.45">
      <c r="B1234" s="1347" t="s">
        <v>2246</v>
      </c>
      <c r="D1234" s="1347" t="s">
        <v>2247</v>
      </c>
      <c r="E1234" s="1347" t="s">
        <v>2248</v>
      </c>
    </row>
    <row r="1235" spans="1:5" x14ac:dyDescent="0.45">
      <c r="B1235" s="1347" t="s">
        <v>1108</v>
      </c>
      <c r="D1235" s="1347" t="s">
        <v>2249</v>
      </c>
      <c r="E1235" s="1347" t="s">
        <v>2250</v>
      </c>
    </row>
    <row r="1236" spans="1:5" x14ac:dyDescent="0.45">
      <c r="B1236" s="1347" t="s">
        <v>1108</v>
      </c>
      <c r="D1236" s="1347" t="s">
        <v>2251</v>
      </c>
      <c r="E1236" s="1347" t="s">
        <v>2252</v>
      </c>
    </row>
    <row r="1237" spans="1:5" x14ac:dyDescent="0.45">
      <c r="B1237" s="1347" t="s">
        <v>2253</v>
      </c>
      <c r="D1237" s="1347" t="s">
        <v>2254</v>
      </c>
      <c r="E1237" s="1347" t="s">
        <v>2255</v>
      </c>
    </row>
    <row r="1238" spans="1:5" x14ac:dyDescent="0.45">
      <c r="B1238" s="1347" t="s">
        <v>2256</v>
      </c>
      <c r="D1238" s="1347" t="s">
        <v>1109</v>
      </c>
      <c r="E1238" s="1347" t="s">
        <v>2257</v>
      </c>
    </row>
    <row r="1239" spans="1:5" x14ac:dyDescent="0.45">
      <c r="B1239" s="1347" t="s">
        <v>1108</v>
      </c>
      <c r="D1239" s="1347" t="s">
        <v>2258</v>
      </c>
      <c r="E1239" s="1347" t="s">
        <v>1110</v>
      </c>
    </row>
    <row r="1240" spans="1:5" x14ac:dyDescent="0.45">
      <c r="A1240" s="1347" t="s">
        <v>1105</v>
      </c>
      <c r="B1240" s="1347" t="s">
        <v>2259</v>
      </c>
      <c r="D1240" s="1347" t="s">
        <v>2260</v>
      </c>
      <c r="E1240" s="1347" t="s">
        <v>2261</v>
      </c>
    </row>
    <row r="1241" spans="1:5" x14ac:dyDescent="0.45">
      <c r="B1241" s="1347" t="s">
        <v>1108</v>
      </c>
      <c r="D1241" s="1347" t="s">
        <v>2262</v>
      </c>
      <c r="E1241" s="1347" t="s">
        <v>2263</v>
      </c>
    </row>
    <row r="1242" spans="1:5" x14ac:dyDescent="0.45">
      <c r="B1242" s="1347" t="s">
        <v>2264</v>
      </c>
      <c r="D1242" s="1347" t="s">
        <v>2265</v>
      </c>
      <c r="E1242" s="1347" t="s">
        <v>2266</v>
      </c>
    </row>
    <row r="1243" spans="1:5" x14ac:dyDescent="0.45">
      <c r="B1243" s="1347" t="s">
        <v>1108</v>
      </c>
      <c r="D1243" s="1347" t="s">
        <v>2267</v>
      </c>
      <c r="E1243" s="1347" t="s">
        <v>2268</v>
      </c>
    </row>
    <row r="1244" spans="1:5" x14ac:dyDescent="0.45">
      <c r="A1244" s="1347">
        <v>-4</v>
      </c>
      <c r="B1244" s="1347" t="s">
        <v>2269</v>
      </c>
      <c r="D1244" s="1347" t="s">
        <v>2270</v>
      </c>
      <c r="E1244" s="1347" t="s">
        <v>2271</v>
      </c>
    </row>
    <row r="1245" spans="1:5" x14ac:dyDescent="0.45">
      <c r="B1245" s="1347" t="s">
        <v>2272</v>
      </c>
      <c r="D1245" s="1347" t="s">
        <v>2273</v>
      </c>
      <c r="E1245" s="1347" t="s">
        <v>2274</v>
      </c>
    </row>
    <row r="1246" spans="1:5" x14ac:dyDescent="0.45">
      <c r="A1246" s="1347" t="s">
        <v>1105</v>
      </c>
      <c r="B1246" s="1347" t="s">
        <v>2275</v>
      </c>
      <c r="D1246" s="1347" t="s">
        <v>2276</v>
      </c>
      <c r="E1246" s="1347" t="s">
        <v>2277</v>
      </c>
    </row>
    <row r="1247" spans="1:5" x14ac:dyDescent="0.45">
      <c r="A1247" s="1347">
        <v>6</v>
      </c>
      <c r="B1247" s="1347" t="s">
        <v>2278</v>
      </c>
      <c r="D1247" s="1347" t="s">
        <v>2279</v>
      </c>
      <c r="E1247" s="1347" t="s">
        <v>2280</v>
      </c>
    </row>
    <row r="1248" spans="1:5" x14ac:dyDescent="0.45">
      <c r="B1248" s="1347" t="s">
        <v>1108</v>
      </c>
      <c r="D1248" s="1347" t="s">
        <v>2281</v>
      </c>
      <c r="E1248" s="1347" t="s">
        <v>2282</v>
      </c>
    </row>
    <row r="1249" spans="1:5" x14ac:dyDescent="0.45">
      <c r="B1249" s="1347" t="s">
        <v>1108</v>
      </c>
      <c r="D1249" s="1347" t="s">
        <v>2283</v>
      </c>
      <c r="E1249" s="1347" t="s">
        <v>2284</v>
      </c>
    </row>
    <row r="1250" spans="1:5" x14ac:dyDescent="0.45">
      <c r="B1250" s="1347" t="s">
        <v>2285</v>
      </c>
      <c r="D1250" s="1347" t="s">
        <v>2286</v>
      </c>
      <c r="E1250" s="1347" t="s">
        <v>2287</v>
      </c>
    </row>
    <row r="1251" spans="1:5" x14ac:dyDescent="0.45">
      <c r="B1251" s="1347" t="s">
        <v>2288</v>
      </c>
      <c r="D1251" s="1347" t="s">
        <v>2289</v>
      </c>
      <c r="E1251" s="1347" t="s">
        <v>2290</v>
      </c>
    </row>
    <row r="1252" spans="1:5" x14ac:dyDescent="0.45">
      <c r="B1252" s="1347" t="s">
        <v>1108</v>
      </c>
      <c r="D1252" s="1347" t="s">
        <v>2291</v>
      </c>
      <c r="E1252" s="1347" t="s">
        <v>1110</v>
      </c>
    </row>
    <row r="1253" spans="1:5" x14ac:dyDescent="0.45">
      <c r="A1253" s="1347" t="s">
        <v>1105</v>
      </c>
      <c r="B1253" s="1347" t="s">
        <v>1367</v>
      </c>
      <c r="D1253" s="1347" t="s">
        <v>2292</v>
      </c>
      <c r="E1253" s="1347" t="s">
        <v>2293</v>
      </c>
    </row>
    <row r="1254" spans="1:5" x14ac:dyDescent="0.45">
      <c r="B1254" s="1347" t="s">
        <v>1108</v>
      </c>
      <c r="D1254" s="1347" t="s">
        <v>2294</v>
      </c>
      <c r="E1254" s="1347" t="s">
        <v>2295</v>
      </c>
    </row>
    <row r="1255" spans="1:5" x14ac:dyDescent="0.45">
      <c r="A1255" s="1347" t="s">
        <v>1105</v>
      </c>
      <c r="B1255" s="1347" t="s">
        <v>2296</v>
      </c>
      <c r="D1255" s="1347" t="s">
        <v>2297</v>
      </c>
      <c r="E1255" s="1347" t="s">
        <v>2298</v>
      </c>
    </row>
    <row r="1256" spans="1:5" x14ac:dyDescent="0.45">
      <c r="B1256" s="1347" t="s">
        <v>1108</v>
      </c>
      <c r="D1256" s="1347" t="s">
        <v>2299</v>
      </c>
      <c r="E1256" s="1347" t="s">
        <v>2300</v>
      </c>
    </row>
    <row r="1257" spans="1:5" x14ac:dyDescent="0.45">
      <c r="A1257" s="1347">
        <v>1</v>
      </c>
      <c r="B1257" s="1347" t="s">
        <v>2301</v>
      </c>
      <c r="C1257" s="1347" t="s">
        <v>1105</v>
      </c>
      <c r="D1257" s="1347" t="s">
        <v>2302</v>
      </c>
      <c r="E1257" s="1347" t="s">
        <v>2303</v>
      </c>
    </row>
    <row r="1258" spans="1:5" x14ac:dyDescent="0.45">
      <c r="B1258" s="1347" t="s">
        <v>2304</v>
      </c>
      <c r="D1258" s="1347" t="s">
        <v>2305</v>
      </c>
      <c r="E1258" s="1347" t="s">
        <v>2306</v>
      </c>
    </row>
    <row r="1259" spans="1:5" x14ac:dyDescent="0.45">
      <c r="A1259" s="1347" t="s">
        <v>1105</v>
      </c>
      <c r="B1259" s="1347" t="s">
        <v>2307</v>
      </c>
      <c r="D1259" s="1347" t="s">
        <v>2308</v>
      </c>
      <c r="E1259" s="1347" t="s">
        <v>2309</v>
      </c>
    </row>
    <row r="1260" spans="1:5" x14ac:dyDescent="0.45">
      <c r="B1260" s="1347" t="s">
        <v>2310</v>
      </c>
      <c r="C1260" s="1347" t="s">
        <v>1105</v>
      </c>
      <c r="D1260" s="1347" t="s">
        <v>2311</v>
      </c>
      <c r="E1260" s="1347" t="s">
        <v>2312</v>
      </c>
    </row>
    <row r="1261" spans="1:5" x14ac:dyDescent="0.45">
      <c r="B1261" s="1347" t="s">
        <v>2313</v>
      </c>
      <c r="D1261" s="1347" t="s">
        <v>2314</v>
      </c>
      <c r="E1261" s="1347" t="s">
        <v>2315</v>
      </c>
    </row>
    <row r="1262" spans="1:5" x14ac:dyDescent="0.45">
      <c r="B1262" s="1347" t="s">
        <v>1108</v>
      </c>
      <c r="D1262" s="1347" t="s">
        <v>2316</v>
      </c>
      <c r="E1262" s="1347" t="s">
        <v>2317</v>
      </c>
    </row>
    <row r="1263" spans="1:5" x14ac:dyDescent="0.45">
      <c r="B1263" s="1347" t="s">
        <v>2318</v>
      </c>
      <c r="D1263" s="1347" t="s">
        <v>2319</v>
      </c>
      <c r="E1263" s="1347" t="s">
        <v>2320</v>
      </c>
    </row>
    <row r="1264" spans="1:5" x14ac:dyDescent="0.45">
      <c r="A1264" s="1347">
        <v>2</v>
      </c>
      <c r="B1264" s="1347" t="s">
        <v>2321</v>
      </c>
      <c r="D1264" s="1347" t="s">
        <v>2322</v>
      </c>
      <c r="E1264" s="1347" t="s">
        <v>2323</v>
      </c>
    </row>
    <row r="1265" spans="1:5" x14ac:dyDescent="0.45">
      <c r="B1265" s="1347" t="s">
        <v>1108</v>
      </c>
      <c r="D1265" s="1347" t="s">
        <v>2324</v>
      </c>
      <c r="E1265" s="1347" t="s">
        <v>1113</v>
      </c>
    </row>
    <row r="1266" spans="1:5" x14ac:dyDescent="0.45">
      <c r="B1266" s="1347" t="s">
        <v>2325</v>
      </c>
      <c r="D1266" s="1347" t="s">
        <v>2326</v>
      </c>
      <c r="E1266" s="1347" t="s">
        <v>2327</v>
      </c>
    </row>
    <row r="1267" spans="1:5" x14ac:dyDescent="0.45">
      <c r="B1267" s="1347" t="s">
        <v>2328</v>
      </c>
      <c r="D1267" s="1347" t="s">
        <v>2329</v>
      </c>
      <c r="E1267" s="1347" t="s">
        <v>2330</v>
      </c>
    </row>
    <row r="1268" spans="1:5" x14ac:dyDescent="0.45">
      <c r="B1268" s="1347" t="s">
        <v>2331</v>
      </c>
      <c r="D1268" s="1347" t="s">
        <v>2332</v>
      </c>
      <c r="E1268" s="1347" t="s">
        <v>2333</v>
      </c>
    </row>
    <row r="1269" spans="1:5" x14ac:dyDescent="0.45">
      <c r="B1269" s="1347" t="s">
        <v>1108</v>
      </c>
      <c r="D1269" s="1347" t="s">
        <v>1608</v>
      </c>
      <c r="E1269" s="1347" t="s">
        <v>2334</v>
      </c>
    </row>
    <row r="1270" spans="1:5" x14ac:dyDescent="0.45">
      <c r="B1270" s="1347" t="s">
        <v>2335</v>
      </c>
      <c r="D1270" s="1347">
        <f>-648  -2474 -11841  -306</f>
        <v>-15269</v>
      </c>
      <c r="E1270" s="1347" t="s">
        <v>2336</v>
      </c>
    </row>
    <row r="1271" spans="1:5" x14ac:dyDescent="0.45">
      <c r="A1271" s="1347">
        <v>1</v>
      </c>
      <c r="B1271" s="1347" t="s">
        <v>2337</v>
      </c>
      <c r="D1271" s="1347" t="s">
        <v>2338</v>
      </c>
      <c r="E1271" s="1347" t="s">
        <v>2339</v>
      </c>
    </row>
    <row r="1272" spans="1:5" x14ac:dyDescent="0.45">
      <c r="A1272" s="1347">
        <v>-1</v>
      </c>
      <c r="B1272" s="1347" t="s">
        <v>2340</v>
      </c>
      <c r="C1272" s="1347" t="s">
        <v>1105</v>
      </c>
      <c r="D1272" s="1347" t="s">
        <v>2341</v>
      </c>
      <c r="E1272" s="1347" t="s">
        <v>2342</v>
      </c>
    </row>
    <row r="1273" spans="1:5" x14ac:dyDescent="0.45">
      <c r="B1273" s="1347" t="s">
        <v>2343</v>
      </c>
      <c r="D1273" s="1347" t="s">
        <v>2344</v>
      </c>
      <c r="E1273" s="1347" t="s">
        <v>2345</v>
      </c>
    </row>
    <row r="1274" spans="1:5" x14ac:dyDescent="0.45">
      <c r="A1274" s="1347">
        <v>1</v>
      </c>
      <c r="B1274" s="1347" t="s">
        <v>2346</v>
      </c>
      <c r="D1274" s="1347" t="s">
        <v>2347</v>
      </c>
      <c r="E1274" s="1347" t="s">
        <v>2348</v>
      </c>
    </row>
    <row r="1275" spans="1:5" x14ac:dyDescent="0.45">
      <c r="B1275" s="1347" t="s">
        <v>2349</v>
      </c>
      <c r="D1275" s="1347" t="s">
        <v>1109</v>
      </c>
      <c r="E1275" s="1347" t="s">
        <v>2350</v>
      </c>
    </row>
    <row r="1276" spans="1:5" x14ac:dyDescent="0.45">
      <c r="A1276" s="1347" t="s">
        <v>1105</v>
      </c>
      <c r="B1276" s="1347" t="s">
        <v>2351</v>
      </c>
      <c r="D1276" s="1347" t="s">
        <v>2352</v>
      </c>
      <c r="E1276" s="1347" t="s">
        <v>2353</v>
      </c>
    </row>
    <row r="1277" spans="1:5" x14ac:dyDescent="0.45">
      <c r="A1277" s="1347">
        <v>1</v>
      </c>
      <c r="B1277" s="1347" t="s">
        <v>2354</v>
      </c>
      <c r="D1277" s="1347" t="s">
        <v>2355</v>
      </c>
      <c r="E1277" s="1347" t="s">
        <v>1275</v>
      </c>
    </row>
    <row r="1278" spans="1:5" x14ac:dyDescent="0.45">
      <c r="B1278" s="1347" t="s">
        <v>2356</v>
      </c>
      <c r="D1278" s="1347" t="s">
        <v>2357</v>
      </c>
      <c r="E1278" s="1347" t="s">
        <v>2358</v>
      </c>
    </row>
    <row r="1279" spans="1:5" x14ac:dyDescent="0.45">
      <c r="B1279" s="1347" t="s">
        <v>1108</v>
      </c>
      <c r="D1279" s="1347" t="s">
        <v>2359</v>
      </c>
      <c r="E1279" s="1347" t="s">
        <v>2360</v>
      </c>
    </row>
    <row r="1280" spans="1:5" x14ac:dyDescent="0.45">
      <c r="B1280" s="1347" t="s">
        <v>2361</v>
      </c>
      <c r="C1280" s="1347" t="s">
        <v>1105</v>
      </c>
      <c r="D1280" s="1347" t="s">
        <v>2362</v>
      </c>
      <c r="E1280" s="1347" t="s">
        <v>2363</v>
      </c>
    </row>
    <row r="1281" spans="1:5" x14ac:dyDescent="0.45">
      <c r="B1281" s="1347" t="s">
        <v>1108</v>
      </c>
      <c r="D1281" s="1347" t="s">
        <v>2364</v>
      </c>
      <c r="E1281" s="1347" t="s">
        <v>2365</v>
      </c>
    </row>
    <row r="1282" spans="1:5" x14ac:dyDescent="0.45">
      <c r="B1282" s="1347" t="s">
        <v>2366</v>
      </c>
      <c r="D1282" s="1347" t="s">
        <v>1109</v>
      </c>
      <c r="E1282" s="1347" t="s">
        <v>2367</v>
      </c>
    </row>
    <row r="1283" spans="1:5" x14ac:dyDescent="0.45">
      <c r="A1283" s="1347" t="s">
        <v>1105</v>
      </c>
      <c r="B1283" s="1347" t="s">
        <v>2368</v>
      </c>
      <c r="D1283" s="1347" t="s">
        <v>2369</v>
      </c>
      <c r="E1283" s="1347" t="s">
        <v>2370</v>
      </c>
    </row>
    <row r="1284" spans="1:5" x14ac:dyDescent="0.45">
      <c r="B1284" s="1347" t="s">
        <v>2371</v>
      </c>
      <c r="D1284" s="1347" t="s">
        <v>2372</v>
      </c>
      <c r="E1284" s="1347" t="s">
        <v>2373</v>
      </c>
    </row>
    <row r="1285" spans="1:5" x14ac:dyDescent="0.45">
      <c r="B1285" s="1347" t="s">
        <v>2374</v>
      </c>
      <c r="D1285" s="1347" t="s">
        <v>2375</v>
      </c>
      <c r="E1285" s="1347" t="s">
        <v>1275</v>
      </c>
    </row>
    <row r="1286" spans="1:5" x14ac:dyDescent="0.45">
      <c r="B1286" s="1347" t="s">
        <v>2376</v>
      </c>
      <c r="D1286" s="1347" t="s">
        <v>2377</v>
      </c>
      <c r="E1286" s="1347" t="s">
        <v>2378</v>
      </c>
    </row>
    <row r="1287" spans="1:5" x14ac:dyDescent="0.45">
      <c r="A1287" s="1347">
        <v>41</v>
      </c>
      <c r="B1287" s="1347" t="s">
        <v>2379</v>
      </c>
      <c r="D1287" s="1347" t="s">
        <v>2380</v>
      </c>
      <c r="E1287" s="1347" t="s">
        <v>2381</v>
      </c>
    </row>
    <row r="1288" spans="1:5" x14ac:dyDescent="0.45">
      <c r="B1288" s="1347" t="s">
        <v>1108</v>
      </c>
      <c r="D1288" s="1347" t="s">
        <v>2382</v>
      </c>
      <c r="E1288" s="1347" t="s">
        <v>1110</v>
      </c>
    </row>
    <row r="1289" spans="1:5" x14ac:dyDescent="0.45">
      <c r="A1289" s="1347" t="s">
        <v>1105</v>
      </c>
      <c r="B1289" s="1347" t="s">
        <v>2383</v>
      </c>
      <c r="D1289" s="1347" t="s">
        <v>2384</v>
      </c>
      <c r="E1289" s="1347" t="s">
        <v>2385</v>
      </c>
    </row>
    <row r="1290" spans="1:5" x14ac:dyDescent="0.45">
      <c r="B1290" s="1347" t="s">
        <v>2386</v>
      </c>
      <c r="D1290" s="1347" t="s">
        <v>2387</v>
      </c>
      <c r="E1290" s="1347" t="s">
        <v>2388</v>
      </c>
    </row>
    <row r="1291" spans="1:5" x14ac:dyDescent="0.45">
      <c r="B1291" s="1347" t="s">
        <v>1108</v>
      </c>
      <c r="D1291" s="1347" t="s">
        <v>2389</v>
      </c>
      <c r="E1291" s="1347" t="s">
        <v>2390</v>
      </c>
    </row>
    <row r="1292" spans="1:5" x14ac:dyDescent="0.45">
      <c r="B1292" s="1347" t="s">
        <v>2391</v>
      </c>
      <c r="D1292" s="1347" t="s">
        <v>1109</v>
      </c>
      <c r="E1292" s="1347" t="s">
        <v>2392</v>
      </c>
    </row>
    <row r="1293" spans="1:5" x14ac:dyDescent="0.45">
      <c r="B1293" s="1347" t="s">
        <v>1108</v>
      </c>
      <c r="D1293" s="1347" t="s">
        <v>2393</v>
      </c>
      <c r="E1293" s="1347" t="s">
        <v>1350</v>
      </c>
    </row>
    <row r="1294" spans="1:5" x14ac:dyDescent="0.45">
      <c r="B1294" s="1347" t="s">
        <v>2394</v>
      </c>
      <c r="D1294" s="1347" t="s">
        <v>2395</v>
      </c>
      <c r="E1294" s="1347" t="s">
        <v>2396</v>
      </c>
    </row>
    <row r="1295" spans="1:5" x14ac:dyDescent="0.45">
      <c r="B1295" s="1347" t="s">
        <v>2397</v>
      </c>
      <c r="D1295" s="1347" t="s">
        <v>2398</v>
      </c>
      <c r="E1295" s="1347" t="s">
        <v>1110</v>
      </c>
    </row>
    <row r="1296" spans="1:5" x14ac:dyDescent="0.45">
      <c r="A1296" s="1347" t="s">
        <v>1105</v>
      </c>
      <c r="B1296" s="1347" t="s">
        <v>2399</v>
      </c>
      <c r="D1296" s="1347">
        <f>-315   -286   -348</f>
        <v>-949</v>
      </c>
      <c r="E1296" s="1347" t="s">
        <v>2400</v>
      </c>
    </row>
    <row r="1297" spans="1:5" x14ac:dyDescent="0.45">
      <c r="B1297" s="1347" t="s">
        <v>2401</v>
      </c>
      <c r="D1297" s="1347" t="s">
        <v>2402</v>
      </c>
      <c r="E1297" s="1347" t="s">
        <v>2403</v>
      </c>
    </row>
    <row r="1298" spans="1:5" x14ac:dyDescent="0.45">
      <c r="B1298" s="1347" t="s">
        <v>1108</v>
      </c>
      <c r="D1298" s="1347" t="s">
        <v>2404</v>
      </c>
      <c r="E1298" s="1347" t="s">
        <v>2405</v>
      </c>
    </row>
    <row r="1299" spans="1:5" x14ac:dyDescent="0.45">
      <c r="B1299" s="1347" t="s">
        <v>1108</v>
      </c>
      <c r="D1299" s="1347" t="s">
        <v>2406</v>
      </c>
      <c r="E1299" s="1347" t="s">
        <v>2407</v>
      </c>
    </row>
    <row r="1300" spans="1:5" x14ac:dyDescent="0.45">
      <c r="A1300" s="1347">
        <v>-1</v>
      </c>
      <c r="B1300" s="1347" t="s">
        <v>2408</v>
      </c>
      <c r="C1300" s="1347">
        <v>1</v>
      </c>
      <c r="D1300" s="1347" t="s">
        <v>2409</v>
      </c>
      <c r="E1300" s="1347" t="s">
        <v>2410</v>
      </c>
    </row>
    <row r="1301" spans="1:5" x14ac:dyDescent="0.45">
      <c r="B1301" s="1347" t="s">
        <v>1108</v>
      </c>
      <c r="D1301" s="1347" t="s">
        <v>2411</v>
      </c>
      <c r="E1301" s="1347" t="s">
        <v>2412</v>
      </c>
    </row>
    <row r="1302" spans="1:5" x14ac:dyDescent="0.45">
      <c r="B1302" s="1347" t="s">
        <v>1108</v>
      </c>
      <c r="D1302" s="1347" t="s">
        <v>2413</v>
      </c>
      <c r="E1302" s="1347" t="s">
        <v>2414</v>
      </c>
    </row>
    <row r="1303" spans="1:5" x14ac:dyDescent="0.45">
      <c r="B1303" s="1347" t="s">
        <v>2415</v>
      </c>
      <c r="D1303" s="1347" t="s">
        <v>2416</v>
      </c>
      <c r="E1303" s="1347" t="s">
        <v>2417</v>
      </c>
    </row>
    <row r="1304" spans="1:5" x14ac:dyDescent="0.45">
      <c r="B1304" s="1347" t="s">
        <v>2418</v>
      </c>
      <c r="D1304" s="1347" t="s">
        <v>2419</v>
      </c>
      <c r="E1304" s="1347" t="s">
        <v>2420</v>
      </c>
    </row>
    <row r="1305" spans="1:5" x14ac:dyDescent="0.45">
      <c r="B1305" s="1347" t="s">
        <v>1108</v>
      </c>
      <c r="D1305" s="1347" t="s">
        <v>2421</v>
      </c>
      <c r="E1305" s="1347" t="s">
        <v>1110</v>
      </c>
    </row>
    <row r="1306" spans="1:5" x14ac:dyDescent="0.45">
      <c r="A1306" s="1347" t="s">
        <v>1105</v>
      </c>
      <c r="B1306" s="1347" t="s">
        <v>2422</v>
      </c>
      <c r="C1306" s="1347" t="s">
        <v>1105</v>
      </c>
      <c r="D1306" s="1347" t="s">
        <v>2423</v>
      </c>
      <c r="E1306" s="1347" t="s">
        <v>2424</v>
      </c>
    </row>
    <row r="1307" spans="1:5" x14ac:dyDescent="0.45">
      <c r="B1307" s="1347" t="s">
        <v>1108</v>
      </c>
      <c r="D1307" s="1347" t="s">
        <v>2425</v>
      </c>
      <c r="E1307" s="1347" t="s">
        <v>2426</v>
      </c>
    </row>
    <row r="1308" spans="1:5" x14ac:dyDescent="0.45">
      <c r="A1308" s="1347" t="s">
        <v>1105</v>
      </c>
      <c r="B1308" s="1347" t="s">
        <v>2427</v>
      </c>
      <c r="D1308" s="1347">
        <f>-185  -1627   -271  -140</f>
        <v>-2223</v>
      </c>
      <c r="E1308" s="1347" t="s">
        <v>2428</v>
      </c>
    </row>
    <row r="1309" spans="1:5" x14ac:dyDescent="0.45">
      <c r="B1309" s="1347" t="s">
        <v>1108</v>
      </c>
      <c r="D1309" s="1347" t="s">
        <v>2429</v>
      </c>
      <c r="E1309" s="1347" t="s">
        <v>2430</v>
      </c>
    </row>
    <row r="1310" spans="1:5" x14ac:dyDescent="0.45">
      <c r="B1310" s="1347" t="s">
        <v>2431</v>
      </c>
      <c r="D1310" s="1347" t="s">
        <v>2432</v>
      </c>
      <c r="E1310" s="1347" t="s">
        <v>2433</v>
      </c>
    </row>
    <row r="1311" spans="1:5" x14ac:dyDescent="0.45">
      <c r="B1311" s="1347" t="s">
        <v>2434</v>
      </c>
      <c r="D1311" s="1347" t="s">
        <v>2435</v>
      </c>
      <c r="E1311" s="1347" t="s">
        <v>2436</v>
      </c>
    </row>
    <row r="1312" spans="1:5" x14ac:dyDescent="0.45">
      <c r="A1312" s="1347">
        <v>-1</v>
      </c>
      <c r="B1312" s="1347" t="s">
        <v>2437</v>
      </c>
      <c r="D1312" s="1347" t="s">
        <v>2438</v>
      </c>
      <c r="E1312" s="1347" t="s">
        <v>2439</v>
      </c>
    </row>
    <row r="1313" spans="1:5" x14ac:dyDescent="0.45">
      <c r="B1313" s="1347" t="s">
        <v>2440</v>
      </c>
      <c r="D1313" s="1347" t="s">
        <v>2441</v>
      </c>
      <c r="E1313" s="1347" t="s">
        <v>2442</v>
      </c>
    </row>
    <row r="1314" spans="1:5" x14ac:dyDescent="0.45">
      <c r="A1314" s="1347">
        <v>-3</v>
      </c>
      <c r="B1314" s="1347" t="s">
        <v>2443</v>
      </c>
      <c r="D1314" s="1347" t="s">
        <v>2444</v>
      </c>
      <c r="E1314" s="1347" t="s">
        <v>2445</v>
      </c>
    </row>
    <row r="1315" spans="1:5" x14ac:dyDescent="0.45">
      <c r="B1315" s="1347" t="s">
        <v>2446</v>
      </c>
      <c r="D1315" s="1347" t="s">
        <v>2447</v>
      </c>
      <c r="E1315" s="1347" t="s">
        <v>2448</v>
      </c>
    </row>
    <row r="1316" spans="1:5" x14ac:dyDescent="0.45">
      <c r="B1316" s="1347" t="s">
        <v>1108</v>
      </c>
      <c r="D1316" s="1347" t="s">
        <v>2449</v>
      </c>
      <c r="E1316" s="1347" t="s">
        <v>2450</v>
      </c>
    </row>
    <row r="1317" spans="1:5" x14ac:dyDescent="0.45">
      <c r="B1317" s="1347" t="s">
        <v>2451</v>
      </c>
      <c r="D1317" s="1347" t="s">
        <v>2452</v>
      </c>
      <c r="E1317" s="1347" t="s">
        <v>2453</v>
      </c>
    </row>
    <row r="1318" spans="1:5" x14ac:dyDescent="0.45">
      <c r="B1318" s="1347" t="s">
        <v>1108</v>
      </c>
      <c r="D1318" s="1347" t="s">
        <v>2454</v>
      </c>
      <c r="E1318" s="1347" t="s">
        <v>2455</v>
      </c>
    </row>
    <row r="1319" spans="1:5" x14ac:dyDescent="0.45">
      <c r="B1319" s="1347" t="s">
        <v>1108</v>
      </c>
      <c r="D1319" s="1347" t="s">
        <v>2456</v>
      </c>
      <c r="E1319" s="1347" t="s">
        <v>2457</v>
      </c>
    </row>
    <row r="1320" spans="1:5" x14ac:dyDescent="0.45">
      <c r="B1320" s="1347" t="s">
        <v>2458</v>
      </c>
      <c r="C1320" s="1347" t="s">
        <v>1105</v>
      </c>
      <c r="D1320" s="1347" t="s">
        <v>2459</v>
      </c>
      <c r="E1320" s="1347" t="s">
        <v>2460</v>
      </c>
    </row>
    <row r="1321" spans="1:5" x14ac:dyDescent="0.45">
      <c r="B1321" s="1347" t="s">
        <v>2461</v>
      </c>
      <c r="D1321" s="1347" t="s">
        <v>2462</v>
      </c>
      <c r="E1321" s="1347" t="s">
        <v>2463</v>
      </c>
    </row>
    <row r="1322" spans="1:5" x14ac:dyDescent="0.45">
      <c r="A1322" s="1347">
        <v>-2</v>
      </c>
      <c r="B1322" s="1347" t="s">
        <v>2464</v>
      </c>
      <c r="C1322" s="1347" t="s">
        <v>1105</v>
      </c>
      <c r="D1322" s="1347" t="s">
        <v>2465</v>
      </c>
      <c r="E1322" s="1347" t="s">
        <v>2466</v>
      </c>
    </row>
    <row r="1323" spans="1:5" x14ac:dyDescent="0.45">
      <c r="B1323" s="1347" t="s">
        <v>2467</v>
      </c>
      <c r="D1323" s="1347" t="s">
        <v>2468</v>
      </c>
      <c r="E1323" s="1347" t="s">
        <v>2469</v>
      </c>
    </row>
    <row r="1324" spans="1:5" x14ac:dyDescent="0.45">
      <c r="B1324" s="1347" t="s">
        <v>2470</v>
      </c>
      <c r="C1324" s="1347">
        <v>1</v>
      </c>
      <c r="D1324" s="1347" t="s">
        <v>2471</v>
      </c>
      <c r="E1324" s="1347" t="s">
        <v>2472</v>
      </c>
    </row>
    <row r="1325" spans="1:5" x14ac:dyDescent="0.45">
      <c r="B1325" s="1347" t="s">
        <v>2473</v>
      </c>
      <c r="D1325" s="1347" t="s">
        <v>2474</v>
      </c>
      <c r="E1325" s="1347" t="s">
        <v>2475</v>
      </c>
    </row>
    <row r="1326" spans="1:5" x14ac:dyDescent="0.45">
      <c r="B1326" s="1347" t="s">
        <v>1108</v>
      </c>
      <c r="D1326" s="1347" t="s">
        <v>2476</v>
      </c>
      <c r="E1326" s="1347" t="s">
        <v>2477</v>
      </c>
    </row>
    <row r="1327" spans="1:5" x14ac:dyDescent="0.45">
      <c r="A1327" s="1347">
        <v>-14</v>
      </c>
      <c r="B1327" s="1347" t="s">
        <v>2478</v>
      </c>
      <c r="C1327" s="1347">
        <v>1</v>
      </c>
      <c r="D1327" s="1347" t="s">
        <v>2479</v>
      </c>
      <c r="E1327" s="1347" t="s">
        <v>1350</v>
      </c>
    </row>
    <row r="1328" spans="1:5" x14ac:dyDescent="0.45">
      <c r="B1328" s="1347" t="s">
        <v>1108</v>
      </c>
      <c r="D1328" s="1347" t="s">
        <v>1109</v>
      </c>
      <c r="E1328" s="1347" t="s">
        <v>1110</v>
      </c>
    </row>
    <row r="1329" spans="1:5" x14ac:dyDescent="0.45">
      <c r="B1329" s="1347" t="s">
        <v>1108</v>
      </c>
      <c r="D1329" s="1347" t="s">
        <v>1109</v>
      </c>
      <c r="E1329" s="1347" t="s">
        <v>1110</v>
      </c>
    </row>
    <row r="1330" spans="1:5" x14ac:dyDescent="0.45">
      <c r="B1330" s="1347" t="s">
        <v>1108</v>
      </c>
      <c r="D1330" s="1347" t="s">
        <v>1109</v>
      </c>
      <c r="E1330" s="1347" t="s">
        <v>1110</v>
      </c>
    </row>
    <row r="1331" spans="1:5" x14ac:dyDescent="0.45">
      <c r="B1331" s="1347" t="s">
        <v>1108</v>
      </c>
      <c r="D1331" s="1347" t="s">
        <v>1109</v>
      </c>
      <c r="E1331" s="1347" t="s">
        <v>1110</v>
      </c>
    </row>
    <row r="1332" spans="1:5" x14ac:dyDescent="0.45">
      <c r="B1332" s="1347" t="s">
        <v>1108</v>
      </c>
      <c r="D1332" s="1347" t="s">
        <v>1109</v>
      </c>
      <c r="E1332" s="1347" t="s">
        <v>1110</v>
      </c>
    </row>
    <row r="1333" spans="1:5" x14ac:dyDescent="0.45">
      <c r="B1333" s="1347" t="s">
        <v>1108</v>
      </c>
      <c r="D1333" s="1347" t="s">
        <v>1109</v>
      </c>
      <c r="E1333" s="1347" t="s">
        <v>1110</v>
      </c>
    </row>
    <row r="1334" spans="1:5" x14ac:dyDescent="0.45">
      <c r="B1334" s="1347" t="s">
        <v>1108</v>
      </c>
      <c r="D1334" s="1347" t="s">
        <v>1109</v>
      </c>
      <c r="E1334" s="1347" t="s">
        <v>1110</v>
      </c>
    </row>
    <row r="1335" spans="1:5" x14ac:dyDescent="0.45">
      <c r="B1335" s="1347" t="s">
        <v>1108</v>
      </c>
      <c r="D1335" s="1347" t="s">
        <v>1109</v>
      </c>
      <c r="E1335" s="1347" t="s">
        <v>1110</v>
      </c>
    </row>
    <row r="1336" spans="1:5" x14ac:dyDescent="0.45">
      <c r="B1336" s="1347" t="s">
        <v>1108</v>
      </c>
      <c r="D1336" s="1347" t="s">
        <v>1109</v>
      </c>
      <c r="E1336" s="1347" t="s">
        <v>1110</v>
      </c>
    </row>
    <row r="1337" spans="1:5" x14ac:dyDescent="0.45">
      <c r="B1337" s="1347" t="s">
        <v>1108</v>
      </c>
      <c r="D1337" s="1347" t="s">
        <v>1109</v>
      </c>
      <c r="E1337" s="1347" t="s">
        <v>1110</v>
      </c>
    </row>
    <row r="1338" spans="1:5" x14ac:dyDescent="0.45">
      <c r="B1338" s="1347" t="s">
        <v>1108</v>
      </c>
      <c r="D1338" s="1347" t="s">
        <v>1109</v>
      </c>
      <c r="E1338" s="1347" t="s">
        <v>1110</v>
      </c>
    </row>
    <row r="1339" spans="1:5" x14ac:dyDescent="0.45">
      <c r="B1339" s="1347" t="s">
        <v>1108</v>
      </c>
      <c r="D1339" s="1347" t="s">
        <v>1109</v>
      </c>
      <c r="E1339" s="1347" t="s">
        <v>1110</v>
      </c>
    </row>
    <row r="1340" spans="1:5" x14ac:dyDescent="0.45">
      <c r="B1340" s="1347" t="s">
        <v>1108</v>
      </c>
      <c r="D1340" s="1347" t="s">
        <v>1109</v>
      </c>
      <c r="E1340" s="1347" t="s">
        <v>1110</v>
      </c>
    </row>
    <row r="1341" spans="1:5" x14ac:dyDescent="0.45">
      <c r="B1341" s="1347" t="s">
        <v>1108</v>
      </c>
      <c r="D1341" s="1347" t="s">
        <v>2480</v>
      </c>
      <c r="E1341" s="1347" t="s">
        <v>2481</v>
      </c>
    </row>
    <row r="1342" spans="1:5" x14ac:dyDescent="0.45">
      <c r="A1342" s="1347" t="s">
        <v>1105</v>
      </c>
      <c r="B1342" s="1347" t="s">
        <v>2482</v>
      </c>
      <c r="D1342" s="1347" t="s">
        <v>2483</v>
      </c>
      <c r="E1342" s="1347" t="s">
        <v>1476</v>
      </c>
    </row>
    <row r="1343" spans="1:5" x14ac:dyDescent="0.45">
      <c r="B1343" s="1347" t="s">
        <v>1108</v>
      </c>
      <c r="D1343" s="1347" t="s">
        <v>2484</v>
      </c>
      <c r="E1343" s="1347" t="s">
        <v>2485</v>
      </c>
    </row>
    <row r="1344" spans="1:5" x14ac:dyDescent="0.45">
      <c r="B1344" s="1347" t="s">
        <v>2486</v>
      </c>
      <c r="D1344" s="1347" t="s">
        <v>2487</v>
      </c>
      <c r="E1344" s="1347" t="s">
        <v>2488</v>
      </c>
    </row>
    <row r="1345" spans="1:5" x14ac:dyDescent="0.45">
      <c r="A1345" s="1347" t="s">
        <v>1105</v>
      </c>
      <c r="B1345" s="1347" t="s">
        <v>2489</v>
      </c>
      <c r="D1345" s="1347" t="s">
        <v>1109</v>
      </c>
      <c r="E1345" s="1347" t="s">
        <v>2490</v>
      </c>
    </row>
    <row r="1346" spans="1:5" x14ac:dyDescent="0.45">
      <c r="B1346" s="1347" t="s">
        <v>2491</v>
      </c>
      <c r="D1346" s="1347" t="s">
        <v>2492</v>
      </c>
      <c r="E1346" s="1347" t="s">
        <v>2493</v>
      </c>
    </row>
    <row r="1347" spans="1:5" x14ac:dyDescent="0.45">
      <c r="A1347" s="1347" t="s">
        <v>1105</v>
      </c>
      <c r="B1347" s="1347" t="s">
        <v>2494</v>
      </c>
      <c r="D1347" s="1347" t="s">
        <v>2495</v>
      </c>
      <c r="E1347" s="1347" t="s">
        <v>2496</v>
      </c>
    </row>
    <row r="1348" spans="1:5" x14ac:dyDescent="0.45">
      <c r="B1348" s="1347" t="s">
        <v>1108</v>
      </c>
      <c r="D1348" s="1347" t="s">
        <v>2497</v>
      </c>
      <c r="E1348" s="1347" t="s">
        <v>2498</v>
      </c>
    </row>
    <row r="1349" spans="1:5" x14ac:dyDescent="0.45">
      <c r="B1349" s="1347" t="s">
        <v>2499</v>
      </c>
      <c r="D1349" s="1347" t="s">
        <v>2500</v>
      </c>
      <c r="E1349" s="1347" t="s">
        <v>2501</v>
      </c>
    </row>
    <row r="1350" spans="1:5" x14ac:dyDescent="0.45">
      <c r="B1350" s="1347" t="s">
        <v>1108</v>
      </c>
      <c r="D1350" s="1347" t="s">
        <v>2502</v>
      </c>
      <c r="E1350" s="1347" t="s">
        <v>2503</v>
      </c>
    </row>
    <row r="1351" spans="1:5" x14ac:dyDescent="0.45">
      <c r="B1351" s="1347" t="s">
        <v>2504</v>
      </c>
      <c r="D1351" s="1347" t="s">
        <v>2505</v>
      </c>
      <c r="E1351" s="1347" t="s">
        <v>2506</v>
      </c>
    </row>
    <row r="1352" spans="1:5" x14ac:dyDescent="0.45">
      <c r="A1352" s="1347">
        <v>-2</v>
      </c>
      <c r="B1352" s="1347" t="s">
        <v>2507</v>
      </c>
      <c r="D1352" s="1347" t="s">
        <v>2508</v>
      </c>
      <c r="E1352" s="1347" t="s">
        <v>2509</v>
      </c>
    </row>
    <row r="1353" spans="1:5" x14ac:dyDescent="0.45">
      <c r="A1353" s="1347" t="s">
        <v>1105</v>
      </c>
      <c r="B1353" s="1347" t="s">
        <v>2510</v>
      </c>
      <c r="D1353" s="1347" t="s">
        <v>1109</v>
      </c>
      <c r="E1353" s="1347" t="s">
        <v>2511</v>
      </c>
    </row>
    <row r="1354" spans="1:5" x14ac:dyDescent="0.45">
      <c r="A1354" s="1347">
        <v>-1</v>
      </c>
      <c r="B1354" s="1347" t="s">
        <v>1973</v>
      </c>
      <c r="C1354" s="1347" t="s">
        <v>1105</v>
      </c>
      <c r="D1354" s="1347" t="s">
        <v>2512</v>
      </c>
      <c r="E1354" s="1347" t="s">
        <v>2513</v>
      </c>
    </row>
    <row r="1355" spans="1:5" x14ac:dyDescent="0.45">
      <c r="B1355" s="1347" t="s">
        <v>1108</v>
      </c>
      <c r="D1355" s="1347" t="s">
        <v>1109</v>
      </c>
      <c r="E1355" s="1347" t="s">
        <v>1110</v>
      </c>
    </row>
    <row r="1356" spans="1:5" x14ac:dyDescent="0.45">
      <c r="B1356" s="1347" t="s">
        <v>1108</v>
      </c>
      <c r="D1356" s="1347" t="s">
        <v>1109</v>
      </c>
      <c r="E1356" s="1347" t="s">
        <v>1110</v>
      </c>
    </row>
    <row r="1357" spans="1:5" x14ac:dyDescent="0.45">
      <c r="B1357" s="1347" t="s">
        <v>1108</v>
      </c>
      <c r="D1357" s="1347" t="s">
        <v>1109</v>
      </c>
      <c r="E1357" s="1347" t="s">
        <v>1110</v>
      </c>
    </row>
    <row r="1358" spans="1:5" x14ac:dyDescent="0.45">
      <c r="B1358" s="1347" t="s">
        <v>1108</v>
      </c>
      <c r="D1358" s="1347" t="s">
        <v>1109</v>
      </c>
      <c r="E1358" s="1347" t="s">
        <v>1110</v>
      </c>
    </row>
    <row r="1359" spans="1:5" x14ac:dyDescent="0.45">
      <c r="B1359" s="1347" t="s">
        <v>1108</v>
      </c>
      <c r="D1359" s="1347" t="s">
        <v>1109</v>
      </c>
      <c r="E1359" s="1347" t="s">
        <v>1110</v>
      </c>
    </row>
    <row r="1360" spans="1:5" x14ac:dyDescent="0.45">
      <c r="B1360" s="1347" t="s">
        <v>1108</v>
      </c>
      <c r="D1360" s="1347" t="s">
        <v>1109</v>
      </c>
      <c r="E1360" s="1347" t="s">
        <v>1110</v>
      </c>
    </row>
    <row r="1361" spans="2:5" x14ac:dyDescent="0.45">
      <c r="B1361" s="1347" t="s">
        <v>1108</v>
      </c>
      <c r="D1361" s="1347" t="s">
        <v>1109</v>
      </c>
      <c r="E1361" s="1347" t="s">
        <v>1110</v>
      </c>
    </row>
    <row r="1362" spans="2:5" x14ac:dyDescent="0.45">
      <c r="B1362" s="1347" t="s">
        <v>1108</v>
      </c>
      <c r="D1362" s="1347" t="s">
        <v>1109</v>
      </c>
      <c r="E1362" s="1347" t="s">
        <v>1110</v>
      </c>
    </row>
    <row r="1363" spans="2:5" x14ac:dyDescent="0.45">
      <c r="B1363" s="1347" t="s">
        <v>1108</v>
      </c>
      <c r="D1363" s="1347" t="s">
        <v>1109</v>
      </c>
      <c r="E1363" s="1347" t="s">
        <v>1110</v>
      </c>
    </row>
    <row r="1364" spans="2:5" x14ac:dyDescent="0.45">
      <c r="B1364" s="1347" t="s">
        <v>1108</v>
      </c>
      <c r="D1364" s="1347" t="s">
        <v>1109</v>
      </c>
      <c r="E1364" s="1347" t="s">
        <v>1110</v>
      </c>
    </row>
    <row r="1365" spans="2:5" x14ac:dyDescent="0.45">
      <c r="B1365" s="1347" t="s">
        <v>1108</v>
      </c>
      <c r="D1365" s="1347" t="s">
        <v>1109</v>
      </c>
      <c r="E1365" s="1347" t="s">
        <v>1110</v>
      </c>
    </row>
    <row r="1366" spans="2:5" x14ac:dyDescent="0.45">
      <c r="B1366" s="1347" t="s">
        <v>1108</v>
      </c>
      <c r="D1366" s="1347" t="s">
        <v>1109</v>
      </c>
      <c r="E1366" s="1347" t="s">
        <v>1110</v>
      </c>
    </row>
    <row r="1367" spans="2:5" x14ac:dyDescent="0.45">
      <c r="B1367" s="1347" t="s">
        <v>1108</v>
      </c>
      <c r="D1367" s="1347" t="s">
        <v>1109</v>
      </c>
      <c r="E1367" s="1347" t="s">
        <v>1110</v>
      </c>
    </row>
    <row r="1368" spans="2:5" x14ac:dyDescent="0.45">
      <c r="B1368" s="1347" t="s">
        <v>1108</v>
      </c>
      <c r="D1368" s="1347" t="s">
        <v>1109</v>
      </c>
      <c r="E1368" s="1347" t="s">
        <v>1110</v>
      </c>
    </row>
    <row r="1369" spans="2:5" x14ac:dyDescent="0.45">
      <c r="B1369" s="1347" t="s">
        <v>1108</v>
      </c>
      <c r="D1369" s="1347" t="s">
        <v>1109</v>
      </c>
      <c r="E1369" s="1347" t="s">
        <v>1110</v>
      </c>
    </row>
    <row r="1370" spans="2:5" x14ac:dyDescent="0.45">
      <c r="B1370" s="1347" t="s">
        <v>1108</v>
      </c>
      <c r="D1370" s="1347" t="s">
        <v>1109</v>
      </c>
      <c r="E1370" s="1347" t="s">
        <v>1110</v>
      </c>
    </row>
    <row r="1371" spans="2:5" x14ac:dyDescent="0.45">
      <c r="B1371" s="1347" t="s">
        <v>1108</v>
      </c>
      <c r="D1371" s="1347" t="s">
        <v>1109</v>
      </c>
      <c r="E1371" s="1347" t="s">
        <v>1110</v>
      </c>
    </row>
    <row r="1372" spans="2:5" x14ac:dyDescent="0.45">
      <c r="B1372" s="1347" t="s">
        <v>1108</v>
      </c>
      <c r="D1372" s="1347" t="s">
        <v>1109</v>
      </c>
      <c r="E1372" s="1347" t="s">
        <v>1110</v>
      </c>
    </row>
    <row r="1373" spans="2:5" x14ac:dyDescent="0.45">
      <c r="B1373" s="1347" t="s">
        <v>1108</v>
      </c>
      <c r="D1373" s="1347" t="s">
        <v>1109</v>
      </c>
      <c r="E1373" s="1347" t="s">
        <v>1110</v>
      </c>
    </row>
    <row r="1374" spans="2:5" x14ac:dyDescent="0.45">
      <c r="B1374" s="1347" t="s">
        <v>1108</v>
      </c>
      <c r="D1374" s="1347" t="s">
        <v>1109</v>
      </c>
      <c r="E1374" s="1347" t="s">
        <v>1110</v>
      </c>
    </row>
    <row r="1375" spans="2:5" x14ac:dyDescent="0.45">
      <c r="B1375" s="1347" t="s">
        <v>1108</v>
      </c>
      <c r="D1375" s="1347" t="s">
        <v>1109</v>
      </c>
      <c r="E1375" s="1347" t="s">
        <v>1110</v>
      </c>
    </row>
    <row r="1376" spans="2:5" x14ac:dyDescent="0.45">
      <c r="B1376" s="1347" t="s">
        <v>1108</v>
      </c>
      <c r="D1376" s="1347" t="s">
        <v>1109</v>
      </c>
      <c r="E1376" s="1347" t="s">
        <v>1110</v>
      </c>
    </row>
    <row r="1377" spans="1:5" x14ac:dyDescent="0.45">
      <c r="B1377" s="1347" t="s">
        <v>1108</v>
      </c>
      <c r="D1377" s="1347" t="s">
        <v>1109</v>
      </c>
      <c r="E1377" s="1347" t="s">
        <v>1110</v>
      </c>
    </row>
    <row r="1378" spans="1:5" x14ac:dyDescent="0.45">
      <c r="B1378" s="1347" t="s">
        <v>1108</v>
      </c>
      <c r="D1378" s="1347" t="s">
        <v>1109</v>
      </c>
      <c r="E1378" s="1347" t="s">
        <v>1110</v>
      </c>
    </row>
    <row r="1379" spans="1:5" x14ac:dyDescent="0.45">
      <c r="B1379" s="1347" t="s">
        <v>1108</v>
      </c>
      <c r="D1379" s="1347" t="s">
        <v>1109</v>
      </c>
      <c r="E1379" s="1347" t="s">
        <v>1110</v>
      </c>
    </row>
    <row r="1380" spans="1:5" x14ac:dyDescent="0.45">
      <c r="B1380" s="1347" t="s">
        <v>1108</v>
      </c>
      <c r="D1380" s="1347" t="s">
        <v>1109</v>
      </c>
      <c r="E1380" s="1347" t="s">
        <v>1110</v>
      </c>
    </row>
    <row r="1381" spans="1:5" x14ac:dyDescent="0.45">
      <c r="B1381" s="1347" t="s">
        <v>1108</v>
      </c>
      <c r="D1381" s="1347" t="s">
        <v>1109</v>
      </c>
      <c r="E1381" s="1347" t="s">
        <v>1110</v>
      </c>
    </row>
    <row r="1382" spans="1:5" x14ac:dyDescent="0.45">
      <c r="B1382" s="1347" t="s">
        <v>1108</v>
      </c>
      <c r="D1382" s="1347" t="s">
        <v>1109</v>
      </c>
      <c r="E1382" s="1347" t="s">
        <v>1110</v>
      </c>
    </row>
    <row r="1383" spans="1:5" x14ac:dyDescent="0.45">
      <c r="A1383" s="1347">
        <v>-1</v>
      </c>
      <c r="B1383" s="1347" t="s">
        <v>2514</v>
      </c>
      <c r="D1383" s="1347" t="s">
        <v>2515</v>
      </c>
      <c r="E1383" s="1347" t="s">
        <v>2516</v>
      </c>
    </row>
    <row r="1384" spans="1:5" x14ac:dyDescent="0.45">
      <c r="B1384" s="1347" t="s">
        <v>2517</v>
      </c>
      <c r="D1384" s="1347" t="s">
        <v>2518</v>
      </c>
      <c r="E1384" s="1347" t="s">
        <v>2519</v>
      </c>
    </row>
    <row r="1385" spans="1:5" x14ac:dyDescent="0.45">
      <c r="B1385" s="1347" t="s">
        <v>1108</v>
      </c>
      <c r="D1385" s="1347" t="s">
        <v>2520</v>
      </c>
      <c r="E1385" s="1347" t="s">
        <v>2521</v>
      </c>
    </row>
    <row r="1386" spans="1:5" x14ac:dyDescent="0.45">
      <c r="A1386" s="1347" t="s">
        <v>1105</v>
      </c>
      <c r="B1386" s="1347" t="s">
        <v>2522</v>
      </c>
      <c r="D1386" s="1347" t="s">
        <v>2523</v>
      </c>
      <c r="E1386" s="1347" t="s">
        <v>2524</v>
      </c>
    </row>
    <row r="1387" spans="1:5" x14ac:dyDescent="0.45">
      <c r="B1387" s="1347" t="s">
        <v>1108</v>
      </c>
      <c r="D1387" s="1347" t="s">
        <v>2525</v>
      </c>
      <c r="E1387" s="1347" t="s">
        <v>2526</v>
      </c>
    </row>
    <row r="1388" spans="1:5" x14ac:dyDescent="0.45">
      <c r="B1388" s="1347" t="s">
        <v>1108</v>
      </c>
      <c r="D1388" s="1347" t="s">
        <v>2527</v>
      </c>
      <c r="E1388" s="1347" t="s">
        <v>2528</v>
      </c>
    </row>
    <row r="1389" spans="1:5" x14ac:dyDescent="0.45">
      <c r="B1389" s="1347" t="s">
        <v>2529</v>
      </c>
      <c r="D1389" s="1347" t="s">
        <v>2530</v>
      </c>
      <c r="E1389" s="1347" t="s">
        <v>2531</v>
      </c>
    </row>
    <row r="1390" spans="1:5" x14ac:dyDescent="0.45">
      <c r="A1390" s="1347">
        <v>-3</v>
      </c>
      <c r="B1390" s="1347" t="s">
        <v>2532</v>
      </c>
      <c r="D1390" s="1347" t="s">
        <v>2533</v>
      </c>
      <c r="E1390" s="1347" t="s">
        <v>2534</v>
      </c>
    </row>
    <row r="1391" spans="1:5" x14ac:dyDescent="0.45">
      <c r="A1391" s="1347" t="s">
        <v>1105</v>
      </c>
      <c r="B1391" s="1347" t="s">
        <v>2535</v>
      </c>
      <c r="D1391" s="1347" t="s">
        <v>2536</v>
      </c>
      <c r="E1391" s="1347" t="s">
        <v>2537</v>
      </c>
    </row>
    <row r="1392" spans="1:5" x14ac:dyDescent="0.45">
      <c r="B1392" s="1347" t="s">
        <v>2538</v>
      </c>
      <c r="C1392" s="1347" t="s">
        <v>1105</v>
      </c>
      <c r="D1392" s="1347" t="s">
        <v>2539</v>
      </c>
      <c r="E1392" s="1347" t="s">
        <v>2540</v>
      </c>
    </row>
    <row r="1393" spans="1:5" x14ac:dyDescent="0.45">
      <c r="B1393" s="1347" t="s">
        <v>2541</v>
      </c>
      <c r="C1393" s="1347" t="s">
        <v>1105</v>
      </c>
      <c r="D1393" s="1347" t="s">
        <v>2542</v>
      </c>
      <c r="E1393" s="1347" t="s">
        <v>2543</v>
      </c>
    </row>
    <row r="1394" spans="1:5" x14ac:dyDescent="0.45">
      <c r="B1394" s="1347" t="s">
        <v>2544</v>
      </c>
      <c r="D1394" s="1347" t="s">
        <v>2545</v>
      </c>
      <c r="E1394" s="1347" t="s">
        <v>2546</v>
      </c>
    </row>
    <row r="1395" spans="1:5" x14ac:dyDescent="0.45">
      <c r="B1395" s="1347" t="s">
        <v>1108</v>
      </c>
      <c r="D1395" s="1347" t="s">
        <v>2547</v>
      </c>
      <c r="E1395" s="1347" t="s">
        <v>2548</v>
      </c>
    </row>
    <row r="1396" spans="1:5" x14ac:dyDescent="0.45">
      <c r="A1396" s="1347">
        <v>-1</v>
      </c>
      <c r="B1396" s="1347" t="s">
        <v>2549</v>
      </c>
      <c r="D1396" s="1347" t="s">
        <v>2550</v>
      </c>
      <c r="E1396" s="1347" t="s">
        <v>2551</v>
      </c>
    </row>
    <row r="1397" spans="1:5" x14ac:dyDescent="0.45">
      <c r="B1397" s="1347" t="s">
        <v>2552</v>
      </c>
      <c r="D1397" s="1347" t="s">
        <v>2553</v>
      </c>
      <c r="E1397" s="1347" t="s">
        <v>2554</v>
      </c>
    </row>
    <row r="1398" spans="1:5" x14ac:dyDescent="0.45">
      <c r="B1398" s="1347" t="s">
        <v>1108</v>
      </c>
      <c r="D1398" s="1347" t="s">
        <v>2555</v>
      </c>
      <c r="E1398" s="1347" t="s">
        <v>1110</v>
      </c>
    </row>
    <row r="1399" spans="1:5" x14ac:dyDescent="0.45">
      <c r="A1399" s="1347" t="s">
        <v>1105</v>
      </c>
      <c r="B1399" s="1347" t="s">
        <v>2556</v>
      </c>
      <c r="D1399" s="1347" t="s">
        <v>2557</v>
      </c>
      <c r="E1399" s="1347" t="s">
        <v>2558</v>
      </c>
    </row>
    <row r="1400" spans="1:5" x14ac:dyDescent="0.45">
      <c r="B1400" s="1347" t="s">
        <v>2559</v>
      </c>
      <c r="D1400" s="1347">
        <f>-91   -153   -225   -23</f>
        <v>-492</v>
      </c>
      <c r="E1400" s="1347" t="s">
        <v>2560</v>
      </c>
    </row>
    <row r="1401" spans="1:5" x14ac:dyDescent="0.45">
      <c r="B1401" s="1347" t="s">
        <v>1108</v>
      </c>
      <c r="D1401" s="1347" t="s">
        <v>2561</v>
      </c>
      <c r="E1401" s="1347" t="s">
        <v>2562</v>
      </c>
    </row>
    <row r="1402" spans="1:5" x14ac:dyDescent="0.45">
      <c r="B1402" s="1347" t="s">
        <v>2563</v>
      </c>
      <c r="D1402" s="1347" t="s">
        <v>1109</v>
      </c>
      <c r="E1402" s="1347" t="s">
        <v>2564</v>
      </c>
    </row>
    <row r="1403" spans="1:5" x14ac:dyDescent="0.45">
      <c r="B1403" s="1347" t="s">
        <v>1108</v>
      </c>
      <c r="D1403" s="1347" t="s">
        <v>2565</v>
      </c>
      <c r="E1403" s="1347" t="s">
        <v>1156</v>
      </c>
    </row>
    <row r="1404" spans="1:5" x14ac:dyDescent="0.45">
      <c r="B1404" s="1347" t="s">
        <v>2566</v>
      </c>
      <c r="D1404" s="1347" t="s">
        <v>2567</v>
      </c>
      <c r="E1404" s="1347" t="s">
        <v>2568</v>
      </c>
    </row>
    <row r="1405" spans="1:5" x14ac:dyDescent="0.45">
      <c r="A1405" s="1347" t="s">
        <v>1105</v>
      </c>
      <c r="B1405" s="1347" t="s">
        <v>2569</v>
      </c>
      <c r="D1405" s="1347" t="s">
        <v>2570</v>
      </c>
      <c r="E1405" s="1347" t="s">
        <v>1110</v>
      </c>
    </row>
    <row r="1406" spans="1:5" x14ac:dyDescent="0.45">
      <c r="B1406" s="1347" t="s">
        <v>2163</v>
      </c>
      <c r="D1406" s="1347" t="s">
        <v>2571</v>
      </c>
      <c r="E1406" s="1347" t="s">
        <v>2572</v>
      </c>
    </row>
    <row r="1407" spans="1:5" x14ac:dyDescent="0.45">
      <c r="B1407" s="1347" t="s">
        <v>2573</v>
      </c>
      <c r="D1407" s="1347" t="s">
        <v>2574</v>
      </c>
      <c r="E1407" s="1347" t="s">
        <v>2575</v>
      </c>
    </row>
    <row r="1408" spans="1:5" x14ac:dyDescent="0.45">
      <c r="B1408" s="1347" t="s">
        <v>1108</v>
      </c>
      <c r="D1408" s="1347" t="s">
        <v>2576</v>
      </c>
      <c r="E1408" s="1347" t="s">
        <v>2577</v>
      </c>
    </row>
    <row r="1409" spans="1:5" x14ac:dyDescent="0.45">
      <c r="B1409" s="1347" t="s">
        <v>1108</v>
      </c>
      <c r="D1409" s="1347" t="s">
        <v>2578</v>
      </c>
      <c r="E1409" s="1347" t="s">
        <v>2579</v>
      </c>
    </row>
    <row r="1410" spans="1:5" x14ac:dyDescent="0.45">
      <c r="A1410" s="1347">
        <v>-3</v>
      </c>
      <c r="B1410" s="1347" t="s">
        <v>2580</v>
      </c>
      <c r="D1410" s="1347" t="s">
        <v>2581</v>
      </c>
      <c r="E1410" s="1347" t="s">
        <v>2582</v>
      </c>
    </row>
    <row r="1411" spans="1:5" x14ac:dyDescent="0.45">
      <c r="B1411" s="1347" t="s">
        <v>1108</v>
      </c>
      <c r="C1411" s="1347">
        <v>-1</v>
      </c>
      <c r="D1411" s="1347" t="s">
        <v>2583</v>
      </c>
      <c r="E1411" s="1347" t="s">
        <v>1110</v>
      </c>
    </row>
    <row r="1412" spans="1:5" x14ac:dyDescent="0.45">
      <c r="B1412" s="1347" t="s">
        <v>1108</v>
      </c>
      <c r="D1412" s="1347" t="s">
        <v>1109</v>
      </c>
      <c r="E1412" s="1347" t="s">
        <v>1110</v>
      </c>
    </row>
    <row r="1413" spans="1:5" x14ac:dyDescent="0.45">
      <c r="B1413" s="1347" t="s">
        <v>1108</v>
      </c>
      <c r="D1413" s="1347" t="s">
        <v>1109</v>
      </c>
      <c r="E1413" s="1347" t="s">
        <v>1110</v>
      </c>
    </row>
    <row r="1414" spans="1:5" x14ac:dyDescent="0.45">
      <c r="B1414" s="1347" t="s">
        <v>1108</v>
      </c>
      <c r="D1414" s="1347" t="s">
        <v>1109</v>
      </c>
      <c r="E1414" s="1347" t="s">
        <v>1110</v>
      </c>
    </row>
    <row r="1415" spans="1:5" x14ac:dyDescent="0.45">
      <c r="B1415" s="1347" t="s">
        <v>1108</v>
      </c>
      <c r="D1415" s="1347" t="s">
        <v>1109</v>
      </c>
      <c r="E1415" s="1347" t="s">
        <v>1110</v>
      </c>
    </row>
    <row r="1416" spans="1:5" x14ac:dyDescent="0.45">
      <c r="B1416" s="1347" t="s">
        <v>1108</v>
      </c>
      <c r="D1416" s="1347" t="s">
        <v>1109</v>
      </c>
      <c r="E1416" s="1347" t="s">
        <v>1110</v>
      </c>
    </row>
    <row r="1417" spans="1:5" x14ac:dyDescent="0.45">
      <c r="B1417" s="1347" t="s">
        <v>1108</v>
      </c>
      <c r="D1417" s="1347" t="s">
        <v>1109</v>
      </c>
      <c r="E1417" s="1347" t="s">
        <v>1110</v>
      </c>
    </row>
    <row r="1418" spans="1:5" x14ac:dyDescent="0.45">
      <c r="B1418" s="1347" t="s">
        <v>1108</v>
      </c>
      <c r="D1418" s="1347" t="s">
        <v>1109</v>
      </c>
      <c r="E1418" s="1347" t="s">
        <v>1110</v>
      </c>
    </row>
    <row r="1419" spans="1:5" x14ac:dyDescent="0.45">
      <c r="B1419" s="1347" t="s">
        <v>1108</v>
      </c>
      <c r="D1419" s="1347" t="s">
        <v>1109</v>
      </c>
      <c r="E1419" s="1347" t="s">
        <v>1110</v>
      </c>
    </row>
    <row r="1420" spans="1:5" x14ac:dyDescent="0.45">
      <c r="B1420" s="1347" t="s">
        <v>1108</v>
      </c>
      <c r="D1420" s="1347" t="s">
        <v>1109</v>
      </c>
      <c r="E1420" s="1347" t="s">
        <v>1110</v>
      </c>
    </row>
    <row r="1421" spans="1:5" x14ac:dyDescent="0.45">
      <c r="B1421" s="1347" t="s">
        <v>1108</v>
      </c>
      <c r="D1421" s="1347" t="s">
        <v>1109</v>
      </c>
      <c r="E1421" s="1347" t="s">
        <v>1110</v>
      </c>
    </row>
    <row r="1422" spans="1:5" x14ac:dyDescent="0.45">
      <c r="B1422" s="1347" t="s">
        <v>1108</v>
      </c>
      <c r="D1422" s="1347" t="s">
        <v>1109</v>
      </c>
      <c r="E1422" s="1347" t="s">
        <v>1110</v>
      </c>
    </row>
    <row r="1423" spans="1:5" x14ac:dyDescent="0.45">
      <c r="B1423" s="1347" t="s">
        <v>1108</v>
      </c>
      <c r="D1423" s="1347" t="s">
        <v>1109</v>
      </c>
      <c r="E1423" s="1347" t="s">
        <v>1110</v>
      </c>
    </row>
    <row r="1424" spans="1:5" x14ac:dyDescent="0.45">
      <c r="B1424" s="1347" t="s">
        <v>1108</v>
      </c>
      <c r="D1424" s="1347" t="s">
        <v>1109</v>
      </c>
      <c r="E1424" s="1347" t="s">
        <v>1110</v>
      </c>
    </row>
    <row r="1425" spans="1:5" x14ac:dyDescent="0.45">
      <c r="B1425" s="1347" t="s">
        <v>1108</v>
      </c>
      <c r="D1425" s="1347" t="s">
        <v>1109</v>
      </c>
      <c r="E1425" s="1347" t="s">
        <v>2584</v>
      </c>
    </row>
    <row r="1426" spans="1:5" x14ac:dyDescent="0.45">
      <c r="B1426" s="1347" t="s">
        <v>2585</v>
      </c>
      <c r="D1426" s="1347" t="s">
        <v>2586</v>
      </c>
      <c r="E1426" s="1347" t="s">
        <v>2587</v>
      </c>
    </row>
    <row r="1427" spans="1:5" x14ac:dyDescent="0.45">
      <c r="B1427" s="1347" t="s">
        <v>1108</v>
      </c>
      <c r="D1427" s="1347" t="s">
        <v>2588</v>
      </c>
      <c r="E1427" s="1347" t="s">
        <v>2589</v>
      </c>
    </row>
    <row r="1428" spans="1:5" x14ac:dyDescent="0.45">
      <c r="B1428" s="1347" t="s">
        <v>2590</v>
      </c>
      <c r="D1428" s="1347">
        <f>-66   -485    -38</f>
        <v>-589</v>
      </c>
      <c r="E1428" s="1347" t="s">
        <v>2591</v>
      </c>
    </row>
    <row r="1429" spans="1:5" x14ac:dyDescent="0.45">
      <c r="A1429" s="1347" t="s">
        <v>1105</v>
      </c>
      <c r="B1429" s="1347" t="s">
        <v>2592</v>
      </c>
      <c r="D1429" s="1347" t="s">
        <v>2593</v>
      </c>
      <c r="E1429" s="1347" t="s">
        <v>2594</v>
      </c>
    </row>
    <row r="1430" spans="1:5" x14ac:dyDescent="0.45">
      <c r="B1430" s="1347" t="s">
        <v>1108</v>
      </c>
      <c r="D1430" s="1347" t="s">
        <v>2595</v>
      </c>
      <c r="E1430" s="1347" t="s">
        <v>1275</v>
      </c>
    </row>
    <row r="1431" spans="1:5" x14ac:dyDescent="0.45">
      <c r="B1431" s="1347" t="s">
        <v>2596</v>
      </c>
      <c r="D1431" s="1347" t="s">
        <v>2597</v>
      </c>
      <c r="E1431" s="1347" t="s">
        <v>2598</v>
      </c>
    </row>
    <row r="1432" spans="1:5" x14ac:dyDescent="0.45">
      <c r="A1432" s="1347" t="s">
        <v>1105</v>
      </c>
      <c r="B1432" s="1347" t="s">
        <v>2585</v>
      </c>
      <c r="D1432" s="1347" t="s">
        <v>1266</v>
      </c>
      <c r="E1432" s="1347" t="s">
        <v>2599</v>
      </c>
    </row>
    <row r="1433" spans="1:5" x14ac:dyDescent="0.45">
      <c r="A1433" s="1347" t="s">
        <v>1105</v>
      </c>
      <c r="B1433" s="1347" t="s">
        <v>2600</v>
      </c>
      <c r="D1433" s="1347" t="s">
        <v>2601</v>
      </c>
      <c r="E1433" s="1347" t="s">
        <v>2602</v>
      </c>
    </row>
    <row r="1434" spans="1:5" x14ac:dyDescent="0.45">
      <c r="B1434" s="1347" t="s">
        <v>1108</v>
      </c>
      <c r="D1434" s="1347" t="s">
        <v>2603</v>
      </c>
      <c r="E1434" s="1347" t="s">
        <v>2604</v>
      </c>
    </row>
    <row r="1435" spans="1:5" x14ac:dyDescent="0.45">
      <c r="B1435" s="1347" t="s">
        <v>2605</v>
      </c>
      <c r="D1435" s="1347" t="s">
        <v>2606</v>
      </c>
      <c r="E1435" s="1347" t="s">
        <v>2607</v>
      </c>
    </row>
    <row r="1436" spans="1:5" x14ac:dyDescent="0.45">
      <c r="B1436" s="1347" t="s">
        <v>2608</v>
      </c>
      <c r="D1436" s="1347" t="s">
        <v>2609</v>
      </c>
      <c r="E1436" s="1347" t="s">
        <v>2610</v>
      </c>
    </row>
    <row r="1437" spans="1:5" x14ac:dyDescent="0.45">
      <c r="A1437" s="1347">
        <v>1</v>
      </c>
      <c r="B1437" s="1347" t="s">
        <v>2611</v>
      </c>
      <c r="D1437" s="1347" t="s">
        <v>2612</v>
      </c>
      <c r="E1437" s="1347" t="s">
        <v>2613</v>
      </c>
    </row>
    <row r="1438" spans="1:5" x14ac:dyDescent="0.45">
      <c r="B1438" s="1347" t="s">
        <v>2614</v>
      </c>
      <c r="D1438" s="1347" t="s">
        <v>2615</v>
      </c>
      <c r="E1438" s="1347" t="s">
        <v>2616</v>
      </c>
    </row>
    <row r="1439" spans="1:5" x14ac:dyDescent="0.45">
      <c r="A1439" s="1347">
        <v>-7</v>
      </c>
      <c r="B1439" s="1347" t="s">
        <v>2617</v>
      </c>
      <c r="D1439" s="1347" t="s">
        <v>2618</v>
      </c>
      <c r="E1439" s="1347" t="s">
        <v>2619</v>
      </c>
    </row>
    <row r="1440" spans="1:5" x14ac:dyDescent="0.45">
      <c r="B1440" s="1347" t="s">
        <v>1108</v>
      </c>
      <c r="D1440" s="1347" t="s">
        <v>1109</v>
      </c>
      <c r="E1440" s="1347" t="s">
        <v>1110</v>
      </c>
    </row>
    <row r="1441" spans="2:5" x14ac:dyDescent="0.45">
      <c r="B1441" s="1347" t="s">
        <v>1108</v>
      </c>
      <c r="D1441" s="1347" t="s">
        <v>1109</v>
      </c>
      <c r="E1441" s="1347" t="s">
        <v>1110</v>
      </c>
    </row>
    <row r="1442" spans="2:5" x14ac:dyDescent="0.45">
      <c r="B1442" s="1347" t="s">
        <v>1108</v>
      </c>
      <c r="D1442" s="1347" t="s">
        <v>1109</v>
      </c>
      <c r="E1442" s="1347" t="s">
        <v>1110</v>
      </c>
    </row>
    <row r="1443" spans="2:5" x14ac:dyDescent="0.45">
      <c r="B1443" s="1347" t="s">
        <v>1108</v>
      </c>
      <c r="D1443" s="1347" t="s">
        <v>1109</v>
      </c>
      <c r="E1443" s="1347" t="s">
        <v>1110</v>
      </c>
    </row>
    <row r="1444" spans="2:5" x14ac:dyDescent="0.45">
      <c r="B1444" s="1347" t="s">
        <v>1108</v>
      </c>
      <c r="D1444" s="1347" t="s">
        <v>1109</v>
      </c>
      <c r="E1444" s="1347" t="s">
        <v>1110</v>
      </c>
    </row>
    <row r="1445" spans="2:5" x14ac:dyDescent="0.45">
      <c r="B1445" s="1347" t="s">
        <v>1108</v>
      </c>
      <c r="D1445" s="1347" t="s">
        <v>1109</v>
      </c>
      <c r="E1445" s="1347" t="s">
        <v>1110</v>
      </c>
    </row>
    <row r="1446" spans="2:5" x14ac:dyDescent="0.45">
      <c r="B1446" s="1347" t="s">
        <v>1108</v>
      </c>
      <c r="D1446" s="1347" t="s">
        <v>1109</v>
      </c>
      <c r="E1446" s="1347" t="s">
        <v>1110</v>
      </c>
    </row>
    <row r="1447" spans="2:5" x14ac:dyDescent="0.45">
      <c r="B1447" s="1347" t="s">
        <v>1108</v>
      </c>
      <c r="D1447" s="1347" t="s">
        <v>1109</v>
      </c>
      <c r="E1447" s="1347" t="s">
        <v>1110</v>
      </c>
    </row>
    <row r="1448" spans="2:5" x14ac:dyDescent="0.45">
      <c r="B1448" s="1347" t="s">
        <v>1108</v>
      </c>
      <c r="D1448" s="1347" t="s">
        <v>1109</v>
      </c>
      <c r="E1448" s="1347" t="s">
        <v>1110</v>
      </c>
    </row>
    <row r="1449" spans="2:5" x14ac:dyDescent="0.45">
      <c r="B1449" s="1347" t="s">
        <v>1108</v>
      </c>
      <c r="D1449" s="1347" t="s">
        <v>1109</v>
      </c>
      <c r="E1449" s="1347" t="s">
        <v>1110</v>
      </c>
    </row>
    <row r="1450" spans="2:5" x14ac:dyDescent="0.45">
      <c r="B1450" s="1347" t="s">
        <v>1108</v>
      </c>
      <c r="D1450" s="1347" t="s">
        <v>1109</v>
      </c>
      <c r="E1450" s="1347" t="s">
        <v>1110</v>
      </c>
    </row>
    <row r="1451" spans="2:5" x14ac:dyDescent="0.45">
      <c r="B1451" s="1347" t="s">
        <v>1108</v>
      </c>
      <c r="D1451" s="1347" t="s">
        <v>1109</v>
      </c>
      <c r="E1451" s="1347" t="s">
        <v>1110</v>
      </c>
    </row>
    <row r="1452" spans="2:5" x14ac:dyDescent="0.45">
      <c r="B1452" s="1347" t="s">
        <v>1108</v>
      </c>
      <c r="D1452" s="1347" t="s">
        <v>1109</v>
      </c>
      <c r="E1452" s="1347" t="s">
        <v>1110</v>
      </c>
    </row>
    <row r="1453" spans="2:5" x14ac:dyDescent="0.45">
      <c r="B1453" s="1347" t="s">
        <v>1108</v>
      </c>
      <c r="D1453" s="1347" t="s">
        <v>1109</v>
      </c>
      <c r="E1453" s="1347" t="s">
        <v>1110</v>
      </c>
    </row>
    <row r="1454" spans="2:5" x14ac:dyDescent="0.45">
      <c r="B1454" s="1347" t="s">
        <v>1108</v>
      </c>
      <c r="D1454" s="1347" t="s">
        <v>1109</v>
      </c>
      <c r="E1454" s="1347" t="s">
        <v>1110</v>
      </c>
    </row>
    <row r="1455" spans="2:5" x14ac:dyDescent="0.45">
      <c r="B1455" s="1347" t="s">
        <v>1108</v>
      </c>
      <c r="D1455" s="1347" t="s">
        <v>1109</v>
      </c>
      <c r="E1455" s="1347" t="s">
        <v>1110</v>
      </c>
    </row>
    <row r="1456" spans="2:5" x14ac:dyDescent="0.45">
      <c r="B1456" s="1347" t="s">
        <v>1108</v>
      </c>
      <c r="D1456" s="1347" t="s">
        <v>1109</v>
      </c>
      <c r="E1456" s="1347" t="s">
        <v>1110</v>
      </c>
    </row>
    <row r="1457" spans="2:5" x14ac:dyDescent="0.45">
      <c r="B1457" s="1347" t="s">
        <v>1108</v>
      </c>
      <c r="D1457" s="1347" t="s">
        <v>1109</v>
      </c>
      <c r="E1457" s="1347" t="s">
        <v>1110</v>
      </c>
    </row>
    <row r="1458" spans="2:5" x14ac:dyDescent="0.45">
      <c r="B1458" s="1347" t="s">
        <v>1108</v>
      </c>
      <c r="D1458" s="1347" t="s">
        <v>1109</v>
      </c>
      <c r="E1458" s="1347" t="s">
        <v>1110</v>
      </c>
    </row>
    <row r="1459" spans="2:5" x14ac:dyDescent="0.45">
      <c r="B1459" s="1347" t="s">
        <v>1108</v>
      </c>
      <c r="D1459" s="1347" t="s">
        <v>1109</v>
      </c>
      <c r="E1459" s="1347" t="s">
        <v>1110</v>
      </c>
    </row>
    <row r="1460" spans="2:5" x14ac:dyDescent="0.45">
      <c r="B1460" s="1347" t="s">
        <v>1108</v>
      </c>
      <c r="D1460" s="1347" t="s">
        <v>1109</v>
      </c>
      <c r="E1460" s="1347" t="s">
        <v>1110</v>
      </c>
    </row>
    <row r="1461" spans="2:5" x14ac:dyDescent="0.45">
      <c r="B1461" s="1347" t="s">
        <v>1108</v>
      </c>
      <c r="D1461" s="1347" t="s">
        <v>1109</v>
      </c>
      <c r="E1461" s="1347" t="s">
        <v>1110</v>
      </c>
    </row>
    <row r="1462" spans="2:5" x14ac:dyDescent="0.45">
      <c r="B1462" s="1347" t="s">
        <v>1108</v>
      </c>
      <c r="D1462" s="1347" t="s">
        <v>1109</v>
      </c>
      <c r="E1462" s="1347" t="s">
        <v>1110</v>
      </c>
    </row>
    <row r="1463" spans="2:5" x14ac:dyDescent="0.45">
      <c r="B1463" s="1347" t="s">
        <v>1108</v>
      </c>
      <c r="D1463" s="1347" t="s">
        <v>1109</v>
      </c>
      <c r="E1463" s="1347" t="s">
        <v>1110</v>
      </c>
    </row>
    <row r="1464" spans="2:5" x14ac:dyDescent="0.45">
      <c r="B1464" s="1347" t="s">
        <v>1108</v>
      </c>
      <c r="D1464" s="1347" t="s">
        <v>1109</v>
      </c>
      <c r="E1464" s="1347" t="s">
        <v>1110</v>
      </c>
    </row>
    <row r="1465" spans="2:5" x14ac:dyDescent="0.45">
      <c r="B1465" s="1347" t="s">
        <v>1108</v>
      </c>
      <c r="D1465" s="1347" t="s">
        <v>1109</v>
      </c>
      <c r="E1465" s="1347" t="s">
        <v>1110</v>
      </c>
    </row>
    <row r="1466" spans="2:5" x14ac:dyDescent="0.45">
      <c r="B1466" s="1347" t="s">
        <v>1108</v>
      </c>
      <c r="D1466" s="1347" t="s">
        <v>1109</v>
      </c>
      <c r="E1466" s="1347" t="s">
        <v>1110</v>
      </c>
    </row>
    <row r="1467" spans="2:5" x14ac:dyDescent="0.45">
      <c r="B1467" s="1347" t="s">
        <v>1108</v>
      </c>
      <c r="D1467" s="1347" t="s">
        <v>1109</v>
      </c>
      <c r="E1467" s="1347" t="s">
        <v>1110</v>
      </c>
    </row>
    <row r="1468" spans="2:5" x14ac:dyDescent="0.45">
      <c r="B1468" s="1347" t="s">
        <v>1108</v>
      </c>
      <c r="D1468" s="1347" t="s">
        <v>1109</v>
      </c>
      <c r="E1468" s="1347" t="s">
        <v>1110</v>
      </c>
    </row>
    <row r="1469" spans="2:5" x14ac:dyDescent="0.45">
      <c r="B1469" s="1347" t="s">
        <v>2285</v>
      </c>
      <c r="D1469" s="1347" t="s">
        <v>2620</v>
      </c>
      <c r="E1469" s="1347" t="s">
        <v>2621</v>
      </c>
    </row>
    <row r="1470" spans="2:5" x14ac:dyDescent="0.45">
      <c r="B1470" s="1347" t="s">
        <v>1108</v>
      </c>
      <c r="D1470" s="1347" t="s">
        <v>2622</v>
      </c>
      <c r="E1470" s="1347" t="s">
        <v>1110</v>
      </c>
    </row>
    <row r="1471" spans="2:5" x14ac:dyDescent="0.45">
      <c r="B1471" s="1347" t="s">
        <v>2623</v>
      </c>
      <c r="D1471" s="1347" t="s">
        <v>2624</v>
      </c>
      <c r="E1471" s="1347" t="s">
        <v>2625</v>
      </c>
    </row>
    <row r="1472" spans="2:5" x14ac:dyDescent="0.45">
      <c r="B1472" s="1347" t="s">
        <v>2626</v>
      </c>
      <c r="D1472" s="1347" t="s">
        <v>2627</v>
      </c>
      <c r="E1472" s="1347" t="s">
        <v>2628</v>
      </c>
    </row>
    <row r="1473" spans="1:5" x14ac:dyDescent="0.45">
      <c r="B1473" s="1347" t="s">
        <v>1108</v>
      </c>
      <c r="D1473" s="1347" t="s">
        <v>2629</v>
      </c>
      <c r="E1473" s="1347" t="s">
        <v>2630</v>
      </c>
    </row>
    <row r="1474" spans="1:5" x14ac:dyDescent="0.45">
      <c r="A1474" s="1347" t="s">
        <v>1105</v>
      </c>
      <c r="B1474" s="1347" t="s">
        <v>2482</v>
      </c>
      <c r="D1474" s="1347" t="s">
        <v>1109</v>
      </c>
      <c r="E1474" s="1347" t="s">
        <v>2631</v>
      </c>
    </row>
    <row r="1475" spans="1:5" x14ac:dyDescent="0.45">
      <c r="B1475" s="1347" t="s">
        <v>1108</v>
      </c>
      <c r="D1475" s="1347" t="s">
        <v>2632</v>
      </c>
      <c r="E1475" s="1347" t="s">
        <v>1110</v>
      </c>
    </row>
    <row r="1476" spans="1:5" x14ac:dyDescent="0.45">
      <c r="B1476" s="1347" t="s">
        <v>2633</v>
      </c>
      <c r="D1476" s="1347" t="s">
        <v>2634</v>
      </c>
      <c r="E1476" s="1347" t="s">
        <v>2635</v>
      </c>
    </row>
    <row r="1477" spans="1:5" x14ac:dyDescent="0.45">
      <c r="B1477" s="1347" t="s">
        <v>2636</v>
      </c>
      <c r="D1477" s="1347" t="s">
        <v>2637</v>
      </c>
      <c r="E1477" s="1347" t="s">
        <v>1110</v>
      </c>
    </row>
    <row r="1478" spans="1:5" x14ac:dyDescent="0.45">
      <c r="B1478" s="1347" t="s">
        <v>2638</v>
      </c>
      <c r="D1478" s="1347" t="s">
        <v>2639</v>
      </c>
      <c r="E1478" s="1347" t="s">
        <v>2640</v>
      </c>
    </row>
    <row r="1479" spans="1:5" x14ac:dyDescent="0.45">
      <c r="A1479" s="1347" t="s">
        <v>1105</v>
      </c>
      <c r="B1479" s="1347" t="s">
        <v>2641</v>
      </c>
      <c r="D1479" s="1347" t="s">
        <v>2642</v>
      </c>
      <c r="E1479" s="1347" t="s">
        <v>2643</v>
      </c>
    </row>
    <row r="1480" spans="1:5" x14ac:dyDescent="0.45">
      <c r="B1480" s="1347" t="s">
        <v>1108</v>
      </c>
      <c r="D1480" s="1347" t="s">
        <v>2644</v>
      </c>
      <c r="E1480" s="1347" t="s">
        <v>2645</v>
      </c>
    </row>
    <row r="1481" spans="1:5" x14ac:dyDescent="0.45">
      <c r="B1481" s="1347" t="s">
        <v>1108</v>
      </c>
      <c r="D1481" s="1347" t="s">
        <v>2646</v>
      </c>
      <c r="E1481" s="1347" t="s">
        <v>2647</v>
      </c>
    </row>
    <row r="1482" spans="1:5" x14ac:dyDescent="0.45">
      <c r="A1482" s="1347" t="s">
        <v>1105</v>
      </c>
      <c r="B1482" s="1347" t="s">
        <v>2648</v>
      </c>
      <c r="D1482" s="1347" t="s">
        <v>2649</v>
      </c>
      <c r="E1482" s="1347" t="s">
        <v>2650</v>
      </c>
    </row>
    <row r="1483" spans="1:5" x14ac:dyDescent="0.45">
      <c r="B1483" s="1347" t="s">
        <v>1108</v>
      </c>
      <c r="D1483" s="1347" t="s">
        <v>2651</v>
      </c>
      <c r="E1483" s="1347" t="s">
        <v>1156</v>
      </c>
    </row>
    <row r="1484" spans="1:5" x14ac:dyDescent="0.45">
      <c r="B1484" s="1347" t="s">
        <v>1108</v>
      </c>
      <c r="D1484" s="1347" t="s">
        <v>1109</v>
      </c>
      <c r="E1484" s="1347" t="s">
        <v>1110</v>
      </c>
    </row>
    <row r="1485" spans="1:5" x14ac:dyDescent="0.45">
      <c r="B1485" s="1347" t="s">
        <v>1108</v>
      </c>
      <c r="D1485" s="1347" t="s">
        <v>1109</v>
      </c>
      <c r="E1485" s="1347" t="s">
        <v>1110</v>
      </c>
    </row>
    <row r="1486" spans="1:5" x14ac:dyDescent="0.45">
      <c r="B1486" s="1347" t="s">
        <v>1108</v>
      </c>
      <c r="D1486" s="1347" t="s">
        <v>1109</v>
      </c>
      <c r="E1486" s="1347" t="s">
        <v>1110</v>
      </c>
    </row>
    <row r="1487" spans="1:5" x14ac:dyDescent="0.45">
      <c r="B1487" s="1347" t="s">
        <v>1108</v>
      </c>
      <c r="D1487" s="1347" t="s">
        <v>1109</v>
      </c>
      <c r="E1487" s="1347" t="s">
        <v>1110</v>
      </c>
    </row>
    <row r="1488" spans="1:5" x14ac:dyDescent="0.45">
      <c r="B1488" s="1347" t="s">
        <v>1108</v>
      </c>
      <c r="D1488" s="1347" t="s">
        <v>1109</v>
      </c>
      <c r="E1488" s="1347" t="s">
        <v>1110</v>
      </c>
    </row>
    <row r="1489" spans="1:5" x14ac:dyDescent="0.45">
      <c r="B1489" s="1347" t="s">
        <v>1108</v>
      </c>
      <c r="D1489" s="1347" t="s">
        <v>1109</v>
      </c>
      <c r="E1489" s="1347" t="s">
        <v>1110</v>
      </c>
    </row>
    <row r="1490" spans="1:5" x14ac:dyDescent="0.45">
      <c r="B1490" s="1347" t="s">
        <v>1108</v>
      </c>
      <c r="D1490" s="1347" t="s">
        <v>1109</v>
      </c>
      <c r="E1490" s="1347" t="s">
        <v>1110</v>
      </c>
    </row>
    <row r="1491" spans="1:5" x14ac:dyDescent="0.45">
      <c r="B1491" s="1347" t="s">
        <v>1108</v>
      </c>
      <c r="D1491" s="1347" t="s">
        <v>1109</v>
      </c>
      <c r="E1491" s="1347" t="s">
        <v>1110</v>
      </c>
    </row>
    <row r="1492" spans="1:5" x14ac:dyDescent="0.45">
      <c r="B1492" s="1347" t="s">
        <v>1108</v>
      </c>
      <c r="D1492" s="1347" t="s">
        <v>1109</v>
      </c>
      <c r="E1492" s="1347" t="s">
        <v>1110</v>
      </c>
    </row>
    <row r="1493" spans="1:5" x14ac:dyDescent="0.45">
      <c r="B1493" s="1347" t="s">
        <v>1108</v>
      </c>
      <c r="D1493" s="1347" t="s">
        <v>1109</v>
      </c>
      <c r="E1493" s="1347" t="s">
        <v>1110</v>
      </c>
    </row>
    <row r="1494" spans="1:5" x14ac:dyDescent="0.45">
      <c r="B1494" s="1347" t="s">
        <v>1108</v>
      </c>
      <c r="D1494" s="1347" t="s">
        <v>1109</v>
      </c>
      <c r="E1494" s="1347" t="s">
        <v>1110</v>
      </c>
    </row>
    <row r="1495" spans="1:5" x14ac:dyDescent="0.45">
      <c r="B1495" s="1347" t="s">
        <v>1108</v>
      </c>
      <c r="D1495" s="1347" t="s">
        <v>1109</v>
      </c>
      <c r="E1495" s="1347" t="s">
        <v>1110</v>
      </c>
    </row>
    <row r="1496" spans="1:5" x14ac:dyDescent="0.45">
      <c r="B1496" s="1347" t="s">
        <v>1108</v>
      </c>
      <c r="D1496" s="1347" t="s">
        <v>1109</v>
      </c>
      <c r="E1496" s="1347" t="s">
        <v>1110</v>
      </c>
    </row>
    <row r="1497" spans="1:5" x14ac:dyDescent="0.45">
      <c r="B1497" s="1347" t="s">
        <v>1108</v>
      </c>
      <c r="D1497" s="1347" t="s">
        <v>1109</v>
      </c>
      <c r="E1497" s="1347" t="s">
        <v>1110</v>
      </c>
    </row>
    <row r="1498" spans="1:5" x14ac:dyDescent="0.45">
      <c r="B1498" s="1347" t="s">
        <v>1108</v>
      </c>
      <c r="D1498" s="1347" t="s">
        <v>1109</v>
      </c>
      <c r="E1498" s="1347" t="s">
        <v>2652</v>
      </c>
    </row>
    <row r="1499" spans="1:5" x14ac:dyDescent="0.45">
      <c r="A1499" s="1347" t="s">
        <v>1105</v>
      </c>
      <c r="B1499" s="1347" t="s">
        <v>2653</v>
      </c>
      <c r="D1499" s="1347" t="s">
        <v>2654</v>
      </c>
      <c r="E1499" s="1347" t="s">
        <v>2655</v>
      </c>
    </row>
    <row r="1500" spans="1:5" x14ac:dyDescent="0.45">
      <c r="B1500" s="1347" t="s">
        <v>1108</v>
      </c>
      <c r="D1500" s="1347" t="s">
        <v>1860</v>
      </c>
      <c r="E1500" s="1347" t="s">
        <v>2656</v>
      </c>
    </row>
    <row r="1501" spans="1:5" x14ac:dyDescent="0.45">
      <c r="A1501" s="1347" t="s">
        <v>1105</v>
      </c>
      <c r="B1501" s="1347" t="s">
        <v>2657</v>
      </c>
      <c r="D1501" s="1347" t="s">
        <v>2658</v>
      </c>
      <c r="E1501" s="1347" t="s">
        <v>2659</v>
      </c>
    </row>
    <row r="1502" spans="1:5" x14ac:dyDescent="0.45">
      <c r="B1502" s="1347" t="s">
        <v>2660</v>
      </c>
      <c r="D1502" s="1347" t="s">
        <v>2661</v>
      </c>
      <c r="E1502" s="1347" t="s">
        <v>2662</v>
      </c>
    </row>
    <row r="1503" spans="1:5" x14ac:dyDescent="0.45">
      <c r="B1503" s="1347" t="s">
        <v>1108</v>
      </c>
      <c r="D1503" s="1347" t="s">
        <v>2663</v>
      </c>
      <c r="E1503" s="1347" t="s">
        <v>1113</v>
      </c>
    </row>
    <row r="1504" spans="1:5" x14ac:dyDescent="0.45">
      <c r="B1504" s="1347" t="s">
        <v>2664</v>
      </c>
      <c r="D1504" s="1347" t="s">
        <v>2665</v>
      </c>
      <c r="E1504" s="1347" t="s">
        <v>2666</v>
      </c>
    </row>
    <row r="1505" spans="1:5" x14ac:dyDescent="0.45">
      <c r="A1505" s="1347" t="s">
        <v>1105</v>
      </c>
      <c r="B1505" s="1347" t="s">
        <v>2667</v>
      </c>
      <c r="D1505" s="1347" t="s">
        <v>2668</v>
      </c>
      <c r="E1505" s="1347" t="s">
        <v>2669</v>
      </c>
    </row>
    <row r="1506" spans="1:5" x14ac:dyDescent="0.45">
      <c r="A1506" s="1347" t="s">
        <v>1105</v>
      </c>
      <c r="B1506" s="1347" t="s">
        <v>2670</v>
      </c>
      <c r="D1506" s="1347" t="s">
        <v>2671</v>
      </c>
      <c r="E1506" s="1347" t="s">
        <v>2672</v>
      </c>
    </row>
    <row r="1507" spans="1:5" x14ac:dyDescent="0.45">
      <c r="B1507" s="1347" t="s">
        <v>1108</v>
      </c>
      <c r="D1507" s="1347" t="s">
        <v>2673</v>
      </c>
      <c r="E1507" s="1347" t="s">
        <v>2674</v>
      </c>
    </row>
    <row r="1508" spans="1:5" x14ac:dyDescent="0.45">
      <c r="B1508" s="1347" t="s">
        <v>2675</v>
      </c>
      <c r="D1508" s="1347" t="s">
        <v>2676</v>
      </c>
      <c r="E1508" s="1347" t="s">
        <v>2677</v>
      </c>
    </row>
    <row r="1509" spans="1:5" x14ac:dyDescent="0.45">
      <c r="A1509" s="1347">
        <v>1</v>
      </c>
      <c r="B1509" s="1347" t="s">
        <v>2678</v>
      </c>
      <c r="D1509" s="1347" t="s">
        <v>2679</v>
      </c>
      <c r="E1509" s="1347" t="s">
        <v>2680</v>
      </c>
    </row>
    <row r="1510" spans="1:5" x14ac:dyDescent="0.45">
      <c r="A1510" s="1347" t="s">
        <v>1105</v>
      </c>
      <c r="B1510" s="1347" t="s">
        <v>2681</v>
      </c>
      <c r="C1510" s="1347" t="s">
        <v>1105</v>
      </c>
      <c r="D1510" s="1347" t="s">
        <v>2682</v>
      </c>
      <c r="E1510" s="1347" t="s">
        <v>2683</v>
      </c>
    </row>
    <row r="1511" spans="1:5" x14ac:dyDescent="0.45">
      <c r="B1511" s="1347" t="s">
        <v>2684</v>
      </c>
      <c r="D1511" s="1347" t="s">
        <v>2685</v>
      </c>
      <c r="E1511" s="1347" t="s">
        <v>2686</v>
      </c>
    </row>
    <row r="1512" spans="1:5" x14ac:dyDescent="0.45">
      <c r="A1512" s="1347">
        <v>-36</v>
      </c>
      <c r="B1512" s="1347" t="s">
        <v>2687</v>
      </c>
      <c r="D1512" s="1347" t="s">
        <v>2688</v>
      </c>
      <c r="E1512" s="1347" t="s">
        <v>2689</v>
      </c>
    </row>
    <row r="1513" spans="1:5" x14ac:dyDescent="0.45">
      <c r="A1513" s="1347">
        <v>-1</v>
      </c>
      <c r="B1513" s="1347" t="s">
        <v>2690</v>
      </c>
      <c r="D1513" s="1347" t="s">
        <v>2691</v>
      </c>
      <c r="E1513" s="1347" t="s">
        <v>2692</v>
      </c>
    </row>
    <row r="1514" spans="1:5" x14ac:dyDescent="0.45">
      <c r="B1514" s="1347" t="s">
        <v>1108</v>
      </c>
      <c r="D1514" s="1347" t="s">
        <v>2693</v>
      </c>
      <c r="E1514" s="1347" t="s">
        <v>2694</v>
      </c>
    </row>
    <row r="1515" spans="1:5" x14ac:dyDescent="0.45">
      <c r="B1515" s="1347" t="s">
        <v>1108</v>
      </c>
      <c r="D1515" s="1347" t="s">
        <v>2695</v>
      </c>
      <c r="E1515" s="1347" t="s">
        <v>2696</v>
      </c>
    </row>
    <row r="1516" spans="1:5" x14ac:dyDescent="0.45">
      <c r="B1516" s="1347" t="s">
        <v>2697</v>
      </c>
      <c r="D1516" s="1347" t="s">
        <v>2698</v>
      </c>
      <c r="E1516" s="1347" t="s">
        <v>2699</v>
      </c>
    </row>
    <row r="1517" spans="1:5" x14ac:dyDescent="0.45">
      <c r="A1517" s="1347" t="s">
        <v>1105</v>
      </c>
      <c r="B1517" s="1347" t="s">
        <v>2700</v>
      </c>
      <c r="D1517" s="1347" t="s">
        <v>2701</v>
      </c>
      <c r="E1517" s="1347" t="s">
        <v>2702</v>
      </c>
    </row>
    <row r="1518" spans="1:5" x14ac:dyDescent="0.45">
      <c r="B1518" s="1347" t="s">
        <v>1108</v>
      </c>
      <c r="D1518" s="1347" t="s">
        <v>2703</v>
      </c>
      <c r="E1518" s="1347" t="s">
        <v>1110</v>
      </c>
    </row>
    <row r="1519" spans="1:5" x14ac:dyDescent="0.45">
      <c r="A1519" s="1347" t="s">
        <v>1105</v>
      </c>
      <c r="B1519" s="1347" t="s">
        <v>2351</v>
      </c>
      <c r="D1519" s="1347" t="s">
        <v>2704</v>
      </c>
      <c r="E1519" s="1347" t="s">
        <v>2705</v>
      </c>
    </row>
    <row r="1520" spans="1:5" x14ac:dyDescent="0.45">
      <c r="B1520" s="1347" t="s">
        <v>1108</v>
      </c>
      <c r="D1520" s="1347" t="s">
        <v>2706</v>
      </c>
      <c r="E1520" s="1347" t="s">
        <v>2707</v>
      </c>
    </row>
    <row r="1521" spans="1:5" x14ac:dyDescent="0.45">
      <c r="B1521" s="1347" t="s">
        <v>2708</v>
      </c>
      <c r="D1521" s="1347" t="s">
        <v>2709</v>
      </c>
      <c r="E1521" s="1347" t="s">
        <v>2710</v>
      </c>
    </row>
    <row r="1522" spans="1:5" x14ac:dyDescent="0.45">
      <c r="B1522" s="1347" t="s">
        <v>1108</v>
      </c>
      <c r="D1522" s="1347" t="s">
        <v>2711</v>
      </c>
      <c r="E1522" s="1347" t="s">
        <v>2712</v>
      </c>
    </row>
    <row r="1523" spans="1:5" x14ac:dyDescent="0.45">
      <c r="B1523" s="1347" t="s">
        <v>2713</v>
      </c>
      <c r="D1523" s="1347" t="s">
        <v>2714</v>
      </c>
      <c r="E1523" s="1347" t="s">
        <v>2715</v>
      </c>
    </row>
    <row r="1524" spans="1:5" x14ac:dyDescent="0.45">
      <c r="B1524" s="1347" t="s">
        <v>2716</v>
      </c>
      <c r="D1524" s="1347" t="s">
        <v>2717</v>
      </c>
      <c r="E1524" s="1347" t="s">
        <v>2718</v>
      </c>
    </row>
    <row r="1525" spans="1:5" x14ac:dyDescent="0.45">
      <c r="A1525" s="1347">
        <v>-2</v>
      </c>
      <c r="B1525" s="1347" t="s">
        <v>2719</v>
      </c>
      <c r="C1525" s="1347" t="s">
        <v>1105</v>
      </c>
      <c r="D1525" s="1347" t="s">
        <v>2720</v>
      </c>
      <c r="E1525" s="1347" t="s">
        <v>2721</v>
      </c>
    </row>
    <row r="1526" spans="1:5" x14ac:dyDescent="0.45">
      <c r="A1526" s="1347">
        <v>1</v>
      </c>
      <c r="B1526" s="1347" t="s">
        <v>2722</v>
      </c>
      <c r="D1526" s="1347" t="s">
        <v>2723</v>
      </c>
      <c r="E1526" s="1347" t="s">
        <v>2724</v>
      </c>
    </row>
    <row r="1527" spans="1:5" x14ac:dyDescent="0.45">
      <c r="A1527" s="1347">
        <v>6</v>
      </c>
      <c r="B1527" s="1347" t="s">
        <v>2725</v>
      </c>
      <c r="D1527" s="1347" t="s">
        <v>2726</v>
      </c>
      <c r="E1527" s="1347" t="s">
        <v>2727</v>
      </c>
    </row>
    <row r="1528" spans="1:5" x14ac:dyDescent="0.45">
      <c r="B1528" s="1347" t="s">
        <v>1108</v>
      </c>
      <c r="C1528" s="1347" t="s">
        <v>1105</v>
      </c>
      <c r="D1528" s="1347" t="s">
        <v>2728</v>
      </c>
      <c r="E1528" s="1347" t="s">
        <v>2729</v>
      </c>
    </row>
    <row r="1529" spans="1:5" x14ac:dyDescent="0.45">
      <c r="B1529" s="1347" t="s">
        <v>1108</v>
      </c>
      <c r="D1529" s="1347" t="s">
        <v>2730</v>
      </c>
      <c r="E1529" s="1347" t="s">
        <v>2731</v>
      </c>
    </row>
    <row r="1530" spans="1:5" x14ac:dyDescent="0.45">
      <c r="B1530" s="1347" t="s">
        <v>1108</v>
      </c>
      <c r="D1530" s="1347" t="s">
        <v>2732</v>
      </c>
      <c r="E1530" s="1347" t="s">
        <v>2733</v>
      </c>
    </row>
    <row r="1531" spans="1:5" x14ac:dyDescent="0.45">
      <c r="B1531" s="1347" t="s">
        <v>2734</v>
      </c>
      <c r="D1531" s="1347" t="s">
        <v>2735</v>
      </c>
      <c r="E1531" s="1347" t="s">
        <v>2736</v>
      </c>
    </row>
    <row r="1532" spans="1:5" x14ac:dyDescent="0.45">
      <c r="B1532" s="1347" t="s">
        <v>1630</v>
      </c>
      <c r="D1532" s="1347" t="s">
        <v>2737</v>
      </c>
      <c r="E1532" s="1347" t="s">
        <v>2738</v>
      </c>
    </row>
    <row r="1533" spans="1:5" x14ac:dyDescent="0.45">
      <c r="B1533" s="1347" t="s">
        <v>1108</v>
      </c>
      <c r="D1533" s="1347" t="s">
        <v>2739</v>
      </c>
      <c r="E1533" s="1347" t="s">
        <v>1110</v>
      </c>
    </row>
    <row r="1534" spans="1:5" x14ac:dyDescent="0.45">
      <c r="A1534" s="1347" t="s">
        <v>1105</v>
      </c>
      <c r="B1534" s="1347" t="s">
        <v>2740</v>
      </c>
      <c r="D1534" s="1347" t="s">
        <v>2741</v>
      </c>
      <c r="E1534" s="1347" t="s">
        <v>2742</v>
      </c>
    </row>
    <row r="1535" spans="1:5" x14ac:dyDescent="0.45">
      <c r="B1535" s="1347" t="s">
        <v>1108</v>
      </c>
      <c r="D1535" s="1347" t="s">
        <v>2743</v>
      </c>
      <c r="E1535" s="1347" t="s">
        <v>2744</v>
      </c>
    </row>
    <row r="1536" spans="1:5" x14ac:dyDescent="0.45">
      <c r="B1536" s="1347" t="s">
        <v>2745</v>
      </c>
      <c r="D1536" s="1347" t="s">
        <v>2746</v>
      </c>
      <c r="E1536" s="1347" t="s">
        <v>2747</v>
      </c>
    </row>
    <row r="1537" spans="1:5" x14ac:dyDescent="0.45">
      <c r="B1537" s="1347" t="s">
        <v>1108</v>
      </c>
      <c r="D1537" s="1347" t="s">
        <v>2748</v>
      </c>
      <c r="E1537" s="1347" t="s">
        <v>2749</v>
      </c>
    </row>
    <row r="1538" spans="1:5" x14ac:dyDescent="0.45">
      <c r="A1538" s="1347">
        <v>1</v>
      </c>
      <c r="B1538" s="1347" t="s">
        <v>2750</v>
      </c>
      <c r="D1538" s="1347" t="s">
        <v>2751</v>
      </c>
      <c r="E1538" s="1347" t="s">
        <v>2752</v>
      </c>
    </row>
    <row r="1539" spans="1:5" x14ac:dyDescent="0.45">
      <c r="B1539" s="1347" t="s">
        <v>1675</v>
      </c>
      <c r="D1539" s="1347" t="s">
        <v>2753</v>
      </c>
      <c r="E1539" s="1347" t="s">
        <v>2754</v>
      </c>
    </row>
    <row r="1540" spans="1:5" x14ac:dyDescent="0.45">
      <c r="A1540" s="1347">
        <v>-3</v>
      </c>
      <c r="B1540" s="1347" t="s">
        <v>2755</v>
      </c>
      <c r="C1540" s="1347">
        <v>-1</v>
      </c>
      <c r="D1540" s="1347" t="s">
        <v>2756</v>
      </c>
      <c r="E1540" s="1347" t="s">
        <v>2757</v>
      </c>
    </row>
    <row r="1541" spans="1:5" x14ac:dyDescent="0.45">
      <c r="B1541" s="1347" t="s">
        <v>2758</v>
      </c>
      <c r="D1541" s="1347" t="s">
        <v>2759</v>
      </c>
      <c r="E1541" s="1347" t="s">
        <v>2760</v>
      </c>
    </row>
    <row r="1542" spans="1:5" x14ac:dyDescent="0.45">
      <c r="A1542" s="1347">
        <v>6</v>
      </c>
      <c r="B1542" s="1347" t="s">
        <v>2761</v>
      </c>
      <c r="D1542" s="1347" t="s">
        <v>2762</v>
      </c>
      <c r="E1542" s="1347" t="s">
        <v>2763</v>
      </c>
    </row>
    <row r="1543" spans="1:5" x14ac:dyDescent="0.45">
      <c r="B1543" s="1347" t="s">
        <v>1108</v>
      </c>
      <c r="D1543" s="1347" t="s">
        <v>2764</v>
      </c>
      <c r="E1543" s="1347" t="s">
        <v>1113</v>
      </c>
    </row>
    <row r="1544" spans="1:5" x14ac:dyDescent="0.45">
      <c r="B1544" s="1347" t="s">
        <v>1108</v>
      </c>
      <c r="D1544" s="1347" t="s">
        <v>1109</v>
      </c>
      <c r="E1544" s="1347" t="s">
        <v>1110</v>
      </c>
    </row>
    <row r="1545" spans="1:5" x14ac:dyDescent="0.45">
      <c r="B1545" s="1347" t="s">
        <v>1108</v>
      </c>
      <c r="D1545" s="1347" t="s">
        <v>1109</v>
      </c>
      <c r="E1545" s="1347" t="s">
        <v>1110</v>
      </c>
    </row>
    <row r="1546" spans="1:5" x14ac:dyDescent="0.45">
      <c r="B1546" s="1347" t="s">
        <v>1108</v>
      </c>
      <c r="D1546" s="1347" t="s">
        <v>1109</v>
      </c>
      <c r="E1546" s="1347" t="s">
        <v>1110</v>
      </c>
    </row>
    <row r="1547" spans="1:5" x14ac:dyDescent="0.45">
      <c r="B1547" s="1347" t="s">
        <v>1108</v>
      </c>
      <c r="D1547" s="1347" t="s">
        <v>1109</v>
      </c>
      <c r="E1547" s="1347" t="s">
        <v>1110</v>
      </c>
    </row>
    <row r="1548" spans="1:5" x14ac:dyDescent="0.45">
      <c r="B1548" s="1347" t="s">
        <v>1108</v>
      </c>
      <c r="D1548" s="1347" t="s">
        <v>1109</v>
      </c>
      <c r="E1548" s="1347" t="s">
        <v>1110</v>
      </c>
    </row>
    <row r="1549" spans="1:5" x14ac:dyDescent="0.45">
      <c r="B1549" s="1347" t="s">
        <v>1108</v>
      </c>
      <c r="D1549" s="1347" t="s">
        <v>1109</v>
      </c>
      <c r="E1549" s="1347" t="s">
        <v>1110</v>
      </c>
    </row>
    <row r="1550" spans="1:5" x14ac:dyDescent="0.45">
      <c r="B1550" s="1347" t="s">
        <v>1108</v>
      </c>
      <c r="D1550" s="1347" t="s">
        <v>1109</v>
      </c>
      <c r="E1550" s="1347" t="s">
        <v>1110</v>
      </c>
    </row>
    <row r="1551" spans="1:5" x14ac:dyDescent="0.45">
      <c r="B1551" s="1347" t="s">
        <v>1108</v>
      </c>
      <c r="D1551" s="1347" t="s">
        <v>1109</v>
      </c>
      <c r="E1551" s="1347" t="s">
        <v>1110</v>
      </c>
    </row>
    <row r="1552" spans="1:5" x14ac:dyDescent="0.45">
      <c r="B1552" s="1347" t="s">
        <v>1108</v>
      </c>
      <c r="D1552" s="1347" t="s">
        <v>1109</v>
      </c>
      <c r="E1552" s="1347" t="s">
        <v>1110</v>
      </c>
    </row>
    <row r="1553" spans="2:5" x14ac:dyDescent="0.45">
      <c r="B1553" s="1347" t="s">
        <v>1108</v>
      </c>
      <c r="D1553" s="1347" t="s">
        <v>1109</v>
      </c>
      <c r="E1553" s="1347" t="s">
        <v>1110</v>
      </c>
    </row>
    <row r="1554" spans="2:5" x14ac:dyDescent="0.45">
      <c r="B1554" s="1347" t="s">
        <v>1108</v>
      </c>
      <c r="D1554" s="1347" t="s">
        <v>1109</v>
      </c>
      <c r="E1554" s="1347" t="s">
        <v>1110</v>
      </c>
    </row>
    <row r="1555" spans="2:5" x14ac:dyDescent="0.45">
      <c r="B1555" s="1347" t="s">
        <v>1108</v>
      </c>
      <c r="D1555" s="1347" t="s">
        <v>1109</v>
      </c>
      <c r="E1555" s="1347" t="s">
        <v>1110</v>
      </c>
    </row>
    <row r="1556" spans="2:5" x14ac:dyDescent="0.45">
      <c r="B1556" s="1347" t="s">
        <v>1108</v>
      </c>
      <c r="D1556" s="1347" t="s">
        <v>1109</v>
      </c>
      <c r="E1556" s="1347" t="s">
        <v>1110</v>
      </c>
    </row>
    <row r="1557" spans="2:5" x14ac:dyDescent="0.45">
      <c r="B1557" s="1347" t="s">
        <v>1108</v>
      </c>
      <c r="D1557" s="1347" t="s">
        <v>1109</v>
      </c>
      <c r="E1557" s="1347" t="s">
        <v>1110</v>
      </c>
    </row>
    <row r="1558" spans="2:5" x14ac:dyDescent="0.45">
      <c r="B1558" s="1347" t="s">
        <v>1108</v>
      </c>
      <c r="D1558" s="1347" t="s">
        <v>1109</v>
      </c>
      <c r="E1558" s="1347" t="s">
        <v>1110</v>
      </c>
    </row>
    <row r="1559" spans="2:5" x14ac:dyDescent="0.45">
      <c r="B1559" s="1347" t="s">
        <v>1108</v>
      </c>
      <c r="D1559" s="1347" t="s">
        <v>1109</v>
      </c>
      <c r="E1559" s="1347" t="s">
        <v>1110</v>
      </c>
    </row>
    <row r="1560" spans="2:5" x14ac:dyDescent="0.45">
      <c r="B1560" s="1347" t="s">
        <v>1108</v>
      </c>
      <c r="D1560" s="1347" t="s">
        <v>1109</v>
      </c>
      <c r="E1560" s="1347" t="s">
        <v>1110</v>
      </c>
    </row>
    <row r="1561" spans="2:5" x14ac:dyDescent="0.45">
      <c r="B1561" s="1347" t="s">
        <v>1108</v>
      </c>
      <c r="D1561" s="1347" t="s">
        <v>1109</v>
      </c>
      <c r="E1561" s="1347" t="s">
        <v>1110</v>
      </c>
    </row>
    <row r="1562" spans="2:5" x14ac:dyDescent="0.45">
      <c r="B1562" s="1347" t="s">
        <v>1108</v>
      </c>
      <c r="D1562" s="1347" t="s">
        <v>1109</v>
      </c>
      <c r="E1562" s="1347" t="s">
        <v>1110</v>
      </c>
    </row>
    <row r="1563" spans="2:5" x14ac:dyDescent="0.45">
      <c r="B1563" s="1347" t="s">
        <v>1108</v>
      </c>
      <c r="D1563" s="1347" t="s">
        <v>1109</v>
      </c>
      <c r="E1563" s="1347" t="s">
        <v>1110</v>
      </c>
    </row>
    <row r="1564" spans="2:5" x14ac:dyDescent="0.45">
      <c r="B1564" s="1347" t="s">
        <v>1108</v>
      </c>
      <c r="D1564" s="1347" t="s">
        <v>1109</v>
      </c>
      <c r="E1564" s="1347" t="s">
        <v>1110</v>
      </c>
    </row>
    <row r="1565" spans="2:5" x14ac:dyDescent="0.45">
      <c r="B1565" s="1347" t="s">
        <v>1108</v>
      </c>
      <c r="D1565" s="1347" t="s">
        <v>1109</v>
      </c>
      <c r="E1565" s="1347" t="s">
        <v>1110</v>
      </c>
    </row>
    <row r="1566" spans="2:5" x14ac:dyDescent="0.45">
      <c r="B1566" s="1347" t="s">
        <v>1108</v>
      </c>
      <c r="D1566" s="1347" t="s">
        <v>1109</v>
      </c>
      <c r="E1566" s="1347" t="s">
        <v>1110</v>
      </c>
    </row>
    <row r="1567" spans="2:5" x14ac:dyDescent="0.45">
      <c r="B1567" s="1347" t="s">
        <v>1108</v>
      </c>
      <c r="D1567" s="1347" t="s">
        <v>1109</v>
      </c>
      <c r="E1567" s="1347" t="s">
        <v>1110</v>
      </c>
    </row>
    <row r="1568" spans="2:5" x14ac:dyDescent="0.45">
      <c r="B1568" s="1347" t="s">
        <v>1108</v>
      </c>
      <c r="D1568" s="1347" t="s">
        <v>1109</v>
      </c>
      <c r="E1568" s="1347" t="s">
        <v>1110</v>
      </c>
    </row>
    <row r="1569" spans="2:5" x14ac:dyDescent="0.45">
      <c r="B1569" s="1347" t="s">
        <v>1108</v>
      </c>
      <c r="D1569" s="1347" t="s">
        <v>1109</v>
      </c>
      <c r="E1569" s="1347" t="s">
        <v>1110</v>
      </c>
    </row>
    <row r="1570" spans="2:5" x14ac:dyDescent="0.45">
      <c r="B1570" s="1347" t="s">
        <v>1108</v>
      </c>
      <c r="D1570" s="1347" t="s">
        <v>1109</v>
      </c>
      <c r="E1570" s="1347" t="s">
        <v>1110</v>
      </c>
    </row>
    <row r="1571" spans="2:5" x14ac:dyDescent="0.45">
      <c r="B1571" s="1347" t="s">
        <v>1108</v>
      </c>
      <c r="D1571" s="1347" t="s">
        <v>1109</v>
      </c>
      <c r="E1571" s="1347" t="s">
        <v>1110</v>
      </c>
    </row>
    <row r="1572" spans="2:5" x14ac:dyDescent="0.45">
      <c r="B1572" s="1347" t="s">
        <v>1108</v>
      </c>
      <c r="D1572" s="1347" t="s">
        <v>1109</v>
      </c>
      <c r="E1572" s="1347" t="s">
        <v>1110</v>
      </c>
    </row>
    <row r="1573" spans="2:5" x14ac:dyDescent="0.45">
      <c r="B1573" s="1347" t="s">
        <v>1108</v>
      </c>
      <c r="D1573" s="1347" t="s">
        <v>1109</v>
      </c>
      <c r="E1573" s="1347" t="s">
        <v>1110</v>
      </c>
    </row>
    <row r="1574" spans="2:5" x14ac:dyDescent="0.45">
      <c r="B1574" s="1347" t="s">
        <v>1108</v>
      </c>
      <c r="D1574" s="1347" t="s">
        <v>1109</v>
      </c>
      <c r="E1574" s="1347" t="s">
        <v>1110</v>
      </c>
    </row>
    <row r="1575" spans="2:5" x14ac:dyDescent="0.45">
      <c r="B1575" s="1347" t="s">
        <v>1108</v>
      </c>
      <c r="D1575" s="1347" t="s">
        <v>1109</v>
      </c>
      <c r="E1575" s="1347" t="s">
        <v>1110</v>
      </c>
    </row>
    <row r="1576" spans="2:5" x14ac:dyDescent="0.45">
      <c r="B1576" s="1347" t="s">
        <v>1108</v>
      </c>
      <c r="D1576" s="1347" t="s">
        <v>1109</v>
      </c>
      <c r="E1576" s="1347" t="s">
        <v>1110</v>
      </c>
    </row>
    <row r="1577" spans="2:5" x14ac:dyDescent="0.45">
      <c r="B1577" s="1347" t="s">
        <v>1108</v>
      </c>
      <c r="D1577" s="1347" t="s">
        <v>1109</v>
      </c>
      <c r="E1577" s="1347" t="s">
        <v>1110</v>
      </c>
    </row>
    <row r="1578" spans="2:5" x14ac:dyDescent="0.45">
      <c r="B1578" s="1347" t="s">
        <v>1108</v>
      </c>
      <c r="D1578" s="1347" t="s">
        <v>1109</v>
      </c>
      <c r="E1578" s="1347" t="s">
        <v>1110</v>
      </c>
    </row>
    <row r="1579" spans="2:5" x14ac:dyDescent="0.45">
      <c r="B1579" s="1347" t="s">
        <v>1108</v>
      </c>
      <c r="D1579" s="1347" t="s">
        <v>1109</v>
      </c>
      <c r="E1579" s="1347" t="s">
        <v>1110</v>
      </c>
    </row>
    <row r="1580" spans="2:5" x14ac:dyDescent="0.45">
      <c r="B1580" s="1347" t="s">
        <v>1108</v>
      </c>
      <c r="D1580" s="1347" t="s">
        <v>1109</v>
      </c>
      <c r="E1580" s="1347" t="s">
        <v>1110</v>
      </c>
    </row>
    <row r="1581" spans="2:5" x14ac:dyDescent="0.45">
      <c r="B1581" s="1347" t="s">
        <v>1108</v>
      </c>
      <c r="D1581" s="1347" t="s">
        <v>1109</v>
      </c>
      <c r="E1581" s="1347" t="s">
        <v>1110</v>
      </c>
    </row>
    <row r="1582" spans="2:5" x14ac:dyDescent="0.45">
      <c r="B1582" s="1347" t="s">
        <v>1108</v>
      </c>
      <c r="D1582" s="1347" t="s">
        <v>1109</v>
      </c>
      <c r="E1582" s="1347" t="s">
        <v>1110</v>
      </c>
    </row>
    <row r="1583" spans="2:5" x14ac:dyDescent="0.45">
      <c r="B1583" s="1347" t="s">
        <v>1108</v>
      </c>
      <c r="D1583" s="1347" t="s">
        <v>1109</v>
      </c>
      <c r="E1583" s="1347" t="s">
        <v>1110</v>
      </c>
    </row>
    <row r="1584" spans="2:5" x14ac:dyDescent="0.45">
      <c r="B1584" s="1347" t="s">
        <v>1108</v>
      </c>
      <c r="D1584" s="1347" t="s">
        <v>1109</v>
      </c>
      <c r="E1584" s="1347" t="s">
        <v>1110</v>
      </c>
    </row>
    <row r="1585" spans="2:5" x14ac:dyDescent="0.45">
      <c r="B1585" s="1347" t="s">
        <v>1108</v>
      </c>
      <c r="D1585" s="1347" t="s">
        <v>1109</v>
      </c>
      <c r="E1585" s="1347" t="s">
        <v>1110</v>
      </c>
    </row>
    <row r="1586" spans="2:5" x14ac:dyDescent="0.45">
      <c r="B1586" s="1347" t="s">
        <v>1108</v>
      </c>
      <c r="D1586" s="1347" t="s">
        <v>1109</v>
      </c>
      <c r="E1586" s="1347" t="s">
        <v>1110</v>
      </c>
    </row>
    <row r="1587" spans="2:5" x14ac:dyDescent="0.45">
      <c r="B1587" s="1347" t="s">
        <v>1108</v>
      </c>
      <c r="D1587" s="1347" t="s">
        <v>1109</v>
      </c>
      <c r="E1587" s="1347" t="s">
        <v>1110</v>
      </c>
    </row>
    <row r="1588" spans="2:5" x14ac:dyDescent="0.45">
      <c r="B1588" s="1347" t="s">
        <v>1108</v>
      </c>
      <c r="D1588" s="1347" t="s">
        <v>1109</v>
      </c>
      <c r="E1588" s="1347" t="s">
        <v>1110</v>
      </c>
    </row>
    <row r="1589" spans="2:5" x14ac:dyDescent="0.45">
      <c r="B1589" s="1347" t="s">
        <v>1108</v>
      </c>
      <c r="D1589" s="1347" t="s">
        <v>1109</v>
      </c>
      <c r="E1589" s="1347" t="s">
        <v>1110</v>
      </c>
    </row>
    <row r="1590" spans="2:5" x14ac:dyDescent="0.45">
      <c r="B1590" s="1347" t="s">
        <v>1108</v>
      </c>
      <c r="D1590" s="1347" t="s">
        <v>1109</v>
      </c>
      <c r="E1590" s="1347" t="s">
        <v>1110</v>
      </c>
    </row>
    <row r="1591" spans="2:5" x14ac:dyDescent="0.45">
      <c r="B1591" s="1347" t="s">
        <v>1108</v>
      </c>
      <c r="D1591" s="1347" t="s">
        <v>1109</v>
      </c>
      <c r="E1591" s="1347" t="s">
        <v>1110</v>
      </c>
    </row>
    <row r="1592" spans="2:5" x14ac:dyDescent="0.45">
      <c r="B1592" s="1347" t="s">
        <v>1108</v>
      </c>
      <c r="D1592" s="1347" t="s">
        <v>1109</v>
      </c>
      <c r="E1592" s="1347" t="s">
        <v>1110</v>
      </c>
    </row>
    <row r="1593" spans="2:5" x14ac:dyDescent="0.45">
      <c r="B1593" s="1347" t="s">
        <v>1108</v>
      </c>
      <c r="D1593" s="1347" t="s">
        <v>1109</v>
      </c>
      <c r="E1593" s="1347" t="s">
        <v>1110</v>
      </c>
    </row>
    <row r="1594" spans="2:5" x14ac:dyDescent="0.45">
      <c r="B1594" s="1347" t="s">
        <v>1108</v>
      </c>
      <c r="D1594" s="1347" t="s">
        <v>1109</v>
      </c>
      <c r="E1594" s="1347" t="s">
        <v>1110</v>
      </c>
    </row>
    <row r="1595" spans="2:5" x14ac:dyDescent="0.45">
      <c r="B1595" s="1347" t="s">
        <v>1108</v>
      </c>
      <c r="D1595" s="1347" t="s">
        <v>1109</v>
      </c>
      <c r="E1595" s="1347" t="s">
        <v>1110</v>
      </c>
    </row>
    <row r="1596" spans="2:5" x14ac:dyDescent="0.45">
      <c r="B1596" s="1347" t="s">
        <v>1108</v>
      </c>
      <c r="D1596" s="1347" t="s">
        <v>1109</v>
      </c>
      <c r="E1596" s="1347" t="s">
        <v>1110</v>
      </c>
    </row>
    <row r="1597" spans="2:5" x14ac:dyDescent="0.45">
      <c r="B1597" s="1347" t="s">
        <v>1108</v>
      </c>
      <c r="D1597" s="1347" t="s">
        <v>1109</v>
      </c>
      <c r="E1597" s="1347" t="s">
        <v>1110</v>
      </c>
    </row>
    <row r="1598" spans="2:5" x14ac:dyDescent="0.45">
      <c r="B1598" s="1347" t="s">
        <v>1108</v>
      </c>
      <c r="D1598" s="1347" t="s">
        <v>1109</v>
      </c>
      <c r="E1598" s="1347" t="s">
        <v>1110</v>
      </c>
    </row>
    <row r="1599" spans="2:5" x14ac:dyDescent="0.45">
      <c r="B1599" s="1347" t="s">
        <v>1108</v>
      </c>
      <c r="D1599" s="1347" t="s">
        <v>1109</v>
      </c>
      <c r="E1599" s="1347" t="s">
        <v>1110</v>
      </c>
    </row>
    <row r="1600" spans="2:5" x14ac:dyDescent="0.45">
      <c r="B1600" s="1347" t="s">
        <v>1108</v>
      </c>
      <c r="D1600" s="1347" t="s">
        <v>1109</v>
      </c>
      <c r="E1600" s="1347" t="s">
        <v>1110</v>
      </c>
    </row>
    <row r="1601" spans="2:5" x14ac:dyDescent="0.45">
      <c r="B1601" s="1347" t="s">
        <v>1108</v>
      </c>
      <c r="D1601" s="1347" t="s">
        <v>1109</v>
      </c>
      <c r="E1601" s="1347" t="s">
        <v>1110</v>
      </c>
    </row>
    <row r="1602" spans="2:5" x14ac:dyDescent="0.45">
      <c r="B1602" s="1347" t="s">
        <v>1108</v>
      </c>
      <c r="D1602" s="1347" t="s">
        <v>1109</v>
      </c>
      <c r="E1602" s="1347" t="s">
        <v>1110</v>
      </c>
    </row>
    <row r="1603" spans="2:5" x14ac:dyDescent="0.45">
      <c r="B1603" s="1347" t="s">
        <v>1108</v>
      </c>
      <c r="D1603" s="1347" t="s">
        <v>1109</v>
      </c>
      <c r="E1603" s="1347" t="s">
        <v>1110</v>
      </c>
    </row>
    <row r="1604" spans="2:5" x14ac:dyDescent="0.45">
      <c r="B1604" s="1347" t="s">
        <v>1108</v>
      </c>
      <c r="D1604" s="1347" t="s">
        <v>1109</v>
      </c>
      <c r="E1604" s="1347" t="s">
        <v>1110</v>
      </c>
    </row>
    <row r="1605" spans="2:5" x14ac:dyDescent="0.45">
      <c r="B1605" s="1347" t="s">
        <v>1108</v>
      </c>
      <c r="D1605" s="1347" t="s">
        <v>1109</v>
      </c>
      <c r="E1605" s="1347" t="s">
        <v>1110</v>
      </c>
    </row>
    <row r="1606" spans="2:5" x14ac:dyDescent="0.45">
      <c r="B1606" s="1347" t="s">
        <v>1108</v>
      </c>
      <c r="D1606" s="1347" t="s">
        <v>1109</v>
      </c>
      <c r="E1606" s="1347" t="s">
        <v>1110</v>
      </c>
    </row>
    <row r="1607" spans="2:5" x14ac:dyDescent="0.45">
      <c r="B1607" s="1347" t="s">
        <v>1108</v>
      </c>
      <c r="D1607" s="1347" t="s">
        <v>1109</v>
      </c>
      <c r="E1607" s="1347" t="s">
        <v>1110</v>
      </c>
    </row>
    <row r="1608" spans="2:5" x14ac:dyDescent="0.45">
      <c r="B1608" s="1347" t="s">
        <v>1108</v>
      </c>
      <c r="D1608" s="1347" t="s">
        <v>1109</v>
      </c>
      <c r="E1608" s="1347" t="s">
        <v>1110</v>
      </c>
    </row>
    <row r="1609" spans="2:5" x14ac:dyDescent="0.45">
      <c r="B1609" s="1347" t="s">
        <v>1108</v>
      </c>
      <c r="D1609" s="1347" t="s">
        <v>1109</v>
      </c>
      <c r="E1609" s="1347" t="s">
        <v>1110</v>
      </c>
    </row>
    <row r="1610" spans="2:5" x14ac:dyDescent="0.45">
      <c r="B1610" s="1347" t="s">
        <v>1108</v>
      </c>
      <c r="D1610" s="1347" t="s">
        <v>1109</v>
      </c>
      <c r="E1610" s="1347" t="s">
        <v>1110</v>
      </c>
    </row>
    <row r="1611" spans="2:5" x14ac:dyDescent="0.45">
      <c r="B1611" s="1347" t="s">
        <v>1108</v>
      </c>
      <c r="D1611" s="1347" t="s">
        <v>1109</v>
      </c>
      <c r="E1611" s="1347" t="s">
        <v>1110</v>
      </c>
    </row>
    <row r="1612" spans="2:5" x14ac:dyDescent="0.45">
      <c r="B1612" s="1347" t="s">
        <v>1108</v>
      </c>
      <c r="D1612" s="1347" t="s">
        <v>1109</v>
      </c>
      <c r="E1612" s="1347" t="s">
        <v>1110</v>
      </c>
    </row>
    <row r="1613" spans="2:5" x14ac:dyDescent="0.45">
      <c r="B1613" s="1347" t="s">
        <v>1108</v>
      </c>
      <c r="D1613" s="1347" t="s">
        <v>1109</v>
      </c>
      <c r="E1613" s="1347" t="s">
        <v>1110</v>
      </c>
    </row>
    <row r="1614" spans="2:5" x14ac:dyDescent="0.45">
      <c r="B1614" s="1347" t="s">
        <v>1108</v>
      </c>
      <c r="D1614" s="1347" t="s">
        <v>1109</v>
      </c>
      <c r="E1614" s="1347" t="s">
        <v>1110</v>
      </c>
    </row>
    <row r="1615" spans="2:5" x14ac:dyDescent="0.45">
      <c r="B1615" s="1347" t="s">
        <v>1108</v>
      </c>
      <c r="D1615" s="1347" t="s">
        <v>1109</v>
      </c>
      <c r="E1615" s="1347" t="s">
        <v>1110</v>
      </c>
    </row>
    <row r="1616" spans="2:5" x14ac:dyDescent="0.45">
      <c r="B1616" s="1347" t="s">
        <v>1108</v>
      </c>
      <c r="D1616" s="1347" t="s">
        <v>1109</v>
      </c>
      <c r="E1616" s="1347" t="s">
        <v>1110</v>
      </c>
    </row>
    <row r="1617" spans="1:5" x14ac:dyDescent="0.45">
      <c r="B1617" s="1347" t="s">
        <v>1108</v>
      </c>
      <c r="D1617" s="1347" t="s">
        <v>1109</v>
      </c>
      <c r="E1617" s="1347" t="s">
        <v>1110</v>
      </c>
    </row>
    <row r="1618" spans="1:5" x14ac:dyDescent="0.45">
      <c r="B1618" s="1347" t="s">
        <v>1108</v>
      </c>
      <c r="D1618" s="1347" t="s">
        <v>1109</v>
      </c>
      <c r="E1618" s="1347" t="s">
        <v>1110</v>
      </c>
    </row>
    <row r="1619" spans="1:5" x14ac:dyDescent="0.45">
      <c r="B1619" s="1347" t="s">
        <v>1108</v>
      </c>
      <c r="D1619" s="1347" t="s">
        <v>1109</v>
      </c>
      <c r="E1619" s="1347" t="s">
        <v>1110</v>
      </c>
    </row>
    <row r="1620" spans="1:5" x14ac:dyDescent="0.45">
      <c r="B1620" s="1347" t="s">
        <v>1108</v>
      </c>
      <c r="D1620" s="1347" t="s">
        <v>1109</v>
      </c>
      <c r="E1620" s="1347" t="s">
        <v>2765</v>
      </c>
    </row>
    <row r="1621" spans="1:5" x14ac:dyDescent="0.45">
      <c r="A1621" s="1347">
        <v>-1</v>
      </c>
      <c r="B1621" s="1347" t="s">
        <v>2766</v>
      </c>
      <c r="D1621" s="1347" t="s">
        <v>2767</v>
      </c>
      <c r="E1621" s="1347" t="s">
        <v>2768</v>
      </c>
    </row>
    <row r="1622" spans="1:5" x14ac:dyDescent="0.45">
      <c r="B1622" s="1347" t="s">
        <v>1108</v>
      </c>
      <c r="D1622" s="1347" t="s">
        <v>2769</v>
      </c>
      <c r="E1622" s="1347" t="s">
        <v>2770</v>
      </c>
    </row>
    <row r="1623" spans="1:5" x14ac:dyDescent="0.45">
      <c r="B1623" s="1347" t="s">
        <v>2771</v>
      </c>
      <c r="D1623" s="1347" t="s">
        <v>2772</v>
      </c>
      <c r="E1623" s="1347" t="s">
        <v>2773</v>
      </c>
    </row>
    <row r="1624" spans="1:5" x14ac:dyDescent="0.45">
      <c r="A1624" s="1347">
        <v>-1</v>
      </c>
      <c r="B1624" s="1347" t="s">
        <v>2774</v>
      </c>
      <c r="D1624" s="1347" t="s">
        <v>2775</v>
      </c>
      <c r="E1624" s="1347" t="s">
        <v>2776</v>
      </c>
    </row>
    <row r="1625" spans="1:5" x14ac:dyDescent="0.45">
      <c r="B1625" s="1347" t="s">
        <v>1108</v>
      </c>
      <c r="D1625" s="1347" t="s">
        <v>2777</v>
      </c>
      <c r="E1625" s="1347" t="s">
        <v>1958</v>
      </c>
    </row>
    <row r="1626" spans="1:5" x14ac:dyDescent="0.45">
      <c r="B1626" s="1347" t="s">
        <v>2778</v>
      </c>
      <c r="D1626" s="1347" t="s">
        <v>2779</v>
      </c>
      <c r="E1626" s="1347" t="s">
        <v>2780</v>
      </c>
    </row>
    <row r="1627" spans="1:5" x14ac:dyDescent="0.45">
      <c r="A1627" s="1347">
        <v>1</v>
      </c>
      <c r="B1627" s="1347" t="s">
        <v>2781</v>
      </c>
      <c r="D1627" s="1347" t="s">
        <v>2782</v>
      </c>
      <c r="E1627" s="1347" t="s">
        <v>2783</v>
      </c>
    </row>
    <row r="1628" spans="1:5" x14ac:dyDescent="0.45">
      <c r="B1628" s="1347" t="s">
        <v>2784</v>
      </c>
      <c r="D1628" s="1347" t="s">
        <v>2785</v>
      </c>
      <c r="E1628" s="1347" t="s">
        <v>2786</v>
      </c>
    </row>
    <row r="1629" spans="1:5" x14ac:dyDescent="0.45">
      <c r="B1629" s="1347" t="s">
        <v>1108</v>
      </c>
      <c r="D1629" s="1347" t="s">
        <v>2787</v>
      </c>
      <c r="E1629" s="1347" t="s">
        <v>2788</v>
      </c>
    </row>
    <row r="1630" spans="1:5" x14ac:dyDescent="0.45">
      <c r="B1630" s="1347" t="s">
        <v>2789</v>
      </c>
      <c r="D1630" s="1347" t="s">
        <v>2790</v>
      </c>
      <c r="E1630" s="1347" t="s">
        <v>2791</v>
      </c>
    </row>
    <row r="1631" spans="1:5" x14ac:dyDescent="0.45">
      <c r="A1631" s="1347" t="s">
        <v>1105</v>
      </c>
      <c r="B1631" s="1347" t="s">
        <v>1845</v>
      </c>
      <c r="D1631" s="1347" t="s">
        <v>2792</v>
      </c>
      <c r="E1631" s="1347" t="s">
        <v>2793</v>
      </c>
    </row>
    <row r="1632" spans="1:5" x14ac:dyDescent="0.45">
      <c r="A1632" s="1347" t="s">
        <v>1105</v>
      </c>
      <c r="B1632" s="1347" t="s">
        <v>2794</v>
      </c>
      <c r="D1632" s="1347" t="s">
        <v>2795</v>
      </c>
      <c r="E1632" s="1347" t="s">
        <v>2796</v>
      </c>
    </row>
    <row r="1633" spans="1:5" x14ac:dyDescent="0.45">
      <c r="B1633" s="1347" t="s">
        <v>2797</v>
      </c>
      <c r="D1633" s="1347" t="s">
        <v>2798</v>
      </c>
      <c r="E1633" s="1347" t="s">
        <v>2799</v>
      </c>
    </row>
    <row r="1634" spans="1:5" x14ac:dyDescent="0.45">
      <c r="A1634" s="1347">
        <v>-3</v>
      </c>
      <c r="B1634" s="1347" t="s">
        <v>2800</v>
      </c>
      <c r="C1634" s="1347">
        <v>1</v>
      </c>
      <c r="D1634" s="1347" t="s">
        <v>2801</v>
      </c>
      <c r="E1634" s="1347" t="s">
        <v>2802</v>
      </c>
    </row>
    <row r="1635" spans="1:5" x14ac:dyDescent="0.45">
      <c r="A1635" s="1347">
        <v>-1</v>
      </c>
      <c r="B1635" s="1347" t="s">
        <v>2803</v>
      </c>
      <c r="D1635" s="1347" t="s">
        <v>2804</v>
      </c>
      <c r="E1635" s="1347" t="s">
        <v>2805</v>
      </c>
    </row>
    <row r="1636" spans="1:5" x14ac:dyDescent="0.45">
      <c r="B1636" s="1347" t="s">
        <v>1108</v>
      </c>
      <c r="D1636" s="1347" t="s">
        <v>1109</v>
      </c>
      <c r="E1636" s="1347" t="s">
        <v>1110</v>
      </c>
    </row>
    <row r="1637" spans="1:5" x14ac:dyDescent="0.45">
      <c r="B1637" s="1347" t="s">
        <v>1108</v>
      </c>
      <c r="D1637" s="1347" t="s">
        <v>1109</v>
      </c>
      <c r="E1637" s="1347" t="s">
        <v>1110</v>
      </c>
    </row>
    <row r="1638" spans="1:5" x14ac:dyDescent="0.45">
      <c r="B1638" s="1347" t="s">
        <v>1108</v>
      </c>
      <c r="D1638" s="1347" t="s">
        <v>1109</v>
      </c>
      <c r="E1638" s="1347" t="s">
        <v>1110</v>
      </c>
    </row>
    <row r="1639" spans="1:5" x14ac:dyDescent="0.45">
      <c r="B1639" s="1347" t="s">
        <v>1108</v>
      </c>
      <c r="D1639" s="1347" t="s">
        <v>1109</v>
      </c>
      <c r="E1639" s="1347" t="s">
        <v>1110</v>
      </c>
    </row>
    <row r="1640" spans="1:5" x14ac:dyDescent="0.45">
      <c r="B1640" s="1347" t="s">
        <v>1108</v>
      </c>
      <c r="D1640" s="1347" t="s">
        <v>1109</v>
      </c>
      <c r="E1640" s="1347" t="s">
        <v>1110</v>
      </c>
    </row>
    <row r="1641" spans="1:5" x14ac:dyDescent="0.45">
      <c r="B1641" s="1347" t="s">
        <v>1108</v>
      </c>
      <c r="D1641" s="1347" t="s">
        <v>1109</v>
      </c>
      <c r="E1641" s="1347" t="s">
        <v>1110</v>
      </c>
    </row>
    <row r="1642" spans="1:5" x14ac:dyDescent="0.45">
      <c r="B1642" s="1347" t="s">
        <v>1108</v>
      </c>
      <c r="D1642" s="1347" t="s">
        <v>1109</v>
      </c>
      <c r="E1642" s="1347" t="s">
        <v>1110</v>
      </c>
    </row>
    <row r="1643" spans="1:5" x14ac:dyDescent="0.45">
      <c r="B1643" s="1347" t="s">
        <v>1108</v>
      </c>
      <c r="D1643" s="1347" t="s">
        <v>1109</v>
      </c>
      <c r="E1643" s="1347" t="s">
        <v>1110</v>
      </c>
    </row>
    <row r="1644" spans="1:5" x14ac:dyDescent="0.45">
      <c r="B1644" s="1347" t="s">
        <v>1108</v>
      </c>
      <c r="D1644" s="1347" t="s">
        <v>1109</v>
      </c>
      <c r="E1644" s="1347" t="s">
        <v>1110</v>
      </c>
    </row>
    <row r="1645" spans="1:5" x14ac:dyDescent="0.45">
      <c r="B1645" s="1347" t="s">
        <v>1108</v>
      </c>
      <c r="D1645" s="1347" t="s">
        <v>1109</v>
      </c>
      <c r="E1645" s="1347" t="s">
        <v>1110</v>
      </c>
    </row>
    <row r="1646" spans="1:5" x14ac:dyDescent="0.45">
      <c r="B1646" s="1347" t="s">
        <v>1108</v>
      </c>
      <c r="D1646" s="1347" t="s">
        <v>1109</v>
      </c>
      <c r="E1646" s="1347" t="s">
        <v>1110</v>
      </c>
    </row>
    <row r="1647" spans="1:5" x14ac:dyDescent="0.45">
      <c r="B1647" s="1347" t="s">
        <v>1108</v>
      </c>
      <c r="D1647" s="1347" t="s">
        <v>1109</v>
      </c>
      <c r="E1647" s="1347" t="s">
        <v>1110</v>
      </c>
    </row>
    <row r="1648" spans="1:5" x14ac:dyDescent="0.45">
      <c r="B1648" s="1347" t="s">
        <v>1108</v>
      </c>
      <c r="D1648" s="1347" t="s">
        <v>1109</v>
      </c>
      <c r="E1648" s="1347" t="s">
        <v>1110</v>
      </c>
    </row>
    <row r="1649" spans="1:5" x14ac:dyDescent="0.45">
      <c r="B1649" s="1347" t="s">
        <v>1108</v>
      </c>
      <c r="D1649" s="1347" t="s">
        <v>1109</v>
      </c>
      <c r="E1649" s="1347" t="s">
        <v>1110</v>
      </c>
    </row>
    <row r="1650" spans="1:5" x14ac:dyDescent="0.45">
      <c r="B1650" s="1347" t="s">
        <v>1108</v>
      </c>
      <c r="D1650" s="1347" t="s">
        <v>1109</v>
      </c>
      <c r="E1650" s="1347" t="s">
        <v>1110</v>
      </c>
    </row>
    <row r="1651" spans="1:5" x14ac:dyDescent="0.45">
      <c r="B1651" s="1347" t="s">
        <v>1108</v>
      </c>
      <c r="D1651" s="1347" t="s">
        <v>1109</v>
      </c>
      <c r="E1651" s="1347" t="s">
        <v>1110</v>
      </c>
    </row>
    <row r="1652" spans="1:5" x14ac:dyDescent="0.45">
      <c r="B1652" s="1347" t="s">
        <v>2806</v>
      </c>
      <c r="C1652" s="1347" t="s">
        <v>1105</v>
      </c>
      <c r="D1652" s="1347" t="s">
        <v>2807</v>
      </c>
      <c r="E1652" s="1347" t="s">
        <v>2808</v>
      </c>
    </row>
    <row r="1653" spans="1:5" x14ac:dyDescent="0.45">
      <c r="B1653" s="1347" t="s">
        <v>1108</v>
      </c>
      <c r="D1653" s="1347" t="s">
        <v>2809</v>
      </c>
      <c r="E1653" s="1347" t="s">
        <v>1110</v>
      </c>
    </row>
    <row r="1654" spans="1:5" x14ac:dyDescent="0.45">
      <c r="B1654" s="1347" t="s">
        <v>2810</v>
      </c>
      <c r="D1654" s="1347" t="s">
        <v>2811</v>
      </c>
      <c r="E1654" s="1347" t="s">
        <v>2812</v>
      </c>
    </row>
    <row r="1655" spans="1:5" x14ac:dyDescent="0.45">
      <c r="B1655" s="1347" t="s">
        <v>2813</v>
      </c>
      <c r="C1655" s="1347" t="s">
        <v>1105</v>
      </c>
      <c r="D1655" s="1347" t="s">
        <v>2814</v>
      </c>
      <c r="E1655" s="1347" t="s">
        <v>2815</v>
      </c>
    </row>
    <row r="1656" spans="1:5" x14ac:dyDescent="0.45">
      <c r="B1656" s="1347" t="s">
        <v>1108</v>
      </c>
      <c r="D1656" s="1347" t="s">
        <v>2816</v>
      </c>
      <c r="E1656" s="1347" t="s">
        <v>2817</v>
      </c>
    </row>
    <row r="1657" spans="1:5" x14ac:dyDescent="0.45">
      <c r="A1657" s="1347" t="s">
        <v>1105</v>
      </c>
      <c r="B1657" s="1347" t="s">
        <v>2818</v>
      </c>
      <c r="D1657" s="1347" t="s">
        <v>1109</v>
      </c>
      <c r="E1657" s="1347" t="s">
        <v>2819</v>
      </c>
    </row>
    <row r="1658" spans="1:5" x14ac:dyDescent="0.45">
      <c r="B1658" s="1347" t="s">
        <v>1108</v>
      </c>
      <c r="D1658" s="1347" t="s">
        <v>2820</v>
      </c>
      <c r="E1658" s="1347" t="s">
        <v>1110</v>
      </c>
    </row>
    <row r="1659" spans="1:5" x14ac:dyDescent="0.45">
      <c r="A1659" s="1347">
        <v>2</v>
      </c>
      <c r="B1659" s="1347" t="s">
        <v>2821</v>
      </c>
      <c r="D1659" s="1347" t="s">
        <v>2822</v>
      </c>
      <c r="E1659" s="1347" t="s">
        <v>2823</v>
      </c>
    </row>
    <row r="1660" spans="1:5" x14ac:dyDescent="0.45">
      <c r="B1660" s="1347" t="s">
        <v>2824</v>
      </c>
      <c r="D1660" s="1347" t="s">
        <v>2825</v>
      </c>
      <c r="E1660" s="1347" t="s">
        <v>1110</v>
      </c>
    </row>
    <row r="1661" spans="1:5" x14ac:dyDescent="0.45">
      <c r="B1661" s="1347" t="s">
        <v>2826</v>
      </c>
      <c r="D1661" s="1347" t="s">
        <v>2827</v>
      </c>
      <c r="E1661" s="1347" t="s">
        <v>2828</v>
      </c>
    </row>
    <row r="1662" spans="1:5" x14ac:dyDescent="0.45">
      <c r="B1662" s="1347" t="s">
        <v>2829</v>
      </c>
      <c r="D1662" s="1347" t="s">
        <v>2830</v>
      </c>
      <c r="E1662" s="1347" t="s">
        <v>2831</v>
      </c>
    </row>
    <row r="1663" spans="1:5" x14ac:dyDescent="0.45">
      <c r="B1663" s="1347" t="s">
        <v>1108</v>
      </c>
      <c r="D1663" s="1347" t="s">
        <v>2832</v>
      </c>
      <c r="E1663" s="1347" t="s">
        <v>2833</v>
      </c>
    </row>
    <row r="1664" spans="1:5" x14ac:dyDescent="0.45">
      <c r="B1664" s="1347" t="s">
        <v>1108</v>
      </c>
      <c r="D1664" s="1347" t="s">
        <v>2834</v>
      </c>
      <c r="E1664" s="1347" t="s">
        <v>2835</v>
      </c>
    </row>
    <row r="1665" spans="1:5" x14ac:dyDescent="0.45">
      <c r="A1665" s="1347">
        <v>8</v>
      </c>
      <c r="B1665" s="1347" t="s">
        <v>2836</v>
      </c>
      <c r="D1665" s="1347">
        <f>-823  -6993  -4484  -614</f>
        <v>-12914</v>
      </c>
      <c r="E1665" s="1347" t="s">
        <v>2837</v>
      </c>
    </row>
    <row r="1666" spans="1:5" x14ac:dyDescent="0.45">
      <c r="B1666" s="1347" t="s">
        <v>1108</v>
      </c>
      <c r="C1666" s="1347">
        <v>-1</v>
      </c>
      <c r="D1666" s="1347" t="s">
        <v>2838</v>
      </c>
      <c r="E1666" s="1347" t="s">
        <v>2839</v>
      </c>
    </row>
    <row r="1667" spans="1:5" x14ac:dyDescent="0.45">
      <c r="A1667" s="1347">
        <v>-2</v>
      </c>
      <c r="B1667" s="1347" t="s">
        <v>2840</v>
      </c>
      <c r="C1667" s="1347" t="s">
        <v>1105</v>
      </c>
      <c r="D1667" s="1347" t="s">
        <v>2841</v>
      </c>
      <c r="E1667" s="1347" t="s">
        <v>2842</v>
      </c>
    </row>
    <row r="1668" spans="1:5" x14ac:dyDescent="0.45">
      <c r="A1668" s="1347">
        <v>-2</v>
      </c>
      <c r="B1668" s="1347" t="s">
        <v>2843</v>
      </c>
      <c r="D1668" s="1347" t="s">
        <v>2844</v>
      </c>
      <c r="E1668" s="1347" t="s">
        <v>2845</v>
      </c>
    </row>
    <row r="1669" spans="1:5" x14ac:dyDescent="0.45">
      <c r="B1669" s="1347" t="s">
        <v>2846</v>
      </c>
      <c r="D1669" s="1347" t="s">
        <v>2847</v>
      </c>
      <c r="E1669" s="1347" t="s">
        <v>2848</v>
      </c>
    </row>
    <row r="1670" spans="1:5" x14ac:dyDescent="0.45">
      <c r="B1670" s="1347" t="s">
        <v>1108</v>
      </c>
      <c r="D1670" s="1347" t="s">
        <v>2849</v>
      </c>
      <c r="E1670" s="1347" t="s">
        <v>2850</v>
      </c>
    </row>
    <row r="1671" spans="1:5" x14ac:dyDescent="0.45">
      <c r="A1671" s="1347" t="s">
        <v>1105</v>
      </c>
      <c r="B1671" s="1347" t="s">
        <v>2851</v>
      </c>
      <c r="D1671" s="1347" t="s">
        <v>2852</v>
      </c>
      <c r="E1671" s="1347" t="s">
        <v>2853</v>
      </c>
    </row>
    <row r="1672" spans="1:5" x14ac:dyDescent="0.45">
      <c r="B1672" s="1347" t="s">
        <v>1108</v>
      </c>
      <c r="D1672" s="1347" t="s">
        <v>2854</v>
      </c>
      <c r="E1672" s="1347" t="s">
        <v>2855</v>
      </c>
    </row>
    <row r="1673" spans="1:5" x14ac:dyDescent="0.45">
      <c r="B1673" s="1347" t="s">
        <v>1108</v>
      </c>
      <c r="D1673" s="1347" t="s">
        <v>2856</v>
      </c>
      <c r="E1673" s="1347" t="s">
        <v>2857</v>
      </c>
    </row>
    <row r="1674" spans="1:5" x14ac:dyDescent="0.45">
      <c r="B1674" s="1347" t="s">
        <v>2858</v>
      </c>
      <c r="D1674" s="1347" t="s">
        <v>2859</v>
      </c>
      <c r="E1674" s="1347" t="s">
        <v>2860</v>
      </c>
    </row>
    <row r="1675" spans="1:5" x14ac:dyDescent="0.45">
      <c r="B1675" s="1347" t="s">
        <v>2861</v>
      </c>
      <c r="D1675" s="1347" t="s">
        <v>2862</v>
      </c>
      <c r="E1675" s="1347" t="s">
        <v>2863</v>
      </c>
    </row>
    <row r="1676" spans="1:5" x14ac:dyDescent="0.45">
      <c r="B1676" s="1347" t="s">
        <v>2864</v>
      </c>
      <c r="D1676" s="1347" t="s">
        <v>2865</v>
      </c>
      <c r="E1676" s="1347" t="s">
        <v>2866</v>
      </c>
    </row>
    <row r="1677" spans="1:5" x14ac:dyDescent="0.45">
      <c r="B1677" s="1347" t="s">
        <v>2867</v>
      </c>
      <c r="C1677" s="1347" t="s">
        <v>1105</v>
      </c>
      <c r="D1677" s="1347" t="s">
        <v>2868</v>
      </c>
      <c r="E1677" s="1347" t="s">
        <v>2869</v>
      </c>
    </row>
    <row r="1678" spans="1:5" x14ac:dyDescent="0.45">
      <c r="B1678" s="1347" t="s">
        <v>2870</v>
      </c>
      <c r="D1678" s="1347" t="s">
        <v>2871</v>
      </c>
      <c r="E1678" s="1347" t="s">
        <v>2872</v>
      </c>
    </row>
    <row r="1679" spans="1:5" x14ac:dyDescent="0.45">
      <c r="B1679" s="1347" t="s">
        <v>2415</v>
      </c>
      <c r="D1679" s="1347" t="s">
        <v>2873</v>
      </c>
      <c r="E1679" s="1347" t="s">
        <v>2874</v>
      </c>
    </row>
    <row r="1680" spans="1:5" x14ac:dyDescent="0.45">
      <c r="B1680" s="1347" t="s">
        <v>1108</v>
      </c>
      <c r="D1680" s="1347" t="s">
        <v>2875</v>
      </c>
      <c r="E1680" s="1347" t="s">
        <v>2876</v>
      </c>
    </row>
    <row r="1681" spans="1:5" x14ac:dyDescent="0.45">
      <c r="A1681" s="1347">
        <v>-3</v>
      </c>
      <c r="B1681" s="1347" t="s">
        <v>2877</v>
      </c>
      <c r="D1681" s="1347" t="s">
        <v>2878</v>
      </c>
      <c r="E1681" s="1347" t="s">
        <v>2879</v>
      </c>
    </row>
    <row r="1682" spans="1:5" x14ac:dyDescent="0.45">
      <c r="B1682" s="1347" t="s">
        <v>2880</v>
      </c>
      <c r="C1682" s="1347" t="s">
        <v>1105</v>
      </c>
      <c r="D1682" s="1347" t="s">
        <v>2881</v>
      </c>
      <c r="E1682" s="1347" t="s">
        <v>2882</v>
      </c>
    </row>
    <row r="1683" spans="1:5" x14ac:dyDescent="0.45">
      <c r="B1683" s="1347" t="s">
        <v>2883</v>
      </c>
      <c r="D1683" s="1347" t="s">
        <v>1109</v>
      </c>
      <c r="E1683" s="1347" t="s">
        <v>2884</v>
      </c>
    </row>
    <row r="1684" spans="1:5" x14ac:dyDescent="0.45">
      <c r="A1684" s="1347">
        <v>-1</v>
      </c>
      <c r="B1684" s="1347" t="s">
        <v>2885</v>
      </c>
      <c r="D1684" s="1347">
        <f>-106    -24   -216</f>
        <v>-346</v>
      </c>
      <c r="E1684" s="1347" t="s">
        <v>2886</v>
      </c>
    </row>
    <row r="1685" spans="1:5" x14ac:dyDescent="0.45">
      <c r="B1685" s="1347" t="s">
        <v>1982</v>
      </c>
      <c r="D1685" s="1347" t="s">
        <v>2887</v>
      </c>
      <c r="E1685" s="1347" t="s">
        <v>2888</v>
      </c>
    </row>
    <row r="1686" spans="1:5" x14ac:dyDescent="0.45">
      <c r="B1686" s="1347" t="s">
        <v>1108</v>
      </c>
      <c r="D1686" s="1347" t="s">
        <v>2889</v>
      </c>
      <c r="E1686" s="1347" t="s">
        <v>2890</v>
      </c>
    </row>
    <row r="1687" spans="1:5" x14ac:dyDescent="0.45">
      <c r="A1687" s="1347" t="s">
        <v>1105</v>
      </c>
      <c r="B1687" s="1347" t="s">
        <v>2891</v>
      </c>
      <c r="D1687" s="1347" t="s">
        <v>2892</v>
      </c>
      <c r="E1687" s="1347" t="s">
        <v>2893</v>
      </c>
    </row>
    <row r="1688" spans="1:5" x14ac:dyDescent="0.45">
      <c r="B1688" s="1347" t="s">
        <v>1108</v>
      </c>
      <c r="D1688" s="1347" t="s">
        <v>2894</v>
      </c>
      <c r="E1688" s="1347" t="s">
        <v>2895</v>
      </c>
    </row>
    <row r="1689" spans="1:5" x14ac:dyDescent="0.45">
      <c r="B1689" s="1347" t="s">
        <v>1108</v>
      </c>
      <c r="D1689" s="1347" t="s">
        <v>1512</v>
      </c>
      <c r="E1689" s="1347" t="s">
        <v>2896</v>
      </c>
    </row>
    <row r="1690" spans="1:5" x14ac:dyDescent="0.45">
      <c r="B1690" s="1347" t="s">
        <v>2897</v>
      </c>
      <c r="D1690" s="1347" t="s">
        <v>2898</v>
      </c>
      <c r="E1690" s="1347" t="s">
        <v>2899</v>
      </c>
    </row>
    <row r="1691" spans="1:5" x14ac:dyDescent="0.45">
      <c r="B1691" s="1347" t="s">
        <v>2900</v>
      </c>
      <c r="D1691" s="1347" t="s">
        <v>2901</v>
      </c>
      <c r="E1691" s="1347" t="s">
        <v>2902</v>
      </c>
    </row>
    <row r="1692" spans="1:5" x14ac:dyDescent="0.45">
      <c r="B1692" s="1347" t="s">
        <v>2903</v>
      </c>
      <c r="D1692" s="1347" t="s">
        <v>2904</v>
      </c>
      <c r="E1692" s="1347" t="s">
        <v>2905</v>
      </c>
    </row>
    <row r="1693" spans="1:5" x14ac:dyDescent="0.45">
      <c r="B1693" s="1347" t="s">
        <v>2906</v>
      </c>
      <c r="D1693" s="1347" t="s">
        <v>2907</v>
      </c>
      <c r="E1693" s="1347" t="s">
        <v>2908</v>
      </c>
    </row>
    <row r="1694" spans="1:5" x14ac:dyDescent="0.45">
      <c r="B1694" s="1347" t="s">
        <v>2909</v>
      </c>
      <c r="D1694" s="1347" t="s">
        <v>2910</v>
      </c>
      <c r="E1694" s="1347" t="s">
        <v>2911</v>
      </c>
    </row>
    <row r="1695" spans="1:5" x14ac:dyDescent="0.45">
      <c r="B1695" s="1347" t="s">
        <v>2912</v>
      </c>
      <c r="D1695" s="1347" t="s">
        <v>2913</v>
      </c>
      <c r="E1695" s="1347" t="s">
        <v>2914</v>
      </c>
    </row>
    <row r="1696" spans="1:5" x14ac:dyDescent="0.45">
      <c r="B1696" s="1347" t="s">
        <v>1108</v>
      </c>
      <c r="D1696" s="1347" t="s">
        <v>2915</v>
      </c>
      <c r="E1696" s="1347" t="s">
        <v>2916</v>
      </c>
    </row>
    <row r="1697" spans="1:5" x14ac:dyDescent="0.45">
      <c r="A1697" s="1347">
        <v>-9</v>
      </c>
      <c r="B1697" s="1347" t="s">
        <v>2917</v>
      </c>
      <c r="D1697" s="1347" t="s">
        <v>2918</v>
      </c>
      <c r="E1697" s="1347" t="s">
        <v>2919</v>
      </c>
    </row>
    <row r="1698" spans="1:5" x14ac:dyDescent="0.45">
      <c r="B1698" s="1347" t="s">
        <v>2920</v>
      </c>
      <c r="C1698" s="1347">
        <v>2</v>
      </c>
      <c r="D1698" s="1347" t="s">
        <v>2921</v>
      </c>
      <c r="E1698" s="1347" t="s">
        <v>2922</v>
      </c>
    </row>
    <row r="1699" spans="1:5" x14ac:dyDescent="0.45">
      <c r="B1699" s="1347" t="s">
        <v>2923</v>
      </c>
      <c r="D1699" s="1347" t="s">
        <v>1109</v>
      </c>
      <c r="E1699" s="1347" t="s">
        <v>2924</v>
      </c>
    </row>
    <row r="1700" spans="1:5" x14ac:dyDescent="0.45">
      <c r="A1700" s="1347">
        <v>-9</v>
      </c>
      <c r="B1700" s="1347" t="s">
        <v>2925</v>
      </c>
      <c r="D1700" s="1347" t="s">
        <v>1109</v>
      </c>
      <c r="E1700" s="1347" t="s">
        <v>1110</v>
      </c>
    </row>
    <row r="1701" spans="1:5" x14ac:dyDescent="0.45">
      <c r="B1701" s="1347" t="s">
        <v>1108</v>
      </c>
      <c r="D1701" s="1347" t="s">
        <v>1109</v>
      </c>
      <c r="E1701" s="1347" t="s">
        <v>1110</v>
      </c>
    </row>
    <row r="1702" spans="1:5" x14ac:dyDescent="0.45">
      <c r="B1702" s="1347" t="s">
        <v>1108</v>
      </c>
      <c r="D1702" s="1347" t="s">
        <v>1109</v>
      </c>
      <c r="E1702" s="1347" t="s">
        <v>1110</v>
      </c>
    </row>
    <row r="1703" spans="1:5" x14ac:dyDescent="0.45">
      <c r="B1703" s="1347" t="s">
        <v>1108</v>
      </c>
      <c r="D1703" s="1347" t="s">
        <v>1109</v>
      </c>
      <c r="E1703" s="1347" t="s">
        <v>1110</v>
      </c>
    </row>
    <row r="1704" spans="1:5" x14ac:dyDescent="0.45">
      <c r="B1704" s="1347" t="s">
        <v>1108</v>
      </c>
      <c r="D1704" s="1347" t="s">
        <v>1109</v>
      </c>
      <c r="E1704" s="1347" t="s">
        <v>1110</v>
      </c>
    </row>
    <row r="1705" spans="1:5" x14ac:dyDescent="0.45">
      <c r="B1705" s="1347" t="s">
        <v>1108</v>
      </c>
      <c r="D1705" s="1347" t="s">
        <v>1109</v>
      </c>
      <c r="E1705" s="1347" t="s">
        <v>1110</v>
      </c>
    </row>
    <row r="1706" spans="1:5" x14ac:dyDescent="0.45">
      <c r="B1706" s="1347" t="s">
        <v>1108</v>
      </c>
      <c r="D1706" s="1347" t="s">
        <v>1109</v>
      </c>
      <c r="E1706" s="1347" t="s">
        <v>1110</v>
      </c>
    </row>
    <row r="1707" spans="1:5" x14ac:dyDescent="0.45">
      <c r="B1707" s="1347" t="s">
        <v>1108</v>
      </c>
      <c r="D1707" s="1347" t="s">
        <v>1109</v>
      </c>
      <c r="E1707" s="1347" t="s">
        <v>1110</v>
      </c>
    </row>
    <row r="1708" spans="1:5" x14ac:dyDescent="0.45">
      <c r="B1708" s="1347" t="s">
        <v>1108</v>
      </c>
      <c r="D1708" s="1347" t="s">
        <v>1109</v>
      </c>
      <c r="E1708" s="1347" t="s">
        <v>1110</v>
      </c>
    </row>
    <row r="1709" spans="1:5" x14ac:dyDescent="0.45">
      <c r="B1709" s="1347" t="s">
        <v>1108</v>
      </c>
      <c r="D1709" s="1347" t="s">
        <v>1109</v>
      </c>
      <c r="E1709" s="1347" t="s">
        <v>1110</v>
      </c>
    </row>
    <row r="1710" spans="1:5" x14ac:dyDescent="0.45">
      <c r="B1710" s="1347" t="s">
        <v>1108</v>
      </c>
      <c r="D1710" s="1347" t="s">
        <v>1109</v>
      </c>
      <c r="E1710" s="1347" t="s">
        <v>1110</v>
      </c>
    </row>
    <row r="1711" spans="1:5" x14ac:dyDescent="0.45">
      <c r="B1711" s="1347" t="s">
        <v>1108</v>
      </c>
      <c r="D1711" s="1347" t="s">
        <v>1109</v>
      </c>
      <c r="E1711" s="1347" t="s">
        <v>1110</v>
      </c>
    </row>
    <row r="1712" spans="1:5" x14ac:dyDescent="0.45">
      <c r="B1712" s="1347" t="s">
        <v>1108</v>
      </c>
      <c r="D1712" s="1347" t="s">
        <v>1109</v>
      </c>
      <c r="E1712" s="1347" t="s">
        <v>1110</v>
      </c>
    </row>
    <row r="1713" spans="1:5" x14ac:dyDescent="0.45">
      <c r="B1713" s="1347" t="s">
        <v>1108</v>
      </c>
      <c r="D1713" s="1347" t="s">
        <v>1109</v>
      </c>
      <c r="E1713" s="1347" t="s">
        <v>1110</v>
      </c>
    </row>
    <row r="1714" spans="1:5" x14ac:dyDescent="0.45">
      <c r="B1714" s="1347" t="s">
        <v>1108</v>
      </c>
      <c r="D1714" s="1347" t="s">
        <v>1109</v>
      </c>
      <c r="E1714" s="1347" t="s">
        <v>1110</v>
      </c>
    </row>
    <row r="1715" spans="1:5" x14ac:dyDescent="0.45">
      <c r="B1715" s="1347" t="s">
        <v>1108</v>
      </c>
      <c r="D1715" s="1347" t="s">
        <v>1109</v>
      </c>
      <c r="E1715" s="1347" t="s">
        <v>1110</v>
      </c>
    </row>
    <row r="1716" spans="1:5" x14ac:dyDescent="0.45">
      <c r="B1716" s="1347" t="s">
        <v>1108</v>
      </c>
      <c r="D1716" s="1347" t="s">
        <v>2926</v>
      </c>
      <c r="E1716" s="1347" t="s">
        <v>2927</v>
      </c>
    </row>
    <row r="1717" spans="1:5" x14ac:dyDescent="0.45">
      <c r="B1717" s="1347" t="s">
        <v>2928</v>
      </c>
      <c r="D1717" s="1347" t="s">
        <v>2929</v>
      </c>
      <c r="E1717" s="1347" t="s">
        <v>1958</v>
      </c>
    </row>
    <row r="1718" spans="1:5" x14ac:dyDescent="0.45">
      <c r="B1718" s="1347" t="s">
        <v>1108</v>
      </c>
      <c r="D1718" s="1347" t="s">
        <v>2930</v>
      </c>
      <c r="E1718" s="1347" t="s">
        <v>2931</v>
      </c>
    </row>
    <row r="1719" spans="1:5" x14ac:dyDescent="0.45">
      <c r="A1719" s="1347">
        <v>-1</v>
      </c>
      <c r="B1719" s="1347" t="s">
        <v>2932</v>
      </c>
      <c r="D1719" s="1347" t="s">
        <v>2933</v>
      </c>
      <c r="E1719" s="1347" t="s">
        <v>2934</v>
      </c>
    </row>
    <row r="1720" spans="1:5" x14ac:dyDescent="0.45">
      <c r="A1720" s="1347" t="s">
        <v>1105</v>
      </c>
      <c r="B1720" s="1347" t="s">
        <v>2935</v>
      </c>
      <c r="D1720" s="1347" t="s">
        <v>1109</v>
      </c>
      <c r="E1720" s="1347" t="s">
        <v>2936</v>
      </c>
    </row>
    <row r="1721" spans="1:5" x14ac:dyDescent="0.45">
      <c r="B1721" s="1347" t="s">
        <v>2937</v>
      </c>
      <c r="D1721" s="1347" t="s">
        <v>2938</v>
      </c>
      <c r="E1721" s="1347" t="s">
        <v>2939</v>
      </c>
    </row>
    <row r="1722" spans="1:5" x14ac:dyDescent="0.45">
      <c r="B1722" s="1347" t="s">
        <v>2940</v>
      </c>
      <c r="D1722" s="1347" t="s">
        <v>2941</v>
      </c>
      <c r="E1722" s="1347" t="s">
        <v>2942</v>
      </c>
    </row>
    <row r="1723" spans="1:5" x14ac:dyDescent="0.45">
      <c r="B1723" s="1347" t="s">
        <v>1108</v>
      </c>
      <c r="D1723" s="1347" t="s">
        <v>2943</v>
      </c>
      <c r="E1723" s="1347" t="s">
        <v>2944</v>
      </c>
    </row>
    <row r="1724" spans="1:5" x14ac:dyDescent="0.45">
      <c r="B1724" s="1347" t="s">
        <v>2945</v>
      </c>
      <c r="D1724" s="1347" t="s">
        <v>2946</v>
      </c>
      <c r="E1724" s="1347" t="s">
        <v>2947</v>
      </c>
    </row>
    <row r="1725" spans="1:5" x14ac:dyDescent="0.45">
      <c r="B1725" s="1347" t="s">
        <v>1108</v>
      </c>
      <c r="D1725" s="1347" t="s">
        <v>2948</v>
      </c>
      <c r="E1725" s="1347" t="s">
        <v>2949</v>
      </c>
    </row>
    <row r="1726" spans="1:5" x14ac:dyDescent="0.45">
      <c r="B1726" s="1347" t="s">
        <v>2950</v>
      </c>
      <c r="D1726" s="1347" t="s">
        <v>2951</v>
      </c>
      <c r="E1726" s="1347" t="s">
        <v>2952</v>
      </c>
    </row>
    <row r="1727" spans="1:5" x14ac:dyDescent="0.45">
      <c r="A1727" s="1347">
        <v>-1</v>
      </c>
      <c r="B1727" s="1347" t="s">
        <v>2953</v>
      </c>
      <c r="D1727" s="1347" t="s">
        <v>2954</v>
      </c>
      <c r="E1727" s="1347" t="s">
        <v>2955</v>
      </c>
    </row>
    <row r="1728" spans="1:5" x14ac:dyDescent="0.45">
      <c r="B1728" s="1347" t="s">
        <v>2956</v>
      </c>
      <c r="D1728" s="1347" t="s">
        <v>1109</v>
      </c>
      <c r="E1728" s="1347" t="s">
        <v>2957</v>
      </c>
    </row>
    <row r="1729" spans="1:5" x14ac:dyDescent="0.45">
      <c r="A1729" s="1347">
        <v>1</v>
      </c>
      <c r="B1729" s="1347" t="s">
        <v>2017</v>
      </c>
      <c r="D1729" s="1347" t="s">
        <v>2958</v>
      </c>
      <c r="E1729" s="1347" t="s">
        <v>2959</v>
      </c>
    </row>
    <row r="1730" spans="1:5" x14ac:dyDescent="0.45">
      <c r="B1730" s="1347" t="s">
        <v>2960</v>
      </c>
      <c r="D1730" s="1347" t="s">
        <v>2961</v>
      </c>
      <c r="E1730" s="1347" t="s">
        <v>2962</v>
      </c>
    </row>
    <row r="1731" spans="1:5" x14ac:dyDescent="0.45">
      <c r="B1731" s="1347" t="s">
        <v>2963</v>
      </c>
      <c r="D1731" s="1347" t="s">
        <v>2964</v>
      </c>
      <c r="E1731" s="1347" t="s">
        <v>1110</v>
      </c>
    </row>
    <row r="1732" spans="1:5" x14ac:dyDescent="0.45">
      <c r="A1732" s="1347">
        <v>2</v>
      </c>
      <c r="B1732" s="1347" t="s">
        <v>2965</v>
      </c>
      <c r="D1732" s="1347" t="s">
        <v>2966</v>
      </c>
      <c r="E1732" s="1347" t="s">
        <v>2967</v>
      </c>
    </row>
    <row r="1733" spans="1:5" x14ac:dyDescent="0.45">
      <c r="A1733" s="1347" t="s">
        <v>1105</v>
      </c>
      <c r="B1733" s="1347" t="s">
        <v>2968</v>
      </c>
      <c r="D1733" s="1347" t="s">
        <v>2969</v>
      </c>
      <c r="E1733" s="1347" t="s">
        <v>2970</v>
      </c>
    </row>
    <row r="1734" spans="1:5" x14ac:dyDescent="0.45">
      <c r="B1734" s="1347" t="s">
        <v>1108</v>
      </c>
      <c r="D1734" s="1347" t="s">
        <v>2971</v>
      </c>
      <c r="E1734" s="1347" t="s">
        <v>2972</v>
      </c>
    </row>
    <row r="1735" spans="1:5" x14ac:dyDescent="0.45">
      <c r="B1735" s="1347" t="s">
        <v>2623</v>
      </c>
      <c r="D1735" s="1347" t="s">
        <v>2973</v>
      </c>
      <c r="E1735" s="1347" t="s">
        <v>2974</v>
      </c>
    </row>
    <row r="1736" spans="1:5" x14ac:dyDescent="0.45">
      <c r="B1736" s="1347" t="s">
        <v>2975</v>
      </c>
      <c r="D1736" s="1347" t="s">
        <v>1424</v>
      </c>
      <c r="E1736" s="1347" t="s">
        <v>2976</v>
      </c>
    </row>
    <row r="1737" spans="1:5" x14ac:dyDescent="0.45">
      <c r="B1737" s="1347" t="s">
        <v>1108</v>
      </c>
      <c r="D1737" s="1347" t="s">
        <v>2977</v>
      </c>
      <c r="E1737" s="1347" t="s">
        <v>1435</v>
      </c>
    </row>
    <row r="1738" spans="1:5" x14ac:dyDescent="0.45">
      <c r="B1738" s="1347" t="s">
        <v>2978</v>
      </c>
      <c r="D1738" s="1347" t="s">
        <v>2979</v>
      </c>
      <c r="E1738" s="1347" t="s">
        <v>2980</v>
      </c>
    </row>
    <row r="1739" spans="1:5" x14ac:dyDescent="0.45">
      <c r="A1739" s="1347" t="s">
        <v>1105</v>
      </c>
      <c r="B1739" s="1347" t="s">
        <v>2981</v>
      </c>
      <c r="D1739" s="1347" t="s">
        <v>2982</v>
      </c>
      <c r="E1739" s="1347" t="s">
        <v>2983</v>
      </c>
    </row>
    <row r="1740" spans="1:5" x14ac:dyDescent="0.45">
      <c r="B1740" s="1347" t="s">
        <v>2984</v>
      </c>
      <c r="D1740" s="1347" t="s">
        <v>2985</v>
      </c>
      <c r="E1740" s="1347" t="s">
        <v>2986</v>
      </c>
    </row>
    <row r="1741" spans="1:5" x14ac:dyDescent="0.45">
      <c r="B1741" s="1347" t="s">
        <v>1108</v>
      </c>
      <c r="D1741" s="1347" t="s">
        <v>2987</v>
      </c>
      <c r="E1741" s="1347" t="s">
        <v>2988</v>
      </c>
    </row>
    <row r="1742" spans="1:5" x14ac:dyDescent="0.45">
      <c r="B1742" s="1347" t="s">
        <v>2989</v>
      </c>
      <c r="C1742" s="1347">
        <v>5</v>
      </c>
      <c r="D1742" s="1347" t="s">
        <v>2990</v>
      </c>
      <c r="E1742" s="1347" t="s">
        <v>2991</v>
      </c>
    </row>
    <row r="1743" spans="1:5" x14ac:dyDescent="0.45">
      <c r="B1743" s="1347" t="s">
        <v>2992</v>
      </c>
      <c r="D1743" s="1347" t="s">
        <v>2993</v>
      </c>
      <c r="E1743" s="1347" t="s">
        <v>2994</v>
      </c>
    </row>
    <row r="1744" spans="1:5" x14ac:dyDescent="0.45">
      <c r="B1744" s="1347" t="s">
        <v>2995</v>
      </c>
      <c r="D1744" s="1347" t="s">
        <v>2996</v>
      </c>
      <c r="E1744" s="1347" t="s">
        <v>2997</v>
      </c>
    </row>
    <row r="1745" spans="1:5" x14ac:dyDescent="0.45">
      <c r="B1745" s="1347" t="s">
        <v>2998</v>
      </c>
      <c r="D1745" s="1347" t="s">
        <v>2999</v>
      </c>
      <c r="E1745" s="1347" t="s">
        <v>3000</v>
      </c>
    </row>
    <row r="1746" spans="1:5" x14ac:dyDescent="0.45">
      <c r="A1746" s="1347" t="s">
        <v>1105</v>
      </c>
      <c r="B1746" s="1347" t="s">
        <v>3001</v>
      </c>
      <c r="D1746" s="1347" t="s">
        <v>3002</v>
      </c>
      <c r="E1746" s="1347" t="s">
        <v>3003</v>
      </c>
    </row>
    <row r="1747" spans="1:5" x14ac:dyDescent="0.45">
      <c r="B1747" s="1347" t="s">
        <v>3004</v>
      </c>
      <c r="D1747" s="1347" t="s">
        <v>3005</v>
      </c>
      <c r="E1747" s="1347" t="s">
        <v>3006</v>
      </c>
    </row>
    <row r="1748" spans="1:5" x14ac:dyDescent="0.45">
      <c r="B1748" s="1347" t="s">
        <v>1108</v>
      </c>
      <c r="D1748" s="1347" t="s">
        <v>3007</v>
      </c>
      <c r="E1748" s="1347" t="s">
        <v>3008</v>
      </c>
    </row>
    <row r="1749" spans="1:5" x14ac:dyDescent="0.45">
      <c r="A1749" s="1347">
        <v>1</v>
      </c>
      <c r="B1749" s="1347" t="s">
        <v>3009</v>
      </c>
      <c r="C1749" s="1347" t="s">
        <v>1105</v>
      </c>
      <c r="D1749" s="1347" t="s">
        <v>3010</v>
      </c>
      <c r="E1749" s="1347" t="s">
        <v>3011</v>
      </c>
    </row>
    <row r="1750" spans="1:5" x14ac:dyDescent="0.45">
      <c r="B1750" s="1347" t="s">
        <v>2906</v>
      </c>
      <c r="D1750" s="1347" t="s">
        <v>3012</v>
      </c>
      <c r="E1750" s="1347" t="s">
        <v>3013</v>
      </c>
    </row>
    <row r="1751" spans="1:5" x14ac:dyDescent="0.45">
      <c r="B1751" s="1347" t="s">
        <v>1108</v>
      </c>
      <c r="D1751" s="1347" t="s">
        <v>3014</v>
      </c>
      <c r="E1751" s="1347" t="s">
        <v>3015</v>
      </c>
    </row>
    <row r="1752" spans="1:5" x14ac:dyDescent="0.45">
      <c r="A1752" s="1347" t="s">
        <v>1105</v>
      </c>
      <c r="B1752" s="1347" t="s">
        <v>3016</v>
      </c>
      <c r="D1752" s="1347" t="s">
        <v>3017</v>
      </c>
      <c r="E1752" s="1347" t="s">
        <v>3018</v>
      </c>
    </row>
    <row r="1753" spans="1:5" x14ac:dyDescent="0.45">
      <c r="B1753" s="1347" t="s">
        <v>1108</v>
      </c>
      <c r="D1753" s="1347" t="s">
        <v>3019</v>
      </c>
      <c r="E1753" s="1347" t="s">
        <v>3020</v>
      </c>
    </row>
    <row r="1754" spans="1:5" x14ac:dyDescent="0.45">
      <c r="B1754" s="1347" t="s">
        <v>1108</v>
      </c>
      <c r="D1754" s="1347" t="s">
        <v>2856</v>
      </c>
      <c r="E1754" s="1347" t="s">
        <v>3021</v>
      </c>
    </row>
    <row r="1755" spans="1:5" x14ac:dyDescent="0.45">
      <c r="B1755" s="1347" t="s">
        <v>3022</v>
      </c>
      <c r="D1755" s="1347" t="s">
        <v>3023</v>
      </c>
      <c r="E1755" s="1347" t="s">
        <v>3024</v>
      </c>
    </row>
    <row r="1756" spans="1:5" x14ac:dyDescent="0.45">
      <c r="A1756" s="1347" t="s">
        <v>1105</v>
      </c>
      <c r="B1756" s="1347" t="s">
        <v>3025</v>
      </c>
      <c r="D1756" s="1347" t="s">
        <v>3026</v>
      </c>
      <c r="E1756" s="1347" t="s">
        <v>3027</v>
      </c>
    </row>
    <row r="1757" spans="1:5" x14ac:dyDescent="0.45">
      <c r="B1757" s="1347" t="s">
        <v>3028</v>
      </c>
      <c r="D1757" s="1347" t="s">
        <v>3029</v>
      </c>
      <c r="E1757" s="1347" t="s">
        <v>3030</v>
      </c>
    </row>
    <row r="1758" spans="1:5" x14ac:dyDescent="0.45">
      <c r="B1758" s="1347" t="s">
        <v>3031</v>
      </c>
      <c r="D1758" s="1347" t="s">
        <v>3032</v>
      </c>
      <c r="E1758" s="1347" t="s">
        <v>3033</v>
      </c>
    </row>
    <row r="1759" spans="1:5" x14ac:dyDescent="0.45">
      <c r="B1759" s="1347" t="s">
        <v>3034</v>
      </c>
      <c r="D1759" s="1347" t="s">
        <v>3035</v>
      </c>
      <c r="E1759" s="1347" t="s">
        <v>3036</v>
      </c>
    </row>
    <row r="1760" spans="1:5" x14ac:dyDescent="0.45">
      <c r="B1760" s="1347" t="s">
        <v>3037</v>
      </c>
      <c r="D1760" s="1347" t="s">
        <v>3038</v>
      </c>
      <c r="E1760" s="1347" t="s">
        <v>3039</v>
      </c>
    </row>
    <row r="1761" spans="1:5" x14ac:dyDescent="0.45">
      <c r="B1761" s="1347" t="s">
        <v>1108</v>
      </c>
      <c r="D1761" s="1347" t="s">
        <v>3040</v>
      </c>
      <c r="E1761" s="1347" t="s">
        <v>3041</v>
      </c>
    </row>
    <row r="1762" spans="1:5" x14ac:dyDescent="0.45">
      <c r="A1762" s="1347" t="s">
        <v>1105</v>
      </c>
      <c r="B1762" s="1347" t="s">
        <v>3042</v>
      </c>
      <c r="D1762" s="1347">
        <f>-522  -1716   -190   -17</f>
        <v>-2445</v>
      </c>
      <c r="E1762" s="1347" t="s">
        <v>3043</v>
      </c>
    </row>
    <row r="1763" spans="1:5" x14ac:dyDescent="0.45">
      <c r="B1763" s="1347" t="s">
        <v>3044</v>
      </c>
      <c r="D1763" s="1347" t="s">
        <v>3045</v>
      </c>
      <c r="E1763" s="1347" t="s">
        <v>3046</v>
      </c>
    </row>
    <row r="1764" spans="1:5" x14ac:dyDescent="0.45">
      <c r="A1764" s="1347" t="s">
        <v>1105</v>
      </c>
      <c r="B1764" s="1347" t="s">
        <v>3047</v>
      </c>
      <c r="D1764" s="1347" t="s">
        <v>1109</v>
      </c>
      <c r="E1764" s="1347" t="s">
        <v>3048</v>
      </c>
    </row>
    <row r="1765" spans="1:5" x14ac:dyDescent="0.45">
      <c r="B1765" s="1347" t="s">
        <v>3049</v>
      </c>
      <c r="D1765" s="1347" t="s">
        <v>3050</v>
      </c>
      <c r="E1765" s="1347" t="s">
        <v>1110</v>
      </c>
    </row>
    <row r="1766" spans="1:5" x14ac:dyDescent="0.45">
      <c r="B1766" s="1347" t="s">
        <v>1108</v>
      </c>
      <c r="D1766" s="1347" t="s">
        <v>1109</v>
      </c>
      <c r="E1766" s="1347" t="s">
        <v>1110</v>
      </c>
    </row>
    <row r="1767" spans="1:5" x14ac:dyDescent="0.45">
      <c r="B1767" s="1347" t="s">
        <v>1108</v>
      </c>
      <c r="D1767" s="1347" t="s">
        <v>1109</v>
      </c>
      <c r="E1767" s="1347" t="s">
        <v>1110</v>
      </c>
    </row>
    <row r="1768" spans="1:5" x14ac:dyDescent="0.45">
      <c r="B1768" s="1347" t="s">
        <v>1108</v>
      </c>
      <c r="D1768" s="1347" t="s">
        <v>1109</v>
      </c>
      <c r="E1768" s="1347" t="s">
        <v>1110</v>
      </c>
    </row>
    <row r="1769" spans="1:5" x14ac:dyDescent="0.45">
      <c r="B1769" s="1347" t="s">
        <v>1108</v>
      </c>
      <c r="D1769" s="1347" t="s">
        <v>1109</v>
      </c>
      <c r="E1769" s="1347" t="s">
        <v>1110</v>
      </c>
    </row>
    <row r="1770" spans="1:5" x14ac:dyDescent="0.45">
      <c r="B1770" s="1347" t="s">
        <v>1108</v>
      </c>
      <c r="D1770" s="1347" t="s">
        <v>1109</v>
      </c>
      <c r="E1770" s="1347" t="s">
        <v>1110</v>
      </c>
    </row>
    <row r="1771" spans="1:5" x14ac:dyDescent="0.45">
      <c r="B1771" s="1347" t="s">
        <v>1108</v>
      </c>
      <c r="D1771" s="1347" t="s">
        <v>1109</v>
      </c>
      <c r="E1771" s="1347" t="s">
        <v>1110</v>
      </c>
    </row>
    <row r="1772" spans="1:5" x14ac:dyDescent="0.45">
      <c r="B1772" s="1347" t="s">
        <v>1108</v>
      </c>
      <c r="D1772" s="1347" t="s">
        <v>1109</v>
      </c>
      <c r="E1772" s="1347" t="s">
        <v>1110</v>
      </c>
    </row>
    <row r="1773" spans="1:5" x14ac:dyDescent="0.45">
      <c r="B1773" s="1347" t="s">
        <v>1108</v>
      </c>
      <c r="D1773" s="1347" t="s">
        <v>1109</v>
      </c>
      <c r="E1773" s="1347" t="s">
        <v>1110</v>
      </c>
    </row>
    <row r="1774" spans="1:5" x14ac:dyDescent="0.45">
      <c r="B1774" s="1347" t="s">
        <v>1108</v>
      </c>
      <c r="D1774" s="1347" t="s">
        <v>1109</v>
      </c>
      <c r="E1774" s="1347" t="s">
        <v>1110</v>
      </c>
    </row>
    <row r="1775" spans="1:5" x14ac:dyDescent="0.45">
      <c r="B1775" s="1347" t="s">
        <v>1108</v>
      </c>
      <c r="D1775" s="1347" t="s">
        <v>1109</v>
      </c>
      <c r="E1775" s="1347" t="s">
        <v>1110</v>
      </c>
    </row>
    <row r="1776" spans="1:5" x14ac:dyDescent="0.45">
      <c r="B1776" s="1347" t="s">
        <v>1108</v>
      </c>
      <c r="D1776" s="1347" t="s">
        <v>1109</v>
      </c>
      <c r="E1776" s="1347" t="s">
        <v>1110</v>
      </c>
    </row>
    <row r="1777" spans="2:5" x14ac:dyDescent="0.45">
      <c r="B1777" s="1347" t="s">
        <v>1108</v>
      </c>
      <c r="D1777" s="1347" t="s">
        <v>1109</v>
      </c>
      <c r="E1777" s="1347" t="s">
        <v>1110</v>
      </c>
    </row>
    <row r="1778" spans="2:5" x14ac:dyDescent="0.45">
      <c r="B1778" s="1347" t="s">
        <v>1108</v>
      </c>
      <c r="D1778" s="1347" t="s">
        <v>1109</v>
      </c>
      <c r="E1778" s="1347" t="s">
        <v>1110</v>
      </c>
    </row>
    <row r="1779" spans="2:5" x14ac:dyDescent="0.45">
      <c r="B1779" s="1347" t="s">
        <v>1108</v>
      </c>
      <c r="D1779" s="1347" t="s">
        <v>1109</v>
      </c>
      <c r="E1779" s="1347" t="s">
        <v>1110</v>
      </c>
    </row>
    <row r="1780" spans="2:5" x14ac:dyDescent="0.45">
      <c r="B1780" s="1347" t="s">
        <v>1108</v>
      </c>
      <c r="D1780" s="1347" t="s">
        <v>1109</v>
      </c>
      <c r="E1780" s="1347" t="s">
        <v>1110</v>
      </c>
    </row>
    <row r="1781" spans="2:5" x14ac:dyDescent="0.45">
      <c r="B1781" s="1347" t="s">
        <v>1108</v>
      </c>
      <c r="D1781" s="1347" t="s">
        <v>1109</v>
      </c>
      <c r="E1781" s="1347" t="s">
        <v>1110</v>
      </c>
    </row>
    <row r="1782" spans="2:5" x14ac:dyDescent="0.45">
      <c r="B1782" s="1347" t="s">
        <v>1108</v>
      </c>
      <c r="D1782" s="1347" t="s">
        <v>1109</v>
      </c>
      <c r="E1782" s="1347" t="s">
        <v>1110</v>
      </c>
    </row>
    <row r="1783" spans="2:5" x14ac:dyDescent="0.45">
      <c r="B1783" s="1347" t="s">
        <v>1108</v>
      </c>
      <c r="D1783" s="1347" t="s">
        <v>1109</v>
      </c>
      <c r="E1783" s="1347" t="s">
        <v>1110</v>
      </c>
    </row>
    <row r="1784" spans="2:5" x14ac:dyDescent="0.45">
      <c r="B1784" s="1347" t="s">
        <v>1108</v>
      </c>
      <c r="D1784" s="1347" t="s">
        <v>1109</v>
      </c>
      <c r="E1784" s="1347" t="s">
        <v>1110</v>
      </c>
    </row>
    <row r="1785" spans="2:5" x14ac:dyDescent="0.45">
      <c r="B1785" s="1347" t="s">
        <v>1108</v>
      </c>
      <c r="D1785" s="1347" t="s">
        <v>1109</v>
      </c>
      <c r="E1785" s="1347" t="s">
        <v>1110</v>
      </c>
    </row>
    <row r="1786" spans="2:5" x14ac:dyDescent="0.45">
      <c r="B1786" s="1347" t="s">
        <v>1108</v>
      </c>
      <c r="D1786" s="1347" t="s">
        <v>1109</v>
      </c>
      <c r="E1786" s="1347" t="s">
        <v>1110</v>
      </c>
    </row>
    <row r="1787" spans="2:5" x14ac:dyDescent="0.45">
      <c r="B1787" s="1347" t="s">
        <v>1108</v>
      </c>
      <c r="D1787" s="1347" t="s">
        <v>1109</v>
      </c>
      <c r="E1787" s="1347" t="s">
        <v>1110</v>
      </c>
    </row>
    <row r="1788" spans="2:5" x14ac:dyDescent="0.45">
      <c r="B1788" s="1347" t="s">
        <v>1108</v>
      </c>
      <c r="D1788" s="1347" t="s">
        <v>1109</v>
      </c>
      <c r="E1788" s="1347" t="s">
        <v>1110</v>
      </c>
    </row>
    <row r="1789" spans="2:5" x14ac:dyDescent="0.45">
      <c r="B1789" s="1347" t="s">
        <v>1108</v>
      </c>
      <c r="D1789" s="1347" t="s">
        <v>1109</v>
      </c>
      <c r="E1789" s="1347" t="s">
        <v>1110</v>
      </c>
    </row>
    <row r="1790" spans="2:5" x14ac:dyDescent="0.45">
      <c r="B1790" s="1347" t="s">
        <v>1108</v>
      </c>
      <c r="D1790" s="1347" t="s">
        <v>1109</v>
      </c>
      <c r="E1790" s="1347" t="s">
        <v>1110</v>
      </c>
    </row>
    <row r="1791" spans="2:5" x14ac:dyDescent="0.45">
      <c r="B1791" s="1347" t="s">
        <v>1108</v>
      </c>
      <c r="D1791" s="1347" t="s">
        <v>1109</v>
      </c>
      <c r="E1791" s="1347" t="s">
        <v>1110</v>
      </c>
    </row>
    <row r="1792" spans="2:5" x14ac:dyDescent="0.45">
      <c r="B1792" s="1347" t="s">
        <v>1108</v>
      </c>
      <c r="D1792" s="1347" t="s">
        <v>1109</v>
      </c>
      <c r="E1792" s="1347" t="s">
        <v>1110</v>
      </c>
    </row>
    <row r="1793" spans="2:5" x14ac:dyDescent="0.45">
      <c r="B1793" s="1347" t="s">
        <v>1108</v>
      </c>
      <c r="D1793" s="1347" t="s">
        <v>1109</v>
      </c>
      <c r="E1793" s="1347" t="s">
        <v>1110</v>
      </c>
    </row>
    <row r="1794" spans="2:5" x14ac:dyDescent="0.45">
      <c r="B1794" s="1347" t="s">
        <v>1108</v>
      </c>
      <c r="D1794" s="1347" t="s">
        <v>1109</v>
      </c>
      <c r="E1794" s="1347" t="s">
        <v>1110</v>
      </c>
    </row>
    <row r="1795" spans="2:5" x14ac:dyDescent="0.45">
      <c r="B1795" s="1347" t="s">
        <v>1108</v>
      </c>
      <c r="D1795" s="1347" t="s">
        <v>1109</v>
      </c>
      <c r="E1795" s="1347" t="s">
        <v>1110</v>
      </c>
    </row>
    <row r="1796" spans="2:5" x14ac:dyDescent="0.45">
      <c r="B1796" s="1347" t="s">
        <v>1108</v>
      </c>
      <c r="D1796" s="1347" t="s">
        <v>1109</v>
      </c>
      <c r="E1796" s="1347" t="s">
        <v>1110</v>
      </c>
    </row>
    <row r="1797" spans="2:5" x14ac:dyDescent="0.45">
      <c r="B1797" s="1347" t="s">
        <v>1108</v>
      </c>
      <c r="D1797" s="1347" t="s">
        <v>1109</v>
      </c>
      <c r="E1797" s="1347" t="s">
        <v>1110</v>
      </c>
    </row>
    <row r="1798" spans="2:5" x14ac:dyDescent="0.45">
      <c r="B1798" s="1347" t="s">
        <v>1108</v>
      </c>
      <c r="D1798" s="1347" t="s">
        <v>1109</v>
      </c>
      <c r="E1798" s="1347" t="s">
        <v>1110</v>
      </c>
    </row>
    <row r="1799" spans="2:5" x14ac:dyDescent="0.45">
      <c r="B1799" s="1347" t="s">
        <v>1108</v>
      </c>
      <c r="D1799" s="1347" t="s">
        <v>1109</v>
      </c>
      <c r="E1799" s="1347" t="s">
        <v>1110</v>
      </c>
    </row>
    <row r="1800" spans="2:5" x14ac:dyDescent="0.45">
      <c r="B1800" s="1347" t="s">
        <v>1108</v>
      </c>
      <c r="D1800" s="1347" t="s">
        <v>1109</v>
      </c>
      <c r="E1800" s="1347" t="s">
        <v>1110</v>
      </c>
    </row>
    <row r="1801" spans="2:5" x14ac:dyDescent="0.45">
      <c r="B1801" s="1347" t="s">
        <v>1108</v>
      </c>
      <c r="D1801" s="1347" t="s">
        <v>1109</v>
      </c>
      <c r="E1801" s="1347" t="s">
        <v>1110</v>
      </c>
    </row>
    <row r="1802" spans="2:5" x14ac:dyDescent="0.45">
      <c r="B1802" s="1347" t="s">
        <v>1108</v>
      </c>
      <c r="D1802" s="1347" t="s">
        <v>1109</v>
      </c>
      <c r="E1802" s="1347" t="s">
        <v>1110</v>
      </c>
    </row>
    <row r="1803" spans="2:5" x14ac:dyDescent="0.45">
      <c r="B1803" s="1347" t="s">
        <v>1108</v>
      </c>
      <c r="D1803" s="1347" t="s">
        <v>1109</v>
      </c>
      <c r="E1803" s="1347" t="s">
        <v>1110</v>
      </c>
    </row>
    <row r="1804" spans="2:5" x14ac:dyDescent="0.45">
      <c r="B1804" s="1347" t="s">
        <v>1108</v>
      </c>
      <c r="D1804" s="1347" t="s">
        <v>1109</v>
      </c>
      <c r="E1804" s="1347" t="s">
        <v>1110</v>
      </c>
    </row>
    <row r="1805" spans="2:5" x14ac:dyDescent="0.45">
      <c r="B1805" s="1347" t="s">
        <v>1108</v>
      </c>
      <c r="D1805" s="1347" t="s">
        <v>1109</v>
      </c>
      <c r="E1805" s="1347" t="s">
        <v>1110</v>
      </c>
    </row>
    <row r="1806" spans="2:5" x14ac:dyDescent="0.45">
      <c r="B1806" s="1347" t="s">
        <v>1108</v>
      </c>
      <c r="D1806" s="1347" t="s">
        <v>1109</v>
      </c>
      <c r="E1806" s="1347" t="s">
        <v>1110</v>
      </c>
    </row>
    <row r="1807" spans="2:5" x14ac:dyDescent="0.45">
      <c r="B1807" s="1347" t="s">
        <v>1108</v>
      </c>
      <c r="D1807" s="1347" t="s">
        <v>1109</v>
      </c>
      <c r="E1807" s="1347" t="s">
        <v>1110</v>
      </c>
    </row>
    <row r="1808" spans="2:5" x14ac:dyDescent="0.45">
      <c r="B1808" s="1347" t="s">
        <v>1108</v>
      </c>
      <c r="D1808" s="1347" t="s">
        <v>1109</v>
      </c>
      <c r="E1808" s="1347" t="s">
        <v>1110</v>
      </c>
    </row>
    <row r="1809" spans="1:5" x14ac:dyDescent="0.45">
      <c r="B1809" s="1347" t="s">
        <v>1108</v>
      </c>
      <c r="D1809" s="1347" t="s">
        <v>1109</v>
      </c>
      <c r="E1809" s="1347" t="s">
        <v>1110</v>
      </c>
    </row>
    <row r="1810" spans="1:5" x14ac:dyDescent="0.45">
      <c r="B1810" s="1347" t="s">
        <v>1108</v>
      </c>
      <c r="D1810" s="1347" t="s">
        <v>1109</v>
      </c>
      <c r="E1810" s="1347" t="s">
        <v>1110</v>
      </c>
    </row>
    <row r="1811" spans="1:5" x14ac:dyDescent="0.45">
      <c r="B1811" s="1347" t="s">
        <v>1108</v>
      </c>
      <c r="D1811" s="1347" t="s">
        <v>1109</v>
      </c>
      <c r="E1811" s="1347" t="s">
        <v>1110</v>
      </c>
    </row>
    <row r="1812" spans="1:5" x14ac:dyDescent="0.45">
      <c r="B1812" s="1347" t="s">
        <v>1108</v>
      </c>
      <c r="D1812" s="1347" t="s">
        <v>1109</v>
      </c>
      <c r="E1812" s="1347" t="s">
        <v>1110</v>
      </c>
    </row>
    <row r="1813" spans="1:5" x14ac:dyDescent="0.45">
      <c r="B1813" s="1347" t="s">
        <v>1108</v>
      </c>
      <c r="D1813" s="1347" t="s">
        <v>1109</v>
      </c>
      <c r="E1813" s="1347" t="s">
        <v>1110</v>
      </c>
    </row>
    <row r="1814" spans="1:5" x14ac:dyDescent="0.45">
      <c r="B1814" s="1347" t="s">
        <v>1108</v>
      </c>
      <c r="D1814" s="1347" t="s">
        <v>1109</v>
      </c>
      <c r="E1814" s="1347" t="s">
        <v>1110</v>
      </c>
    </row>
    <row r="1815" spans="1:5" x14ac:dyDescent="0.45">
      <c r="B1815" s="1347" t="s">
        <v>1108</v>
      </c>
      <c r="D1815" s="1347" t="s">
        <v>1109</v>
      </c>
      <c r="E1815" s="1347" t="s">
        <v>3051</v>
      </c>
    </row>
    <row r="1816" spans="1:5" x14ac:dyDescent="0.45">
      <c r="A1816" s="1347">
        <v>4</v>
      </c>
      <c r="B1816" s="1347" t="s">
        <v>3052</v>
      </c>
      <c r="D1816" s="1347" t="s">
        <v>3053</v>
      </c>
      <c r="E1816" s="1347" t="s">
        <v>3054</v>
      </c>
    </row>
    <row r="1817" spans="1:5" x14ac:dyDescent="0.45">
      <c r="B1817" s="1347" t="s">
        <v>1108</v>
      </c>
      <c r="D1817" s="1347" t="s">
        <v>3055</v>
      </c>
      <c r="E1817" s="1347" t="s">
        <v>3056</v>
      </c>
    </row>
    <row r="1818" spans="1:5" x14ac:dyDescent="0.45">
      <c r="A1818" s="1347" t="s">
        <v>1105</v>
      </c>
      <c r="B1818" s="1347" t="s">
        <v>3057</v>
      </c>
      <c r="D1818" s="1347" t="s">
        <v>3058</v>
      </c>
      <c r="E1818" s="1347" t="s">
        <v>3059</v>
      </c>
    </row>
    <row r="1819" spans="1:5" x14ac:dyDescent="0.45">
      <c r="B1819" s="1347" t="s">
        <v>3060</v>
      </c>
      <c r="D1819" s="1347" t="s">
        <v>3061</v>
      </c>
      <c r="E1819" s="1347" t="s">
        <v>3062</v>
      </c>
    </row>
    <row r="1820" spans="1:5" x14ac:dyDescent="0.45">
      <c r="B1820" s="1347" t="s">
        <v>1108</v>
      </c>
      <c r="D1820" s="1347" t="s">
        <v>3063</v>
      </c>
      <c r="E1820" s="1347" t="s">
        <v>1113</v>
      </c>
    </row>
    <row r="1821" spans="1:5" x14ac:dyDescent="0.45">
      <c r="B1821" s="1347" t="s">
        <v>3064</v>
      </c>
      <c r="D1821" s="1347" t="s">
        <v>3065</v>
      </c>
      <c r="E1821" s="1347" t="s">
        <v>3066</v>
      </c>
    </row>
    <row r="1822" spans="1:5" x14ac:dyDescent="0.45">
      <c r="A1822" s="1347">
        <v>-1</v>
      </c>
      <c r="B1822" s="1347" t="s">
        <v>3067</v>
      </c>
      <c r="D1822" s="1347" t="s">
        <v>3068</v>
      </c>
      <c r="E1822" s="1347" t="s">
        <v>3069</v>
      </c>
    </row>
    <row r="1823" spans="1:5" x14ac:dyDescent="0.45">
      <c r="A1823" s="1347" t="s">
        <v>1105</v>
      </c>
      <c r="B1823" s="1347" t="s">
        <v>3070</v>
      </c>
      <c r="D1823" s="1347" t="s">
        <v>3071</v>
      </c>
      <c r="E1823" s="1347" t="s">
        <v>3072</v>
      </c>
    </row>
    <row r="1824" spans="1:5" x14ac:dyDescent="0.45">
      <c r="B1824" s="1347" t="s">
        <v>1108</v>
      </c>
      <c r="D1824" s="1347" t="s">
        <v>3073</v>
      </c>
      <c r="E1824" s="1347" t="s">
        <v>3074</v>
      </c>
    </row>
    <row r="1825" spans="1:5" x14ac:dyDescent="0.45">
      <c r="B1825" s="1347" t="s">
        <v>3075</v>
      </c>
      <c r="C1825" s="1347" t="s">
        <v>1105</v>
      </c>
      <c r="D1825" s="1347" t="s">
        <v>3076</v>
      </c>
      <c r="E1825" s="1347" t="s">
        <v>3077</v>
      </c>
    </row>
    <row r="1826" spans="1:5" x14ac:dyDescent="0.45">
      <c r="A1826" s="1347" t="s">
        <v>1105</v>
      </c>
      <c r="B1826" s="1347" t="s">
        <v>3078</v>
      </c>
      <c r="D1826" s="1347" t="s">
        <v>3079</v>
      </c>
      <c r="E1826" s="1347" t="s">
        <v>3080</v>
      </c>
    </row>
    <row r="1827" spans="1:5" x14ac:dyDescent="0.45">
      <c r="A1827" s="1347" t="s">
        <v>1105</v>
      </c>
      <c r="B1827" s="1347" t="s">
        <v>3081</v>
      </c>
      <c r="D1827" s="1347" t="s">
        <v>3082</v>
      </c>
      <c r="E1827" s="1347" t="s">
        <v>3083</v>
      </c>
    </row>
    <row r="1828" spans="1:5" x14ac:dyDescent="0.45">
      <c r="B1828" s="1347" t="s">
        <v>3084</v>
      </c>
      <c r="D1828" s="1347" t="s">
        <v>3085</v>
      </c>
      <c r="E1828" s="1347" t="s">
        <v>3086</v>
      </c>
    </row>
    <row r="1829" spans="1:5" x14ac:dyDescent="0.45">
      <c r="A1829" s="1347" t="s">
        <v>1105</v>
      </c>
      <c r="B1829" s="1347" t="s">
        <v>3087</v>
      </c>
      <c r="D1829" s="1347" t="s">
        <v>3088</v>
      </c>
      <c r="E1829" s="1347" t="s">
        <v>3089</v>
      </c>
    </row>
    <row r="1830" spans="1:5" x14ac:dyDescent="0.45">
      <c r="A1830" s="1347" t="s">
        <v>1105</v>
      </c>
      <c r="B1830" s="1347" t="s">
        <v>3090</v>
      </c>
      <c r="D1830" s="1347" t="s">
        <v>3091</v>
      </c>
      <c r="E1830" s="1347" t="s">
        <v>3092</v>
      </c>
    </row>
    <row r="1831" spans="1:5" x14ac:dyDescent="0.45">
      <c r="B1831" s="1347" t="s">
        <v>1108</v>
      </c>
      <c r="D1831" s="1347" t="s">
        <v>3093</v>
      </c>
      <c r="E1831" s="1347" t="s">
        <v>3094</v>
      </c>
    </row>
    <row r="1832" spans="1:5" x14ac:dyDescent="0.45">
      <c r="A1832" s="1347">
        <v>-6</v>
      </c>
      <c r="B1832" s="1347" t="s">
        <v>3095</v>
      </c>
      <c r="D1832" s="1347" t="s">
        <v>3096</v>
      </c>
      <c r="E1832" s="1347" t="s">
        <v>3097</v>
      </c>
    </row>
    <row r="1833" spans="1:5" x14ac:dyDescent="0.45">
      <c r="B1833" s="1347" t="s">
        <v>1108</v>
      </c>
      <c r="D1833" s="1347" t="s">
        <v>3098</v>
      </c>
      <c r="E1833" s="1347" t="s">
        <v>3099</v>
      </c>
    </row>
    <row r="1834" spans="1:5" x14ac:dyDescent="0.45">
      <c r="B1834" s="1347" t="s">
        <v>1108</v>
      </c>
      <c r="D1834" s="1347" t="s">
        <v>3100</v>
      </c>
      <c r="E1834" s="1347" t="s">
        <v>3101</v>
      </c>
    </row>
    <row r="1835" spans="1:5" x14ac:dyDescent="0.45">
      <c r="B1835" s="1347" t="s">
        <v>1982</v>
      </c>
      <c r="D1835" s="1347" t="s">
        <v>3102</v>
      </c>
      <c r="E1835" s="1347" t="s">
        <v>3103</v>
      </c>
    </row>
    <row r="1836" spans="1:5" x14ac:dyDescent="0.45">
      <c r="A1836" s="1347" t="s">
        <v>1105</v>
      </c>
      <c r="B1836" s="1347" t="s">
        <v>3104</v>
      </c>
      <c r="D1836" s="1347" t="s">
        <v>3105</v>
      </c>
      <c r="E1836" s="1347" t="s">
        <v>3106</v>
      </c>
    </row>
    <row r="1837" spans="1:5" x14ac:dyDescent="0.45">
      <c r="B1837" s="1347" t="s">
        <v>1108</v>
      </c>
      <c r="D1837" s="1347" t="s">
        <v>3107</v>
      </c>
      <c r="E1837" s="1347" t="s">
        <v>1110</v>
      </c>
    </row>
    <row r="1838" spans="1:5" x14ac:dyDescent="0.45">
      <c r="A1838" s="1347" t="s">
        <v>1105</v>
      </c>
      <c r="B1838" s="1347" t="s">
        <v>3108</v>
      </c>
      <c r="C1838" s="1347" t="s">
        <v>1105</v>
      </c>
      <c r="D1838" s="1347" t="s">
        <v>3109</v>
      </c>
      <c r="E1838" s="1347" t="s">
        <v>3110</v>
      </c>
    </row>
    <row r="1839" spans="1:5" x14ac:dyDescent="0.45">
      <c r="B1839" s="1347" t="s">
        <v>1108</v>
      </c>
      <c r="D1839" s="1347" t="s">
        <v>3111</v>
      </c>
      <c r="E1839" s="1347" t="s">
        <v>3112</v>
      </c>
    </row>
    <row r="1840" spans="1:5" x14ac:dyDescent="0.45">
      <c r="A1840" s="1347" t="s">
        <v>1105</v>
      </c>
      <c r="B1840" s="1347" t="s">
        <v>1899</v>
      </c>
      <c r="D1840" s="1347">
        <f>-33  -3273   -369  -252</f>
        <v>-3927</v>
      </c>
      <c r="E1840" s="1347" t="s">
        <v>3113</v>
      </c>
    </row>
    <row r="1841" spans="1:5" x14ac:dyDescent="0.45">
      <c r="B1841" s="1347" t="s">
        <v>1108</v>
      </c>
      <c r="D1841" s="1347" t="s">
        <v>3114</v>
      </c>
      <c r="E1841" s="1347" t="s">
        <v>3115</v>
      </c>
    </row>
    <row r="1842" spans="1:5" x14ac:dyDescent="0.45">
      <c r="A1842" s="1347" t="s">
        <v>1105</v>
      </c>
      <c r="B1842" s="1347" t="s">
        <v>3116</v>
      </c>
      <c r="D1842" s="1347" t="s">
        <v>3117</v>
      </c>
      <c r="E1842" s="1347" t="s">
        <v>3118</v>
      </c>
    </row>
    <row r="1843" spans="1:5" x14ac:dyDescent="0.45">
      <c r="B1843" s="1347" t="s">
        <v>3119</v>
      </c>
      <c r="C1843" s="1347" t="s">
        <v>1105</v>
      </c>
      <c r="D1843" s="1347" t="s">
        <v>3120</v>
      </c>
      <c r="E1843" s="1347" t="s">
        <v>3121</v>
      </c>
    </row>
    <row r="1844" spans="1:5" x14ac:dyDescent="0.45">
      <c r="A1844" s="1347">
        <v>-1</v>
      </c>
      <c r="B1844" s="1347" t="s">
        <v>3122</v>
      </c>
      <c r="D1844" s="1347" t="s">
        <v>3123</v>
      </c>
      <c r="E1844" s="1347" t="s">
        <v>3124</v>
      </c>
    </row>
    <row r="1845" spans="1:5" x14ac:dyDescent="0.45">
      <c r="A1845" s="1347">
        <v>-1</v>
      </c>
      <c r="B1845" s="1347" t="s">
        <v>3125</v>
      </c>
      <c r="D1845" s="1347" t="s">
        <v>3126</v>
      </c>
      <c r="E1845" s="1347" t="s">
        <v>3127</v>
      </c>
    </row>
    <row r="1846" spans="1:5" x14ac:dyDescent="0.45">
      <c r="A1846" s="1347">
        <v>2</v>
      </c>
      <c r="B1846" s="1347" t="s">
        <v>3128</v>
      </c>
      <c r="D1846" s="1347" t="s">
        <v>3129</v>
      </c>
      <c r="E1846" s="1347" t="s">
        <v>3130</v>
      </c>
    </row>
    <row r="1847" spans="1:5" x14ac:dyDescent="0.45">
      <c r="B1847" s="1347" t="s">
        <v>1108</v>
      </c>
      <c r="D1847" s="1347" t="s">
        <v>3131</v>
      </c>
      <c r="E1847" s="1347" t="s">
        <v>3132</v>
      </c>
    </row>
    <row r="1848" spans="1:5" x14ac:dyDescent="0.45">
      <c r="B1848" s="1347" t="s">
        <v>1108</v>
      </c>
      <c r="C1848" s="1347" t="s">
        <v>1105</v>
      </c>
      <c r="D1848" s="1347" t="s">
        <v>3133</v>
      </c>
      <c r="E1848" s="1347" t="s">
        <v>3134</v>
      </c>
    </row>
    <row r="1849" spans="1:5" x14ac:dyDescent="0.45">
      <c r="A1849" s="1347">
        <v>1</v>
      </c>
      <c r="B1849" s="1347" t="s">
        <v>1391</v>
      </c>
      <c r="D1849" s="1347" t="s">
        <v>3135</v>
      </c>
      <c r="E1849" s="1347" t="s">
        <v>3136</v>
      </c>
    </row>
    <row r="1850" spans="1:5" x14ac:dyDescent="0.45">
      <c r="B1850" s="1347" t="s">
        <v>1108</v>
      </c>
      <c r="D1850" s="1347" t="s">
        <v>3137</v>
      </c>
      <c r="E1850" s="1347" t="s">
        <v>3138</v>
      </c>
    </row>
    <row r="1851" spans="1:5" x14ac:dyDescent="0.45">
      <c r="B1851" s="1347" t="s">
        <v>1108</v>
      </c>
      <c r="D1851" s="1347" t="s">
        <v>3139</v>
      </c>
      <c r="E1851" s="1347" t="s">
        <v>3140</v>
      </c>
    </row>
    <row r="1852" spans="1:5" x14ac:dyDescent="0.45">
      <c r="B1852" s="1347" t="s">
        <v>3141</v>
      </c>
      <c r="D1852" s="1347" t="s">
        <v>3142</v>
      </c>
      <c r="E1852" s="1347" t="s">
        <v>3143</v>
      </c>
    </row>
    <row r="1853" spans="1:5" x14ac:dyDescent="0.45">
      <c r="B1853" s="1347" t="s">
        <v>2118</v>
      </c>
      <c r="D1853" s="1347" t="s">
        <v>3144</v>
      </c>
      <c r="E1853" s="1347" t="s">
        <v>3145</v>
      </c>
    </row>
    <row r="1854" spans="1:5" x14ac:dyDescent="0.45">
      <c r="B1854" s="1347" t="s">
        <v>1108</v>
      </c>
      <c r="D1854" s="1347" t="s">
        <v>3146</v>
      </c>
      <c r="E1854" s="1347" t="s">
        <v>1110</v>
      </c>
    </row>
    <row r="1855" spans="1:5" x14ac:dyDescent="0.45">
      <c r="B1855" s="1347" t="s">
        <v>3147</v>
      </c>
      <c r="C1855" s="1347" t="s">
        <v>1105</v>
      </c>
      <c r="D1855" s="1347" t="s">
        <v>3148</v>
      </c>
      <c r="E1855" s="1347" t="s">
        <v>3149</v>
      </c>
    </row>
    <row r="1856" spans="1:5" x14ac:dyDescent="0.45">
      <c r="B1856" s="1347" t="s">
        <v>1108</v>
      </c>
      <c r="D1856" s="1347" t="s">
        <v>3150</v>
      </c>
      <c r="E1856" s="1347" t="s">
        <v>3151</v>
      </c>
    </row>
    <row r="1857" spans="1:5" x14ac:dyDescent="0.45">
      <c r="B1857" s="1347" t="s">
        <v>3152</v>
      </c>
      <c r="D1857" s="1347" t="s">
        <v>3153</v>
      </c>
      <c r="E1857" s="1347" t="s">
        <v>3154</v>
      </c>
    </row>
    <row r="1858" spans="1:5" x14ac:dyDescent="0.45">
      <c r="B1858" s="1347" t="s">
        <v>1108</v>
      </c>
      <c r="D1858" s="1347" t="s">
        <v>3155</v>
      </c>
      <c r="E1858" s="1347" t="s">
        <v>3156</v>
      </c>
    </row>
    <row r="1859" spans="1:5" x14ac:dyDescent="0.45">
      <c r="A1859" s="1347" t="s">
        <v>1105</v>
      </c>
      <c r="B1859" s="1347" t="s">
        <v>3157</v>
      </c>
      <c r="D1859" s="1347">
        <f>-348   -494  -1852</f>
        <v>-2694</v>
      </c>
      <c r="E1859" s="1347" t="s">
        <v>3158</v>
      </c>
    </row>
    <row r="1860" spans="1:5" x14ac:dyDescent="0.45">
      <c r="B1860" s="1347" t="s">
        <v>3159</v>
      </c>
      <c r="D1860" s="1347" t="s">
        <v>3160</v>
      </c>
      <c r="E1860" s="1347" t="s">
        <v>3161</v>
      </c>
    </row>
    <row r="1861" spans="1:5" x14ac:dyDescent="0.45">
      <c r="A1861" s="1347" t="s">
        <v>1105</v>
      </c>
      <c r="B1861" s="1347" t="s">
        <v>3162</v>
      </c>
      <c r="D1861" s="1347" t="s">
        <v>3163</v>
      </c>
      <c r="E1861" s="1347" t="s">
        <v>3164</v>
      </c>
    </row>
    <row r="1862" spans="1:5" x14ac:dyDescent="0.45">
      <c r="A1862" s="1347">
        <v>-1</v>
      </c>
      <c r="B1862" s="1347" t="s">
        <v>3165</v>
      </c>
      <c r="D1862" s="1347" t="s">
        <v>3166</v>
      </c>
      <c r="E1862" s="1347" t="s">
        <v>3167</v>
      </c>
    </row>
    <row r="1863" spans="1:5" x14ac:dyDescent="0.45">
      <c r="B1863" s="1347">
        <f>-96   -117</f>
        <v>-213</v>
      </c>
      <c r="D1863" s="1347" t="s">
        <v>3168</v>
      </c>
      <c r="E1863" s="1347" t="s">
        <v>3169</v>
      </c>
    </row>
    <row r="1864" spans="1:5" x14ac:dyDescent="0.45">
      <c r="B1864" s="1347" t="s">
        <v>1108</v>
      </c>
      <c r="D1864" s="1347" t="s">
        <v>3170</v>
      </c>
      <c r="E1864" s="1347" t="s">
        <v>3171</v>
      </c>
    </row>
    <row r="1865" spans="1:5" x14ac:dyDescent="0.45">
      <c r="B1865" s="1347" t="s">
        <v>1108</v>
      </c>
      <c r="C1865" s="1347" t="s">
        <v>1105</v>
      </c>
      <c r="D1865" s="1347" t="s">
        <v>3172</v>
      </c>
      <c r="E1865" s="1347" t="s">
        <v>3173</v>
      </c>
    </row>
    <row r="1866" spans="1:5" x14ac:dyDescent="0.45">
      <c r="A1866" s="1347">
        <v>2</v>
      </c>
      <c r="B1866" s="1347" t="s">
        <v>3174</v>
      </c>
      <c r="D1866" s="1347" t="s">
        <v>3175</v>
      </c>
      <c r="E1866" s="1347" t="s">
        <v>3176</v>
      </c>
    </row>
    <row r="1867" spans="1:5" x14ac:dyDescent="0.45">
      <c r="A1867" s="1347" t="s">
        <v>1105</v>
      </c>
      <c r="B1867" s="1347" t="s">
        <v>3177</v>
      </c>
      <c r="D1867" s="1347" t="s">
        <v>3178</v>
      </c>
      <c r="E1867" s="1347" t="s">
        <v>3179</v>
      </c>
    </row>
    <row r="1868" spans="1:5" x14ac:dyDescent="0.45">
      <c r="B1868" s="1347" t="s">
        <v>1108</v>
      </c>
      <c r="D1868" s="1347" t="s">
        <v>1608</v>
      </c>
      <c r="E1868" s="1347" t="s">
        <v>3180</v>
      </c>
    </row>
    <row r="1869" spans="1:5" x14ac:dyDescent="0.45">
      <c r="A1869" s="1347" t="s">
        <v>1105</v>
      </c>
      <c r="B1869" s="1347" t="s">
        <v>3181</v>
      </c>
      <c r="D1869" s="1347" t="s">
        <v>3182</v>
      </c>
      <c r="E1869" s="1347" t="s">
        <v>3183</v>
      </c>
    </row>
    <row r="1870" spans="1:5" x14ac:dyDescent="0.45">
      <c r="B1870" s="1347" t="s">
        <v>3184</v>
      </c>
      <c r="D1870" s="1347" t="s">
        <v>1570</v>
      </c>
      <c r="E1870" s="1347" t="s">
        <v>3185</v>
      </c>
    </row>
    <row r="1871" spans="1:5" x14ac:dyDescent="0.45">
      <c r="B1871" s="1347" t="s">
        <v>1108</v>
      </c>
      <c r="D1871" s="1347" t="s">
        <v>3186</v>
      </c>
      <c r="E1871" s="1347" t="s">
        <v>1958</v>
      </c>
    </row>
    <row r="1872" spans="1:5" x14ac:dyDescent="0.45">
      <c r="B1872" s="1347" t="s">
        <v>3187</v>
      </c>
      <c r="D1872" s="1347" t="s">
        <v>3188</v>
      </c>
      <c r="E1872" s="1347" t="s">
        <v>3189</v>
      </c>
    </row>
    <row r="1873" spans="1:5" x14ac:dyDescent="0.45">
      <c r="B1873" s="1347" t="s">
        <v>3190</v>
      </c>
      <c r="D1873" s="1347" t="s">
        <v>2064</v>
      </c>
      <c r="E1873" s="1347" t="s">
        <v>3191</v>
      </c>
    </row>
    <row r="1874" spans="1:5" x14ac:dyDescent="0.45">
      <c r="B1874" s="1347" t="s">
        <v>3192</v>
      </c>
      <c r="D1874" s="1347" t="s">
        <v>3193</v>
      </c>
      <c r="E1874" s="1347" t="s">
        <v>3194</v>
      </c>
    </row>
    <row r="1875" spans="1:5" x14ac:dyDescent="0.45">
      <c r="B1875" s="1347" t="s">
        <v>1108</v>
      </c>
      <c r="D1875" s="1347" t="s">
        <v>3195</v>
      </c>
      <c r="E1875" s="1347" t="s">
        <v>3196</v>
      </c>
    </row>
    <row r="1876" spans="1:5" x14ac:dyDescent="0.45">
      <c r="B1876" s="1347" t="s">
        <v>3197</v>
      </c>
      <c r="D1876" s="1347" t="s">
        <v>3198</v>
      </c>
      <c r="E1876" s="1347" t="s">
        <v>3199</v>
      </c>
    </row>
    <row r="1877" spans="1:5" x14ac:dyDescent="0.45">
      <c r="A1877" s="1347">
        <v>-9</v>
      </c>
      <c r="B1877" s="1347" t="s">
        <v>3200</v>
      </c>
      <c r="D1877" s="1347" t="s">
        <v>3201</v>
      </c>
      <c r="E1877" s="1347" t="s">
        <v>3202</v>
      </c>
    </row>
    <row r="1878" spans="1:5" x14ac:dyDescent="0.45">
      <c r="A1878" s="1347" t="s">
        <v>1105</v>
      </c>
      <c r="B1878" s="1347" t="s">
        <v>3203</v>
      </c>
      <c r="D1878" s="1347" t="s">
        <v>3204</v>
      </c>
      <c r="E1878" s="1347" t="s">
        <v>3205</v>
      </c>
    </row>
    <row r="1879" spans="1:5" x14ac:dyDescent="0.45">
      <c r="B1879" s="1347" t="s">
        <v>3206</v>
      </c>
      <c r="D1879" s="1347" t="s">
        <v>3207</v>
      </c>
      <c r="E1879" s="1347" t="s">
        <v>3208</v>
      </c>
    </row>
    <row r="1880" spans="1:5" x14ac:dyDescent="0.45">
      <c r="B1880" s="1347" t="s">
        <v>3209</v>
      </c>
      <c r="D1880" s="1347" t="s">
        <v>3210</v>
      </c>
      <c r="E1880" s="1347" t="s">
        <v>3211</v>
      </c>
    </row>
    <row r="1881" spans="1:5" x14ac:dyDescent="0.45">
      <c r="B1881" s="1347" t="s">
        <v>3212</v>
      </c>
      <c r="D1881" s="1347" t="s">
        <v>3213</v>
      </c>
      <c r="E1881" s="1347" t="s">
        <v>3214</v>
      </c>
    </row>
    <row r="1882" spans="1:5" x14ac:dyDescent="0.45">
      <c r="B1882" s="1347" t="s">
        <v>1108</v>
      </c>
      <c r="D1882" s="1347" t="s">
        <v>3215</v>
      </c>
      <c r="E1882" s="1347" t="s">
        <v>3216</v>
      </c>
    </row>
    <row r="1883" spans="1:5" x14ac:dyDescent="0.45">
      <c r="A1883" s="1347">
        <v>-6</v>
      </c>
      <c r="B1883" s="1347" t="s">
        <v>3217</v>
      </c>
      <c r="D1883" s="1347" t="s">
        <v>3218</v>
      </c>
      <c r="E1883" s="1347" t="s">
        <v>3219</v>
      </c>
    </row>
    <row r="1884" spans="1:5" x14ac:dyDescent="0.45">
      <c r="B1884" s="1347" t="s">
        <v>3220</v>
      </c>
      <c r="D1884" s="1347" t="s">
        <v>3221</v>
      </c>
      <c r="E1884" s="1347" t="s">
        <v>3222</v>
      </c>
    </row>
    <row r="1885" spans="1:5" x14ac:dyDescent="0.45">
      <c r="B1885" s="1347" t="s">
        <v>3223</v>
      </c>
      <c r="D1885" s="1347" t="s">
        <v>1109</v>
      </c>
      <c r="E1885" s="1347" t="s">
        <v>3224</v>
      </c>
    </row>
    <row r="1886" spans="1:5" x14ac:dyDescent="0.45">
      <c r="B1886" s="1347" t="s">
        <v>3225</v>
      </c>
      <c r="D1886" s="1347" t="s">
        <v>3226</v>
      </c>
      <c r="E1886" s="1347" t="s">
        <v>3227</v>
      </c>
    </row>
    <row r="1887" spans="1:5" x14ac:dyDescent="0.45">
      <c r="B1887" s="1347" t="s">
        <v>3228</v>
      </c>
      <c r="D1887" s="1347" t="s">
        <v>3229</v>
      </c>
      <c r="E1887" s="1347" t="s">
        <v>1156</v>
      </c>
    </row>
    <row r="1888" spans="1:5" x14ac:dyDescent="0.45">
      <c r="B1888" s="1347" t="s">
        <v>3230</v>
      </c>
      <c r="D1888" s="1347" t="s">
        <v>3231</v>
      </c>
      <c r="E1888" s="1347" t="s">
        <v>3232</v>
      </c>
    </row>
    <row r="1889" spans="1:5" x14ac:dyDescent="0.45">
      <c r="B1889" s="1347" t="s">
        <v>1108</v>
      </c>
      <c r="D1889" s="1347" t="s">
        <v>3233</v>
      </c>
      <c r="E1889" s="1347" t="s">
        <v>3234</v>
      </c>
    </row>
    <row r="1890" spans="1:5" x14ac:dyDescent="0.45">
      <c r="A1890" s="1347">
        <v>1</v>
      </c>
      <c r="B1890" s="1347" t="s">
        <v>2965</v>
      </c>
      <c r="D1890" s="1347" t="s">
        <v>3235</v>
      </c>
      <c r="E1890" s="1347" t="s">
        <v>3236</v>
      </c>
    </row>
    <row r="1891" spans="1:5" x14ac:dyDescent="0.45">
      <c r="B1891" s="1347" t="s">
        <v>1108</v>
      </c>
      <c r="D1891" s="1347" t="s">
        <v>3237</v>
      </c>
      <c r="E1891" s="1347" t="s">
        <v>3238</v>
      </c>
    </row>
    <row r="1892" spans="1:5" x14ac:dyDescent="0.45">
      <c r="B1892" s="1347" t="s">
        <v>3239</v>
      </c>
      <c r="D1892" s="1347" t="s">
        <v>1109</v>
      </c>
      <c r="E1892" s="1347" t="s">
        <v>3240</v>
      </c>
    </row>
    <row r="1893" spans="1:5" x14ac:dyDescent="0.45">
      <c r="B1893" s="1347" t="s">
        <v>3241</v>
      </c>
      <c r="D1893" s="1347" t="s">
        <v>3242</v>
      </c>
      <c r="E1893" s="1347" t="s">
        <v>3243</v>
      </c>
    </row>
    <row r="1894" spans="1:5" x14ac:dyDescent="0.45">
      <c r="A1894" s="1347" t="s">
        <v>1105</v>
      </c>
      <c r="B1894" s="1347" t="s">
        <v>3244</v>
      </c>
      <c r="D1894" s="1347" t="s">
        <v>3245</v>
      </c>
      <c r="E1894" s="1347" t="s">
        <v>3246</v>
      </c>
    </row>
    <row r="1895" spans="1:5" x14ac:dyDescent="0.45">
      <c r="A1895" s="1347" t="s">
        <v>1105</v>
      </c>
      <c r="B1895" s="1347" t="s">
        <v>1445</v>
      </c>
      <c r="D1895" s="1347" t="s">
        <v>3247</v>
      </c>
      <c r="E1895" s="1347" t="s">
        <v>1435</v>
      </c>
    </row>
    <row r="1896" spans="1:5" x14ac:dyDescent="0.45">
      <c r="B1896" s="1347" t="s">
        <v>3248</v>
      </c>
      <c r="D1896" s="1347" t="s">
        <v>3249</v>
      </c>
      <c r="E1896" s="1347" t="s">
        <v>3250</v>
      </c>
    </row>
    <row r="1897" spans="1:5" x14ac:dyDescent="0.45">
      <c r="A1897" s="1347" t="s">
        <v>1105</v>
      </c>
      <c r="B1897" s="1347" t="s">
        <v>3251</v>
      </c>
      <c r="D1897" s="1347" t="s">
        <v>3252</v>
      </c>
      <c r="E1897" s="1347" t="s">
        <v>3253</v>
      </c>
    </row>
    <row r="1898" spans="1:5" x14ac:dyDescent="0.45">
      <c r="A1898" s="1347" t="s">
        <v>1105</v>
      </c>
      <c r="B1898" s="1347" t="s">
        <v>1428</v>
      </c>
      <c r="D1898" s="1347" t="s">
        <v>3254</v>
      </c>
      <c r="E1898" s="1347" t="s">
        <v>3255</v>
      </c>
    </row>
    <row r="1899" spans="1:5" x14ac:dyDescent="0.45">
      <c r="B1899" s="1347" t="s">
        <v>1108</v>
      </c>
      <c r="D1899" s="1347" t="s">
        <v>3055</v>
      </c>
      <c r="E1899" s="1347" t="s">
        <v>3256</v>
      </c>
    </row>
    <row r="1900" spans="1:5" x14ac:dyDescent="0.45">
      <c r="B1900" s="1347" t="s">
        <v>3257</v>
      </c>
      <c r="C1900" s="1347" t="s">
        <v>1105</v>
      </c>
      <c r="D1900" s="1347" t="s">
        <v>3258</v>
      </c>
      <c r="E1900" s="1347" t="s">
        <v>3259</v>
      </c>
    </row>
    <row r="1901" spans="1:5" x14ac:dyDescent="0.45">
      <c r="A1901" s="1347">
        <v>22</v>
      </c>
      <c r="B1901" s="1347" t="s">
        <v>3260</v>
      </c>
      <c r="D1901" s="1347" t="s">
        <v>1109</v>
      </c>
      <c r="E1901" s="1347" t="s">
        <v>1110</v>
      </c>
    </row>
    <row r="1902" spans="1:5" x14ac:dyDescent="0.45">
      <c r="B1902" s="1347" t="s">
        <v>1108</v>
      </c>
      <c r="D1902" s="1347" t="s">
        <v>1109</v>
      </c>
      <c r="E1902" s="1347" t="s">
        <v>1110</v>
      </c>
    </row>
    <row r="1903" spans="1:5" x14ac:dyDescent="0.45">
      <c r="B1903" s="1347" t="s">
        <v>1108</v>
      </c>
      <c r="D1903" s="1347" t="s">
        <v>1109</v>
      </c>
      <c r="E1903" s="1347" t="s">
        <v>1110</v>
      </c>
    </row>
    <row r="1904" spans="1:5" x14ac:dyDescent="0.45">
      <c r="B1904" s="1347" t="s">
        <v>1108</v>
      </c>
      <c r="D1904" s="1347" t="s">
        <v>1109</v>
      </c>
      <c r="E1904" s="1347" t="s">
        <v>1110</v>
      </c>
    </row>
    <row r="1905" spans="2:5" x14ac:dyDescent="0.45">
      <c r="B1905" s="1347" t="s">
        <v>1108</v>
      </c>
      <c r="D1905" s="1347" t="s">
        <v>1109</v>
      </c>
      <c r="E1905" s="1347" t="s">
        <v>1110</v>
      </c>
    </row>
    <row r="1906" spans="2:5" x14ac:dyDescent="0.45">
      <c r="B1906" s="1347" t="s">
        <v>1108</v>
      </c>
      <c r="D1906" s="1347" t="s">
        <v>1109</v>
      </c>
      <c r="E1906" s="1347" t="s">
        <v>1110</v>
      </c>
    </row>
    <row r="1907" spans="2:5" x14ac:dyDescent="0.45">
      <c r="B1907" s="1347" t="s">
        <v>1108</v>
      </c>
      <c r="D1907" s="1347" t="s">
        <v>1109</v>
      </c>
      <c r="E1907" s="1347" t="s">
        <v>1110</v>
      </c>
    </row>
    <row r="1908" spans="2:5" x14ac:dyDescent="0.45">
      <c r="B1908" s="1347" t="s">
        <v>1108</v>
      </c>
      <c r="D1908" s="1347" t="s">
        <v>1109</v>
      </c>
      <c r="E1908" s="1347" t="s">
        <v>1110</v>
      </c>
    </row>
    <row r="1909" spans="2:5" x14ac:dyDescent="0.45">
      <c r="B1909" s="1347" t="s">
        <v>1108</v>
      </c>
      <c r="D1909" s="1347" t="s">
        <v>1109</v>
      </c>
      <c r="E1909" s="1347" t="s">
        <v>1110</v>
      </c>
    </row>
    <row r="1910" spans="2:5" x14ac:dyDescent="0.45">
      <c r="B1910" s="1347" t="s">
        <v>1108</v>
      </c>
      <c r="D1910" s="1347" t="s">
        <v>1109</v>
      </c>
      <c r="E1910" s="1347" t="s">
        <v>1110</v>
      </c>
    </row>
    <row r="1911" spans="2:5" x14ac:dyDescent="0.45">
      <c r="B1911" s="1347" t="s">
        <v>1108</v>
      </c>
      <c r="D1911" s="1347" t="s">
        <v>1109</v>
      </c>
      <c r="E1911" s="1347" t="s">
        <v>1110</v>
      </c>
    </row>
    <row r="1912" spans="2:5" x14ac:dyDescent="0.45">
      <c r="B1912" s="1347" t="s">
        <v>1108</v>
      </c>
      <c r="D1912" s="1347" t="s">
        <v>1109</v>
      </c>
      <c r="E1912" s="1347" t="s">
        <v>1110</v>
      </c>
    </row>
    <row r="1913" spans="2:5" x14ac:dyDescent="0.45">
      <c r="B1913" s="1347" t="s">
        <v>1108</v>
      </c>
      <c r="D1913" s="1347" t="s">
        <v>1109</v>
      </c>
      <c r="E1913" s="1347" t="s">
        <v>1110</v>
      </c>
    </row>
    <row r="1914" spans="2:5" x14ac:dyDescent="0.45">
      <c r="B1914" s="1347" t="s">
        <v>1108</v>
      </c>
      <c r="D1914" s="1347" t="s">
        <v>1109</v>
      </c>
      <c r="E1914" s="1347" t="s">
        <v>1110</v>
      </c>
    </row>
    <row r="1915" spans="2:5" x14ac:dyDescent="0.45">
      <c r="B1915" s="1347" t="s">
        <v>1108</v>
      </c>
      <c r="D1915" s="1347" t="s">
        <v>1109</v>
      </c>
      <c r="E1915" s="1347" t="s">
        <v>1110</v>
      </c>
    </row>
    <row r="1916" spans="2:5" x14ac:dyDescent="0.45">
      <c r="B1916" s="1347" t="s">
        <v>1108</v>
      </c>
      <c r="D1916" s="1347" t="s">
        <v>1109</v>
      </c>
      <c r="E1916" s="1347" t="s">
        <v>1110</v>
      </c>
    </row>
    <row r="1917" spans="2:5" x14ac:dyDescent="0.45">
      <c r="B1917" s="1347" t="s">
        <v>1108</v>
      </c>
      <c r="D1917" s="1347" t="s">
        <v>1109</v>
      </c>
      <c r="E1917" s="1347" t="s">
        <v>1110</v>
      </c>
    </row>
    <row r="1918" spans="2:5" x14ac:dyDescent="0.45">
      <c r="B1918" s="1347" t="s">
        <v>1108</v>
      </c>
      <c r="D1918" s="1347" t="s">
        <v>1210</v>
      </c>
      <c r="E1918" s="1347" t="s">
        <v>3261</v>
      </c>
    </row>
    <row r="1919" spans="2:5" x14ac:dyDescent="0.45">
      <c r="B1919" s="1347" t="s">
        <v>1108</v>
      </c>
      <c r="D1919" s="1347" t="s">
        <v>3262</v>
      </c>
      <c r="E1919" s="1347" t="s">
        <v>3263</v>
      </c>
    </row>
    <row r="1920" spans="2:5" x14ac:dyDescent="0.45">
      <c r="B1920" s="1347" t="s">
        <v>1108</v>
      </c>
      <c r="D1920" s="1347" t="s">
        <v>3264</v>
      </c>
      <c r="E1920" s="1347" t="s">
        <v>3265</v>
      </c>
    </row>
    <row r="1921" spans="1:5" x14ac:dyDescent="0.45">
      <c r="B1921" s="1347" t="s">
        <v>3266</v>
      </c>
      <c r="D1921" s="1347" t="s">
        <v>3267</v>
      </c>
      <c r="E1921" s="1347" t="s">
        <v>3268</v>
      </c>
    </row>
    <row r="1922" spans="1:5" x14ac:dyDescent="0.45">
      <c r="B1922" s="1347" t="s">
        <v>3269</v>
      </c>
      <c r="D1922" s="1347" t="s">
        <v>3270</v>
      </c>
      <c r="E1922" s="1347" t="s">
        <v>3271</v>
      </c>
    </row>
    <row r="1923" spans="1:5" x14ac:dyDescent="0.45">
      <c r="B1923" s="1347" t="s">
        <v>1108</v>
      </c>
      <c r="D1923" s="1347" t="s">
        <v>3272</v>
      </c>
      <c r="E1923" s="1347" t="s">
        <v>1110</v>
      </c>
    </row>
    <row r="1924" spans="1:5" x14ac:dyDescent="0.45">
      <c r="B1924" s="1347" t="s">
        <v>3273</v>
      </c>
      <c r="D1924" s="1347" t="s">
        <v>3274</v>
      </c>
      <c r="E1924" s="1347" t="s">
        <v>3275</v>
      </c>
    </row>
    <row r="1925" spans="1:5" x14ac:dyDescent="0.45">
      <c r="B1925" s="1347" t="s">
        <v>1108</v>
      </c>
      <c r="D1925" s="1347" t="s">
        <v>3276</v>
      </c>
      <c r="E1925" s="1347" t="s">
        <v>3277</v>
      </c>
    </row>
    <row r="1926" spans="1:5" x14ac:dyDescent="0.45">
      <c r="B1926" s="1347" t="s">
        <v>3278</v>
      </c>
      <c r="D1926" s="1347">
        <f>-317   -731   -130   -31</f>
        <v>-1209</v>
      </c>
      <c r="E1926" s="1347" t="s">
        <v>3279</v>
      </c>
    </row>
    <row r="1927" spans="1:5" x14ac:dyDescent="0.45">
      <c r="B1927" s="1347" t="s">
        <v>1108</v>
      </c>
      <c r="D1927" s="1347" t="s">
        <v>3280</v>
      </c>
      <c r="E1927" s="1347" t="s">
        <v>3281</v>
      </c>
    </row>
    <row r="1928" spans="1:5" x14ac:dyDescent="0.45">
      <c r="A1928" s="1347" t="s">
        <v>1105</v>
      </c>
      <c r="B1928" s="1347" t="s">
        <v>3282</v>
      </c>
      <c r="D1928" s="1347">
        <f>-39    -61   -247</f>
        <v>-347</v>
      </c>
      <c r="E1928" s="1347" t="s">
        <v>3283</v>
      </c>
    </row>
    <row r="1929" spans="1:5" x14ac:dyDescent="0.45">
      <c r="B1929" s="1347" t="s">
        <v>3284</v>
      </c>
      <c r="C1929" s="1347">
        <v>1</v>
      </c>
      <c r="D1929" s="1347" t="s">
        <v>3285</v>
      </c>
      <c r="E1929" s="1347" t="s">
        <v>3286</v>
      </c>
    </row>
    <row r="1930" spans="1:5" x14ac:dyDescent="0.45">
      <c r="B1930" s="1347">
        <f>-22    -36</f>
        <v>-58</v>
      </c>
      <c r="D1930" s="1347" t="s">
        <v>3287</v>
      </c>
      <c r="E1930" s="1347" t="s">
        <v>3288</v>
      </c>
    </row>
    <row r="1931" spans="1:5" x14ac:dyDescent="0.45">
      <c r="A1931" s="1347">
        <v>-1</v>
      </c>
      <c r="B1931" s="1347" t="s">
        <v>3289</v>
      </c>
      <c r="D1931" s="1347" t="s">
        <v>3290</v>
      </c>
      <c r="E1931" s="1347" t="s">
        <v>3291</v>
      </c>
    </row>
    <row r="1932" spans="1:5" x14ac:dyDescent="0.45">
      <c r="B1932" s="1347" t="s">
        <v>3292</v>
      </c>
      <c r="D1932" s="1347" t="s">
        <v>3293</v>
      </c>
      <c r="E1932" s="1347" t="s">
        <v>3294</v>
      </c>
    </row>
    <row r="1933" spans="1:5" x14ac:dyDescent="0.45">
      <c r="B1933" s="1347" t="s">
        <v>1108</v>
      </c>
      <c r="D1933" s="1347" t="s">
        <v>3295</v>
      </c>
      <c r="E1933" s="1347" t="s">
        <v>3296</v>
      </c>
    </row>
    <row r="1934" spans="1:5" x14ac:dyDescent="0.45">
      <c r="B1934" s="1347" t="s">
        <v>1108</v>
      </c>
      <c r="D1934" s="1347" t="s">
        <v>3297</v>
      </c>
      <c r="E1934" s="1347" t="s">
        <v>3298</v>
      </c>
    </row>
    <row r="1935" spans="1:5" x14ac:dyDescent="0.45">
      <c r="B1935" s="1347" t="s">
        <v>3299</v>
      </c>
      <c r="D1935" s="1347" t="s">
        <v>3300</v>
      </c>
      <c r="E1935" s="1347" t="s">
        <v>3301</v>
      </c>
    </row>
    <row r="1936" spans="1:5" x14ac:dyDescent="0.45">
      <c r="B1936" s="1347" t="s">
        <v>1108</v>
      </c>
      <c r="D1936" s="1347" t="s">
        <v>1109</v>
      </c>
      <c r="E1936" s="1347" t="s">
        <v>1110</v>
      </c>
    </row>
    <row r="1937" spans="2:5" x14ac:dyDescent="0.45">
      <c r="B1937" s="1347" t="s">
        <v>1108</v>
      </c>
      <c r="D1937" s="1347" t="s">
        <v>1109</v>
      </c>
      <c r="E1937" s="1347" t="s">
        <v>1110</v>
      </c>
    </row>
    <row r="1938" spans="2:5" x14ac:dyDescent="0.45">
      <c r="B1938" s="1347" t="s">
        <v>1108</v>
      </c>
      <c r="D1938" s="1347" t="s">
        <v>1109</v>
      </c>
      <c r="E1938" s="1347" t="s">
        <v>1110</v>
      </c>
    </row>
    <row r="1939" spans="2:5" x14ac:dyDescent="0.45">
      <c r="B1939" s="1347" t="s">
        <v>1108</v>
      </c>
      <c r="D1939" s="1347" t="s">
        <v>1109</v>
      </c>
      <c r="E1939" s="1347" t="s">
        <v>1110</v>
      </c>
    </row>
    <row r="1940" spans="2:5" x14ac:dyDescent="0.45">
      <c r="B1940" s="1347" t="s">
        <v>1108</v>
      </c>
      <c r="D1940" s="1347" t="s">
        <v>1109</v>
      </c>
      <c r="E1940" s="1347" t="s">
        <v>1110</v>
      </c>
    </row>
    <row r="1941" spans="2:5" x14ac:dyDescent="0.45">
      <c r="B1941" s="1347" t="s">
        <v>1108</v>
      </c>
      <c r="D1941" s="1347" t="s">
        <v>1109</v>
      </c>
      <c r="E1941" s="1347" t="s">
        <v>1110</v>
      </c>
    </row>
    <row r="1942" spans="2:5" x14ac:dyDescent="0.45">
      <c r="B1942" s="1347" t="s">
        <v>1108</v>
      </c>
      <c r="D1942" s="1347" t="s">
        <v>1109</v>
      </c>
      <c r="E1942" s="1347" t="s">
        <v>1110</v>
      </c>
    </row>
    <row r="1943" spans="2:5" x14ac:dyDescent="0.45">
      <c r="B1943" s="1347" t="s">
        <v>1108</v>
      </c>
      <c r="D1943" s="1347" t="s">
        <v>1109</v>
      </c>
      <c r="E1943" s="1347" t="s">
        <v>1110</v>
      </c>
    </row>
    <row r="1944" spans="2:5" x14ac:dyDescent="0.45">
      <c r="B1944" s="1347" t="s">
        <v>1108</v>
      </c>
      <c r="D1944" s="1347" t="s">
        <v>1109</v>
      </c>
      <c r="E1944" s="1347" t="s">
        <v>1110</v>
      </c>
    </row>
    <row r="1945" spans="2:5" x14ac:dyDescent="0.45">
      <c r="B1945" s="1347" t="s">
        <v>1108</v>
      </c>
      <c r="D1945" s="1347" t="s">
        <v>1109</v>
      </c>
      <c r="E1945" s="1347" t="s">
        <v>1110</v>
      </c>
    </row>
    <row r="1946" spans="2:5" x14ac:dyDescent="0.45">
      <c r="B1946" s="1347" t="s">
        <v>1108</v>
      </c>
      <c r="D1946" s="1347" t="s">
        <v>1109</v>
      </c>
      <c r="E1946" s="1347" t="s">
        <v>1110</v>
      </c>
    </row>
    <row r="1947" spans="2:5" x14ac:dyDescent="0.45">
      <c r="B1947" s="1347" t="s">
        <v>1108</v>
      </c>
      <c r="D1947" s="1347" t="s">
        <v>1109</v>
      </c>
      <c r="E1947" s="1347" t="s">
        <v>1110</v>
      </c>
    </row>
    <row r="1948" spans="2:5" x14ac:dyDescent="0.45">
      <c r="B1948" s="1347" t="s">
        <v>1108</v>
      </c>
      <c r="D1948" s="1347" t="s">
        <v>1109</v>
      </c>
      <c r="E1948" s="1347" t="s">
        <v>1110</v>
      </c>
    </row>
    <row r="1949" spans="2:5" x14ac:dyDescent="0.45">
      <c r="B1949" s="1347" t="s">
        <v>1108</v>
      </c>
      <c r="D1949" s="1347" t="s">
        <v>1109</v>
      </c>
      <c r="E1949" s="1347" t="s">
        <v>1110</v>
      </c>
    </row>
    <row r="1950" spans="2:5" x14ac:dyDescent="0.45">
      <c r="B1950" s="1347" t="s">
        <v>1108</v>
      </c>
      <c r="D1950" s="1347" t="s">
        <v>1109</v>
      </c>
      <c r="E1950" s="1347" t="s">
        <v>1110</v>
      </c>
    </row>
    <row r="1951" spans="2:5" x14ac:dyDescent="0.45">
      <c r="B1951" s="1347" t="s">
        <v>1108</v>
      </c>
      <c r="D1951" s="1347" t="s">
        <v>1109</v>
      </c>
      <c r="E1951" s="1347" t="s">
        <v>1110</v>
      </c>
    </row>
    <row r="1952" spans="2:5" x14ac:dyDescent="0.45">
      <c r="B1952" s="1347" t="s">
        <v>1108</v>
      </c>
      <c r="D1952" s="1347" t="s">
        <v>1109</v>
      </c>
      <c r="E1952" s="1347" t="s">
        <v>1110</v>
      </c>
    </row>
    <row r="1953" spans="2:5" x14ac:dyDescent="0.45">
      <c r="B1953" s="1347" t="s">
        <v>1108</v>
      </c>
      <c r="D1953" s="1347" t="s">
        <v>1109</v>
      </c>
      <c r="E1953" s="1347" t="s">
        <v>1110</v>
      </c>
    </row>
    <row r="1954" spans="2:5" x14ac:dyDescent="0.45">
      <c r="B1954" s="1347" t="s">
        <v>1108</v>
      </c>
      <c r="D1954" s="1347" t="s">
        <v>1109</v>
      </c>
      <c r="E1954" s="1347" t="s">
        <v>1110</v>
      </c>
    </row>
    <row r="1955" spans="2:5" x14ac:dyDescent="0.45">
      <c r="B1955" s="1347" t="s">
        <v>1108</v>
      </c>
      <c r="D1955" s="1347" t="s">
        <v>1109</v>
      </c>
      <c r="E1955" s="1347" t="s">
        <v>1110</v>
      </c>
    </row>
    <row r="1956" spans="2:5" x14ac:dyDescent="0.45">
      <c r="B1956" s="1347" t="s">
        <v>1108</v>
      </c>
      <c r="D1956" s="1347" t="s">
        <v>1109</v>
      </c>
      <c r="E1956" s="1347" t="s">
        <v>1110</v>
      </c>
    </row>
    <row r="1957" spans="2:5" x14ac:dyDescent="0.45">
      <c r="B1957" s="1347" t="s">
        <v>1108</v>
      </c>
      <c r="D1957" s="1347" t="s">
        <v>1109</v>
      </c>
      <c r="E1957" s="1347" t="s">
        <v>1110</v>
      </c>
    </row>
    <row r="1958" spans="2:5" x14ac:dyDescent="0.45">
      <c r="B1958" s="1347" t="s">
        <v>1108</v>
      </c>
      <c r="D1958" s="1347" t="s">
        <v>1109</v>
      </c>
      <c r="E1958" s="1347" t="s">
        <v>1110</v>
      </c>
    </row>
    <row r="1959" spans="2:5" x14ac:dyDescent="0.45">
      <c r="B1959" s="1347" t="s">
        <v>1108</v>
      </c>
      <c r="D1959" s="1347" t="s">
        <v>1109</v>
      </c>
      <c r="E1959" s="1347" t="s">
        <v>1110</v>
      </c>
    </row>
    <row r="1960" spans="2:5" x14ac:dyDescent="0.45">
      <c r="B1960" s="1347" t="s">
        <v>1108</v>
      </c>
      <c r="D1960" s="1347" t="s">
        <v>1109</v>
      </c>
      <c r="E1960" s="1347" t="s">
        <v>1110</v>
      </c>
    </row>
    <row r="1961" spans="2:5" x14ac:dyDescent="0.45">
      <c r="B1961" s="1347" t="s">
        <v>1108</v>
      </c>
      <c r="D1961" s="1347" t="s">
        <v>1109</v>
      </c>
      <c r="E1961" s="1347" t="s">
        <v>1110</v>
      </c>
    </row>
    <row r="1962" spans="2:5" x14ac:dyDescent="0.45">
      <c r="B1962" s="1347" t="s">
        <v>1108</v>
      </c>
      <c r="D1962" s="1347" t="s">
        <v>1109</v>
      </c>
      <c r="E1962" s="1347" t="s">
        <v>1110</v>
      </c>
    </row>
    <row r="1963" spans="2:5" x14ac:dyDescent="0.45">
      <c r="B1963" s="1347" t="s">
        <v>1108</v>
      </c>
      <c r="D1963" s="1347" t="s">
        <v>1109</v>
      </c>
      <c r="E1963" s="1347" t="s">
        <v>1110</v>
      </c>
    </row>
    <row r="1964" spans="2:5" x14ac:dyDescent="0.45">
      <c r="B1964" s="1347" t="s">
        <v>1108</v>
      </c>
      <c r="D1964" s="1347" t="s">
        <v>1109</v>
      </c>
      <c r="E1964" s="1347" t="s">
        <v>1110</v>
      </c>
    </row>
    <row r="1965" spans="2:5" x14ac:dyDescent="0.45">
      <c r="B1965" s="1347" t="s">
        <v>1108</v>
      </c>
      <c r="D1965" s="1347" t="s">
        <v>1109</v>
      </c>
      <c r="E1965" s="1347" t="s">
        <v>1110</v>
      </c>
    </row>
    <row r="1966" spans="2:5" x14ac:dyDescent="0.45">
      <c r="B1966" s="1347" t="s">
        <v>1108</v>
      </c>
      <c r="D1966" s="1347" t="s">
        <v>1109</v>
      </c>
      <c r="E1966" s="1347" t="s">
        <v>1110</v>
      </c>
    </row>
    <row r="1967" spans="2:5" x14ac:dyDescent="0.45">
      <c r="B1967" s="1347" t="s">
        <v>1108</v>
      </c>
      <c r="D1967" s="1347" t="s">
        <v>1109</v>
      </c>
      <c r="E1967" s="1347" t="s">
        <v>1110</v>
      </c>
    </row>
    <row r="1968" spans="2:5" x14ac:dyDescent="0.45">
      <c r="B1968" s="1347" t="s">
        <v>1108</v>
      </c>
      <c r="D1968" s="1347" t="s">
        <v>1109</v>
      </c>
      <c r="E1968" s="1347" t="s">
        <v>1110</v>
      </c>
    </row>
    <row r="1969" spans="1:5" x14ac:dyDescent="0.45">
      <c r="B1969" s="1347" t="s">
        <v>1108</v>
      </c>
      <c r="D1969" s="1347" t="s">
        <v>1109</v>
      </c>
      <c r="E1969" s="1347" t="s">
        <v>1110</v>
      </c>
    </row>
    <row r="1970" spans="1:5" x14ac:dyDescent="0.45">
      <c r="B1970" s="1347" t="s">
        <v>1108</v>
      </c>
      <c r="D1970" s="1347" t="s">
        <v>1109</v>
      </c>
      <c r="E1970" s="1347" t="s">
        <v>1110</v>
      </c>
    </row>
    <row r="1971" spans="1:5" x14ac:dyDescent="0.45">
      <c r="B1971" s="1347" t="s">
        <v>1108</v>
      </c>
      <c r="D1971" s="1347" t="s">
        <v>3302</v>
      </c>
      <c r="E1971" s="1347" t="s">
        <v>3303</v>
      </c>
    </row>
    <row r="1972" spans="1:5" x14ac:dyDescent="0.45">
      <c r="B1972" s="1347" t="s">
        <v>3304</v>
      </c>
      <c r="D1972" s="1347" t="s">
        <v>3305</v>
      </c>
      <c r="E1972" s="1347" t="s">
        <v>1476</v>
      </c>
    </row>
    <row r="1973" spans="1:5" x14ac:dyDescent="0.45">
      <c r="B1973" s="1347" t="s">
        <v>1108</v>
      </c>
      <c r="D1973" s="1347" t="s">
        <v>3306</v>
      </c>
      <c r="E1973" s="1347" t="s">
        <v>3307</v>
      </c>
    </row>
    <row r="1974" spans="1:5" x14ac:dyDescent="0.45">
      <c r="B1974" s="1347" t="s">
        <v>3308</v>
      </c>
      <c r="D1974" s="1347" t="s">
        <v>3309</v>
      </c>
      <c r="E1974" s="1347" t="s">
        <v>3310</v>
      </c>
    </row>
    <row r="1975" spans="1:5" x14ac:dyDescent="0.45">
      <c r="A1975" s="1347" t="s">
        <v>1105</v>
      </c>
      <c r="B1975" s="1347" t="s">
        <v>3311</v>
      </c>
      <c r="D1975" s="1347" t="s">
        <v>1109</v>
      </c>
      <c r="E1975" s="1347" t="s">
        <v>3312</v>
      </c>
    </row>
    <row r="1976" spans="1:5" x14ac:dyDescent="0.45">
      <c r="A1976" s="1347" t="s">
        <v>1105</v>
      </c>
      <c r="B1976" s="1347" t="s">
        <v>3313</v>
      </c>
      <c r="D1976" s="1347" t="s">
        <v>3314</v>
      </c>
      <c r="E1976" s="1347" t="s">
        <v>3315</v>
      </c>
    </row>
    <row r="1977" spans="1:5" x14ac:dyDescent="0.45">
      <c r="A1977" s="1347" t="s">
        <v>1105</v>
      </c>
      <c r="B1977" s="1347" t="s">
        <v>3316</v>
      </c>
      <c r="D1977" s="1347" t="s">
        <v>3317</v>
      </c>
      <c r="E1977" s="1347" t="s">
        <v>3318</v>
      </c>
    </row>
    <row r="1978" spans="1:5" x14ac:dyDescent="0.45">
      <c r="B1978" s="1347" t="s">
        <v>1108</v>
      </c>
      <c r="D1978" s="1347" t="s">
        <v>3319</v>
      </c>
      <c r="E1978" s="1347" t="s">
        <v>3320</v>
      </c>
    </row>
    <row r="1979" spans="1:5" x14ac:dyDescent="0.45">
      <c r="B1979" s="1347" t="s">
        <v>3321</v>
      </c>
      <c r="D1979" s="1347" t="s">
        <v>3322</v>
      </c>
      <c r="E1979" s="1347" t="s">
        <v>3323</v>
      </c>
    </row>
    <row r="1980" spans="1:5" x14ac:dyDescent="0.45">
      <c r="B1980" s="1347" t="s">
        <v>1108</v>
      </c>
      <c r="D1980" s="1347" t="s">
        <v>3324</v>
      </c>
      <c r="E1980" s="1347" t="s">
        <v>3325</v>
      </c>
    </row>
    <row r="1981" spans="1:5" x14ac:dyDescent="0.45">
      <c r="A1981" s="1347" t="s">
        <v>1105</v>
      </c>
      <c r="B1981" s="1347" t="s">
        <v>3326</v>
      </c>
      <c r="D1981" s="1347" t="s">
        <v>3327</v>
      </c>
      <c r="E1981" s="1347" t="s">
        <v>3328</v>
      </c>
    </row>
    <row r="1982" spans="1:5" x14ac:dyDescent="0.45">
      <c r="B1982" s="1347" t="s">
        <v>3329</v>
      </c>
      <c r="D1982" s="1347" t="s">
        <v>3330</v>
      </c>
      <c r="E1982" s="1347" t="s">
        <v>3331</v>
      </c>
    </row>
    <row r="1983" spans="1:5" x14ac:dyDescent="0.45">
      <c r="A1983" s="1347" t="s">
        <v>1105</v>
      </c>
      <c r="B1983" s="1347" t="s">
        <v>3332</v>
      </c>
      <c r="D1983" s="1347" t="s">
        <v>1109</v>
      </c>
      <c r="E1983" s="1347" t="s">
        <v>3333</v>
      </c>
    </row>
    <row r="1984" spans="1:5" x14ac:dyDescent="0.45">
      <c r="B1984" s="1347" t="s">
        <v>3334</v>
      </c>
      <c r="D1984" s="1347" t="s">
        <v>3335</v>
      </c>
      <c r="E1984" s="1347" t="s">
        <v>3336</v>
      </c>
    </row>
    <row r="1985" spans="2:5" x14ac:dyDescent="0.45">
      <c r="B1985" s="1347" t="s">
        <v>3337</v>
      </c>
      <c r="D1985" s="1347" t="s">
        <v>3338</v>
      </c>
      <c r="E1985" s="1347" t="s">
        <v>3339</v>
      </c>
    </row>
    <row r="1986" spans="2:5" x14ac:dyDescent="0.45">
      <c r="B1986" s="1347" t="s">
        <v>3340</v>
      </c>
      <c r="D1986" s="1347" t="s">
        <v>3341</v>
      </c>
      <c r="E1986" s="1347" t="s">
        <v>1110</v>
      </c>
    </row>
    <row r="1987" spans="2:5" x14ac:dyDescent="0.45">
      <c r="B1987" s="1347" t="s">
        <v>3342</v>
      </c>
      <c r="D1987" s="1347" t="s">
        <v>3343</v>
      </c>
      <c r="E1987" s="1347" t="s">
        <v>3344</v>
      </c>
    </row>
    <row r="1988" spans="2:5" x14ac:dyDescent="0.45">
      <c r="B1988" s="1347" t="s">
        <v>1108</v>
      </c>
      <c r="C1988" s="1347">
        <v>1</v>
      </c>
      <c r="D1988" s="1347" t="s">
        <v>3345</v>
      </c>
      <c r="E1988" s="1347" t="s">
        <v>3346</v>
      </c>
    </row>
    <row r="1989" spans="2:5" x14ac:dyDescent="0.45">
      <c r="B1989" s="1347" t="s">
        <v>1108</v>
      </c>
      <c r="D1989" s="1347" t="s">
        <v>1109</v>
      </c>
      <c r="E1989" s="1347" t="s">
        <v>1110</v>
      </c>
    </row>
    <row r="1990" spans="2:5" x14ac:dyDescent="0.45">
      <c r="B1990" s="1347" t="s">
        <v>1108</v>
      </c>
      <c r="D1990" s="1347" t="s">
        <v>1109</v>
      </c>
      <c r="E1990" s="1347" t="s">
        <v>1110</v>
      </c>
    </row>
    <row r="1991" spans="2:5" x14ac:dyDescent="0.45">
      <c r="B1991" s="1347" t="s">
        <v>1108</v>
      </c>
      <c r="D1991" s="1347" t="s">
        <v>1109</v>
      </c>
      <c r="E1991" s="1347" t="s">
        <v>1110</v>
      </c>
    </row>
    <row r="1992" spans="2:5" x14ac:dyDescent="0.45">
      <c r="B1992" s="1347" t="s">
        <v>1108</v>
      </c>
      <c r="D1992" s="1347" t="s">
        <v>1109</v>
      </c>
      <c r="E1992" s="1347" t="s">
        <v>1110</v>
      </c>
    </row>
    <row r="1993" spans="2:5" x14ac:dyDescent="0.45">
      <c r="B1993" s="1347" t="s">
        <v>1108</v>
      </c>
      <c r="D1993" s="1347" t="s">
        <v>1109</v>
      </c>
      <c r="E1993" s="1347" t="s">
        <v>1110</v>
      </c>
    </row>
    <row r="1994" spans="2:5" x14ac:dyDescent="0.45">
      <c r="B1994" s="1347" t="s">
        <v>1108</v>
      </c>
      <c r="D1994" s="1347" t="s">
        <v>1109</v>
      </c>
      <c r="E1994" s="1347" t="s">
        <v>1110</v>
      </c>
    </row>
    <row r="1995" spans="2:5" x14ac:dyDescent="0.45">
      <c r="B1995" s="1347" t="s">
        <v>1108</v>
      </c>
      <c r="D1995" s="1347" t="s">
        <v>1109</v>
      </c>
      <c r="E1995" s="1347" t="s">
        <v>1110</v>
      </c>
    </row>
    <row r="1996" spans="2:5" x14ac:dyDescent="0.45">
      <c r="B1996" s="1347" t="s">
        <v>1108</v>
      </c>
      <c r="D1996" s="1347" t="s">
        <v>1109</v>
      </c>
      <c r="E1996" s="1347" t="s">
        <v>1110</v>
      </c>
    </row>
    <row r="1997" spans="2:5" x14ac:dyDescent="0.45">
      <c r="B1997" s="1347" t="s">
        <v>1108</v>
      </c>
      <c r="D1997" s="1347" t="s">
        <v>1109</v>
      </c>
      <c r="E1997" s="1347" t="s">
        <v>1110</v>
      </c>
    </row>
    <row r="1998" spans="2:5" x14ac:dyDescent="0.45">
      <c r="B1998" s="1347" t="s">
        <v>1108</v>
      </c>
      <c r="D1998" s="1347" t="s">
        <v>1109</v>
      </c>
      <c r="E1998" s="1347" t="s">
        <v>1110</v>
      </c>
    </row>
    <row r="1999" spans="2:5" x14ac:dyDescent="0.45">
      <c r="B1999" s="1347" t="s">
        <v>1108</v>
      </c>
      <c r="D1999" s="1347" t="s">
        <v>1109</v>
      </c>
      <c r="E1999" s="1347" t="s">
        <v>1110</v>
      </c>
    </row>
    <row r="2000" spans="2:5" x14ac:dyDescent="0.45">
      <c r="B2000" s="1347" t="s">
        <v>1108</v>
      </c>
      <c r="D2000" s="1347" t="s">
        <v>1109</v>
      </c>
      <c r="E2000" s="1347" t="s">
        <v>1110</v>
      </c>
    </row>
    <row r="2001" spans="1:5" x14ac:dyDescent="0.45">
      <c r="B2001" s="1347" t="s">
        <v>1108</v>
      </c>
      <c r="D2001" s="1347" t="s">
        <v>1109</v>
      </c>
      <c r="E2001" s="1347" t="s">
        <v>1110</v>
      </c>
    </row>
    <row r="2002" spans="1:5" x14ac:dyDescent="0.45">
      <c r="B2002" s="1347" t="s">
        <v>1108</v>
      </c>
      <c r="D2002" s="1347" t="s">
        <v>1109</v>
      </c>
      <c r="E2002" s="1347" t="s">
        <v>1110</v>
      </c>
    </row>
    <row r="2003" spans="1:5" x14ac:dyDescent="0.45">
      <c r="B2003" s="1347" t="s">
        <v>1108</v>
      </c>
      <c r="D2003" s="1347" t="s">
        <v>1109</v>
      </c>
      <c r="E2003" s="1347" t="s">
        <v>1110</v>
      </c>
    </row>
    <row r="2004" spans="1:5" x14ac:dyDescent="0.45">
      <c r="B2004" s="1347" t="s">
        <v>1108</v>
      </c>
      <c r="D2004" s="1347" t="s">
        <v>1109</v>
      </c>
      <c r="E2004" s="1347" t="s">
        <v>1110</v>
      </c>
    </row>
    <row r="2005" spans="1:5" x14ac:dyDescent="0.45">
      <c r="B2005" s="1347" t="s">
        <v>1108</v>
      </c>
      <c r="D2005" s="1347" t="s">
        <v>1109</v>
      </c>
      <c r="E2005" s="1347" t="s">
        <v>1110</v>
      </c>
    </row>
    <row r="2006" spans="1:5" x14ac:dyDescent="0.45">
      <c r="B2006" s="1347" t="s">
        <v>1108</v>
      </c>
      <c r="D2006" s="1347" t="s">
        <v>1109</v>
      </c>
      <c r="E2006" s="1347" t="s">
        <v>1110</v>
      </c>
    </row>
    <row r="2007" spans="1:5" x14ac:dyDescent="0.45">
      <c r="A2007" s="1347" t="s">
        <v>1105</v>
      </c>
      <c r="B2007" s="1347" t="s">
        <v>3347</v>
      </c>
      <c r="D2007" s="1347">
        <f>-43    -19    -66</f>
        <v>-128</v>
      </c>
      <c r="E2007" s="1347" t="s">
        <v>3348</v>
      </c>
    </row>
    <row r="2008" spans="1:5" x14ac:dyDescent="0.45">
      <c r="B2008" s="1347" t="s">
        <v>3349</v>
      </c>
      <c r="D2008" s="1347" t="s">
        <v>3350</v>
      </c>
      <c r="E2008" s="1347" t="s">
        <v>3351</v>
      </c>
    </row>
    <row r="2009" spans="1:5" x14ac:dyDescent="0.45">
      <c r="B2009" s="1347" t="s">
        <v>1108</v>
      </c>
      <c r="D2009" s="1347" t="s">
        <v>3352</v>
      </c>
      <c r="E2009" s="1347" t="s">
        <v>3353</v>
      </c>
    </row>
    <row r="2010" spans="1:5" x14ac:dyDescent="0.45">
      <c r="B2010" s="1347" t="s">
        <v>3354</v>
      </c>
      <c r="D2010" s="1347" t="s">
        <v>3355</v>
      </c>
      <c r="E2010" s="1347" t="s">
        <v>3356</v>
      </c>
    </row>
    <row r="2011" spans="1:5" x14ac:dyDescent="0.45">
      <c r="B2011" s="1347" t="s">
        <v>1108</v>
      </c>
      <c r="D2011" s="1347" t="s">
        <v>3357</v>
      </c>
      <c r="E2011" s="1347" t="s">
        <v>3358</v>
      </c>
    </row>
    <row r="2012" spans="1:5" x14ac:dyDescent="0.45">
      <c r="B2012" s="1347" t="s">
        <v>1108</v>
      </c>
      <c r="D2012" s="1347" t="s">
        <v>2588</v>
      </c>
      <c r="E2012" s="1347" t="s">
        <v>3359</v>
      </c>
    </row>
    <row r="2013" spans="1:5" x14ac:dyDescent="0.45">
      <c r="B2013" s="1347" t="s">
        <v>3360</v>
      </c>
      <c r="D2013" s="1347" t="s">
        <v>3361</v>
      </c>
      <c r="E2013" s="1347" t="s">
        <v>3362</v>
      </c>
    </row>
    <row r="2014" spans="1:5" x14ac:dyDescent="0.45">
      <c r="A2014" s="1347" t="s">
        <v>1105</v>
      </c>
      <c r="B2014" s="1347" t="s">
        <v>3363</v>
      </c>
      <c r="D2014" s="1347" t="s">
        <v>3364</v>
      </c>
      <c r="E2014" s="1347" t="s">
        <v>3365</v>
      </c>
    </row>
    <row r="2015" spans="1:5" x14ac:dyDescent="0.45">
      <c r="A2015" s="1347">
        <v>-1</v>
      </c>
      <c r="B2015" s="1347" t="s">
        <v>3366</v>
      </c>
      <c r="D2015" s="1347" t="s">
        <v>3367</v>
      </c>
      <c r="E2015" s="1347" t="s">
        <v>3368</v>
      </c>
    </row>
    <row r="2016" spans="1:5" x14ac:dyDescent="0.45">
      <c r="B2016" s="1347" t="s">
        <v>3369</v>
      </c>
      <c r="C2016" s="1347" t="s">
        <v>1105</v>
      </c>
      <c r="D2016" s="1347" t="s">
        <v>3370</v>
      </c>
      <c r="E2016" s="1347" t="s">
        <v>3371</v>
      </c>
    </row>
    <row r="2017" spans="1:5" x14ac:dyDescent="0.45">
      <c r="B2017" s="1347" t="s">
        <v>3372</v>
      </c>
      <c r="D2017" s="1347" t="s">
        <v>3373</v>
      </c>
      <c r="E2017" s="1347" t="s">
        <v>3374</v>
      </c>
    </row>
    <row r="2018" spans="1:5" x14ac:dyDescent="0.45">
      <c r="B2018" s="1347" t="s">
        <v>3375</v>
      </c>
      <c r="C2018" s="1347" t="s">
        <v>1105</v>
      </c>
      <c r="D2018" s="1347" t="s">
        <v>3376</v>
      </c>
      <c r="E2018" s="1347" t="s">
        <v>3377</v>
      </c>
    </row>
    <row r="2019" spans="1:5" x14ac:dyDescent="0.45">
      <c r="B2019" s="1347" t="s">
        <v>1108</v>
      </c>
      <c r="D2019" s="1347" t="s">
        <v>3378</v>
      </c>
      <c r="E2019" s="1347" t="s">
        <v>3379</v>
      </c>
    </row>
    <row r="2020" spans="1:5" x14ac:dyDescent="0.45">
      <c r="A2020" s="1347">
        <v>1</v>
      </c>
      <c r="B2020" s="1347" t="s">
        <v>3380</v>
      </c>
      <c r="D2020" s="1347" t="s">
        <v>3381</v>
      </c>
      <c r="E2020" s="1347" t="s">
        <v>3382</v>
      </c>
    </row>
    <row r="2021" spans="1:5" x14ac:dyDescent="0.45">
      <c r="B2021" s="1347" t="s">
        <v>3383</v>
      </c>
      <c r="D2021" s="1347" t="s">
        <v>3384</v>
      </c>
      <c r="E2021" s="1347" t="s">
        <v>3385</v>
      </c>
    </row>
    <row r="2022" spans="1:5" x14ac:dyDescent="0.45">
      <c r="B2022" s="1347">
        <f>-19    -69</f>
        <v>-88</v>
      </c>
      <c r="D2022" s="1347" t="s">
        <v>1109</v>
      </c>
      <c r="E2022" s="1347" t="s">
        <v>3386</v>
      </c>
    </row>
    <row r="2023" spans="1:5" x14ac:dyDescent="0.45">
      <c r="B2023" s="1347">
        <f>-90   -441</f>
        <v>-531</v>
      </c>
      <c r="D2023" s="1347" t="s">
        <v>3387</v>
      </c>
      <c r="E2023" s="1347" t="s">
        <v>3388</v>
      </c>
    </row>
    <row r="2024" spans="1:5" x14ac:dyDescent="0.45">
      <c r="A2024" s="1347">
        <v>10</v>
      </c>
      <c r="B2024" s="1347" t="s">
        <v>3389</v>
      </c>
      <c r="D2024" s="1347" t="s">
        <v>3390</v>
      </c>
      <c r="E2024" s="1347" t="s">
        <v>3391</v>
      </c>
    </row>
    <row r="2025" spans="1:5" x14ac:dyDescent="0.45">
      <c r="B2025" s="1347" t="s">
        <v>1108</v>
      </c>
      <c r="D2025" s="1347" t="s">
        <v>1109</v>
      </c>
      <c r="E2025" s="1347" t="s">
        <v>1110</v>
      </c>
    </row>
    <row r="2026" spans="1:5" x14ac:dyDescent="0.45">
      <c r="B2026" s="1347" t="s">
        <v>1108</v>
      </c>
      <c r="D2026" s="1347" t="s">
        <v>1109</v>
      </c>
      <c r="E2026" s="1347" t="s">
        <v>1110</v>
      </c>
    </row>
    <row r="2027" spans="1:5" x14ac:dyDescent="0.45">
      <c r="B2027" s="1347" t="s">
        <v>1108</v>
      </c>
      <c r="D2027" s="1347" t="s">
        <v>1109</v>
      </c>
      <c r="E2027" s="1347" t="s">
        <v>1110</v>
      </c>
    </row>
    <row r="2028" spans="1:5" x14ac:dyDescent="0.45">
      <c r="B2028" s="1347" t="s">
        <v>1108</v>
      </c>
      <c r="D2028" s="1347" t="s">
        <v>1109</v>
      </c>
      <c r="E2028" s="1347" t="s">
        <v>1110</v>
      </c>
    </row>
    <row r="2029" spans="1:5" x14ac:dyDescent="0.45">
      <c r="B2029" s="1347" t="s">
        <v>1108</v>
      </c>
      <c r="D2029" s="1347" t="s">
        <v>1109</v>
      </c>
      <c r="E2029" s="1347" t="s">
        <v>1110</v>
      </c>
    </row>
    <row r="2030" spans="1:5" x14ac:dyDescent="0.45">
      <c r="B2030" s="1347" t="s">
        <v>1108</v>
      </c>
      <c r="D2030" s="1347" t="s">
        <v>1109</v>
      </c>
      <c r="E2030" s="1347" t="s">
        <v>1110</v>
      </c>
    </row>
    <row r="2031" spans="1:5" x14ac:dyDescent="0.45">
      <c r="B2031" s="1347" t="s">
        <v>1108</v>
      </c>
      <c r="D2031" s="1347" t="s">
        <v>1109</v>
      </c>
      <c r="E2031" s="1347" t="s">
        <v>1110</v>
      </c>
    </row>
    <row r="2032" spans="1:5" x14ac:dyDescent="0.45">
      <c r="B2032" s="1347" t="s">
        <v>1108</v>
      </c>
      <c r="D2032" s="1347" t="s">
        <v>1109</v>
      </c>
      <c r="E2032" s="1347" t="s">
        <v>1110</v>
      </c>
    </row>
    <row r="2033" spans="2:5" x14ac:dyDescent="0.45">
      <c r="B2033" s="1347" t="s">
        <v>1108</v>
      </c>
      <c r="D2033" s="1347" t="s">
        <v>1109</v>
      </c>
      <c r="E2033" s="1347" t="s">
        <v>1110</v>
      </c>
    </row>
    <row r="2034" spans="2:5" x14ac:dyDescent="0.45">
      <c r="B2034" s="1347" t="s">
        <v>1108</v>
      </c>
      <c r="D2034" s="1347" t="s">
        <v>1109</v>
      </c>
      <c r="E2034" s="1347" t="s">
        <v>1110</v>
      </c>
    </row>
    <row r="2035" spans="2:5" x14ac:dyDescent="0.45">
      <c r="B2035" s="1347" t="s">
        <v>1108</v>
      </c>
      <c r="D2035" s="1347" t="s">
        <v>1109</v>
      </c>
      <c r="E2035" s="1347" t="s">
        <v>1110</v>
      </c>
    </row>
    <row r="2036" spans="2:5" x14ac:dyDescent="0.45">
      <c r="B2036" s="1347" t="s">
        <v>1108</v>
      </c>
      <c r="D2036" s="1347" t="s">
        <v>1109</v>
      </c>
      <c r="E2036" s="1347" t="s">
        <v>1110</v>
      </c>
    </row>
    <row r="2037" spans="2:5" x14ac:dyDescent="0.45">
      <c r="B2037" s="1347" t="s">
        <v>1108</v>
      </c>
      <c r="D2037" s="1347" t="s">
        <v>1109</v>
      </c>
      <c r="E2037" s="1347" t="s">
        <v>1110</v>
      </c>
    </row>
    <row r="2038" spans="2:5" x14ac:dyDescent="0.45">
      <c r="B2038" s="1347" t="s">
        <v>1108</v>
      </c>
      <c r="D2038" s="1347" t="s">
        <v>1109</v>
      </c>
      <c r="E2038" s="1347" t="s">
        <v>1110</v>
      </c>
    </row>
    <row r="2039" spans="2:5" x14ac:dyDescent="0.45">
      <c r="B2039" s="1347" t="s">
        <v>1108</v>
      </c>
      <c r="D2039" s="1347" t="s">
        <v>1109</v>
      </c>
      <c r="E2039" s="1347" t="s">
        <v>1110</v>
      </c>
    </row>
    <row r="2040" spans="2:5" x14ac:dyDescent="0.45">
      <c r="B2040" s="1347" t="s">
        <v>1108</v>
      </c>
      <c r="D2040" s="1347" t="s">
        <v>1109</v>
      </c>
      <c r="E2040" s="1347" t="s">
        <v>1110</v>
      </c>
    </row>
    <row r="2041" spans="2:5" x14ac:dyDescent="0.45">
      <c r="B2041" s="1347" t="s">
        <v>1108</v>
      </c>
      <c r="D2041" s="1347" t="s">
        <v>1109</v>
      </c>
      <c r="E2041" s="1347" t="s">
        <v>1110</v>
      </c>
    </row>
    <row r="2042" spans="2:5" x14ac:dyDescent="0.45">
      <c r="B2042" s="1347" t="s">
        <v>1108</v>
      </c>
      <c r="D2042" s="1347" t="s">
        <v>1109</v>
      </c>
      <c r="E2042" s="1347" t="s">
        <v>1110</v>
      </c>
    </row>
    <row r="2043" spans="2:5" x14ac:dyDescent="0.45">
      <c r="B2043" s="1347" t="s">
        <v>3392</v>
      </c>
      <c r="D2043" s="1347" t="s">
        <v>3393</v>
      </c>
      <c r="E2043" s="1347" t="s">
        <v>3394</v>
      </c>
    </row>
    <row r="2044" spans="2:5" x14ac:dyDescent="0.45">
      <c r="B2044" s="1347" t="s">
        <v>1108</v>
      </c>
      <c r="D2044" s="1347" t="s">
        <v>3395</v>
      </c>
      <c r="E2044" s="1347" t="s">
        <v>1110</v>
      </c>
    </row>
    <row r="2045" spans="2:5" x14ac:dyDescent="0.45">
      <c r="B2045" s="1347" t="s">
        <v>3396</v>
      </c>
      <c r="D2045" s="1347" t="s">
        <v>3397</v>
      </c>
      <c r="E2045" s="1347" t="s">
        <v>3398</v>
      </c>
    </row>
    <row r="2046" spans="2:5" x14ac:dyDescent="0.45">
      <c r="B2046" s="1347" t="s">
        <v>3399</v>
      </c>
      <c r="D2046" s="1347" t="s">
        <v>3400</v>
      </c>
      <c r="E2046" s="1347" t="s">
        <v>3401</v>
      </c>
    </row>
    <row r="2047" spans="2:5" x14ac:dyDescent="0.45">
      <c r="B2047" s="1347" t="s">
        <v>1108</v>
      </c>
      <c r="D2047" s="1347" t="s">
        <v>3402</v>
      </c>
      <c r="E2047" s="1347" t="s">
        <v>3403</v>
      </c>
    </row>
    <row r="2048" spans="2:5" x14ac:dyDescent="0.45">
      <c r="B2048" s="1347" t="s">
        <v>3278</v>
      </c>
      <c r="D2048" s="1347" t="s">
        <v>1109</v>
      </c>
      <c r="E2048" s="1347" t="s">
        <v>3404</v>
      </c>
    </row>
    <row r="2049" spans="1:5" x14ac:dyDescent="0.45">
      <c r="B2049" s="1347" t="s">
        <v>1108</v>
      </c>
      <c r="D2049" s="1347" t="s">
        <v>3405</v>
      </c>
      <c r="E2049" s="1347" t="s">
        <v>1476</v>
      </c>
    </row>
    <row r="2050" spans="1:5" x14ac:dyDescent="0.45">
      <c r="A2050" s="1347" t="s">
        <v>1105</v>
      </c>
      <c r="B2050" s="1347" t="s">
        <v>3406</v>
      </c>
      <c r="D2050" s="1347" t="s">
        <v>3407</v>
      </c>
      <c r="E2050" s="1347" t="s">
        <v>3408</v>
      </c>
    </row>
    <row r="2051" spans="1:5" x14ac:dyDescent="0.45">
      <c r="B2051" s="1347" t="s">
        <v>3409</v>
      </c>
      <c r="D2051" s="1347" t="s">
        <v>3410</v>
      </c>
      <c r="E2051" s="1347" t="s">
        <v>1110</v>
      </c>
    </row>
    <row r="2052" spans="1:5" x14ac:dyDescent="0.45">
      <c r="A2052" s="1347" t="s">
        <v>1105</v>
      </c>
      <c r="B2052" s="1347" t="s">
        <v>3411</v>
      </c>
      <c r="D2052" s="1347">
        <f>-252   -894    -12</f>
        <v>-1158</v>
      </c>
      <c r="E2052" s="1347" t="s">
        <v>3412</v>
      </c>
    </row>
    <row r="2053" spans="1:5" x14ac:dyDescent="0.45">
      <c r="A2053" s="1347" t="s">
        <v>1105</v>
      </c>
      <c r="B2053" s="1347" t="s">
        <v>3413</v>
      </c>
      <c r="D2053" s="1347">
        <f>-385   -128   -726   -40</f>
        <v>-1279</v>
      </c>
      <c r="E2053" s="1347" t="s">
        <v>3414</v>
      </c>
    </row>
    <row r="2054" spans="1:5" x14ac:dyDescent="0.45">
      <c r="B2054" s="1347" t="s">
        <v>1108</v>
      </c>
      <c r="D2054" s="1347" t="s">
        <v>3415</v>
      </c>
      <c r="E2054" s="1347" t="s">
        <v>3416</v>
      </c>
    </row>
    <row r="2055" spans="1:5" x14ac:dyDescent="0.45">
      <c r="B2055" s="1347" t="s">
        <v>1108</v>
      </c>
      <c r="D2055" s="1347" t="s">
        <v>3417</v>
      </c>
      <c r="E2055" s="1347" t="s">
        <v>3418</v>
      </c>
    </row>
    <row r="2056" spans="1:5" x14ac:dyDescent="0.45">
      <c r="B2056" s="1347" t="s">
        <v>3419</v>
      </c>
      <c r="D2056" s="1347" t="s">
        <v>3420</v>
      </c>
      <c r="E2056" s="1347" t="s">
        <v>3421</v>
      </c>
    </row>
    <row r="2057" spans="1:5" x14ac:dyDescent="0.45">
      <c r="B2057" s="1347" t="s">
        <v>1108</v>
      </c>
      <c r="D2057" s="1347" t="s">
        <v>3422</v>
      </c>
      <c r="E2057" s="1347" t="s">
        <v>3423</v>
      </c>
    </row>
    <row r="2058" spans="1:5" x14ac:dyDescent="0.45">
      <c r="A2058" s="1347" t="s">
        <v>1105</v>
      </c>
      <c r="B2058" s="1347" t="s">
        <v>3424</v>
      </c>
      <c r="D2058" s="1347" t="s">
        <v>3425</v>
      </c>
      <c r="E2058" s="1347" t="s">
        <v>3426</v>
      </c>
    </row>
    <row r="2059" spans="1:5" x14ac:dyDescent="0.45">
      <c r="A2059" s="1347" t="s">
        <v>1105</v>
      </c>
      <c r="B2059" s="1347" t="s">
        <v>3427</v>
      </c>
      <c r="D2059" s="1347" t="s">
        <v>3428</v>
      </c>
      <c r="E2059" s="1347" t="s">
        <v>3429</v>
      </c>
    </row>
    <row r="2060" spans="1:5" x14ac:dyDescent="0.45">
      <c r="A2060" s="1347">
        <v>8</v>
      </c>
      <c r="B2060" s="1347" t="s">
        <v>3430</v>
      </c>
      <c r="D2060" s="1347" t="s">
        <v>3431</v>
      </c>
      <c r="E2060" s="1347" t="s">
        <v>3432</v>
      </c>
    </row>
    <row r="2061" spans="1:5" x14ac:dyDescent="0.45">
      <c r="B2061" s="1347" t="s">
        <v>3433</v>
      </c>
      <c r="D2061" s="1347" t="s">
        <v>1109</v>
      </c>
      <c r="E2061" s="1347" t="s">
        <v>1110</v>
      </c>
    </row>
    <row r="2062" spans="1:5" x14ac:dyDescent="0.45">
      <c r="B2062" s="1347" t="s">
        <v>1108</v>
      </c>
      <c r="D2062" s="1347" t="s">
        <v>1109</v>
      </c>
      <c r="E2062" s="1347" t="s">
        <v>1110</v>
      </c>
    </row>
    <row r="2063" spans="1:5" x14ac:dyDescent="0.45">
      <c r="B2063" s="1347" t="s">
        <v>1108</v>
      </c>
      <c r="D2063" s="1347" t="s">
        <v>1109</v>
      </c>
      <c r="E2063" s="1347" t="s">
        <v>1110</v>
      </c>
    </row>
    <row r="2064" spans="1:5" x14ac:dyDescent="0.45">
      <c r="B2064" s="1347" t="s">
        <v>1108</v>
      </c>
      <c r="D2064" s="1347" t="s">
        <v>1109</v>
      </c>
      <c r="E2064" s="1347" t="s">
        <v>1110</v>
      </c>
    </row>
    <row r="2065" spans="2:5" x14ac:dyDescent="0.45">
      <c r="B2065" s="1347" t="s">
        <v>1108</v>
      </c>
      <c r="D2065" s="1347" t="s">
        <v>1109</v>
      </c>
      <c r="E2065" s="1347" t="s">
        <v>1110</v>
      </c>
    </row>
    <row r="2066" spans="2:5" x14ac:dyDescent="0.45">
      <c r="B2066" s="1347" t="s">
        <v>1108</v>
      </c>
      <c r="D2066" s="1347" t="s">
        <v>1109</v>
      </c>
      <c r="E2066" s="1347" t="s">
        <v>1110</v>
      </c>
    </row>
    <row r="2067" spans="2:5" x14ac:dyDescent="0.45">
      <c r="B2067" s="1347" t="s">
        <v>1108</v>
      </c>
      <c r="D2067" s="1347" t="s">
        <v>1109</v>
      </c>
      <c r="E2067" s="1347" t="s">
        <v>1110</v>
      </c>
    </row>
    <row r="2068" spans="2:5" x14ac:dyDescent="0.45">
      <c r="B2068" s="1347" t="s">
        <v>1108</v>
      </c>
      <c r="D2068" s="1347" t="s">
        <v>1109</v>
      </c>
      <c r="E2068" s="1347" t="s">
        <v>1110</v>
      </c>
    </row>
    <row r="2069" spans="2:5" x14ac:dyDescent="0.45">
      <c r="B2069" s="1347" t="s">
        <v>1108</v>
      </c>
      <c r="D2069" s="1347" t="s">
        <v>1109</v>
      </c>
      <c r="E2069" s="1347" t="s">
        <v>1110</v>
      </c>
    </row>
    <row r="2070" spans="2:5" x14ac:dyDescent="0.45">
      <c r="B2070" s="1347" t="s">
        <v>1108</v>
      </c>
      <c r="D2070" s="1347" t="s">
        <v>1109</v>
      </c>
      <c r="E2070" s="1347" t="s">
        <v>1110</v>
      </c>
    </row>
    <row r="2071" spans="2:5" x14ac:dyDescent="0.45">
      <c r="B2071" s="1347" t="s">
        <v>1108</v>
      </c>
      <c r="D2071" s="1347" t="s">
        <v>1109</v>
      </c>
      <c r="E2071" s="1347" t="s">
        <v>1110</v>
      </c>
    </row>
    <row r="2072" spans="2:5" x14ac:dyDescent="0.45">
      <c r="B2072" s="1347" t="s">
        <v>1108</v>
      </c>
      <c r="D2072" s="1347" t="s">
        <v>1109</v>
      </c>
      <c r="E2072" s="1347" t="s">
        <v>1110</v>
      </c>
    </row>
    <row r="2073" spans="2:5" x14ac:dyDescent="0.45">
      <c r="B2073" s="1347" t="s">
        <v>1108</v>
      </c>
      <c r="D2073" s="1347" t="s">
        <v>1109</v>
      </c>
      <c r="E2073" s="1347" t="s">
        <v>1110</v>
      </c>
    </row>
    <row r="2074" spans="2:5" x14ac:dyDescent="0.45">
      <c r="B2074" s="1347" t="s">
        <v>1108</v>
      </c>
      <c r="D2074" s="1347" t="s">
        <v>1109</v>
      </c>
      <c r="E2074" s="1347" t="s">
        <v>1110</v>
      </c>
    </row>
    <row r="2075" spans="2:5" x14ac:dyDescent="0.45">
      <c r="B2075" s="1347" t="s">
        <v>1108</v>
      </c>
      <c r="D2075" s="1347" t="s">
        <v>1109</v>
      </c>
      <c r="E2075" s="1347" t="s">
        <v>1110</v>
      </c>
    </row>
    <row r="2076" spans="2:5" x14ac:dyDescent="0.45">
      <c r="B2076" s="1347" t="s">
        <v>1108</v>
      </c>
      <c r="D2076" s="1347" t="s">
        <v>1109</v>
      </c>
      <c r="E2076" s="1347" t="s">
        <v>1110</v>
      </c>
    </row>
    <row r="2077" spans="2:5" x14ac:dyDescent="0.45">
      <c r="B2077" s="1347" t="s">
        <v>1108</v>
      </c>
      <c r="D2077" s="1347" t="s">
        <v>1109</v>
      </c>
      <c r="E2077" s="1347" t="s">
        <v>1110</v>
      </c>
    </row>
    <row r="2078" spans="2:5" x14ac:dyDescent="0.45">
      <c r="B2078" s="1347" t="s">
        <v>1108</v>
      </c>
      <c r="D2078" s="1347" t="s">
        <v>1109</v>
      </c>
      <c r="E2078" s="1347" t="s">
        <v>1110</v>
      </c>
    </row>
    <row r="2079" spans="2:5" x14ac:dyDescent="0.45">
      <c r="B2079" s="1347" t="s">
        <v>1108</v>
      </c>
      <c r="D2079" s="1347" t="s">
        <v>1109</v>
      </c>
      <c r="E2079" s="1347" t="s">
        <v>1110</v>
      </c>
    </row>
    <row r="2080" spans="2:5" x14ac:dyDescent="0.45">
      <c r="B2080" s="1347" t="s">
        <v>1108</v>
      </c>
      <c r="D2080" s="1347" t="s">
        <v>1109</v>
      </c>
      <c r="E2080" s="1347" t="s">
        <v>1110</v>
      </c>
    </row>
    <row r="2081" spans="2:5" x14ac:dyDescent="0.45">
      <c r="B2081" s="1347" t="s">
        <v>1108</v>
      </c>
      <c r="D2081" s="1347" t="s">
        <v>1109</v>
      </c>
      <c r="E2081" s="1347" t="s">
        <v>1110</v>
      </c>
    </row>
    <row r="2082" spans="2:5" x14ac:dyDescent="0.45">
      <c r="B2082" s="1347" t="s">
        <v>1108</v>
      </c>
      <c r="D2082" s="1347" t="s">
        <v>1109</v>
      </c>
      <c r="E2082" s="1347" t="s">
        <v>1110</v>
      </c>
    </row>
    <row r="2083" spans="2:5" x14ac:dyDescent="0.45">
      <c r="B2083" s="1347" t="s">
        <v>1108</v>
      </c>
      <c r="D2083" s="1347" t="s">
        <v>1109</v>
      </c>
      <c r="E2083" s="1347" t="s">
        <v>1110</v>
      </c>
    </row>
    <row r="2084" spans="2:5" x14ac:dyDescent="0.45">
      <c r="B2084" s="1347" t="s">
        <v>1108</v>
      </c>
      <c r="D2084" s="1347" t="s">
        <v>1109</v>
      </c>
      <c r="E2084" s="1347" t="s">
        <v>1110</v>
      </c>
    </row>
    <row r="2085" spans="2:5" x14ac:dyDescent="0.45">
      <c r="B2085" s="1347" t="s">
        <v>1108</v>
      </c>
      <c r="D2085" s="1347" t="s">
        <v>1109</v>
      </c>
      <c r="E2085" s="1347" t="s">
        <v>1110</v>
      </c>
    </row>
    <row r="2086" spans="2:5" x14ac:dyDescent="0.45">
      <c r="B2086" s="1347" t="s">
        <v>1108</v>
      </c>
      <c r="D2086" s="1347" t="s">
        <v>1109</v>
      </c>
      <c r="E2086" s="1347" t="s">
        <v>1110</v>
      </c>
    </row>
    <row r="2087" spans="2:5" x14ac:dyDescent="0.45">
      <c r="B2087" s="1347" t="s">
        <v>1108</v>
      </c>
      <c r="D2087" s="1347" t="s">
        <v>1109</v>
      </c>
      <c r="E2087" s="1347" t="s">
        <v>1110</v>
      </c>
    </row>
    <row r="2088" spans="2:5" x14ac:dyDescent="0.45">
      <c r="B2088" s="1347" t="s">
        <v>1108</v>
      </c>
      <c r="D2088" s="1347" t="s">
        <v>1109</v>
      </c>
      <c r="E2088" s="1347" t="s">
        <v>1110</v>
      </c>
    </row>
    <row r="2089" spans="2:5" x14ac:dyDescent="0.45">
      <c r="B2089" s="1347" t="s">
        <v>1108</v>
      </c>
      <c r="D2089" s="1347" t="s">
        <v>1109</v>
      </c>
      <c r="E2089" s="1347" t="s">
        <v>1110</v>
      </c>
    </row>
    <row r="2090" spans="2:5" x14ac:dyDescent="0.45">
      <c r="B2090" s="1347" t="s">
        <v>1108</v>
      </c>
      <c r="D2090" s="1347" t="s">
        <v>1109</v>
      </c>
      <c r="E2090" s="1347" t="s">
        <v>1110</v>
      </c>
    </row>
    <row r="2091" spans="2:5" x14ac:dyDescent="0.45">
      <c r="B2091" s="1347" t="s">
        <v>1108</v>
      </c>
      <c r="D2091" s="1347" t="s">
        <v>1109</v>
      </c>
      <c r="E2091" s="1347" t="s">
        <v>1110</v>
      </c>
    </row>
    <row r="2092" spans="2:5" x14ac:dyDescent="0.45">
      <c r="B2092" s="1347" t="s">
        <v>1108</v>
      </c>
      <c r="D2092" s="1347" t="s">
        <v>1109</v>
      </c>
      <c r="E2092" s="1347" t="s">
        <v>1110</v>
      </c>
    </row>
    <row r="2093" spans="2:5" x14ac:dyDescent="0.45">
      <c r="B2093" s="1347" t="s">
        <v>1108</v>
      </c>
      <c r="D2093" s="1347" t="s">
        <v>1109</v>
      </c>
      <c r="E2093" s="1347" t="s">
        <v>1110</v>
      </c>
    </row>
    <row r="2094" spans="2:5" x14ac:dyDescent="0.45">
      <c r="B2094" s="1347" t="s">
        <v>1108</v>
      </c>
      <c r="D2094" s="1347" t="s">
        <v>1109</v>
      </c>
      <c r="E2094" s="1347" t="s">
        <v>1110</v>
      </c>
    </row>
    <row r="2095" spans="2:5" x14ac:dyDescent="0.45">
      <c r="B2095" s="1347" t="s">
        <v>1108</v>
      </c>
      <c r="D2095" s="1347" t="s">
        <v>1109</v>
      </c>
      <c r="E2095" s="1347" t="s">
        <v>1110</v>
      </c>
    </row>
    <row r="2096" spans="2:5" x14ac:dyDescent="0.45">
      <c r="B2096" s="1347" t="s">
        <v>1108</v>
      </c>
      <c r="D2096" s="1347" t="s">
        <v>1109</v>
      </c>
      <c r="E2096" s="1347" t="s">
        <v>1110</v>
      </c>
    </row>
    <row r="2097" spans="2:5" x14ac:dyDescent="0.45">
      <c r="B2097" s="1347" t="s">
        <v>1108</v>
      </c>
      <c r="D2097" s="1347" t="s">
        <v>1109</v>
      </c>
      <c r="E2097" s="1347" t="s">
        <v>1110</v>
      </c>
    </row>
    <row r="2098" spans="2:5" x14ac:dyDescent="0.45">
      <c r="B2098" s="1347" t="s">
        <v>1108</v>
      </c>
      <c r="D2098" s="1347" t="s">
        <v>1109</v>
      </c>
      <c r="E2098" s="1347" t="s">
        <v>1110</v>
      </c>
    </row>
    <row r="2099" spans="2:5" x14ac:dyDescent="0.45">
      <c r="B2099" s="1347" t="s">
        <v>1108</v>
      </c>
      <c r="D2099" s="1347" t="s">
        <v>1109</v>
      </c>
      <c r="E2099" s="1347" t="s">
        <v>1110</v>
      </c>
    </row>
    <row r="2100" spans="2:5" x14ac:dyDescent="0.45">
      <c r="B2100" s="1347" t="s">
        <v>1108</v>
      </c>
      <c r="D2100" s="1347" t="s">
        <v>1109</v>
      </c>
      <c r="E2100" s="1347" t="s">
        <v>1110</v>
      </c>
    </row>
    <row r="2101" spans="2:5" x14ac:dyDescent="0.45">
      <c r="B2101" s="1347" t="s">
        <v>1108</v>
      </c>
      <c r="D2101" s="1347" t="s">
        <v>1109</v>
      </c>
      <c r="E2101" s="1347" t="s">
        <v>1110</v>
      </c>
    </row>
    <row r="2102" spans="2:5" x14ac:dyDescent="0.45">
      <c r="B2102" s="1347" t="s">
        <v>1108</v>
      </c>
      <c r="D2102" s="1347" t="s">
        <v>1109</v>
      </c>
      <c r="E2102" s="1347" t="s">
        <v>1110</v>
      </c>
    </row>
    <row r="2103" spans="2:5" x14ac:dyDescent="0.45">
      <c r="B2103" s="1347" t="s">
        <v>1108</v>
      </c>
      <c r="D2103" s="1347" t="s">
        <v>1109</v>
      </c>
      <c r="E2103" s="1347" t="s">
        <v>1110</v>
      </c>
    </row>
    <row r="2104" spans="2:5" x14ac:dyDescent="0.45">
      <c r="B2104" s="1347" t="s">
        <v>1108</v>
      </c>
      <c r="D2104" s="1347" t="s">
        <v>1109</v>
      </c>
      <c r="E2104" s="1347" t="s">
        <v>1110</v>
      </c>
    </row>
    <row r="2105" spans="2:5" x14ac:dyDescent="0.45">
      <c r="B2105" s="1347" t="s">
        <v>1108</v>
      </c>
      <c r="D2105" s="1347" t="s">
        <v>1109</v>
      </c>
      <c r="E2105" s="1347" t="s">
        <v>1110</v>
      </c>
    </row>
    <row r="2106" spans="2:5" x14ac:dyDescent="0.45">
      <c r="B2106" s="1347" t="s">
        <v>1108</v>
      </c>
      <c r="D2106" s="1347" t="s">
        <v>1109</v>
      </c>
      <c r="E2106" s="1347" t="s">
        <v>1110</v>
      </c>
    </row>
    <row r="2107" spans="2:5" x14ac:dyDescent="0.45">
      <c r="B2107" s="1347" t="s">
        <v>1108</v>
      </c>
      <c r="D2107" s="1347" t="s">
        <v>1109</v>
      </c>
      <c r="E2107" s="1347" t="s">
        <v>1110</v>
      </c>
    </row>
    <row r="2108" spans="2:5" x14ac:dyDescent="0.45">
      <c r="B2108" s="1347" t="s">
        <v>1108</v>
      </c>
      <c r="D2108" s="1347" t="s">
        <v>1109</v>
      </c>
      <c r="E2108" s="1347" t="s">
        <v>1110</v>
      </c>
    </row>
    <row r="2109" spans="2:5" x14ac:dyDescent="0.45">
      <c r="B2109" s="1347" t="s">
        <v>1108</v>
      </c>
      <c r="D2109" s="1347" t="s">
        <v>1109</v>
      </c>
      <c r="E2109" s="1347" t="s">
        <v>1110</v>
      </c>
    </row>
    <row r="2110" spans="2:5" x14ac:dyDescent="0.45">
      <c r="B2110" s="1347" t="s">
        <v>1108</v>
      </c>
      <c r="D2110" s="1347" t="s">
        <v>1109</v>
      </c>
      <c r="E2110" s="1347" t="s">
        <v>1110</v>
      </c>
    </row>
    <row r="2111" spans="2:5" x14ac:dyDescent="0.45">
      <c r="B2111" s="1347" t="s">
        <v>1108</v>
      </c>
      <c r="D2111" s="1347" t="s">
        <v>1109</v>
      </c>
      <c r="E2111" s="1347" t="s">
        <v>1110</v>
      </c>
    </row>
    <row r="2112" spans="2:5" x14ac:dyDescent="0.45">
      <c r="B2112" s="1347" t="s">
        <v>1108</v>
      </c>
      <c r="D2112" s="1347" t="s">
        <v>1109</v>
      </c>
      <c r="E2112" s="1347" t="s">
        <v>1110</v>
      </c>
    </row>
    <row r="2113" spans="2:5" x14ac:dyDescent="0.45">
      <c r="B2113" s="1347" t="s">
        <v>1108</v>
      </c>
      <c r="D2113" s="1347" t="s">
        <v>1109</v>
      </c>
      <c r="E2113" s="1347" t="s">
        <v>1110</v>
      </c>
    </row>
    <row r="2114" spans="2:5" x14ac:dyDescent="0.45">
      <c r="B2114" s="1347" t="s">
        <v>1108</v>
      </c>
      <c r="D2114" s="1347" t="s">
        <v>1109</v>
      </c>
      <c r="E2114" s="1347" t="s">
        <v>1110</v>
      </c>
    </row>
    <row r="2115" spans="2:5" x14ac:dyDescent="0.45">
      <c r="B2115" s="1347" t="s">
        <v>1108</v>
      </c>
      <c r="D2115" s="1347" t="s">
        <v>1109</v>
      </c>
      <c r="E2115" s="1347" t="s">
        <v>1110</v>
      </c>
    </row>
    <row r="2116" spans="2:5" x14ac:dyDescent="0.45">
      <c r="B2116" s="1347" t="s">
        <v>1108</v>
      </c>
      <c r="D2116" s="1347" t="s">
        <v>1109</v>
      </c>
      <c r="E2116" s="1347" t="s">
        <v>1110</v>
      </c>
    </row>
    <row r="2117" spans="2:5" x14ac:dyDescent="0.45">
      <c r="B2117" s="1347" t="s">
        <v>1108</v>
      </c>
      <c r="D2117" s="1347" t="s">
        <v>1109</v>
      </c>
      <c r="E2117" s="1347" t="s">
        <v>1110</v>
      </c>
    </row>
    <row r="2118" spans="2:5" x14ac:dyDescent="0.45">
      <c r="B2118" s="1347" t="s">
        <v>1108</v>
      </c>
      <c r="D2118" s="1347" t="s">
        <v>1109</v>
      </c>
      <c r="E2118" s="1347" t="s">
        <v>1110</v>
      </c>
    </row>
    <row r="2119" spans="2:5" x14ac:dyDescent="0.45">
      <c r="B2119" s="1347" t="s">
        <v>1108</v>
      </c>
      <c r="D2119" s="1347" t="s">
        <v>1109</v>
      </c>
      <c r="E2119" s="1347" t="s">
        <v>1110</v>
      </c>
    </row>
    <row r="2120" spans="2:5" x14ac:dyDescent="0.45">
      <c r="B2120" s="1347" t="s">
        <v>1108</v>
      </c>
      <c r="D2120" s="1347" t="s">
        <v>1109</v>
      </c>
      <c r="E2120" s="1347" t="s">
        <v>1110</v>
      </c>
    </row>
    <row r="2121" spans="2:5" x14ac:dyDescent="0.45">
      <c r="B2121" s="1347" t="s">
        <v>1108</v>
      </c>
      <c r="D2121" s="1347" t="s">
        <v>1109</v>
      </c>
      <c r="E2121" s="1347" t="s">
        <v>1110</v>
      </c>
    </row>
    <row r="2122" spans="2:5" x14ac:dyDescent="0.45">
      <c r="B2122" s="1347" t="s">
        <v>1108</v>
      </c>
      <c r="D2122" s="1347" t="s">
        <v>1109</v>
      </c>
      <c r="E2122" s="1347" t="s">
        <v>1110</v>
      </c>
    </row>
    <row r="2123" spans="2:5" x14ac:dyDescent="0.45">
      <c r="B2123" s="1347" t="s">
        <v>1108</v>
      </c>
      <c r="D2123" s="1347" t="s">
        <v>1109</v>
      </c>
      <c r="E2123" s="1347" t="s">
        <v>1110</v>
      </c>
    </row>
    <row r="2124" spans="2:5" x14ac:dyDescent="0.45">
      <c r="B2124" s="1347" t="s">
        <v>1108</v>
      </c>
      <c r="D2124" s="1347" t="s">
        <v>1109</v>
      </c>
      <c r="E2124" s="1347" t="s">
        <v>1110</v>
      </c>
    </row>
    <row r="2125" spans="2:5" x14ac:dyDescent="0.45">
      <c r="B2125" s="1347" t="s">
        <v>1108</v>
      </c>
      <c r="D2125" s="1347" t="s">
        <v>1109</v>
      </c>
      <c r="E2125" s="1347" t="s">
        <v>1110</v>
      </c>
    </row>
    <row r="2126" spans="2:5" x14ac:dyDescent="0.45">
      <c r="B2126" s="1347" t="s">
        <v>1108</v>
      </c>
      <c r="D2126" s="1347" t="s">
        <v>1109</v>
      </c>
      <c r="E2126" s="1347" t="s">
        <v>1110</v>
      </c>
    </row>
    <row r="2127" spans="2:5" x14ac:dyDescent="0.45">
      <c r="B2127" s="1347" t="s">
        <v>1108</v>
      </c>
      <c r="D2127" s="1347" t="s">
        <v>1109</v>
      </c>
      <c r="E2127" s="1347" t="s">
        <v>1110</v>
      </c>
    </row>
    <row r="2128" spans="2:5" x14ac:dyDescent="0.45">
      <c r="B2128" s="1347" t="s">
        <v>1108</v>
      </c>
      <c r="D2128" s="1347" t="s">
        <v>1109</v>
      </c>
      <c r="E2128" s="1347" t="s">
        <v>1110</v>
      </c>
    </row>
    <row r="2129" spans="2:5" x14ac:dyDescent="0.45">
      <c r="B2129" s="1347" t="s">
        <v>1108</v>
      </c>
      <c r="D2129" s="1347" t="s">
        <v>1109</v>
      </c>
      <c r="E2129" s="1347" t="s">
        <v>1110</v>
      </c>
    </row>
    <row r="2130" spans="2:5" x14ac:dyDescent="0.45">
      <c r="B2130" s="1347" t="s">
        <v>1108</v>
      </c>
      <c r="D2130" s="1347" t="s">
        <v>1109</v>
      </c>
      <c r="E2130" s="1347" t="s">
        <v>1110</v>
      </c>
    </row>
    <row r="2131" spans="2:5" x14ac:dyDescent="0.45">
      <c r="B2131" s="1347" t="s">
        <v>1108</v>
      </c>
      <c r="D2131" s="1347" t="s">
        <v>1109</v>
      </c>
      <c r="E2131" s="1347" t="s">
        <v>1110</v>
      </c>
    </row>
    <row r="2132" spans="2:5" x14ac:dyDescent="0.45">
      <c r="B2132" s="1347" t="s">
        <v>1108</v>
      </c>
      <c r="D2132" s="1347" t="s">
        <v>1109</v>
      </c>
      <c r="E2132" s="1347" t="s">
        <v>1110</v>
      </c>
    </row>
    <row r="2133" spans="2:5" x14ac:dyDescent="0.45">
      <c r="B2133" s="1347" t="s">
        <v>1108</v>
      </c>
      <c r="D2133" s="1347" t="s">
        <v>1109</v>
      </c>
      <c r="E2133" s="1347" t="s">
        <v>1110</v>
      </c>
    </row>
    <row r="2134" spans="2:5" x14ac:dyDescent="0.45">
      <c r="B2134" s="1347" t="s">
        <v>1108</v>
      </c>
      <c r="D2134" s="1347" t="s">
        <v>1109</v>
      </c>
      <c r="E2134" s="1347" t="s">
        <v>1110</v>
      </c>
    </row>
    <row r="2135" spans="2:5" x14ac:dyDescent="0.45">
      <c r="B2135" s="1347" t="s">
        <v>1108</v>
      </c>
      <c r="D2135" s="1347" t="s">
        <v>1109</v>
      </c>
      <c r="E2135" s="1347" t="s">
        <v>1110</v>
      </c>
    </row>
    <row r="2136" spans="2:5" x14ac:dyDescent="0.45">
      <c r="B2136" s="1347" t="s">
        <v>1108</v>
      </c>
      <c r="D2136" s="1347" t="s">
        <v>1109</v>
      </c>
      <c r="E2136" s="1347" t="s">
        <v>1110</v>
      </c>
    </row>
    <row r="2137" spans="2:5" x14ac:dyDescent="0.45">
      <c r="B2137" s="1347" t="s">
        <v>1108</v>
      </c>
      <c r="D2137" s="1347" t="s">
        <v>1109</v>
      </c>
      <c r="E2137" s="1347" t="s">
        <v>1110</v>
      </c>
    </row>
    <row r="2138" spans="2:5" x14ac:dyDescent="0.45">
      <c r="B2138" s="1347" t="s">
        <v>1108</v>
      </c>
      <c r="D2138" s="1347" t="s">
        <v>1109</v>
      </c>
      <c r="E2138" s="1347" t="s">
        <v>1110</v>
      </c>
    </row>
    <row r="2139" spans="2:5" x14ac:dyDescent="0.45">
      <c r="B2139" s="1347" t="s">
        <v>1108</v>
      </c>
      <c r="D2139" s="1347" t="s">
        <v>1109</v>
      </c>
      <c r="E2139" s="1347" t="s">
        <v>1110</v>
      </c>
    </row>
    <row r="2140" spans="2:5" x14ac:dyDescent="0.45">
      <c r="B2140" s="1347" t="s">
        <v>1108</v>
      </c>
      <c r="D2140" s="1347" t="s">
        <v>1109</v>
      </c>
      <c r="E2140" s="1347" t="s">
        <v>1110</v>
      </c>
    </row>
    <row r="2141" spans="2:5" x14ac:dyDescent="0.45">
      <c r="B2141" s="1347" t="s">
        <v>1108</v>
      </c>
      <c r="D2141" s="1347" t="s">
        <v>1109</v>
      </c>
      <c r="E2141" s="1347" t="s">
        <v>1110</v>
      </c>
    </row>
    <row r="2142" spans="2:5" x14ac:dyDescent="0.45">
      <c r="B2142" s="1347" t="s">
        <v>1108</v>
      </c>
      <c r="D2142" s="1347" t="s">
        <v>1109</v>
      </c>
      <c r="E2142" s="1347" t="s">
        <v>1110</v>
      </c>
    </row>
    <row r="2143" spans="2:5" x14ac:dyDescent="0.45">
      <c r="B2143" s="1347" t="s">
        <v>1108</v>
      </c>
      <c r="D2143" s="1347" t="s">
        <v>1109</v>
      </c>
      <c r="E2143" s="1347" t="s">
        <v>1110</v>
      </c>
    </row>
    <row r="2144" spans="2:5" x14ac:dyDescent="0.45">
      <c r="B2144" s="1347" t="s">
        <v>1108</v>
      </c>
      <c r="D2144" s="1347" t="s">
        <v>1109</v>
      </c>
      <c r="E2144" s="1347" t="s">
        <v>1110</v>
      </c>
    </row>
    <row r="2145" spans="2:5" x14ac:dyDescent="0.45">
      <c r="B2145" s="1347" t="s">
        <v>1108</v>
      </c>
      <c r="D2145" s="1347" t="s">
        <v>1109</v>
      </c>
      <c r="E2145" s="1347" t="s">
        <v>1110</v>
      </c>
    </row>
    <row r="2146" spans="2:5" x14ac:dyDescent="0.45">
      <c r="B2146" s="1347" t="s">
        <v>1108</v>
      </c>
      <c r="D2146" s="1347" t="s">
        <v>1109</v>
      </c>
      <c r="E2146" s="1347" t="s">
        <v>1110</v>
      </c>
    </row>
    <row r="2147" spans="2:5" x14ac:dyDescent="0.45">
      <c r="B2147" s="1347" t="s">
        <v>1108</v>
      </c>
      <c r="D2147" s="1347" t="s">
        <v>1109</v>
      </c>
      <c r="E2147" s="1347" t="s">
        <v>1110</v>
      </c>
    </row>
    <row r="2148" spans="2:5" x14ac:dyDescent="0.45">
      <c r="B2148" s="1347" t="s">
        <v>1108</v>
      </c>
      <c r="D2148" s="1347" t="s">
        <v>1109</v>
      </c>
      <c r="E2148" s="1347" t="s">
        <v>1110</v>
      </c>
    </row>
    <row r="2149" spans="2:5" x14ac:dyDescent="0.45">
      <c r="B2149" s="1347" t="s">
        <v>1108</v>
      </c>
      <c r="D2149" s="1347" t="s">
        <v>1109</v>
      </c>
      <c r="E2149" s="1347" t="s">
        <v>1110</v>
      </c>
    </row>
    <row r="2150" spans="2:5" x14ac:dyDescent="0.45">
      <c r="B2150" s="1347" t="s">
        <v>1108</v>
      </c>
      <c r="D2150" s="1347" t="s">
        <v>1109</v>
      </c>
      <c r="E2150" s="1347" t="s">
        <v>1110</v>
      </c>
    </row>
    <row r="2151" spans="2:5" x14ac:dyDescent="0.45">
      <c r="B2151" s="1347" t="s">
        <v>1108</v>
      </c>
      <c r="D2151" s="1347" t="s">
        <v>1109</v>
      </c>
      <c r="E2151" s="1347" t="s">
        <v>1110</v>
      </c>
    </row>
    <row r="2152" spans="2:5" x14ac:dyDescent="0.45">
      <c r="B2152" s="1347" t="s">
        <v>1108</v>
      </c>
      <c r="D2152" s="1347" t="s">
        <v>1109</v>
      </c>
      <c r="E2152" s="1347" t="s">
        <v>1110</v>
      </c>
    </row>
    <row r="2153" spans="2:5" x14ac:dyDescent="0.45">
      <c r="B2153" s="1347" t="s">
        <v>1108</v>
      </c>
      <c r="D2153" s="1347" t="s">
        <v>1109</v>
      </c>
      <c r="E2153" s="1347" t="s">
        <v>1110</v>
      </c>
    </row>
    <row r="2154" spans="2:5" x14ac:dyDescent="0.45">
      <c r="B2154" s="1347" t="s">
        <v>1108</v>
      </c>
      <c r="D2154" s="1347" t="s">
        <v>1109</v>
      </c>
      <c r="E2154" s="1347" t="s">
        <v>1110</v>
      </c>
    </row>
    <row r="2155" spans="2:5" x14ac:dyDescent="0.45">
      <c r="B2155" s="1347" t="s">
        <v>1108</v>
      </c>
      <c r="D2155" s="1347" t="s">
        <v>1109</v>
      </c>
      <c r="E2155" s="1347" t="s">
        <v>1110</v>
      </c>
    </row>
    <row r="2156" spans="2:5" x14ac:dyDescent="0.45">
      <c r="B2156" s="1347" t="s">
        <v>1108</v>
      </c>
      <c r="D2156" s="1347" t="s">
        <v>1109</v>
      </c>
      <c r="E2156" s="1347" t="s">
        <v>1110</v>
      </c>
    </row>
    <row r="2157" spans="2:5" x14ac:dyDescent="0.45">
      <c r="B2157" s="1347" t="s">
        <v>1108</v>
      </c>
      <c r="D2157" s="1347" t="s">
        <v>1109</v>
      </c>
      <c r="E2157" s="1347" t="s">
        <v>1110</v>
      </c>
    </row>
    <row r="2158" spans="2:5" x14ac:dyDescent="0.45">
      <c r="B2158" s="1347" t="s">
        <v>1108</v>
      </c>
      <c r="D2158" s="1347" t="s">
        <v>1109</v>
      </c>
      <c r="E2158" s="1347" t="s">
        <v>1110</v>
      </c>
    </row>
    <row r="2159" spans="2:5" x14ac:dyDescent="0.45">
      <c r="B2159" s="1347" t="s">
        <v>1108</v>
      </c>
      <c r="D2159" s="1347" t="s">
        <v>1109</v>
      </c>
      <c r="E2159" s="1347" t="s">
        <v>1110</v>
      </c>
    </row>
    <row r="2160" spans="2:5" x14ac:dyDescent="0.45">
      <c r="B2160" s="1347" t="s">
        <v>1108</v>
      </c>
      <c r="D2160" s="1347" t="s">
        <v>1109</v>
      </c>
      <c r="E2160" s="1347" t="s">
        <v>1110</v>
      </c>
    </row>
    <row r="2161" spans="2:5" x14ac:dyDescent="0.45">
      <c r="B2161" s="1347" t="s">
        <v>1108</v>
      </c>
      <c r="D2161" s="1347" t="s">
        <v>1109</v>
      </c>
      <c r="E2161" s="1347" t="s">
        <v>1110</v>
      </c>
    </row>
    <row r="2162" spans="2:5" x14ac:dyDescent="0.45">
      <c r="B2162" s="1347" t="s">
        <v>1108</v>
      </c>
      <c r="D2162" s="1347" t="s">
        <v>1109</v>
      </c>
      <c r="E2162" s="1347" t="s">
        <v>1110</v>
      </c>
    </row>
    <row r="2163" spans="2:5" x14ac:dyDescent="0.45">
      <c r="B2163" s="1347" t="s">
        <v>1108</v>
      </c>
      <c r="D2163" s="1347" t="s">
        <v>1109</v>
      </c>
      <c r="E2163" s="1347" t="s">
        <v>1110</v>
      </c>
    </row>
    <row r="2164" spans="2:5" x14ac:dyDescent="0.45">
      <c r="B2164" s="1347" t="s">
        <v>1108</v>
      </c>
      <c r="D2164" s="1347" t="s">
        <v>1109</v>
      </c>
      <c r="E2164" s="1347" t="s">
        <v>1110</v>
      </c>
    </row>
    <row r="2165" spans="2:5" x14ac:dyDescent="0.45">
      <c r="B2165" s="1347" t="s">
        <v>1108</v>
      </c>
      <c r="D2165" s="1347" t="s">
        <v>1109</v>
      </c>
      <c r="E2165" s="1347" t="s">
        <v>1110</v>
      </c>
    </row>
    <row r="2166" spans="2:5" x14ac:dyDescent="0.45">
      <c r="B2166" s="1347" t="s">
        <v>1108</v>
      </c>
      <c r="D2166" s="1347" t="s">
        <v>1109</v>
      </c>
      <c r="E2166" s="1347" t="s">
        <v>1110</v>
      </c>
    </row>
    <row r="2167" spans="2:5" x14ac:dyDescent="0.45">
      <c r="B2167" s="1347" t="s">
        <v>1108</v>
      </c>
      <c r="D2167" s="1347" t="s">
        <v>1109</v>
      </c>
      <c r="E2167" s="1347" t="s">
        <v>1110</v>
      </c>
    </row>
    <row r="2168" spans="2:5" x14ac:dyDescent="0.45">
      <c r="B2168" s="1347" t="s">
        <v>1108</v>
      </c>
      <c r="D2168" s="1347" t="s">
        <v>1109</v>
      </c>
      <c r="E2168" s="1347" t="s">
        <v>1110</v>
      </c>
    </row>
    <row r="2169" spans="2:5" x14ac:dyDescent="0.45">
      <c r="B2169" s="1347" t="s">
        <v>1108</v>
      </c>
      <c r="D2169" s="1347" t="s">
        <v>1109</v>
      </c>
      <c r="E2169" s="1347" t="s">
        <v>1110</v>
      </c>
    </row>
    <row r="2170" spans="2:5" x14ac:dyDescent="0.45">
      <c r="B2170" s="1347" t="s">
        <v>1108</v>
      </c>
      <c r="D2170" s="1347" t="s">
        <v>1109</v>
      </c>
      <c r="E2170" s="1347" t="s">
        <v>1110</v>
      </c>
    </row>
    <row r="2171" spans="2:5" x14ac:dyDescent="0.45">
      <c r="B2171" s="1347" t="s">
        <v>1108</v>
      </c>
      <c r="D2171" s="1347" t="s">
        <v>1109</v>
      </c>
      <c r="E2171" s="1347" t="s">
        <v>1110</v>
      </c>
    </row>
    <row r="2172" spans="2:5" x14ac:dyDescent="0.45">
      <c r="B2172" s="1347" t="s">
        <v>1108</v>
      </c>
      <c r="D2172" s="1347" t="s">
        <v>1109</v>
      </c>
      <c r="E2172" s="1347" t="s">
        <v>1110</v>
      </c>
    </row>
    <row r="2173" spans="2:5" x14ac:dyDescent="0.45">
      <c r="B2173" s="1347" t="s">
        <v>1108</v>
      </c>
      <c r="D2173" s="1347" t="s">
        <v>1109</v>
      </c>
      <c r="E2173" s="1347" t="s">
        <v>1110</v>
      </c>
    </row>
    <row r="2174" spans="2:5" x14ac:dyDescent="0.45">
      <c r="B2174" s="1347" t="s">
        <v>1108</v>
      </c>
      <c r="D2174" s="1347" t="s">
        <v>1109</v>
      </c>
      <c r="E2174" s="1347" t="s">
        <v>1110</v>
      </c>
    </row>
    <row r="2175" spans="2:5" x14ac:dyDescent="0.45">
      <c r="B2175" s="1347" t="s">
        <v>1108</v>
      </c>
      <c r="D2175" s="1347" t="s">
        <v>1109</v>
      </c>
      <c r="E2175" s="1347" t="s">
        <v>1110</v>
      </c>
    </row>
    <row r="2176" spans="2:5" x14ac:dyDescent="0.45">
      <c r="B2176" s="1347" t="s">
        <v>1108</v>
      </c>
      <c r="D2176" s="1347" t="s">
        <v>1109</v>
      </c>
      <c r="E2176" s="1347" t="s">
        <v>1110</v>
      </c>
    </row>
    <row r="2177" spans="2:5" x14ac:dyDescent="0.45">
      <c r="B2177" s="1347" t="s">
        <v>1108</v>
      </c>
      <c r="D2177" s="1347" t="s">
        <v>1109</v>
      </c>
      <c r="E2177" s="1347" t="s">
        <v>1110</v>
      </c>
    </row>
    <row r="2178" spans="2:5" x14ac:dyDescent="0.45">
      <c r="B2178" s="1347" t="s">
        <v>1108</v>
      </c>
      <c r="D2178" s="1347" t="s">
        <v>1109</v>
      </c>
      <c r="E2178" s="1347" t="s">
        <v>1110</v>
      </c>
    </row>
    <row r="2179" spans="2:5" x14ac:dyDescent="0.45">
      <c r="B2179" s="1347" t="s">
        <v>1108</v>
      </c>
      <c r="D2179" s="1347" t="s">
        <v>1109</v>
      </c>
      <c r="E2179" s="1347" t="s">
        <v>1110</v>
      </c>
    </row>
    <row r="2180" spans="2:5" x14ac:dyDescent="0.45">
      <c r="B2180" s="1347" t="s">
        <v>1108</v>
      </c>
      <c r="D2180" s="1347" t="s">
        <v>1109</v>
      </c>
      <c r="E2180" s="1347" t="s">
        <v>1110</v>
      </c>
    </row>
    <row r="2181" spans="2:5" x14ac:dyDescent="0.45">
      <c r="B2181" s="1347" t="s">
        <v>1108</v>
      </c>
      <c r="D2181" s="1347" t="s">
        <v>1109</v>
      </c>
      <c r="E2181" s="1347" t="s">
        <v>1110</v>
      </c>
    </row>
    <row r="2182" spans="2:5" x14ac:dyDescent="0.45">
      <c r="B2182" s="1347" t="s">
        <v>1108</v>
      </c>
      <c r="D2182" s="1347" t="s">
        <v>1109</v>
      </c>
      <c r="E2182" s="1347" t="s">
        <v>1110</v>
      </c>
    </row>
    <row r="2183" spans="2:5" x14ac:dyDescent="0.45">
      <c r="B2183" s="1347" t="s">
        <v>1108</v>
      </c>
      <c r="D2183" s="1347" t="s">
        <v>1109</v>
      </c>
      <c r="E2183" s="1347" t="s">
        <v>1110</v>
      </c>
    </row>
    <row r="2184" spans="2:5" x14ac:dyDescent="0.45">
      <c r="B2184" s="1347" t="s">
        <v>1108</v>
      </c>
      <c r="D2184" s="1347" t="s">
        <v>1109</v>
      </c>
      <c r="E2184" s="1347" t="s">
        <v>1110</v>
      </c>
    </row>
    <row r="2185" spans="2:5" x14ac:dyDescent="0.45">
      <c r="B2185" s="1347" t="s">
        <v>1108</v>
      </c>
      <c r="D2185" s="1347" t="s">
        <v>1109</v>
      </c>
      <c r="E2185" s="1347" t="s">
        <v>1110</v>
      </c>
    </row>
    <row r="2186" spans="2:5" x14ac:dyDescent="0.45">
      <c r="B2186" s="1347" t="s">
        <v>1108</v>
      </c>
      <c r="D2186" s="1347" t="s">
        <v>1109</v>
      </c>
      <c r="E2186" s="1347" t="s">
        <v>1110</v>
      </c>
    </row>
    <row r="2187" spans="2:5" x14ac:dyDescent="0.45">
      <c r="B2187" s="1347" t="s">
        <v>1108</v>
      </c>
      <c r="D2187" s="1347" t="s">
        <v>1109</v>
      </c>
      <c r="E2187" s="1347" t="s">
        <v>1110</v>
      </c>
    </row>
    <row r="2188" spans="2:5" x14ac:dyDescent="0.45">
      <c r="B2188" s="1347" t="s">
        <v>1108</v>
      </c>
      <c r="D2188" s="1347" t="s">
        <v>1109</v>
      </c>
      <c r="E2188" s="1347" t="s">
        <v>1110</v>
      </c>
    </row>
    <row r="2189" spans="2:5" x14ac:dyDescent="0.45">
      <c r="B2189" s="1347" t="s">
        <v>1108</v>
      </c>
      <c r="D2189" s="1347" t="s">
        <v>1109</v>
      </c>
      <c r="E2189" s="1347" t="s">
        <v>1110</v>
      </c>
    </row>
    <row r="2190" spans="2:5" x14ac:dyDescent="0.45">
      <c r="B2190" s="1347" t="s">
        <v>1108</v>
      </c>
      <c r="D2190" s="1347" t="s">
        <v>1109</v>
      </c>
      <c r="E2190" s="1347" t="s">
        <v>1110</v>
      </c>
    </row>
    <row r="2191" spans="2:5" x14ac:dyDescent="0.45">
      <c r="B2191" s="1347" t="s">
        <v>1108</v>
      </c>
      <c r="D2191" s="1347" t="s">
        <v>1109</v>
      </c>
      <c r="E2191" s="1347" t="s">
        <v>1110</v>
      </c>
    </row>
    <row r="2192" spans="2:5" x14ac:dyDescent="0.45">
      <c r="B2192" s="1347" t="s">
        <v>1108</v>
      </c>
      <c r="D2192" s="1347" t="s">
        <v>1109</v>
      </c>
      <c r="E2192" s="1347" t="s">
        <v>1110</v>
      </c>
    </row>
    <row r="2193" spans="2:5" x14ac:dyDescent="0.45">
      <c r="B2193" s="1347" t="s">
        <v>1108</v>
      </c>
      <c r="D2193" s="1347" t="s">
        <v>1109</v>
      </c>
      <c r="E2193" s="1347" t="s">
        <v>1110</v>
      </c>
    </row>
    <row r="2194" spans="2:5" x14ac:dyDescent="0.45">
      <c r="B2194" s="1347" t="s">
        <v>1108</v>
      </c>
      <c r="D2194" s="1347" t="s">
        <v>1109</v>
      </c>
      <c r="E2194" s="1347" t="s">
        <v>1110</v>
      </c>
    </row>
    <row r="2195" spans="2:5" x14ac:dyDescent="0.45">
      <c r="B2195" s="1347" t="s">
        <v>1108</v>
      </c>
      <c r="D2195" s="1347" t="s">
        <v>1109</v>
      </c>
      <c r="E2195" s="1347" t="s">
        <v>1110</v>
      </c>
    </row>
    <row r="2196" spans="2:5" x14ac:dyDescent="0.45">
      <c r="B2196" s="1347" t="s">
        <v>1108</v>
      </c>
      <c r="D2196" s="1347" t="s">
        <v>1109</v>
      </c>
      <c r="E2196" s="1347" t="s">
        <v>1110</v>
      </c>
    </row>
    <row r="2197" spans="2:5" x14ac:dyDescent="0.45">
      <c r="B2197" s="1347" t="s">
        <v>1108</v>
      </c>
      <c r="D2197" s="1347" t="s">
        <v>1109</v>
      </c>
      <c r="E2197" s="1347" t="s">
        <v>1110</v>
      </c>
    </row>
    <row r="2198" spans="2:5" x14ac:dyDescent="0.45">
      <c r="B2198" s="1347" t="s">
        <v>1108</v>
      </c>
      <c r="D2198" s="1347" t="s">
        <v>1109</v>
      </c>
      <c r="E2198" s="1347" t="s">
        <v>1110</v>
      </c>
    </row>
    <row r="2199" spans="2:5" x14ac:dyDescent="0.45">
      <c r="B2199" s="1347" t="s">
        <v>1108</v>
      </c>
      <c r="D2199" s="1347" t="s">
        <v>1109</v>
      </c>
      <c r="E2199" s="1347" t="s">
        <v>1110</v>
      </c>
    </row>
    <row r="2200" spans="2:5" x14ac:dyDescent="0.45">
      <c r="B2200" s="1347" t="s">
        <v>1108</v>
      </c>
      <c r="D2200" s="1347" t="s">
        <v>1109</v>
      </c>
      <c r="E2200" s="1347" t="s">
        <v>1110</v>
      </c>
    </row>
    <row r="2201" spans="2:5" x14ac:dyDescent="0.45">
      <c r="B2201" s="1347" t="s">
        <v>1108</v>
      </c>
      <c r="D2201" s="1347" t="s">
        <v>1109</v>
      </c>
      <c r="E2201" s="1347" t="s">
        <v>1110</v>
      </c>
    </row>
    <row r="2202" spans="2:5" x14ac:dyDescent="0.45">
      <c r="B2202" s="1347" t="s">
        <v>1108</v>
      </c>
      <c r="D2202" s="1347" t="s">
        <v>1109</v>
      </c>
      <c r="E2202" s="1347" t="s">
        <v>1110</v>
      </c>
    </row>
    <row r="2203" spans="2:5" x14ac:dyDescent="0.45">
      <c r="B2203" s="1347" t="s">
        <v>1108</v>
      </c>
      <c r="D2203" s="1347" t="s">
        <v>1109</v>
      </c>
      <c r="E2203" s="1347" t="s">
        <v>1110</v>
      </c>
    </row>
    <row r="2204" spans="2:5" x14ac:dyDescent="0.45">
      <c r="B2204" s="1347" t="s">
        <v>1108</v>
      </c>
      <c r="D2204" s="1347" t="s">
        <v>1109</v>
      </c>
      <c r="E2204" s="1347" t="s">
        <v>1110</v>
      </c>
    </row>
    <row r="2205" spans="2:5" x14ac:dyDescent="0.45">
      <c r="B2205" s="1347" t="s">
        <v>1108</v>
      </c>
      <c r="D2205" s="1347" t="s">
        <v>1109</v>
      </c>
      <c r="E2205" s="1347" t="s">
        <v>1110</v>
      </c>
    </row>
    <row r="2206" spans="2:5" x14ac:dyDescent="0.45">
      <c r="B2206" s="1347" t="s">
        <v>1108</v>
      </c>
      <c r="D2206" s="1347" t="s">
        <v>1109</v>
      </c>
      <c r="E2206" s="1347" t="s">
        <v>1110</v>
      </c>
    </row>
    <row r="2207" spans="2:5" x14ac:dyDescent="0.45">
      <c r="B2207" s="1347" t="s">
        <v>1108</v>
      </c>
      <c r="D2207" s="1347" t="s">
        <v>1109</v>
      </c>
      <c r="E2207" s="1347" t="s">
        <v>1110</v>
      </c>
    </row>
    <row r="2208" spans="2:5" x14ac:dyDescent="0.45">
      <c r="B2208" s="1347" t="s">
        <v>1108</v>
      </c>
      <c r="D2208" s="1347" t="s">
        <v>1109</v>
      </c>
      <c r="E2208" s="1347" t="s">
        <v>1110</v>
      </c>
    </row>
    <row r="2209" spans="1:5" x14ac:dyDescent="0.45">
      <c r="B2209" s="1347" t="s">
        <v>1108</v>
      </c>
      <c r="D2209" s="1347" t="s">
        <v>1109</v>
      </c>
      <c r="E2209" s="1347" t="s">
        <v>1110</v>
      </c>
    </row>
    <row r="2210" spans="1:5" x14ac:dyDescent="0.45">
      <c r="B2210" s="1347" t="s">
        <v>1108</v>
      </c>
      <c r="D2210" s="1347" t="s">
        <v>3434</v>
      </c>
      <c r="E2210" s="1347" t="s">
        <v>3435</v>
      </c>
    </row>
    <row r="2211" spans="1:5" x14ac:dyDescent="0.45">
      <c r="B2211" s="1347" t="s">
        <v>1108</v>
      </c>
      <c r="D2211" s="1347" t="s">
        <v>3436</v>
      </c>
      <c r="E2211" s="1347" t="s">
        <v>3437</v>
      </c>
    </row>
    <row r="2212" spans="1:5" x14ac:dyDescent="0.45">
      <c r="B2212" s="1347" t="s">
        <v>1108</v>
      </c>
      <c r="D2212" s="1347" t="s">
        <v>1374</v>
      </c>
      <c r="E2212" s="1347" t="s">
        <v>3438</v>
      </c>
    </row>
    <row r="2213" spans="1:5" x14ac:dyDescent="0.45">
      <c r="B2213" s="1347" t="s">
        <v>3439</v>
      </c>
      <c r="D2213" s="1347" t="s">
        <v>3440</v>
      </c>
      <c r="E2213" s="1347" t="s">
        <v>3441</v>
      </c>
    </row>
    <row r="2214" spans="1:5" x14ac:dyDescent="0.45">
      <c r="A2214" s="1347" t="s">
        <v>1105</v>
      </c>
      <c r="B2214" s="1347" t="s">
        <v>3442</v>
      </c>
      <c r="D2214" s="1347" t="s">
        <v>3443</v>
      </c>
      <c r="E2214" s="1347" t="s">
        <v>3444</v>
      </c>
    </row>
    <row r="2215" spans="1:5" x14ac:dyDescent="0.45">
      <c r="B2215" s="1347" t="s">
        <v>1108</v>
      </c>
      <c r="D2215" s="1347" t="s">
        <v>3445</v>
      </c>
      <c r="E2215" s="1347" t="s">
        <v>1110</v>
      </c>
    </row>
    <row r="2216" spans="1:5" x14ac:dyDescent="0.45">
      <c r="B2216" s="1347" t="s">
        <v>3446</v>
      </c>
      <c r="D2216" s="1347" t="s">
        <v>3447</v>
      </c>
      <c r="E2216" s="1347" t="s">
        <v>3448</v>
      </c>
    </row>
    <row r="2217" spans="1:5" x14ac:dyDescent="0.45">
      <c r="B2217" s="1347" t="s">
        <v>1108</v>
      </c>
      <c r="D2217" s="1347" t="s">
        <v>3449</v>
      </c>
      <c r="E2217" s="1347" t="s">
        <v>3450</v>
      </c>
    </row>
    <row r="2218" spans="1:5" x14ac:dyDescent="0.45">
      <c r="B2218" s="1347" t="s">
        <v>3451</v>
      </c>
      <c r="D2218" s="1347" t="s">
        <v>3452</v>
      </c>
      <c r="E2218" s="1347" t="s">
        <v>3453</v>
      </c>
    </row>
    <row r="2219" spans="1:5" x14ac:dyDescent="0.45">
      <c r="B2219" s="1347" t="s">
        <v>1108</v>
      </c>
      <c r="D2219" s="1347" t="s">
        <v>3454</v>
      </c>
      <c r="E2219" s="1347" t="s">
        <v>3455</v>
      </c>
    </row>
    <row r="2220" spans="1:5" x14ac:dyDescent="0.45">
      <c r="A2220" s="1347">
        <v>-2</v>
      </c>
      <c r="B2220" s="1347" t="s">
        <v>3456</v>
      </c>
      <c r="D2220" s="1347">
        <f>-579   -501   -440</f>
        <v>-1520</v>
      </c>
      <c r="E2220" s="1347" t="s">
        <v>3457</v>
      </c>
    </row>
    <row r="2221" spans="1:5" x14ac:dyDescent="0.45">
      <c r="B2221" s="1347" t="s">
        <v>3458</v>
      </c>
      <c r="C2221" s="1347" t="s">
        <v>1105</v>
      </c>
      <c r="D2221" s="1347" t="s">
        <v>3459</v>
      </c>
      <c r="E2221" s="1347" t="s">
        <v>3460</v>
      </c>
    </row>
    <row r="2222" spans="1:5" x14ac:dyDescent="0.45">
      <c r="A2222" s="1347" t="s">
        <v>1105</v>
      </c>
      <c r="B2222" s="1347" t="s">
        <v>3461</v>
      </c>
      <c r="D2222" s="1347" t="s">
        <v>3462</v>
      </c>
      <c r="E2222" s="1347" t="s">
        <v>3463</v>
      </c>
    </row>
    <row r="2223" spans="1:5" x14ac:dyDescent="0.45">
      <c r="A2223" s="1347">
        <v>-4</v>
      </c>
      <c r="B2223" s="1347" t="s">
        <v>3464</v>
      </c>
      <c r="D2223" s="1347" t="s">
        <v>3465</v>
      </c>
      <c r="E2223" s="1347" t="s">
        <v>3466</v>
      </c>
    </row>
    <row r="2224" spans="1:5" x14ac:dyDescent="0.45">
      <c r="A2224" s="1347" t="s">
        <v>1105</v>
      </c>
      <c r="B2224" s="1347" t="s">
        <v>3467</v>
      </c>
      <c r="D2224" s="1347" t="s">
        <v>3468</v>
      </c>
      <c r="E2224" s="1347" t="s">
        <v>3469</v>
      </c>
    </row>
    <row r="2225" spans="1:5" x14ac:dyDescent="0.45">
      <c r="B2225" s="1347" t="s">
        <v>1108</v>
      </c>
      <c r="D2225" s="1347" t="s">
        <v>3470</v>
      </c>
      <c r="E2225" s="1347" t="s">
        <v>3471</v>
      </c>
    </row>
    <row r="2226" spans="1:5" x14ac:dyDescent="0.45">
      <c r="B2226" s="1347" t="s">
        <v>1108</v>
      </c>
      <c r="D2226" s="1347" t="s">
        <v>3472</v>
      </c>
      <c r="E2226" s="1347" t="s">
        <v>3473</v>
      </c>
    </row>
    <row r="2227" spans="1:5" x14ac:dyDescent="0.45">
      <c r="A2227" s="1347">
        <v>1</v>
      </c>
      <c r="B2227" s="1347" t="s">
        <v>3474</v>
      </c>
      <c r="D2227" s="1347" t="s">
        <v>3475</v>
      </c>
      <c r="E2227" s="1347" t="s">
        <v>3476</v>
      </c>
    </row>
    <row r="2228" spans="1:5" x14ac:dyDescent="0.45">
      <c r="A2228" s="1347">
        <v>-10</v>
      </c>
      <c r="B2228" s="1347" t="s">
        <v>3477</v>
      </c>
      <c r="D2228" s="1347" t="s">
        <v>3478</v>
      </c>
      <c r="E2228" s="1347" t="s">
        <v>3479</v>
      </c>
    </row>
    <row r="2229" spans="1:5" x14ac:dyDescent="0.45">
      <c r="B2229" s="1347" t="s">
        <v>1108</v>
      </c>
      <c r="D2229" s="1347" t="s">
        <v>1109</v>
      </c>
      <c r="E2229" s="1347" t="s">
        <v>1110</v>
      </c>
    </row>
    <row r="2230" spans="1:5" x14ac:dyDescent="0.45">
      <c r="B2230" s="1347" t="s">
        <v>1108</v>
      </c>
      <c r="D2230" s="1347" t="s">
        <v>1109</v>
      </c>
      <c r="E2230" s="1347" t="s">
        <v>1110</v>
      </c>
    </row>
    <row r="2231" spans="1:5" x14ac:dyDescent="0.45">
      <c r="B2231" s="1347" t="s">
        <v>1108</v>
      </c>
      <c r="D2231" s="1347" t="s">
        <v>1109</v>
      </c>
      <c r="E2231" s="1347" t="s">
        <v>1110</v>
      </c>
    </row>
    <row r="2232" spans="1:5" x14ac:dyDescent="0.45">
      <c r="B2232" s="1347" t="s">
        <v>1108</v>
      </c>
      <c r="D2232" s="1347" t="s">
        <v>1109</v>
      </c>
      <c r="E2232" s="1347" t="s">
        <v>1110</v>
      </c>
    </row>
    <row r="2233" spans="1:5" x14ac:dyDescent="0.45">
      <c r="B2233" s="1347" t="s">
        <v>1108</v>
      </c>
      <c r="D2233" s="1347" t="s">
        <v>1109</v>
      </c>
      <c r="E2233" s="1347" t="s">
        <v>1110</v>
      </c>
    </row>
    <row r="2234" spans="1:5" x14ac:dyDescent="0.45">
      <c r="B2234" s="1347" t="s">
        <v>1108</v>
      </c>
      <c r="D2234" s="1347" t="s">
        <v>1109</v>
      </c>
      <c r="E2234" s="1347" t="s">
        <v>1110</v>
      </c>
    </row>
    <row r="2235" spans="1:5" x14ac:dyDescent="0.45">
      <c r="B2235" s="1347" t="s">
        <v>1108</v>
      </c>
      <c r="D2235" s="1347" t="s">
        <v>1109</v>
      </c>
      <c r="E2235" s="1347" t="s">
        <v>1110</v>
      </c>
    </row>
    <row r="2236" spans="1:5" x14ac:dyDescent="0.45">
      <c r="B2236" s="1347" t="s">
        <v>1108</v>
      </c>
      <c r="D2236" s="1347" t="s">
        <v>1109</v>
      </c>
      <c r="E2236" s="1347" t="s">
        <v>1110</v>
      </c>
    </row>
    <row r="2237" spans="1:5" x14ac:dyDescent="0.45">
      <c r="B2237" s="1347" t="s">
        <v>1108</v>
      </c>
      <c r="D2237" s="1347" t="s">
        <v>1109</v>
      </c>
      <c r="E2237" s="1347" t="s">
        <v>1110</v>
      </c>
    </row>
    <row r="2238" spans="1:5" x14ac:dyDescent="0.45">
      <c r="B2238" s="1347" t="s">
        <v>1108</v>
      </c>
      <c r="D2238" s="1347" t="s">
        <v>1109</v>
      </c>
      <c r="E2238" s="1347" t="s">
        <v>1110</v>
      </c>
    </row>
    <row r="2239" spans="1:5" x14ac:dyDescent="0.45">
      <c r="B2239" s="1347" t="s">
        <v>1108</v>
      </c>
      <c r="D2239" s="1347" t="s">
        <v>1109</v>
      </c>
      <c r="E2239" s="1347" t="s">
        <v>1110</v>
      </c>
    </row>
    <row r="2240" spans="1:5" x14ac:dyDescent="0.45">
      <c r="B2240" s="1347" t="s">
        <v>1108</v>
      </c>
      <c r="D2240" s="1347" t="s">
        <v>1109</v>
      </c>
      <c r="E2240" s="1347" t="s">
        <v>1110</v>
      </c>
    </row>
    <row r="2241" spans="1:5" x14ac:dyDescent="0.45">
      <c r="B2241" s="1347" t="s">
        <v>1108</v>
      </c>
      <c r="D2241" s="1347" t="s">
        <v>1109</v>
      </c>
      <c r="E2241" s="1347" t="s">
        <v>1110</v>
      </c>
    </row>
    <row r="2242" spans="1:5" x14ac:dyDescent="0.45">
      <c r="B2242" s="1347" t="s">
        <v>1108</v>
      </c>
      <c r="D2242" s="1347" t="s">
        <v>1109</v>
      </c>
      <c r="E2242" s="1347" t="s">
        <v>1110</v>
      </c>
    </row>
    <row r="2243" spans="1:5" x14ac:dyDescent="0.45">
      <c r="B2243" s="1347" t="s">
        <v>1108</v>
      </c>
      <c r="D2243" s="1347" t="s">
        <v>1109</v>
      </c>
      <c r="E2243" s="1347" t="s">
        <v>1110</v>
      </c>
    </row>
    <row r="2244" spans="1:5" x14ac:dyDescent="0.45">
      <c r="B2244" s="1347" t="s">
        <v>1108</v>
      </c>
      <c r="D2244" s="1347" t="s">
        <v>1109</v>
      </c>
      <c r="E2244" s="1347" t="s">
        <v>1110</v>
      </c>
    </row>
    <row r="2245" spans="1:5" x14ac:dyDescent="0.45">
      <c r="B2245" s="1347" t="s">
        <v>1108</v>
      </c>
      <c r="D2245" s="1347" t="s">
        <v>1109</v>
      </c>
      <c r="E2245" s="1347" t="s">
        <v>1110</v>
      </c>
    </row>
    <row r="2246" spans="1:5" x14ac:dyDescent="0.45">
      <c r="B2246" s="1347" t="s">
        <v>1108</v>
      </c>
      <c r="D2246" s="1347" t="s">
        <v>1109</v>
      </c>
      <c r="E2246" s="1347" t="s">
        <v>1110</v>
      </c>
    </row>
    <row r="2247" spans="1:5" x14ac:dyDescent="0.45">
      <c r="B2247" s="1347" t="s">
        <v>1108</v>
      </c>
      <c r="D2247" s="1347" t="s">
        <v>1109</v>
      </c>
      <c r="E2247" s="1347" t="s">
        <v>1110</v>
      </c>
    </row>
    <row r="2248" spans="1:5" x14ac:dyDescent="0.45">
      <c r="B2248" s="1347" t="s">
        <v>1108</v>
      </c>
      <c r="D2248" s="1347" t="s">
        <v>1109</v>
      </c>
      <c r="E2248" s="1347" t="s">
        <v>3480</v>
      </c>
    </row>
    <row r="2249" spans="1:5" x14ac:dyDescent="0.45">
      <c r="B2249" s="1347" t="s">
        <v>3481</v>
      </c>
      <c r="D2249" s="1347" t="s">
        <v>3482</v>
      </c>
      <c r="E2249" s="1347" t="s">
        <v>3483</v>
      </c>
    </row>
    <row r="2250" spans="1:5" x14ac:dyDescent="0.45">
      <c r="B2250" s="1347" t="s">
        <v>3484</v>
      </c>
      <c r="D2250" s="1347" t="s">
        <v>1109</v>
      </c>
      <c r="E2250" s="1347" t="s">
        <v>3485</v>
      </c>
    </row>
    <row r="2251" spans="1:5" x14ac:dyDescent="0.45">
      <c r="B2251" s="1347" t="s">
        <v>3486</v>
      </c>
      <c r="D2251" s="1347" t="s">
        <v>3487</v>
      </c>
      <c r="E2251" s="1347" t="s">
        <v>3488</v>
      </c>
    </row>
    <row r="2252" spans="1:5" x14ac:dyDescent="0.45">
      <c r="B2252" s="1347" t="s">
        <v>3489</v>
      </c>
      <c r="D2252" s="1347" t="s">
        <v>3490</v>
      </c>
      <c r="E2252" s="1347" t="s">
        <v>1275</v>
      </c>
    </row>
    <row r="2253" spans="1:5" x14ac:dyDescent="0.45">
      <c r="B2253" s="1347" t="s">
        <v>2813</v>
      </c>
      <c r="D2253" s="1347" t="s">
        <v>3055</v>
      </c>
      <c r="E2253" s="1347" t="s">
        <v>3491</v>
      </c>
    </row>
    <row r="2254" spans="1:5" x14ac:dyDescent="0.45">
      <c r="B2254" s="1347" t="s">
        <v>1108</v>
      </c>
      <c r="D2254" s="1347" t="s">
        <v>3492</v>
      </c>
      <c r="E2254" s="1347" t="s">
        <v>3493</v>
      </c>
    </row>
    <row r="2255" spans="1:5" x14ac:dyDescent="0.45">
      <c r="A2255" s="1347">
        <v>1</v>
      </c>
      <c r="B2255" s="1347" t="s">
        <v>1532</v>
      </c>
      <c r="D2255" s="1347" t="s">
        <v>3494</v>
      </c>
      <c r="E2255" s="1347" t="s">
        <v>3495</v>
      </c>
    </row>
    <row r="2256" spans="1:5" x14ac:dyDescent="0.45">
      <c r="B2256" s="1347" t="s">
        <v>1108</v>
      </c>
      <c r="D2256" s="1347" t="s">
        <v>3496</v>
      </c>
      <c r="E2256" s="1347" t="s">
        <v>3497</v>
      </c>
    </row>
    <row r="2257" spans="1:5" x14ac:dyDescent="0.45">
      <c r="B2257" s="1347" t="s">
        <v>3498</v>
      </c>
      <c r="D2257" s="1347" t="s">
        <v>1109</v>
      </c>
      <c r="E2257" s="1347" t="s">
        <v>3499</v>
      </c>
    </row>
    <row r="2258" spans="1:5" x14ac:dyDescent="0.45">
      <c r="B2258" s="1347" t="s">
        <v>3500</v>
      </c>
      <c r="D2258" s="1347" t="s">
        <v>3501</v>
      </c>
      <c r="E2258" s="1347" t="s">
        <v>3502</v>
      </c>
    </row>
    <row r="2259" spans="1:5" x14ac:dyDescent="0.45">
      <c r="A2259" s="1347" t="s">
        <v>1105</v>
      </c>
      <c r="B2259" s="1347" t="s">
        <v>3503</v>
      </c>
      <c r="D2259" s="1347" t="s">
        <v>3504</v>
      </c>
      <c r="E2259" s="1347" t="s">
        <v>3505</v>
      </c>
    </row>
    <row r="2260" spans="1:5" x14ac:dyDescent="0.45">
      <c r="A2260" s="1347" t="s">
        <v>1105</v>
      </c>
      <c r="B2260" s="1347" t="s">
        <v>3506</v>
      </c>
      <c r="D2260" s="1347" t="s">
        <v>3507</v>
      </c>
      <c r="E2260" s="1347" t="s">
        <v>1435</v>
      </c>
    </row>
    <row r="2261" spans="1:5" x14ac:dyDescent="0.45">
      <c r="B2261" s="1347" t="s">
        <v>3508</v>
      </c>
      <c r="D2261" s="1347" t="s">
        <v>3509</v>
      </c>
      <c r="E2261" s="1347" t="s">
        <v>3510</v>
      </c>
    </row>
    <row r="2262" spans="1:5" x14ac:dyDescent="0.45">
      <c r="B2262" s="1347" t="s">
        <v>3511</v>
      </c>
      <c r="D2262" s="1347" t="s">
        <v>3512</v>
      </c>
      <c r="E2262" s="1347" t="s">
        <v>3513</v>
      </c>
    </row>
    <row r="2263" spans="1:5" x14ac:dyDescent="0.45">
      <c r="A2263" s="1347" t="s">
        <v>1105</v>
      </c>
      <c r="B2263" s="1347" t="s">
        <v>3514</v>
      </c>
      <c r="D2263" s="1347" t="s">
        <v>3515</v>
      </c>
      <c r="E2263" s="1347" t="s">
        <v>3516</v>
      </c>
    </row>
    <row r="2264" spans="1:5" x14ac:dyDescent="0.45">
      <c r="B2264" s="1347" t="s">
        <v>1108</v>
      </c>
      <c r="D2264" s="1347" t="s">
        <v>3517</v>
      </c>
      <c r="E2264" s="1347" t="s">
        <v>3518</v>
      </c>
    </row>
    <row r="2265" spans="1:5" x14ac:dyDescent="0.45">
      <c r="B2265" s="1347" t="s">
        <v>3519</v>
      </c>
      <c r="C2265" s="1347">
        <v>-4</v>
      </c>
      <c r="D2265" s="1347" t="s">
        <v>3520</v>
      </c>
      <c r="E2265" s="1347" t="s">
        <v>3521</v>
      </c>
    </row>
    <row r="2266" spans="1:5" x14ac:dyDescent="0.45">
      <c r="A2266" s="1347">
        <v>-2</v>
      </c>
      <c r="B2266" s="1347" t="s">
        <v>3522</v>
      </c>
      <c r="D2266" s="1347" t="s">
        <v>3523</v>
      </c>
      <c r="E2266" s="1347" t="s">
        <v>3524</v>
      </c>
    </row>
    <row r="2267" spans="1:5" x14ac:dyDescent="0.45">
      <c r="A2267" s="1347">
        <v>3</v>
      </c>
      <c r="B2267" s="1347" t="s">
        <v>3525</v>
      </c>
      <c r="D2267" s="1347" t="s">
        <v>1109</v>
      </c>
      <c r="E2267" s="1347" t="s">
        <v>3526</v>
      </c>
    </row>
    <row r="2268" spans="1:5" x14ac:dyDescent="0.45">
      <c r="B2268" s="1347" t="s">
        <v>3527</v>
      </c>
      <c r="D2268" s="1347" t="s">
        <v>3528</v>
      </c>
      <c r="E2268" s="1347" t="s">
        <v>3529</v>
      </c>
    </row>
    <row r="2269" spans="1:5" x14ac:dyDescent="0.45">
      <c r="B2269" s="1347" t="s">
        <v>1108</v>
      </c>
      <c r="D2269" s="1347" t="s">
        <v>3530</v>
      </c>
      <c r="E2269" s="1347" t="s">
        <v>1110</v>
      </c>
    </row>
    <row r="2270" spans="1:5" x14ac:dyDescent="0.45">
      <c r="B2270" s="1347" t="s">
        <v>3531</v>
      </c>
      <c r="D2270" s="1347" t="s">
        <v>3532</v>
      </c>
      <c r="E2270" s="1347" t="s">
        <v>3533</v>
      </c>
    </row>
    <row r="2271" spans="1:5" x14ac:dyDescent="0.45">
      <c r="B2271" s="1347" t="s">
        <v>3534</v>
      </c>
      <c r="D2271" s="1347" t="s">
        <v>3535</v>
      </c>
      <c r="E2271" s="1347" t="s">
        <v>3536</v>
      </c>
    </row>
    <row r="2272" spans="1:5" x14ac:dyDescent="0.45">
      <c r="B2272" s="1347" t="s">
        <v>1108</v>
      </c>
      <c r="D2272" s="1347" t="s">
        <v>3537</v>
      </c>
      <c r="E2272" s="1347" t="s">
        <v>3538</v>
      </c>
    </row>
    <row r="2273" spans="2:5" x14ac:dyDescent="0.45">
      <c r="B2273" s="1347" t="s">
        <v>3539</v>
      </c>
      <c r="D2273" s="1347" t="s">
        <v>1109</v>
      </c>
      <c r="E2273" s="1347" t="s">
        <v>3540</v>
      </c>
    </row>
    <row r="2274" spans="2:5" x14ac:dyDescent="0.45">
      <c r="B2274" s="1347" t="s">
        <v>1108</v>
      </c>
      <c r="D2274" s="1347" t="s">
        <v>3541</v>
      </c>
      <c r="E2274" s="1347" t="s">
        <v>1156</v>
      </c>
    </row>
    <row r="2275" spans="2:5" x14ac:dyDescent="0.45">
      <c r="B2275" s="1347" t="s">
        <v>3542</v>
      </c>
      <c r="D2275" s="1347" t="s">
        <v>3543</v>
      </c>
      <c r="E2275" s="1347" t="s">
        <v>3544</v>
      </c>
    </row>
    <row r="2276" spans="2:5" x14ac:dyDescent="0.45">
      <c r="B2276" s="1347" t="s">
        <v>3545</v>
      </c>
      <c r="D2276" s="1347" t="s">
        <v>3546</v>
      </c>
      <c r="E2276" s="1347" t="s">
        <v>1110</v>
      </c>
    </row>
    <row r="2277" spans="2:5" x14ac:dyDescent="0.45">
      <c r="B2277" s="1347" t="s">
        <v>3547</v>
      </c>
      <c r="D2277" s="1347" t="s">
        <v>3548</v>
      </c>
      <c r="E2277" s="1347" t="s">
        <v>3549</v>
      </c>
    </row>
    <row r="2278" spans="2:5" x14ac:dyDescent="0.45">
      <c r="B2278" s="1347" t="s">
        <v>3550</v>
      </c>
      <c r="D2278" s="1347" t="s">
        <v>3551</v>
      </c>
      <c r="E2278" s="1347" t="s">
        <v>3552</v>
      </c>
    </row>
    <row r="2279" spans="2:5" x14ac:dyDescent="0.45">
      <c r="B2279" s="1347" t="s">
        <v>1108</v>
      </c>
      <c r="D2279" s="1347" t="s">
        <v>3553</v>
      </c>
      <c r="E2279" s="1347" t="s">
        <v>3554</v>
      </c>
    </row>
    <row r="2280" spans="2:5" x14ac:dyDescent="0.45">
      <c r="B2280" s="1347" t="s">
        <v>1108</v>
      </c>
      <c r="D2280" s="1347" t="s">
        <v>3555</v>
      </c>
      <c r="E2280" s="1347" t="s">
        <v>3556</v>
      </c>
    </row>
    <row r="2281" spans="2:5" x14ac:dyDescent="0.45">
      <c r="B2281" s="1347" t="s">
        <v>3557</v>
      </c>
      <c r="D2281" s="1347" t="s">
        <v>3558</v>
      </c>
      <c r="E2281" s="1347" t="s">
        <v>3559</v>
      </c>
    </row>
    <row r="2282" spans="2:5" x14ac:dyDescent="0.45">
      <c r="B2282" s="1347" t="s">
        <v>1108</v>
      </c>
      <c r="D2282" s="1347" t="s">
        <v>3560</v>
      </c>
      <c r="E2282" s="1347" t="s">
        <v>3561</v>
      </c>
    </row>
    <row r="2283" spans="2:5" x14ac:dyDescent="0.45">
      <c r="B2283" s="1347" t="s">
        <v>3562</v>
      </c>
      <c r="D2283" s="1347" t="s">
        <v>3563</v>
      </c>
      <c r="E2283" s="1347" t="s">
        <v>3564</v>
      </c>
    </row>
    <row r="2284" spans="2:5" x14ac:dyDescent="0.45">
      <c r="B2284" s="1347" t="s">
        <v>3565</v>
      </c>
      <c r="D2284" s="1347" t="s">
        <v>3566</v>
      </c>
      <c r="E2284" s="1347" t="s">
        <v>3567</v>
      </c>
    </row>
    <row r="2285" spans="2:5" x14ac:dyDescent="0.45">
      <c r="B2285" s="1347" t="s">
        <v>3568</v>
      </c>
      <c r="D2285" s="1347">
        <f>-350  -7237  -2587</f>
        <v>-10174</v>
      </c>
      <c r="E2285" s="1347" t="s">
        <v>3569</v>
      </c>
    </row>
    <row r="2286" spans="2:5" x14ac:dyDescent="0.45">
      <c r="B2286" s="1347" t="s">
        <v>3570</v>
      </c>
      <c r="D2286" s="1347" t="s">
        <v>3571</v>
      </c>
      <c r="E2286" s="1347" t="s">
        <v>1110</v>
      </c>
    </row>
    <row r="2287" spans="2:5" x14ac:dyDescent="0.45">
      <c r="B2287" s="1347" t="s">
        <v>1108</v>
      </c>
      <c r="C2287" s="1347" t="s">
        <v>1105</v>
      </c>
      <c r="D2287" s="1347" t="s">
        <v>3572</v>
      </c>
      <c r="E2287" s="1347" t="s">
        <v>3573</v>
      </c>
    </row>
    <row r="2288" spans="2:5" x14ac:dyDescent="0.45">
      <c r="B2288" s="1347" t="s">
        <v>1108</v>
      </c>
      <c r="D2288" s="1347" t="s">
        <v>3574</v>
      </c>
      <c r="E2288" s="1347" t="s">
        <v>3575</v>
      </c>
    </row>
    <row r="2289" spans="1:5" x14ac:dyDescent="0.45">
      <c r="B2289" s="1347" t="s">
        <v>1108</v>
      </c>
      <c r="D2289" s="1347" t="s">
        <v>3576</v>
      </c>
      <c r="E2289" s="1347" t="s">
        <v>3577</v>
      </c>
    </row>
    <row r="2290" spans="1:5" x14ac:dyDescent="0.45">
      <c r="B2290" s="1347" t="s">
        <v>3578</v>
      </c>
      <c r="D2290" s="1347" t="s">
        <v>3579</v>
      </c>
      <c r="E2290" s="1347" t="s">
        <v>3580</v>
      </c>
    </row>
    <row r="2291" spans="1:5" x14ac:dyDescent="0.45">
      <c r="B2291" s="1347" t="s">
        <v>3581</v>
      </c>
      <c r="D2291" s="1347" t="s">
        <v>3582</v>
      </c>
      <c r="E2291" s="1347" t="s">
        <v>3583</v>
      </c>
    </row>
    <row r="2292" spans="1:5" x14ac:dyDescent="0.45">
      <c r="B2292" s="1347" t="s">
        <v>1108</v>
      </c>
      <c r="D2292" s="1347" t="s">
        <v>3584</v>
      </c>
      <c r="E2292" s="1347" t="s">
        <v>1110</v>
      </c>
    </row>
    <row r="2293" spans="1:5" x14ac:dyDescent="0.45">
      <c r="B2293" s="1347" t="s">
        <v>3585</v>
      </c>
      <c r="D2293" s="1347" t="s">
        <v>3586</v>
      </c>
      <c r="E2293" s="1347" t="s">
        <v>3587</v>
      </c>
    </row>
    <row r="2294" spans="1:5" x14ac:dyDescent="0.45">
      <c r="B2294" s="1347" t="s">
        <v>1108</v>
      </c>
      <c r="D2294" s="1347" t="s">
        <v>3588</v>
      </c>
      <c r="E2294" s="1347" t="s">
        <v>3589</v>
      </c>
    </row>
    <row r="2295" spans="1:5" x14ac:dyDescent="0.45">
      <c r="B2295" s="1347" t="s">
        <v>3334</v>
      </c>
      <c r="D2295" s="1347" t="s">
        <v>3590</v>
      </c>
      <c r="E2295" s="1347" t="s">
        <v>3591</v>
      </c>
    </row>
    <row r="2296" spans="1:5" x14ac:dyDescent="0.45">
      <c r="B2296" s="1347" t="s">
        <v>1108</v>
      </c>
      <c r="D2296" s="1347" t="s">
        <v>3592</v>
      </c>
      <c r="E2296" s="1347" t="s">
        <v>3593</v>
      </c>
    </row>
    <row r="2297" spans="1:5" x14ac:dyDescent="0.45">
      <c r="B2297" s="1347" t="s">
        <v>3594</v>
      </c>
      <c r="D2297" s="1347" t="s">
        <v>3595</v>
      </c>
      <c r="E2297" s="1347" t="s">
        <v>3596</v>
      </c>
    </row>
    <row r="2298" spans="1:5" x14ac:dyDescent="0.45">
      <c r="B2298" s="1347" t="s">
        <v>3597</v>
      </c>
      <c r="D2298" s="1347" t="s">
        <v>3598</v>
      </c>
      <c r="E2298" s="1347" t="s">
        <v>3599</v>
      </c>
    </row>
    <row r="2299" spans="1:5" x14ac:dyDescent="0.45">
      <c r="B2299" s="1347" t="s">
        <v>3600</v>
      </c>
      <c r="D2299" s="1347" t="s">
        <v>1199</v>
      </c>
      <c r="E2299" s="1347" t="s">
        <v>3601</v>
      </c>
    </row>
    <row r="2300" spans="1:5" x14ac:dyDescent="0.45">
      <c r="A2300" s="1347" t="s">
        <v>1105</v>
      </c>
      <c r="B2300" s="1347" t="s">
        <v>3602</v>
      </c>
      <c r="C2300" s="1347" t="s">
        <v>1105</v>
      </c>
      <c r="D2300" s="1347" t="s">
        <v>3603</v>
      </c>
      <c r="E2300" s="1347" t="s">
        <v>3604</v>
      </c>
    </row>
    <row r="2301" spans="1:5" x14ac:dyDescent="0.45">
      <c r="A2301" s="1347" t="s">
        <v>1105</v>
      </c>
      <c r="B2301" s="1347" t="s">
        <v>3605</v>
      </c>
      <c r="D2301" s="1347" t="s">
        <v>3606</v>
      </c>
      <c r="E2301" s="1347" t="s">
        <v>3607</v>
      </c>
    </row>
    <row r="2302" spans="1:5" x14ac:dyDescent="0.45">
      <c r="B2302" s="1347" t="s">
        <v>1108</v>
      </c>
      <c r="D2302" s="1347" t="s">
        <v>3608</v>
      </c>
      <c r="E2302" s="1347" t="s">
        <v>3609</v>
      </c>
    </row>
    <row r="2303" spans="1:5" x14ac:dyDescent="0.45">
      <c r="B2303" s="1347" t="s">
        <v>1108</v>
      </c>
      <c r="D2303" s="1347" t="s">
        <v>3610</v>
      </c>
      <c r="E2303" s="1347" t="s">
        <v>3611</v>
      </c>
    </row>
    <row r="2304" spans="1:5" x14ac:dyDescent="0.45">
      <c r="A2304" s="1347">
        <v>1</v>
      </c>
      <c r="B2304" s="1347" t="s">
        <v>3612</v>
      </c>
      <c r="D2304" s="1347" t="s">
        <v>3613</v>
      </c>
      <c r="E2304" s="1347" t="s">
        <v>3614</v>
      </c>
    </row>
    <row r="2305" spans="1:5" x14ac:dyDescent="0.45">
      <c r="A2305" s="1347">
        <v>7</v>
      </c>
      <c r="B2305" s="1347" t="s">
        <v>2101</v>
      </c>
      <c r="D2305" s="1347" t="s">
        <v>3615</v>
      </c>
      <c r="E2305" s="1347" t="s">
        <v>3616</v>
      </c>
    </row>
    <row r="2306" spans="1:5" x14ac:dyDescent="0.45">
      <c r="B2306" s="1347" t="s">
        <v>1108</v>
      </c>
      <c r="D2306" s="1347" t="s">
        <v>1109</v>
      </c>
      <c r="E2306" s="1347" t="s">
        <v>3617</v>
      </c>
    </row>
    <row r="2307" spans="1:5" x14ac:dyDescent="0.45">
      <c r="B2307" s="1347" t="s">
        <v>1108</v>
      </c>
      <c r="D2307" s="1347" t="s">
        <v>1109</v>
      </c>
      <c r="E2307" s="1347" t="s">
        <v>1110</v>
      </c>
    </row>
    <row r="2308" spans="1:5" x14ac:dyDescent="0.45">
      <c r="B2308" s="1347" t="s">
        <v>1108</v>
      </c>
      <c r="D2308" s="1347" t="s">
        <v>1109</v>
      </c>
      <c r="E2308" s="1347" t="s">
        <v>1110</v>
      </c>
    </row>
    <row r="2309" spans="1:5" x14ac:dyDescent="0.45">
      <c r="B2309" s="1347" t="s">
        <v>1108</v>
      </c>
      <c r="D2309" s="1347" t="s">
        <v>1109</v>
      </c>
      <c r="E2309" s="1347" t="s">
        <v>1110</v>
      </c>
    </row>
    <row r="2310" spans="1:5" x14ac:dyDescent="0.45">
      <c r="B2310" s="1347" t="s">
        <v>1108</v>
      </c>
      <c r="D2310" s="1347" t="s">
        <v>1109</v>
      </c>
      <c r="E2310" s="1347" t="s">
        <v>1110</v>
      </c>
    </row>
    <row r="2311" spans="1:5" x14ac:dyDescent="0.45">
      <c r="B2311" s="1347" t="s">
        <v>1108</v>
      </c>
      <c r="D2311" s="1347" t="s">
        <v>1109</v>
      </c>
      <c r="E2311" s="1347" t="s">
        <v>1110</v>
      </c>
    </row>
    <row r="2312" spans="1:5" x14ac:dyDescent="0.45">
      <c r="B2312" s="1347" t="s">
        <v>1108</v>
      </c>
      <c r="D2312" s="1347" t="s">
        <v>1109</v>
      </c>
      <c r="E2312" s="1347" t="s">
        <v>1110</v>
      </c>
    </row>
    <row r="2313" spans="1:5" x14ac:dyDescent="0.45">
      <c r="B2313" s="1347" t="s">
        <v>1108</v>
      </c>
      <c r="D2313" s="1347" t="s">
        <v>1109</v>
      </c>
      <c r="E2313" s="1347" t="s">
        <v>1110</v>
      </c>
    </row>
    <row r="2314" spans="1:5" x14ac:dyDescent="0.45">
      <c r="B2314" s="1347" t="s">
        <v>1108</v>
      </c>
      <c r="D2314" s="1347" t="s">
        <v>1109</v>
      </c>
      <c r="E2314" s="1347" t="s">
        <v>1110</v>
      </c>
    </row>
    <row r="2315" spans="1:5" x14ac:dyDescent="0.45">
      <c r="B2315" s="1347" t="s">
        <v>1108</v>
      </c>
      <c r="D2315" s="1347" t="s">
        <v>1109</v>
      </c>
      <c r="E2315" s="1347" t="s">
        <v>1110</v>
      </c>
    </row>
    <row r="2316" spans="1:5" x14ac:dyDescent="0.45">
      <c r="B2316" s="1347" t="s">
        <v>1108</v>
      </c>
      <c r="D2316" s="1347" t="s">
        <v>1109</v>
      </c>
      <c r="E2316" s="1347" t="s">
        <v>1110</v>
      </c>
    </row>
    <row r="2317" spans="1:5" x14ac:dyDescent="0.45">
      <c r="B2317" s="1347" t="s">
        <v>1108</v>
      </c>
      <c r="D2317" s="1347" t="s">
        <v>1109</v>
      </c>
      <c r="E2317" s="1347" t="s">
        <v>1110</v>
      </c>
    </row>
    <row r="2318" spans="1:5" x14ac:dyDescent="0.45">
      <c r="B2318" s="1347" t="s">
        <v>1108</v>
      </c>
      <c r="D2318" s="1347" t="s">
        <v>1109</v>
      </c>
      <c r="E2318" s="1347" t="s">
        <v>1110</v>
      </c>
    </row>
    <row r="2319" spans="1:5" x14ac:dyDescent="0.45">
      <c r="B2319" s="1347" t="s">
        <v>1108</v>
      </c>
      <c r="D2319" s="1347" t="s">
        <v>1109</v>
      </c>
      <c r="E2319" s="1347" t="s">
        <v>1110</v>
      </c>
    </row>
    <row r="2320" spans="1:5" x14ac:dyDescent="0.45">
      <c r="B2320" s="1347" t="s">
        <v>1108</v>
      </c>
      <c r="D2320" s="1347" t="s">
        <v>1109</v>
      </c>
      <c r="E2320" s="1347" t="s">
        <v>1110</v>
      </c>
    </row>
    <row r="2321" spans="1:5" x14ac:dyDescent="0.45">
      <c r="B2321" s="1347" t="s">
        <v>1108</v>
      </c>
      <c r="D2321" s="1347" t="s">
        <v>1109</v>
      </c>
      <c r="E2321" s="1347" t="s">
        <v>1110</v>
      </c>
    </row>
    <row r="2322" spans="1:5" x14ac:dyDescent="0.45">
      <c r="B2322" s="1347" t="s">
        <v>1108</v>
      </c>
      <c r="D2322" s="1347" t="s">
        <v>1109</v>
      </c>
      <c r="E2322" s="1347" t="s">
        <v>1110</v>
      </c>
    </row>
    <row r="2323" spans="1:5" x14ac:dyDescent="0.45">
      <c r="B2323" s="1347" t="s">
        <v>1108</v>
      </c>
      <c r="D2323" s="1347" t="s">
        <v>1109</v>
      </c>
      <c r="E2323" s="1347" t="s">
        <v>1110</v>
      </c>
    </row>
    <row r="2324" spans="1:5" x14ac:dyDescent="0.45">
      <c r="B2324" s="1347" t="s">
        <v>1108</v>
      </c>
      <c r="D2324" s="1347" t="s">
        <v>1109</v>
      </c>
      <c r="E2324" s="1347" t="s">
        <v>1110</v>
      </c>
    </row>
    <row r="2325" spans="1:5" x14ac:dyDescent="0.45">
      <c r="B2325" s="1347" t="s">
        <v>1108</v>
      </c>
      <c r="D2325" s="1347" t="s">
        <v>1109</v>
      </c>
      <c r="E2325" s="1347" t="s">
        <v>1110</v>
      </c>
    </row>
    <row r="2326" spans="1:5" x14ac:dyDescent="0.45">
      <c r="B2326" s="1347" t="s">
        <v>1108</v>
      </c>
      <c r="D2326" s="1347" t="s">
        <v>1109</v>
      </c>
      <c r="E2326" s="1347" t="s">
        <v>3618</v>
      </c>
    </row>
    <row r="2327" spans="1:5" x14ac:dyDescent="0.45">
      <c r="B2327" s="1347" t="s">
        <v>3619</v>
      </c>
      <c r="D2327" s="1347" t="s">
        <v>3620</v>
      </c>
      <c r="E2327" s="1347" t="s">
        <v>3621</v>
      </c>
    </row>
    <row r="2328" spans="1:5" x14ac:dyDescent="0.45">
      <c r="B2328" s="1347" t="s">
        <v>1108</v>
      </c>
      <c r="D2328" s="1347" t="s">
        <v>3622</v>
      </c>
      <c r="E2328" s="1347" t="s">
        <v>3623</v>
      </c>
    </row>
    <row r="2329" spans="1:5" x14ac:dyDescent="0.45">
      <c r="A2329" s="1347" t="s">
        <v>1105</v>
      </c>
      <c r="B2329" s="1347" t="s">
        <v>3624</v>
      </c>
      <c r="D2329" s="1347" t="s">
        <v>3625</v>
      </c>
      <c r="E2329" s="1347" t="s">
        <v>3626</v>
      </c>
    </row>
    <row r="2330" spans="1:5" x14ac:dyDescent="0.45">
      <c r="A2330" s="1347">
        <v>2</v>
      </c>
      <c r="B2330" s="1347" t="s">
        <v>3627</v>
      </c>
      <c r="D2330" s="1347" t="s">
        <v>3628</v>
      </c>
      <c r="E2330" s="1347" t="s">
        <v>3629</v>
      </c>
    </row>
    <row r="2331" spans="1:5" x14ac:dyDescent="0.45">
      <c r="B2331" s="1347" t="s">
        <v>1108</v>
      </c>
      <c r="D2331" s="1347" t="s">
        <v>3630</v>
      </c>
      <c r="E2331" s="1347" t="s">
        <v>1435</v>
      </c>
    </row>
    <row r="2332" spans="1:5" x14ac:dyDescent="0.45">
      <c r="B2332" s="1347" t="s">
        <v>3631</v>
      </c>
      <c r="D2332" s="1347" t="s">
        <v>3632</v>
      </c>
      <c r="E2332" s="1347" t="s">
        <v>3633</v>
      </c>
    </row>
    <row r="2333" spans="1:5" x14ac:dyDescent="0.45">
      <c r="A2333" s="1347">
        <v>1</v>
      </c>
      <c r="B2333" s="1347" t="s">
        <v>3634</v>
      </c>
      <c r="D2333" s="1347" t="s">
        <v>3635</v>
      </c>
      <c r="E2333" s="1347" t="s">
        <v>3636</v>
      </c>
    </row>
    <row r="2334" spans="1:5" x14ac:dyDescent="0.45">
      <c r="A2334" s="1347" t="s">
        <v>1105</v>
      </c>
      <c r="B2334" s="1347" t="s">
        <v>3637</v>
      </c>
      <c r="D2334" s="1347" t="s">
        <v>3638</v>
      </c>
      <c r="E2334" s="1347" t="s">
        <v>3639</v>
      </c>
    </row>
    <row r="2335" spans="1:5" x14ac:dyDescent="0.45">
      <c r="B2335" s="1347" t="s">
        <v>1108</v>
      </c>
      <c r="D2335" s="1347" t="s">
        <v>3640</v>
      </c>
      <c r="E2335" s="1347" t="s">
        <v>3641</v>
      </c>
    </row>
    <row r="2336" spans="1:5" x14ac:dyDescent="0.45">
      <c r="B2336" s="1347" t="s">
        <v>3642</v>
      </c>
      <c r="C2336" s="1347" t="s">
        <v>1105</v>
      </c>
      <c r="D2336" s="1347" t="s">
        <v>3643</v>
      </c>
      <c r="E2336" s="1347" t="s">
        <v>3644</v>
      </c>
    </row>
    <row r="2337" spans="1:5" x14ac:dyDescent="0.45">
      <c r="A2337" s="1347" t="s">
        <v>1105</v>
      </c>
      <c r="B2337" s="1347" t="s">
        <v>3645</v>
      </c>
      <c r="D2337" s="1347" t="s">
        <v>3646</v>
      </c>
      <c r="E2337" s="1347" t="s">
        <v>3647</v>
      </c>
    </row>
    <row r="2338" spans="1:5" x14ac:dyDescent="0.45">
      <c r="B2338" s="1347" t="s">
        <v>3648</v>
      </c>
      <c r="D2338" s="1347" t="s">
        <v>3649</v>
      </c>
      <c r="E2338" s="1347" t="s">
        <v>3650</v>
      </c>
    </row>
    <row r="2339" spans="1:5" x14ac:dyDescent="0.45">
      <c r="B2339" s="1347" t="s">
        <v>3651</v>
      </c>
      <c r="D2339" s="1347" t="s">
        <v>3652</v>
      </c>
      <c r="E2339" s="1347" t="s">
        <v>3653</v>
      </c>
    </row>
    <row r="2340" spans="1:5" x14ac:dyDescent="0.45">
      <c r="A2340" s="1347" t="s">
        <v>1105</v>
      </c>
      <c r="B2340" s="1347" t="s">
        <v>3654</v>
      </c>
      <c r="D2340" s="1347" t="s">
        <v>3655</v>
      </c>
      <c r="E2340" s="1347" t="s">
        <v>3656</v>
      </c>
    </row>
    <row r="2341" spans="1:5" x14ac:dyDescent="0.45">
      <c r="B2341" s="1347" t="s">
        <v>3657</v>
      </c>
      <c r="D2341" s="1347" t="s">
        <v>3658</v>
      </c>
      <c r="E2341" s="1347" t="s">
        <v>3659</v>
      </c>
    </row>
    <row r="2342" spans="1:5" x14ac:dyDescent="0.45">
      <c r="B2342" s="1347" t="s">
        <v>1108</v>
      </c>
      <c r="D2342" s="1347" t="s">
        <v>3660</v>
      </c>
      <c r="E2342" s="1347" t="s">
        <v>3661</v>
      </c>
    </row>
    <row r="2343" spans="1:5" x14ac:dyDescent="0.45">
      <c r="A2343" s="1347">
        <v>-4</v>
      </c>
      <c r="B2343" s="1347" t="s">
        <v>3662</v>
      </c>
      <c r="D2343" s="1347" t="s">
        <v>3663</v>
      </c>
      <c r="E2343" s="1347" t="s">
        <v>3664</v>
      </c>
    </row>
    <row r="2344" spans="1:5" x14ac:dyDescent="0.45">
      <c r="B2344" s="1347" t="s">
        <v>3665</v>
      </c>
      <c r="D2344" s="1347" t="s">
        <v>3666</v>
      </c>
      <c r="E2344" s="1347" t="s">
        <v>3667</v>
      </c>
    </row>
    <row r="2345" spans="1:5" x14ac:dyDescent="0.45">
      <c r="B2345" s="1347" t="s">
        <v>1108</v>
      </c>
      <c r="D2345" s="1347" t="s">
        <v>1109</v>
      </c>
      <c r="E2345" s="1347" t="s">
        <v>3668</v>
      </c>
    </row>
    <row r="2346" spans="1:5" x14ac:dyDescent="0.45">
      <c r="B2346" s="1347" t="s">
        <v>3669</v>
      </c>
      <c r="D2346" s="1347" t="s">
        <v>3670</v>
      </c>
      <c r="E2346" s="1347" t="s">
        <v>3671</v>
      </c>
    </row>
    <row r="2347" spans="1:5" x14ac:dyDescent="0.45">
      <c r="B2347" s="1347" t="s">
        <v>3672</v>
      </c>
      <c r="D2347" s="1347" t="s">
        <v>3673</v>
      </c>
      <c r="E2347" s="1347" t="s">
        <v>1220</v>
      </c>
    </row>
    <row r="2348" spans="1:5" x14ac:dyDescent="0.45">
      <c r="B2348" s="1347" t="s">
        <v>1108</v>
      </c>
      <c r="D2348" s="1347" t="s">
        <v>3674</v>
      </c>
      <c r="E2348" s="1347" t="s">
        <v>3675</v>
      </c>
    </row>
    <row r="2349" spans="1:5" x14ac:dyDescent="0.45">
      <c r="A2349" s="1347" t="s">
        <v>1105</v>
      </c>
      <c r="B2349" s="1347" t="s">
        <v>3676</v>
      </c>
      <c r="D2349" s="1347" t="s">
        <v>3677</v>
      </c>
      <c r="E2349" s="1347" t="s">
        <v>3678</v>
      </c>
    </row>
    <row r="2350" spans="1:5" x14ac:dyDescent="0.45">
      <c r="B2350" s="1347" t="s">
        <v>1610</v>
      </c>
      <c r="D2350" s="1347" t="s">
        <v>1109</v>
      </c>
      <c r="E2350" s="1347" t="s">
        <v>3679</v>
      </c>
    </row>
    <row r="2351" spans="1:5" x14ac:dyDescent="0.45">
      <c r="B2351" s="1347" t="s">
        <v>3680</v>
      </c>
      <c r="D2351" s="1347" t="s">
        <v>3681</v>
      </c>
      <c r="E2351" s="1347" t="s">
        <v>3682</v>
      </c>
    </row>
    <row r="2352" spans="1:5" x14ac:dyDescent="0.45">
      <c r="A2352" s="1347" t="s">
        <v>1105</v>
      </c>
      <c r="B2352" s="1347" t="s">
        <v>3683</v>
      </c>
      <c r="D2352" s="1347" t="s">
        <v>3684</v>
      </c>
      <c r="E2352" s="1347" t="s">
        <v>3685</v>
      </c>
    </row>
    <row r="2353" spans="1:5" x14ac:dyDescent="0.45">
      <c r="B2353" s="1347" t="s">
        <v>1108</v>
      </c>
      <c r="C2353" s="1347" t="s">
        <v>1105</v>
      </c>
      <c r="D2353" s="1347" t="s">
        <v>3686</v>
      </c>
      <c r="E2353" s="1347" t="s">
        <v>3687</v>
      </c>
    </row>
    <row r="2354" spans="1:5" x14ac:dyDescent="0.45">
      <c r="B2354" s="1347">
        <f>-18   -230</f>
        <v>-248</v>
      </c>
      <c r="D2354" s="1347">
        <f>-85   -317   -618   -41</f>
        <v>-1061</v>
      </c>
      <c r="E2354" s="1347" t="s">
        <v>3688</v>
      </c>
    </row>
    <row r="2355" spans="1:5" x14ac:dyDescent="0.45">
      <c r="B2355" s="1347" t="s">
        <v>1108</v>
      </c>
      <c r="D2355" s="1347" t="s">
        <v>3689</v>
      </c>
      <c r="E2355" s="1347" t="s">
        <v>3690</v>
      </c>
    </row>
    <row r="2356" spans="1:5" x14ac:dyDescent="0.45">
      <c r="B2356" s="1347" t="s">
        <v>3691</v>
      </c>
      <c r="D2356" s="1347" t="s">
        <v>3692</v>
      </c>
      <c r="E2356" s="1347" t="s">
        <v>3693</v>
      </c>
    </row>
    <row r="2357" spans="1:5" x14ac:dyDescent="0.45">
      <c r="B2357" s="1347" t="s">
        <v>2653</v>
      </c>
      <c r="D2357" s="1347" t="s">
        <v>3694</v>
      </c>
      <c r="E2357" s="1347" t="s">
        <v>3695</v>
      </c>
    </row>
    <row r="2358" spans="1:5" x14ac:dyDescent="0.45">
      <c r="B2358" s="1347" t="s">
        <v>3696</v>
      </c>
      <c r="D2358" s="1347" t="s">
        <v>1109</v>
      </c>
      <c r="E2358" s="1347" t="s">
        <v>3697</v>
      </c>
    </row>
    <row r="2359" spans="1:5" x14ac:dyDescent="0.45">
      <c r="B2359" s="1347" t="s">
        <v>3698</v>
      </c>
      <c r="C2359" s="1347" t="s">
        <v>1105</v>
      </c>
      <c r="D2359" s="1347" t="s">
        <v>3699</v>
      </c>
      <c r="E2359" s="1347" t="s">
        <v>3700</v>
      </c>
    </row>
    <row r="2360" spans="1:5" x14ac:dyDescent="0.45">
      <c r="B2360" s="1347" t="s">
        <v>3701</v>
      </c>
      <c r="D2360" s="1347" t="s">
        <v>3702</v>
      </c>
      <c r="E2360" s="1347" t="s">
        <v>3703</v>
      </c>
    </row>
    <row r="2361" spans="1:5" x14ac:dyDescent="0.45">
      <c r="B2361" s="1347" t="s">
        <v>3585</v>
      </c>
      <c r="D2361" s="1347" t="s">
        <v>3704</v>
      </c>
      <c r="E2361" s="1347" t="s">
        <v>1110</v>
      </c>
    </row>
    <row r="2362" spans="1:5" x14ac:dyDescent="0.45">
      <c r="A2362" s="1347">
        <v>1</v>
      </c>
      <c r="B2362" s="1347" t="s">
        <v>3705</v>
      </c>
      <c r="C2362" s="1347" t="s">
        <v>1105</v>
      </c>
      <c r="D2362" s="1347" t="s">
        <v>3706</v>
      </c>
      <c r="E2362" s="1347" t="s">
        <v>3707</v>
      </c>
    </row>
    <row r="2363" spans="1:5" x14ac:dyDescent="0.45">
      <c r="B2363" s="1347" t="s">
        <v>1108</v>
      </c>
      <c r="D2363" s="1347" t="s">
        <v>3708</v>
      </c>
      <c r="E2363" s="1347" t="s">
        <v>3709</v>
      </c>
    </row>
    <row r="2364" spans="1:5" x14ac:dyDescent="0.45">
      <c r="B2364" s="1347" t="s">
        <v>3710</v>
      </c>
      <c r="D2364" s="1347" t="s">
        <v>3711</v>
      </c>
      <c r="E2364" s="1347" t="s">
        <v>1110</v>
      </c>
    </row>
    <row r="2365" spans="1:5" x14ac:dyDescent="0.45">
      <c r="B2365" s="1347" t="s">
        <v>1108</v>
      </c>
      <c r="D2365" s="1347" t="s">
        <v>3712</v>
      </c>
      <c r="E2365" s="1347" t="s">
        <v>3713</v>
      </c>
    </row>
    <row r="2366" spans="1:5" x14ac:dyDescent="0.45">
      <c r="A2366" s="1347">
        <v>5</v>
      </c>
      <c r="B2366" s="1347" t="s">
        <v>3714</v>
      </c>
      <c r="D2366" s="1347" t="s">
        <v>1109</v>
      </c>
      <c r="E2366" s="1347" t="s">
        <v>1110</v>
      </c>
    </row>
    <row r="2367" spans="1:5" x14ac:dyDescent="0.45">
      <c r="B2367" s="1347" t="s">
        <v>1108</v>
      </c>
      <c r="D2367" s="1347" t="s">
        <v>1109</v>
      </c>
      <c r="E2367" s="1347" t="s">
        <v>1110</v>
      </c>
    </row>
    <row r="2368" spans="1:5" x14ac:dyDescent="0.45">
      <c r="B2368" s="1347" t="s">
        <v>1108</v>
      </c>
      <c r="D2368" s="1347" t="s">
        <v>1109</v>
      </c>
      <c r="E2368" s="1347" t="s">
        <v>1110</v>
      </c>
    </row>
    <row r="2369" spans="2:5" x14ac:dyDescent="0.45">
      <c r="B2369" s="1347" t="s">
        <v>1108</v>
      </c>
      <c r="D2369" s="1347" t="s">
        <v>1109</v>
      </c>
      <c r="E2369" s="1347" t="s">
        <v>1110</v>
      </c>
    </row>
    <row r="2370" spans="2:5" x14ac:dyDescent="0.45">
      <c r="B2370" s="1347" t="s">
        <v>1108</v>
      </c>
      <c r="D2370" s="1347" t="s">
        <v>1109</v>
      </c>
      <c r="E2370" s="1347" t="s">
        <v>1110</v>
      </c>
    </row>
    <row r="2371" spans="2:5" x14ac:dyDescent="0.45">
      <c r="B2371" s="1347" t="s">
        <v>1108</v>
      </c>
      <c r="D2371" s="1347" t="s">
        <v>1109</v>
      </c>
      <c r="E2371" s="1347" t="s">
        <v>1110</v>
      </c>
    </row>
    <row r="2372" spans="2:5" x14ac:dyDescent="0.45">
      <c r="B2372" s="1347" t="s">
        <v>1108</v>
      </c>
      <c r="D2372" s="1347" t="s">
        <v>1109</v>
      </c>
      <c r="E2372" s="1347" t="s">
        <v>1110</v>
      </c>
    </row>
    <row r="2373" spans="2:5" x14ac:dyDescent="0.45">
      <c r="B2373" s="1347" t="s">
        <v>1108</v>
      </c>
      <c r="D2373" s="1347" t="s">
        <v>1109</v>
      </c>
      <c r="E2373" s="1347" t="s">
        <v>1110</v>
      </c>
    </row>
    <row r="2374" spans="2:5" x14ac:dyDescent="0.45">
      <c r="B2374" s="1347" t="s">
        <v>1108</v>
      </c>
      <c r="D2374" s="1347" t="s">
        <v>1109</v>
      </c>
      <c r="E2374" s="1347" t="s">
        <v>1110</v>
      </c>
    </row>
    <row r="2375" spans="2:5" x14ac:dyDescent="0.45">
      <c r="B2375" s="1347" t="s">
        <v>1108</v>
      </c>
      <c r="D2375" s="1347" t="s">
        <v>1109</v>
      </c>
      <c r="E2375" s="1347" t="s">
        <v>1110</v>
      </c>
    </row>
    <row r="2376" spans="2:5" x14ac:dyDescent="0.45">
      <c r="B2376" s="1347" t="s">
        <v>1108</v>
      </c>
      <c r="D2376" s="1347" t="s">
        <v>1109</v>
      </c>
      <c r="E2376" s="1347" t="s">
        <v>1110</v>
      </c>
    </row>
    <row r="2377" spans="2:5" x14ac:dyDescent="0.45">
      <c r="B2377" s="1347" t="s">
        <v>1108</v>
      </c>
      <c r="D2377" s="1347" t="s">
        <v>1109</v>
      </c>
      <c r="E2377" s="1347" t="s">
        <v>1110</v>
      </c>
    </row>
    <row r="2378" spans="2:5" x14ac:dyDescent="0.45">
      <c r="B2378" s="1347" t="s">
        <v>1108</v>
      </c>
      <c r="D2378" s="1347" t="s">
        <v>1109</v>
      </c>
      <c r="E2378" s="1347" t="s">
        <v>1110</v>
      </c>
    </row>
    <row r="2379" spans="2:5" x14ac:dyDescent="0.45">
      <c r="B2379" s="1347" t="s">
        <v>1108</v>
      </c>
      <c r="D2379" s="1347" t="s">
        <v>1109</v>
      </c>
      <c r="E2379" s="1347" t="s">
        <v>1110</v>
      </c>
    </row>
    <row r="2380" spans="2:5" x14ac:dyDescent="0.45">
      <c r="B2380" s="1347" t="s">
        <v>1108</v>
      </c>
      <c r="D2380" s="1347" t="s">
        <v>1109</v>
      </c>
      <c r="E2380" s="1347" t="s">
        <v>1110</v>
      </c>
    </row>
    <row r="2381" spans="2:5" x14ac:dyDescent="0.45">
      <c r="B2381" s="1347" t="s">
        <v>1108</v>
      </c>
      <c r="D2381" s="1347" t="s">
        <v>1109</v>
      </c>
      <c r="E2381" s="1347" t="s">
        <v>1110</v>
      </c>
    </row>
    <row r="2382" spans="2:5" x14ac:dyDescent="0.45">
      <c r="B2382" s="1347" t="s">
        <v>1108</v>
      </c>
      <c r="D2382" s="1347" t="s">
        <v>1109</v>
      </c>
      <c r="E2382" s="1347" t="s">
        <v>1110</v>
      </c>
    </row>
    <row r="2383" spans="2:5" x14ac:dyDescent="0.45">
      <c r="B2383" s="1347" t="s">
        <v>1108</v>
      </c>
      <c r="D2383" s="1347" t="s">
        <v>1109</v>
      </c>
      <c r="E2383" s="1347" t="s">
        <v>1110</v>
      </c>
    </row>
    <row r="2384" spans="2:5" x14ac:dyDescent="0.45">
      <c r="B2384" s="1347" t="s">
        <v>1108</v>
      </c>
      <c r="D2384" s="1347" t="s">
        <v>1109</v>
      </c>
      <c r="E2384" s="1347" t="s">
        <v>1110</v>
      </c>
    </row>
    <row r="2385" spans="2:5" x14ac:dyDescent="0.45">
      <c r="B2385" s="1347" t="s">
        <v>1108</v>
      </c>
      <c r="D2385" s="1347" t="s">
        <v>1109</v>
      </c>
      <c r="E2385" s="1347" t="s">
        <v>1110</v>
      </c>
    </row>
    <row r="2386" spans="2:5" x14ac:dyDescent="0.45">
      <c r="B2386" s="1347" t="s">
        <v>1108</v>
      </c>
      <c r="D2386" s="1347" t="s">
        <v>1109</v>
      </c>
      <c r="E2386" s="1347" t="s">
        <v>1110</v>
      </c>
    </row>
    <row r="2387" spans="2:5" x14ac:dyDescent="0.45">
      <c r="B2387" s="1347" t="s">
        <v>1108</v>
      </c>
      <c r="D2387" s="1347" t="s">
        <v>1109</v>
      </c>
      <c r="E2387" s="1347" t="s">
        <v>1110</v>
      </c>
    </row>
    <row r="2388" spans="2:5" x14ac:dyDescent="0.45">
      <c r="B2388" s="1347" t="s">
        <v>1108</v>
      </c>
      <c r="D2388" s="1347" t="s">
        <v>1109</v>
      </c>
      <c r="E2388" s="1347" t="s">
        <v>1110</v>
      </c>
    </row>
    <row r="2389" spans="2:5" x14ac:dyDescent="0.45">
      <c r="B2389" s="1347" t="s">
        <v>1108</v>
      </c>
      <c r="D2389" s="1347" t="s">
        <v>1109</v>
      </c>
      <c r="E2389" s="1347" t="s">
        <v>1110</v>
      </c>
    </row>
    <row r="2390" spans="2:5" x14ac:dyDescent="0.45">
      <c r="B2390" s="1347" t="s">
        <v>1108</v>
      </c>
      <c r="D2390" s="1347" t="s">
        <v>1109</v>
      </c>
      <c r="E2390" s="1347" t="s">
        <v>1110</v>
      </c>
    </row>
    <row r="2391" spans="2:5" x14ac:dyDescent="0.45">
      <c r="B2391" s="1347" t="s">
        <v>1108</v>
      </c>
      <c r="D2391" s="1347" t="s">
        <v>1109</v>
      </c>
      <c r="E2391" s="1347" t="s">
        <v>1110</v>
      </c>
    </row>
    <row r="2392" spans="2:5" x14ac:dyDescent="0.45">
      <c r="B2392" s="1347" t="s">
        <v>1108</v>
      </c>
      <c r="D2392" s="1347" t="s">
        <v>1109</v>
      </c>
      <c r="E2392" s="1347" t="s">
        <v>1110</v>
      </c>
    </row>
    <row r="2393" spans="2:5" x14ac:dyDescent="0.45">
      <c r="B2393" s="1347" t="s">
        <v>1108</v>
      </c>
      <c r="D2393" s="1347" t="s">
        <v>1109</v>
      </c>
      <c r="E2393" s="1347" t="s">
        <v>1110</v>
      </c>
    </row>
    <row r="2394" spans="2:5" x14ac:dyDescent="0.45">
      <c r="B2394" s="1347" t="s">
        <v>1108</v>
      </c>
      <c r="D2394" s="1347" t="s">
        <v>1109</v>
      </c>
      <c r="E2394" s="1347" t="s">
        <v>1110</v>
      </c>
    </row>
    <row r="2395" spans="2:5" x14ac:dyDescent="0.45">
      <c r="B2395" s="1347" t="s">
        <v>1108</v>
      </c>
      <c r="D2395" s="1347" t="s">
        <v>1109</v>
      </c>
      <c r="E2395" s="1347" t="s">
        <v>1110</v>
      </c>
    </row>
    <row r="2396" spans="2:5" x14ac:dyDescent="0.45">
      <c r="B2396" s="1347" t="s">
        <v>1108</v>
      </c>
      <c r="D2396" s="1347" t="s">
        <v>1109</v>
      </c>
      <c r="E2396" s="1347" t="s">
        <v>1110</v>
      </c>
    </row>
    <row r="2397" spans="2:5" x14ac:dyDescent="0.45">
      <c r="B2397" s="1347" t="s">
        <v>1108</v>
      </c>
      <c r="D2397" s="1347" t="s">
        <v>1109</v>
      </c>
      <c r="E2397" s="1347" t="s">
        <v>1110</v>
      </c>
    </row>
    <row r="2398" spans="2:5" x14ac:dyDescent="0.45">
      <c r="B2398" s="1347" t="s">
        <v>1108</v>
      </c>
      <c r="D2398" s="1347" t="s">
        <v>1109</v>
      </c>
      <c r="E2398" s="1347" t="s">
        <v>1110</v>
      </c>
    </row>
    <row r="2399" spans="2:5" x14ac:dyDescent="0.45">
      <c r="B2399" s="1347" t="s">
        <v>1108</v>
      </c>
      <c r="D2399" s="1347" t="s">
        <v>1109</v>
      </c>
      <c r="E2399" s="1347" t="s">
        <v>1110</v>
      </c>
    </row>
    <row r="2400" spans="2:5" x14ac:dyDescent="0.45">
      <c r="B2400" s="1347" t="s">
        <v>1108</v>
      </c>
      <c r="D2400" s="1347" t="s">
        <v>1109</v>
      </c>
      <c r="E2400" s="1347" t="s">
        <v>1110</v>
      </c>
    </row>
    <row r="2401" spans="2:5" x14ac:dyDescent="0.45">
      <c r="B2401" s="1347" t="s">
        <v>1108</v>
      </c>
      <c r="D2401" s="1347" t="s">
        <v>1109</v>
      </c>
      <c r="E2401" s="1347" t="s">
        <v>1110</v>
      </c>
    </row>
    <row r="2402" spans="2:5" x14ac:dyDescent="0.45">
      <c r="B2402" s="1347" t="s">
        <v>1108</v>
      </c>
      <c r="D2402" s="1347" t="s">
        <v>1109</v>
      </c>
      <c r="E2402" s="1347" t="s">
        <v>1110</v>
      </c>
    </row>
    <row r="2403" spans="2:5" x14ac:dyDescent="0.45">
      <c r="B2403" s="1347" t="s">
        <v>1108</v>
      </c>
      <c r="D2403" s="1347" t="s">
        <v>1109</v>
      </c>
      <c r="E2403" s="1347" t="s">
        <v>1110</v>
      </c>
    </row>
    <row r="2404" spans="2:5" x14ac:dyDescent="0.45">
      <c r="B2404" s="1347" t="s">
        <v>1108</v>
      </c>
      <c r="D2404" s="1347" t="s">
        <v>1109</v>
      </c>
      <c r="E2404" s="1347" t="s">
        <v>1110</v>
      </c>
    </row>
    <row r="2405" spans="2:5" x14ac:dyDescent="0.45">
      <c r="B2405" s="1347" t="s">
        <v>1108</v>
      </c>
      <c r="D2405" s="1347" t="s">
        <v>1109</v>
      </c>
      <c r="E2405" s="1347" t="s">
        <v>1110</v>
      </c>
    </row>
    <row r="2406" spans="2:5" x14ac:dyDescent="0.45">
      <c r="B2406" s="1347" t="s">
        <v>1108</v>
      </c>
      <c r="D2406" s="1347" t="s">
        <v>1109</v>
      </c>
      <c r="E2406" s="1347" t="s">
        <v>1110</v>
      </c>
    </row>
    <row r="2407" spans="2:5" x14ac:dyDescent="0.45">
      <c r="B2407" s="1347" t="s">
        <v>1108</v>
      </c>
      <c r="D2407" s="1347" t="s">
        <v>1109</v>
      </c>
      <c r="E2407" s="1347" t="s">
        <v>1110</v>
      </c>
    </row>
    <row r="2408" spans="2:5" x14ac:dyDescent="0.45">
      <c r="B2408" s="1347" t="s">
        <v>1108</v>
      </c>
      <c r="D2408" s="1347" t="s">
        <v>1109</v>
      </c>
      <c r="E2408" s="1347" t="s">
        <v>1110</v>
      </c>
    </row>
    <row r="2409" spans="2:5" x14ac:dyDescent="0.45">
      <c r="B2409" s="1347" t="s">
        <v>1108</v>
      </c>
      <c r="D2409" s="1347" t="s">
        <v>1109</v>
      </c>
      <c r="E2409" s="1347" t="s">
        <v>1110</v>
      </c>
    </row>
    <row r="2410" spans="2:5" x14ac:dyDescent="0.45">
      <c r="B2410" s="1347" t="s">
        <v>1108</v>
      </c>
      <c r="D2410" s="1347" t="s">
        <v>1109</v>
      </c>
      <c r="E2410" s="1347" t="s">
        <v>1110</v>
      </c>
    </row>
    <row r="2411" spans="2:5" x14ac:dyDescent="0.45">
      <c r="B2411" s="1347" t="s">
        <v>1108</v>
      </c>
      <c r="D2411" s="1347" t="s">
        <v>1109</v>
      </c>
      <c r="E2411" s="1347" t="s">
        <v>1110</v>
      </c>
    </row>
    <row r="2412" spans="2:5" x14ac:dyDescent="0.45">
      <c r="B2412" s="1347" t="s">
        <v>1108</v>
      </c>
      <c r="D2412" s="1347" t="s">
        <v>1109</v>
      </c>
      <c r="E2412" s="1347" t="s">
        <v>1110</v>
      </c>
    </row>
    <row r="2413" spans="2:5" x14ac:dyDescent="0.45">
      <c r="B2413" s="1347" t="s">
        <v>1108</v>
      </c>
      <c r="D2413" s="1347" t="s">
        <v>1109</v>
      </c>
      <c r="E2413" s="1347" t="s">
        <v>1110</v>
      </c>
    </row>
    <row r="2414" spans="2:5" x14ac:dyDescent="0.45">
      <c r="B2414" s="1347" t="s">
        <v>1108</v>
      </c>
      <c r="D2414" s="1347" t="s">
        <v>1109</v>
      </c>
      <c r="E2414" s="1347" t="s">
        <v>1110</v>
      </c>
    </row>
    <row r="2415" spans="2:5" x14ac:dyDescent="0.45">
      <c r="B2415" s="1347" t="s">
        <v>1108</v>
      </c>
      <c r="D2415" s="1347" t="s">
        <v>1109</v>
      </c>
      <c r="E2415" s="1347" t="s">
        <v>1110</v>
      </c>
    </row>
    <row r="2416" spans="2:5" x14ac:dyDescent="0.45">
      <c r="B2416" s="1347" t="s">
        <v>1108</v>
      </c>
      <c r="D2416" s="1347" t="s">
        <v>1109</v>
      </c>
      <c r="E2416" s="1347" t="s">
        <v>1110</v>
      </c>
    </row>
    <row r="2417" spans="2:5" x14ac:dyDescent="0.45">
      <c r="B2417" s="1347" t="s">
        <v>1108</v>
      </c>
      <c r="D2417" s="1347" t="s">
        <v>1109</v>
      </c>
      <c r="E2417" s="1347" t="s">
        <v>1110</v>
      </c>
    </row>
    <row r="2418" spans="2:5" x14ac:dyDescent="0.45">
      <c r="B2418" s="1347" t="s">
        <v>1108</v>
      </c>
      <c r="D2418" s="1347" t="s">
        <v>1109</v>
      </c>
      <c r="E2418" s="1347" t="s">
        <v>1110</v>
      </c>
    </row>
    <row r="2419" spans="2:5" x14ac:dyDescent="0.45">
      <c r="B2419" s="1347" t="s">
        <v>1108</v>
      </c>
      <c r="D2419" s="1347" t="s">
        <v>1109</v>
      </c>
      <c r="E2419" s="1347" t="s">
        <v>1110</v>
      </c>
    </row>
    <row r="2420" spans="2:5" x14ac:dyDescent="0.45">
      <c r="B2420" s="1347" t="s">
        <v>1108</v>
      </c>
      <c r="D2420" s="1347" t="s">
        <v>1109</v>
      </c>
      <c r="E2420" s="1347" t="s">
        <v>1110</v>
      </c>
    </row>
    <row r="2421" spans="2:5" x14ac:dyDescent="0.45">
      <c r="B2421" s="1347" t="s">
        <v>1108</v>
      </c>
      <c r="D2421" s="1347" t="s">
        <v>1109</v>
      </c>
      <c r="E2421" s="1347" t="s">
        <v>1110</v>
      </c>
    </row>
    <row r="2422" spans="2:5" x14ac:dyDescent="0.45">
      <c r="B2422" s="1347" t="s">
        <v>1108</v>
      </c>
      <c r="D2422" s="1347" t="s">
        <v>1109</v>
      </c>
      <c r="E2422" s="1347" t="s">
        <v>1110</v>
      </c>
    </row>
    <row r="2423" spans="2:5" x14ac:dyDescent="0.45">
      <c r="B2423" s="1347" t="s">
        <v>1108</v>
      </c>
      <c r="D2423" s="1347" t="s">
        <v>1109</v>
      </c>
      <c r="E2423" s="1347" t="s">
        <v>1110</v>
      </c>
    </row>
    <row r="2424" spans="2:5" x14ac:dyDescent="0.45">
      <c r="B2424" s="1347" t="s">
        <v>1108</v>
      </c>
      <c r="D2424" s="1347" t="s">
        <v>1109</v>
      </c>
      <c r="E2424" s="1347" t="s">
        <v>1110</v>
      </c>
    </row>
    <row r="2425" spans="2:5" x14ac:dyDescent="0.45">
      <c r="B2425" s="1347" t="s">
        <v>1108</v>
      </c>
      <c r="D2425" s="1347" t="s">
        <v>1109</v>
      </c>
      <c r="E2425" s="1347" t="s">
        <v>1110</v>
      </c>
    </row>
    <row r="2426" spans="2:5" x14ac:dyDescent="0.45">
      <c r="B2426" s="1347" t="s">
        <v>1108</v>
      </c>
      <c r="D2426" s="1347" t="s">
        <v>1109</v>
      </c>
      <c r="E2426" s="1347" t="s">
        <v>1110</v>
      </c>
    </row>
    <row r="2427" spans="2:5" x14ac:dyDescent="0.45">
      <c r="B2427" s="1347" t="s">
        <v>1108</v>
      </c>
      <c r="D2427" s="1347" t="s">
        <v>1109</v>
      </c>
      <c r="E2427" s="1347" t="s">
        <v>1110</v>
      </c>
    </row>
    <row r="2428" spans="2:5" x14ac:dyDescent="0.45">
      <c r="B2428" s="1347" t="s">
        <v>1108</v>
      </c>
      <c r="D2428" s="1347" t="s">
        <v>1109</v>
      </c>
      <c r="E2428" s="1347" t="s">
        <v>1110</v>
      </c>
    </row>
    <row r="2429" spans="2:5" x14ac:dyDescent="0.45">
      <c r="B2429" s="1347" t="s">
        <v>1108</v>
      </c>
      <c r="D2429" s="1347" t="s">
        <v>1109</v>
      </c>
      <c r="E2429" s="1347" t="s">
        <v>1110</v>
      </c>
    </row>
    <row r="2430" spans="2:5" x14ac:dyDescent="0.45">
      <c r="B2430" s="1347" t="s">
        <v>1108</v>
      </c>
      <c r="D2430" s="1347" t="s">
        <v>1109</v>
      </c>
      <c r="E2430" s="1347" t="s">
        <v>1110</v>
      </c>
    </row>
    <row r="2431" spans="2:5" x14ac:dyDescent="0.45">
      <c r="B2431" s="1347" t="s">
        <v>1108</v>
      </c>
      <c r="D2431" s="1347" t="s">
        <v>1109</v>
      </c>
      <c r="E2431" s="1347" t="s">
        <v>1110</v>
      </c>
    </row>
    <row r="2432" spans="2:5" x14ac:dyDescent="0.45">
      <c r="B2432" s="1347" t="s">
        <v>1108</v>
      </c>
      <c r="D2432" s="1347" t="s">
        <v>1109</v>
      </c>
      <c r="E2432" s="1347" t="s">
        <v>1110</v>
      </c>
    </row>
    <row r="2433" spans="2:5" x14ac:dyDescent="0.45">
      <c r="B2433" s="1347" t="s">
        <v>1108</v>
      </c>
      <c r="D2433" s="1347" t="s">
        <v>1109</v>
      </c>
      <c r="E2433" s="1347" t="s">
        <v>1110</v>
      </c>
    </row>
    <row r="2434" spans="2:5" x14ac:dyDescent="0.45">
      <c r="B2434" s="1347" t="s">
        <v>1108</v>
      </c>
      <c r="D2434" s="1347" t="s">
        <v>1109</v>
      </c>
      <c r="E2434" s="1347" t="s">
        <v>1110</v>
      </c>
    </row>
    <row r="2435" spans="2:5" x14ac:dyDescent="0.45">
      <c r="B2435" s="1347" t="s">
        <v>1108</v>
      </c>
      <c r="D2435" s="1347" t="s">
        <v>1109</v>
      </c>
      <c r="E2435" s="1347" t="s">
        <v>1110</v>
      </c>
    </row>
    <row r="2436" spans="2:5" x14ac:dyDescent="0.45">
      <c r="B2436" s="1347" t="s">
        <v>1108</v>
      </c>
      <c r="D2436" s="1347" t="s">
        <v>1109</v>
      </c>
      <c r="E2436" s="1347" t="s">
        <v>1110</v>
      </c>
    </row>
    <row r="2437" spans="2:5" x14ac:dyDescent="0.45">
      <c r="B2437" s="1347" t="s">
        <v>1108</v>
      </c>
      <c r="D2437" s="1347" t="s">
        <v>1109</v>
      </c>
      <c r="E2437" s="1347" t="s">
        <v>1110</v>
      </c>
    </row>
    <row r="2438" spans="2:5" x14ac:dyDescent="0.45">
      <c r="B2438" s="1347" t="s">
        <v>1108</v>
      </c>
      <c r="D2438" s="1347" t="s">
        <v>1109</v>
      </c>
      <c r="E2438" s="1347" t="s">
        <v>1110</v>
      </c>
    </row>
    <row r="2439" spans="2:5" x14ac:dyDescent="0.45">
      <c r="B2439" s="1347" t="s">
        <v>1108</v>
      </c>
      <c r="D2439" s="1347" t="s">
        <v>1109</v>
      </c>
      <c r="E2439" s="1347" t="s">
        <v>1110</v>
      </c>
    </row>
    <row r="2440" spans="2:5" x14ac:dyDescent="0.45">
      <c r="B2440" s="1347" t="s">
        <v>1108</v>
      </c>
      <c r="D2440" s="1347" t="s">
        <v>1109</v>
      </c>
      <c r="E2440" s="1347" t="s">
        <v>1110</v>
      </c>
    </row>
    <row r="2441" spans="2:5" x14ac:dyDescent="0.45">
      <c r="B2441" s="1347" t="s">
        <v>1108</v>
      </c>
      <c r="D2441" s="1347" t="s">
        <v>1109</v>
      </c>
      <c r="E2441" s="1347" t="s">
        <v>1110</v>
      </c>
    </row>
    <row r="2442" spans="2:5" x14ac:dyDescent="0.45">
      <c r="B2442" s="1347" t="s">
        <v>1108</v>
      </c>
      <c r="D2442" s="1347" t="s">
        <v>1109</v>
      </c>
      <c r="E2442" s="1347" t="s">
        <v>1110</v>
      </c>
    </row>
    <row r="2443" spans="2:5" x14ac:dyDescent="0.45">
      <c r="B2443" s="1347" t="s">
        <v>1108</v>
      </c>
      <c r="D2443" s="1347" t="s">
        <v>1109</v>
      </c>
      <c r="E2443" s="1347" t="s">
        <v>1110</v>
      </c>
    </row>
    <row r="2444" spans="2:5" x14ac:dyDescent="0.45">
      <c r="B2444" s="1347" t="s">
        <v>1108</v>
      </c>
      <c r="D2444" s="1347" t="s">
        <v>1109</v>
      </c>
      <c r="E2444" s="1347" t="s">
        <v>1110</v>
      </c>
    </row>
    <row r="2445" spans="2:5" x14ac:dyDescent="0.45">
      <c r="B2445" s="1347" t="s">
        <v>1108</v>
      </c>
      <c r="D2445" s="1347" t="s">
        <v>1109</v>
      </c>
      <c r="E2445" s="1347" t="s">
        <v>1110</v>
      </c>
    </row>
    <row r="2446" spans="2:5" x14ac:dyDescent="0.45">
      <c r="B2446" s="1347" t="s">
        <v>1108</v>
      </c>
      <c r="D2446" s="1347" t="s">
        <v>1109</v>
      </c>
      <c r="E2446" s="1347" t="s">
        <v>1110</v>
      </c>
    </row>
    <row r="2447" spans="2:5" x14ac:dyDescent="0.45">
      <c r="B2447" s="1347" t="s">
        <v>1108</v>
      </c>
      <c r="D2447" s="1347" t="s">
        <v>1109</v>
      </c>
      <c r="E2447" s="1347" t="s">
        <v>1110</v>
      </c>
    </row>
    <row r="2448" spans="2:5" x14ac:dyDescent="0.45">
      <c r="B2448" s="1347" t="s">
        <v>1108</v>
      </c>
      <c r="D2448" s="1347" t="s">
        <v>1109</v>
      </c>
      <c r="E2448" s="1347" t="s">
        <v>1110</v>
      </c>
    </row>
    <row r="2449" spans="2:5" x14ac:dyDescent="0.45">
      <c r="B2449" s="1347" t="s">
        <v>1108</v>
      </c>
      <c r="D2449" s="1347" t="s">
        <v>1109</v>
      </c>
      <c r="E2449" s="1347" t="s">
        <v>1110</v>
      </c>
    </row>
    <row r="2450" spans="2:5" x14ac:dyDescent="0.45">
      <c r="B2450" s="1347" t="s">
        <v>1108</v>
      </c>
      <c r="D2450" s="1347" t="s">
        <v>1109</v>
      </c>
      <c r="E2450" s="1347" t="s">
        <v>1110</v>
      </c>
    </row>
    <row r="2451" spans="2:5" x14ac:dyDescent="0.45">
      <c r="B2451" s="1347" t="s">
        <v>1108</v>
      </c>
      <c r="D2451" s="1347" t="s">
        <v>1109</v>
      </c>
      <c r="E2451" s="1347" t="s">
        <v>1110</v>
      </c>
    </row>
    <row r="2452" spans="2:5" x14ac:dyDescent="0.45">
      <c r="B2452" s="1347" t="s">
        <v>1108</v>
      </c>
      <c r="D2452" s="1347" t="s">
        <v>1109</v>
      </c>
      <c r="E2452" s="1347" t="s">
        <v>1110</v>
      </c>
    </row>
    <row r="2453" spans="2:5" x14ac:dyDescent="0.45">
      <c r="B2453" s="1347" t="s">
        <v>1108</v>
      </c>
      <c r="D2453" s="1347" t="s">
        <v>1109</v>
      </c>
      <c r="E2453" s="1347" t="s">
        <v>1110</v>
      </c>
    </row>
    <row r="2454" spans="2:5" x14ac:dyDescent="0.45">
      <c r="B2454" s="1347" t="s">
        <v>1108</v>
      </c>
      <c r="D2454" s="1347" t="s">
        <v>1109</v>
      </c>
      <c r="E2454" s="1347" t="s">
        <v>1110</v>
      </c>
    </row>
    <row r="2455" spans="2:5" x14ac:dyDescent="0.45">
      <c r="B2455" s="1347" t="s">
        <v>1108</v>
      </c>
      <c r="D2455" s="1347" t="s">
        <v>1109</v>
      </c>
      <c r="E2455" s="1347" t="s">
        <v>1110</v>
      </c>
    </row>
    <row r="2456" spans="2:5" x14ac:dyDescent="0.45">
      <c r="B2456" s="1347" t="s">
        <v>1108</v>
      </c>
      <c r="D2456" s="1347" t="s">
        <v>1109</v>
      </c>
      <c r="E2456" s="1347" t="s">
        <v>1110</v>
      </c>
    </row>
    <row r="2457" spans="2:5" x14ac:dyDescent="0.45">
      <c r="B2457" s="1347" t="s">
        <v>1108</v>
      </c>
      <c r="D2457" s="1347" t="s">
        <v>1109</v>
      </c>
      <c r="E2457" s="1347" t="s">
        <v>1110</v>
      </c>
    </row>
    <row r="2458" spans="2:5" x14ac:dyDescent="0.45">
      <c r="B2458" s="1347" t="s">
        <v>1108</v>
      </c>
      <c r="D2458" s="1347" t="s">
        <v>1109</v>
      </c>
      <c r="E2458" s="1347" t="s">
        <v>1110</v>
      </c>
    </row>
    <row r="2459" spans="2:5" x14ac:dyDescent="0.45">
      <c r="B2459" s="1347" t="s">
        <v>1108</v>
      </c>
      <c r="D2459" s="1347" t="s">
        <v>1109</v>
      </c>
      <c r="E2459" s="1347" t="s">
        <v>1110</v>
      </c>
    </row>
    <row r="2460" spans="2:5" x14ac:dyDescent="0.45">
      <c r="B2460" s="1347" t="s">
        <v>1108</v>
      </c>
      <c r="D2460" s="1347" t="s">
        <v>1109</v>
      </c>
      <c r="E2460" s="1347" t="s">
        <v>1110</v>
      </c>
    </row>
    <row r="2461" spans="2:5" x14ac:dyDescent="0.45">
      <c r="B2461" s="1347" t="s">
        <v>1108</v>
      </c>
      <c r="D2461" s="1347" t="s">
        <v>1109</v>
      </c>
      <c r="E2461" s="1347" t="s">
        <v>1110</v>
      </c>
    </row>
    <row r="2462" spans="2:5" x14ac:dyDescent="0.45">
      <c r="B2462" s="1347" t="s">
        <v>1108</v>
      </c>
      <c r="D2462" s="1347" t="s">
        <v>1109</v>
      </c>
      <c r="E2462" s="1347" t="s">
        <v>1110</v>
      </c>
    </row>
    <row r="2463" spans="2:5" x14ac:dyDescent="0.45">
      <c r="B2463" s="1347" t="s">
        <v>1108</v>
      </c>
      <c r="D2463" s="1347" t="s">
        <v>1109</v>
      </c>
      <c r="E2463" s="1347" t="s">
        <v>1110</v>
      </c>
    </row>
    <row r="2464" spans="2:5" x14ac:dyDescent="0.45">
      <c r="B2464" s="1347" t="s">
        <v>1108</v>
      </c>
      <c r="D2464" s="1347" t="s">
        <v>1109</v>
      </c>
      <c r="E2464" s="1347" t="s">
        <v>1110</v>
      </c>
    </row>
    <row r="2465" spans="1:5" x14ac:dyDescent="0.45">
      <c r="B2465" s="1347" t="s">
        <v>1108</v>
      </c>
      <c r="D2465" s="1347" t="s">
        <v>1109</v>
      </c>
      <c r="E2465" s="1347" t="s">
        <v>1110</v>
      </c>
    </row>
    <row r="2466" spans="1:5" x14ac:dyDescent="0.45">
      <c r="B2466" s="1347" t="s">
        <v>1108</v>
      </c>
      <c r="D2466" s="1347" t="s">
        <v>1109</v>
      </c>
      <c r="E2466" s="1347" t="s">
        <v>3715</v>
      </c>
    </row>
    <row r="2467" spans="1:5" x14ac:dyDescent="0.45">
      <c r="A2467" s="1347" t="s">
        <v>1105</v>
      </c>
      <c r="B2467" s="1347" t="s">
        <v>3716</v>
      </c>
      <c r="D2467" s="1347" t="s">
        <v>3717</v>
      </c>
      <c r="E2467" s="1347" t="s">
        <v>3718</v>
      </c>
    </row>
    <row r="2468" spans="1:5" x14ac:dyDescent="0.45">
      <c r="B2468" s="1347" t="s">
        <v>1108</v>
      </c>
      <c r="D2468" s="1347" t="s">
        <v>1240</v>
      </c>
      <c r="E2468" s="1347" t="s">
        <v>3719</v>
      </c>
    </row>
    <row r="2469" spans="1:5" x14ac:dyDescent="0.45">
      <c r="B2469" s="1347" t="s">
        <v>2196</v>
      </c>
      <c r="D2469" s="1347" t="s">
        <v>3720</v>
      </c>
      <c r="E2469" s="1347" t="s">
        <v>3721</v>
      </c>
    </row>
    <row r="2470" spans="1:5" x14ac:dyDescent="0.45">
      <c r="A2470" s="1347">
        <v>3</v>
      </c>
      <c r="B2470" s="1347" t="s">
        <v>3722</v>
      </c>
      <c r="D2470" s="1347" t="s">
        <v>3723</v>
      </c>
      <c r="E2470" s="1347" t="s">
        <v>3724</v>
      </c>
    </row>
    <row r="2471" spans="1:5" x14ac:dyDescent="0.45">
      <c r="B2471" s="1347" t="s">
        <v>1108</v>
      </c>
      <c r="D2471" s="1347" t="s">
        <v>3725</v>
      </c>
      <c r="E2471" s="1347" t="s">
        <v>1402</v>
      </c>
    </row>
    <row r="2472" spans="1:5" x14ac:dyDescent="0.45">
      <c r="B2472" s="1347" t="s">
        <v>3726</v>
      </c>
      <c r="D2472" s="1347" t="s">
        <v>3727</v>
      </c>
      <c r="E2472" s="1347" t="s">
        <v>3728</v>
      </c>
    </row>
    <row r="2473" spans="1:5" x14ac:dyDescent="0.45">
      <c r="A2473" s="1347">
        <v>-5</v>
      </c>
      <c r="B2473" s="1347" t="s">
        <v>3729</v>
      </c>
      <c r="D2473" s="1347" t="s">
        <v>3730</v>
      </c>
      <c r="E2473" s="1347" t="s">
        <v>3731</v>
      </c>
    </row>
    <row r="2474" spans="1:5" x14ac:dyDescent="0.45">
      <c r="A2474" s="1347" t="s">
        <v>1105</v>
      </c>
      <c r="B2474" s="1347" t="s">
        <v>3732</v>
      </c>
      <c r="D2474" s="1347" t="s">
        <v>3733</v>
      </c>
      <c r="E2474" s="1347" t="s">
        <v>3734</v>
      </c>
    </row>
    <row r="2475" spans="1:5" x14ac:dyDescent="0.45">
      <c r="B2475" s="1347" t="s">
        <v>1108</v>
      </c>
      <c r="D2475" s="1347" t="s">
        <v>3735</v>
      </c>
      <c r="E2475" s="1347" t="s">
        <v>3736</v>
      </c>
    </row>
    <row r="2476" spans="1:5" x14ac:dyDescent="0.45">
      <c r="B2476" s="1347" t="s">
        <v>3737</v>
      </c>
      <c r="D2476" s="1347" t="s">
        <v>3738</v>
      </c>
      <c r="E2476" s="1347" t="s">
        <v>3739</v>
      </c>
    </row>
    <row r="2477" spans="1:5" x14ac:dyDescent="0.45">
      <c r="B2477" s="1347" t="s">
        <v>3740</v>
      </c>
      <c r="D2477" s="1347" t="s">
        <v>3741</v>
      </c>
      <c r="E2477" s="1347" t="s">
        <v>3742</v>
      </c>
    </row>
    <row r="2478" spans="1:5" x14ac:dyDescent="0.45">
      <c r="B2478" s="1347" t="s">
        <v>3743</v>
      </c>
      <c r="D2478" s="1347" t="s">
        <v>3744</v>
      </c>
      <c r="E2478" s="1347" t="s">
        <v>3745</v>
      </c>
    </row>
    <row r="2479" spans="1:5" x14ac:dyDescent="0.45">
      <c r="B2479" s="1347" t="s">
        <v>3746</v>
      </c>
      <c r="D2479" s="1347" t="s">
        <v>3747</v>
      </c>
      <c r="E2479" s="1347" t="s">
        <v>3748</v>
      </c>
    </row>
    <row r="2480" spans="1:5" x14ac:dyDescent="0.45">
      <c r="A2480" s="1347">
        <v>-1</v>
      </c>
      <c r="B2480" s="1347" t="s">
        <v>3749</v>
      </c>
      <c r="C2480" s="1347">
        <v>2</v>
      </c>
      <c r="D2480" s="1347" t="s">
        <v>3750</v>
      </c>
      <c r="E2480" s="1347" t="s">
        <v>3751</v>
      </c>
    </row>
    <row r="2481" spans="1:5" x14ac:dyDescent="0.45">
      <c r="B2481" s="1347" t="s">
        <v>3752</v>
      </c>
      <c r="D2481" s="1347" t="s">
        <v>3753</v>
      </c>
      <c r="E2481" s="1347" t="s">
        <v>3754</v>
      </c>
    </row>
    <row r="2482" spans="1:5" x14ac:dyDescent="0.45">
      <c r="B2482" s="1347" t="s">
        <v>1108</v>
      </c>
      <c r="D2482" s="1347" t="s">
        <v>3755</v>
      </c>
      <c r="E2482" s="1347" t="s">
        <v>3756</v>
      </c>
    </row>
    <row r="2483" spans="1:5" x14ac:dyDescent="0.45">
      <c r="A2483" s="1347">
        <v>5</v>
      </c>
      <c r="B2483" s="1347" t="s">
        <v>3757</v>
      </c>
      <c r="D2483" s="1347" t="s">
        <v>3758</v>
      </c>
      <c r="E2483" s="1347" t="s">
        <v>3759</v>
      </c>
    </row>
    <row r="2484" spans="1:5" x14ac:dyDescent="0.45">
      <c r="B2484" s="1347" t="s">
        <v>3760</v>
      </c>
      <c r="D2484" s="1347" t="s">
        <v>3761</v>
      </c>
      <c r="E2484" s="1347" t="s">
        <v>3762</v>
      </c>
    </row>
    <row r="2485" spans="1:5" x14ac:dyDescent="0.45">
      <c r="B2485" s="1347" t="s">
        <v>1108</v>
      </c>
      <c r="D2485" s="1347" t="s">
        <v>1109</v>
      </c>
      <c r="E2485" s="1347" t="s">
        <v>3763</v>
      </c>
    </row>
    <row r="2486" spans="1:5" x14ac:dyDescent="0.45">
      <c r="B2486" s="1347" t="s">
        <v>3764</v>
      </c>
      <c r="D2486" s="1347" t="s">
        <v>3765</v>
      </c>
      <c r="E2486" s="1347" t="s">
        <v>1110</v>
      </c>
    </row>
    <row r="2487" spans="1:5" x14ac:dyDescent="0.45">
      <c r="A2487" s="1347">
        <v>-1</v>
      </c>
      <c r="B2487" s="1347" t="s">
        <v>3766</v>
      </c>
      <c r="C2487" s="1347" t="s">
        <v>1105</v>
      </c>
      <c r="D2487" s="1347" t="s">
        <v>3767</v>
      </c>
      <c r="E2487" s="1347" t="s">
        <v>3768</v>
      </c>
    </row>
    <row r="2488" spans="1:5" x14ac:dyDescent="0.45">
      <c r="B2488" s="1347" t="s">
        <v>3769</v>
      </c>
      <c r="D2488" s="1347" t="s">
        <v>3770</v>
      </c>
      <c r="E2488" s="1347" t="s">
        <v>3771</v>
      </c>
    </row>
    <row r="2489" spans="1:5" x14ac:dyDescent="0.45">
      <c r="B2489" s="1347" t="s">
        <v>1108</v>
      </c>
      <c r="D2489" s="1347" t="s">
        <v>3772</v>
      </c>
      <c r="E2489" s="1347" t="s">
        <v>3773</v>
      </c>
    </row>
    <row r="2490" spans="1:5" x14ac:dyDescent="0.45">
      <c r="A2490" s="1347">
        <v>1</v>
      </c>
      <c r="B2490" s="1347" t="s">
        <v>3774</v>
      </c>
      <c r="C2490" s="1347" t="s">
        <v>1105</v>
      </c>
      <c r="D2490" s="1347" t="s">
        <v>3775</v>
      </c>
      <c r="E2490" s="1347" t="s">
        <v>3776</v>
      </c>
    </row>
    <row r="2491" spans="1:5" x14ac:dyDescent="0.45">
      <c r="B2491" s="1347" t="s">
        <v>1108</v>
      </c>
      <c r="D2491" s="1347" t="s">
        <v>3777</v>
      </c>
      <c r="E2491" s="1347" t="s">
        <v>3778</v>
      </c>
    </row>
    <row r="2492" spans="1:5" x14ac:dyDescent="0.45">
      <c r="B2492" s="1347" t="s">
        <v>1108</v>
      </c>
      <c r="D2492" s="1347" t="s">
        <v>3779</v>
      </c>
      <c r="E2492" s="1347" t="s">
        <v>3780</v>
      </c>
    </row>
    <row r="2493" spans="1:5" x14ac:dyDescent="0.45">
      <c r="B2493" s="1347" t="s">
        <v>3781</v>
      </c>
      <c r="D2493" s="1347" t="s">
        <v>3782</v>
      </c>
      <c r="E2493" s="1347" t="s">
        <v>3783</v>
      </c>
    </row>
    <row r="2494" spans="1:5" x14ac:dyDescent="0.45">
      <c r="A2494" s="1347" t="s">
        <v>1105</v>
      </c>
      <c r="B2494" s="1347" t="s">
        <v>3784</v>
      </c>
      <c r="D2494" s="1347" t="s">
        <v>3785</v>
      </c>
      <c r="E2494" s="1347" t="s">
        <v>3786</v>
      </c>
    </row>
    <row r="2495" spans="1:5" x14ac:dyDescent="0.45">
      <c r="B2495" s="1347" t="s">
        <v>3787</v>
      </c>
      <c r="D2495" s="1347" t="s">
        <v>3788</v>
      </c>
      <c r="E2495" s="1347" t="s">
        <v>3789</v>
      </c>
    </row>
    <row r="2496" spans="1:5" x14ac:dyDescent="0.45">
      <c r="B2496" s="1347" t="s">
        <v>3790</v>
      </c>
      <c r="D2496" s="1347" t="s">
        <v>3791</v>
      </c>
      <c r="E2496" s="1347" t="s">
        <v>3792</v>
      </c>
    </row>
    <row r="2497" spans="1:5" x14ac:dyDescent="0.45">
      <c r="B2497" s="1347" t="s">
        <v>3793</v>
      </c>
      <c r="C2497" s="1347" t="s">
        <v>1105</v>
      </c>
      <c r="D2497" s="1347" t="s">
        <v>3794</v>
      </c>
      <c r="E2497" s="1347" t="s">
        <v>3795</v>
      </c>
    </row>
    <row r="2498" spans="1:5" x14ac:dyDescent="0.45">
      <c r="B2498" s="1347" t="s">
        <v>3796</v>
      </c>
      <c r="D2498" s="1347" t="s">
        <v>3797</v>
      </c>
      <c r="E2498" s="1347" t="s">
        <v>3798</v>
      </c>
    </row>
    <row r="2499" spans="1:5" x14ac:dyDescent="0.45">
      <c r="B2499" s="1347" t="s">
        <v>1108</v>
      </c>
      <c r="D2499" s="1347" t="s">
        <v>3799</v>
      </c>
      <c r="E2499" s="1347" t="s">
        <v>3800</v>
      </c>
    </row>
    <row r="2500" spans="1:5" x14ac:dyDescent="0.45">
      <c r="B2500" s="1347" t="s">
        <v>3801</v>
      </c>
      <c r="D2500" s="1347" t="s">
        <v>3802</v>
      </c>
      <c r="E2500" s="1347" t="s">
        <v>3803</v>
      </c>
    </row>
    <row r="2501" spans="1:5" x14ac:dyDescent="0.45">
      <c r="B2501" s="1347" t="s">
        <v>3804</v>
      </c>
      <c r="D2501" s="1347" t="s">
        <v>3805</v>
      </c>
      <c r="E2501" s="1347" t="s">
        <v>3806</v>
      </c>
    </row>
    <row r="2502" spans="1:5" x14ac:dyDescent="0.45">
      <c r="B2502" s="1347" t="s">
        <v>3807</v>
      </c>
      <c r="D2502" s="1347" t="s">
        <v>1109</v>
      </c>
      <c r="E2502" s="1347" t="s">
        <v>3808</v>
      </c>
    </row>
    <row r="2503" spans="1:5" x14ac:dyDescent="0.45">
      <c r="B2503" s="1347" t="s">
        <v>3809</v>
      </c>
      <c r="D2503" s="1347" t="s">
        <v>3810</v>
      </c>
      <c r="E2503" s="1347" t="s">
        <v>3811</v>
      </c>
    </row>
    <row r="2504" spans="1:5" x14ac:dyDescent="0.45">
      <c r="A2504" s="1347">
        <v>-2</v>
      </c>
      <c r="B2504" s="1347" t="s">
        <v>3812</v>
      </c>
      <c r="D2504" s="1347" t="s">
        <v>3813</v>
      </c>
      <c r="E2504" s="1347" t="s">
        <v>3814</v>
      </c>
    </row>
    <row r="2505" spans="1:5" x14ac:dyDescent="0.45">
      <c r="A2505" s="1347" t="s">
        <v>1105</v>
      </c>
      <c r="B2505" s="1347" t="s">
        <v>3815</v>
      </c>
      <c r="D2505" s="1347" t="s">
        <v>3816</v>
      </c>
      <c r="E2505" s="1347" t="s">
        <v>1110</v>
      </c>
    </row>
    <row r="2506" spans="1:5" x14ac:dyDescent="0.45">
      <c r="B2506" s="1347" t="s">
        <v>3817</v>
      </c>
      <c r="D2506" s="1347" t="s">
        <v>3818</v>
      </c>
      <c r="E2506" s="1347" t="s">
        <v>3819</v>
      </c>
    </row>
    <row r="2507" spans="1:5" x14ac:dyDescent="0.45">
      <c r="B2507" s="1347" t="s">
        <v>1108</v>
      </c>
      <c r="D2507" s="1347" t="s">
        <v>3820</v>
      </c>
      <c r="E2507" s="1347" t="s">
        <v>3821</v>
      </c>
    </row>
    <row r="2508" spans="1:5" x14ac:dyDescent="0.45">
      <c r="B2508" s="1347" t="s">
        <v>1108</v>
      </c>
      <c r="D2508" s="1347" t="s">
        <v>3822</v>
      </c>
      <c r="E2508" s="1347" t="s">
        <v>3823</v>
      </c>
    </row>
    <row r="2509" spans="1:5" x14ac:dyDescent="0.45">
      <c r="B2509" s="1347" t="s">
        <v>1108</v>
      </c>
      <c r="D2509" s="1347" t="s">
        <v>3824</v>
      </c>
      <c r="E2509" s="1347" t="s">
        <v>3825</v>
      </c>
    </row>
    <row r="2510" spans="1:5" x14ac:dyDescent="0.45">
      <c r="B2510" s="1347" t="s">
        <v>3826</v>
      </c>
      <c r="D2510" s="1347" t="s">
        <v>3827</v>
      </c>
      <c r="E2510" s="1347" t="s">
        <v>3828</v>
      </c>
    </row>
    <row r="2511" spans="1:5" x14ac:dyDescent="0.45">
      <c r="B2511" s="1347" t="s">
        <v>3829</v>
      </c>
      <c r="D2511" s="1347" t="s">
        <v>3830</v>
      </c>
      <c r="E2511" s="1347" t="s">
        <v>3831</v>
      </c>
    </row>
    <row r="2512" spans="1:5" x14ac:dyDescent="0.45">
      <c r="B2512" s="1347" t="s">
        <v>1108</v>
      </c>
      <c r="D2512" s="1347" t="s">
        <v>3832</v>
      </c>
      <c r="E2512" s="1347" t="s">
        <v>1110</v>
      </c>
    </row>
    <row r="2513" spans="1:5" x14ac:dyDescent="0.45">
      <c r="A2513" s="1347" t="s">
        <v>1105</v>
      </c>
      <c r="B2513" s="1347" t="s">
        <v>2418</v>
      </c>
      <c r="D2513" s="1347" t="s">
        <v>3833</v>
      </c>
      <c r="E2513" s="1347" t="s">
        <v>3834</v>
      </c>
    </row>
    <row r="2514" spans="1:5" x14ac:dyDescent="0.45">
      <c r="B2514" s="1347" t="s">
        <v>1108</v>
      </c>
      <c r="D2514" s="1347" t="s">
        <v>3835</v>
      </c>
      <c r="E2514" s="1347" t="s">
        <v>3836</v>
      </c>
    </row>
    <row r="2515" spans="1:5" x14ac:dyDescent="0.45">
      <c r="B2515" s="1347" t="s">
        <v>3837</v>
      </c>
      <c r="D2515" s="1347" t="s">
        <v>3838</v>
      </c>
      <c r="E2515" s="1347" t="s">
        <v>3839</v>
      </c>
    </row>
    <row r="2516" spans="1:5" x14ac:dyDescent="0.45">
      <c r="B2516" s="1347" t="s">
        <v>1108</v>
      </c>
      <c r="D2516" s="1347" t="s">
        <v>3840</v>
      </c>
      <c r="E2516" s="1347" t="s">
        <v>3841</v>
      </c>
    </row>
    <row r="2517" spans="1:5" x14ac:dyDescent="0.45">
      <c r="B2517" s="1347" t="s">
        <v>3842</v>
      </c>
      <c r="D2517" s="1347" t="s">
        <v>3843</v>
      </c>
      <c r="E2517" s="1347" t="s">
        <v>3844</v>
      </c>
    </row>
    <row r="2518" spans="1:5" x14ac:dyDescent="0.45">
      <c r="B2518" s="1347" t="s">
        <v>3845</v>
      </c>
      <c r="C2518" s="1347" t="s">
        <v>1105</v>
      </c>
      <c r="D2518" s="1347" t="s">
        <v>3846</v>
      </c>
      <c r="E2518" s="1347" t="s">
        <v>3847</v>
      </c>
    </row>
    <row r="2519" spans="1:5" x14ac:dyDescent="0.45">
      <c r="B2519" s="1347" t="s">
        <v>3848</v>
      </c>
      <c r="D2519" s="1347" t="s">
        <v>1357</v>
      </c>
      <c r="E2519" s="1347" t="s">
        <v>3849</v>
      </c>
    </row>
    <row r="2520" spans="1:5" x14ac:dyDescent="0.45">
      <c r="B2520" s="1347" t="s">
        <v>3850</v>
      </c>
      <c r="D2520" s="1347" t="s">
        <v>3851</v>
      </c>
      <c r="E2520" s="1347" t="s">
        <v>3852</v>
      </c>
    </row>
    <row r="2521" spans="1:5" x14ac:dyDescent="0.45">
      <c r="A2521" s="1347" t="s">
        <v>1105</v>
      </c>
      <c r="B2521" s="1347" t="s">
        <v>3853</v>
      </c>
      <c r="D2521" s="1347" t="s">
        <v>3854</v>
      </c>
      <c r="E2521" s="1347" t="s">
        <v>3855</v>
      </c>
    </row>
    <row r="2522" spans="1:5" x14ac:dyDescent="0.45">
      <c r="B2522" s="1347" t="s">
        <v>1108</v>
      </c>
      <c r="D2522" s="1347" t="s">
        <v>3856</v>
      </c>
      <c r="E2522" s="1347" t="s">
        <v>3857</v>
      </c>
    </row>
    <row r="2523" spans="1:5" x14ac:dyDescent="0.45">
      <c r="B2523" s="1347" t="s">
        <v>1108</v>
      </c>
      <c r="D2523" s="1347" t="s">
        <v>3858</v>
      </c>
      <c r="E2523" s="1347" t="s">
        <v>3859</v>
      </c>
    </row>
    <row r="2524" spans="1:5" x14ac:dyDescent="0.45">
      <c r="B2524" s="1347" t="s">
        <v>3860</v>
      </c>
      <c r="D2524" s="1347" t="s">
        <v>3861</v>
      </c>
      <c r="E2524" s="1347" t="s">
        <v>3862</v>
      </c>
    </row>
    <row r="2525" spans="1:5" x14ac:dyDescent="0.45">
      <c r="A2525" s="1347">
        <v>-2</v>
      </c>
      <c r="B2525" s="1347" t="s">
        <v>3863</v>
      </c>
      <c r="D2525" s="1347" t="s">
        <v>3864</v>
      </c>
      <c r="E2525" s="1347" t="s">
        <v>3865</v>
      </c>
    </row>
    <row r="2526" spans="1:5" x14ac:dyDescent="0.45">
      <c r="B2526" s="1347" t="s">
        <v>1108</v>
      </c>
      <c r="D2526" s="1347" t="s">
        <v>1109</v>
      </c>
      <c r="E2526" s="1347" t="s">
        <v>3866</v>
      </c>
    </row>
    <row r="2527" spans="1:5" x14ac:dyDescent="0.45">
      <c r="A2527" s="1347" t="s">
        <v>1105</v>
      </c>
      <c r="B2527" s="1347" t="s">
        <v>3867</v>
      </c>
      <c r="C2527" s="1347" t="s">
        <v>1105</v>
      </c>
      <c r="D2527" s="1347" t="s">
        <v>3868</v>
      </c>
      <c r="E2527" s="1347" t="s">
        <v>3869</v>
      </c>
    </row>
    <row r="2528" spans="1:5" x14ac:dyDescent="0.45">
      <c r="A2528" s="1347">
        <v>-1</v>
      </c>
      <c r="B2528" s="1347" t="s">
        <v>3870</v>
      </c>
      <c r="D2528" s="1347" t="s">
        <v>3871</v>
      </c>
      <c r="E2528" s="1347" t="s">
        <v>3872</v>
      </c>
    </row>
    <row r="2529" spans="1:5" x14ac:dyDescent="0.45">
      <c r="B2529" s="1347" t="s">
        <v>1108</v>
      </c>
      <c r="D2529" s="1347" t="s">
        <v>3873</v>
      </c>
      <c r="E2529" s="1347" t="s">
        <v>1110</v>
      </c>
    </row>
    <row r="2530" spans="1:5" x14ac:dyDescent="0.45">
      <c r="B2530" s="1347" t="s">
        <v>3874</v>
      </c>
      <c r="D2530" s="1347" t="s">
        <v>3875</v>
      </c>
      <c r="E2530" s="1347" t="s">
        <v>3876</v>
      </c>
    </row>
    <row r="2531" spans="1:5" x14ac:dyDescent="0.45">
      <c r="B2531" s="1347" t="s">
        <v>1502</v>
      </c>
      <c r="D2531" s="1347" t="s">
        <v>3877</v>
      </c>
      <c r="E2531" s="1347" t="s">
        <v>3878</v>
      </c>
    </row>
    <row r="2532" spans="1:5" x14ac:dyDescent="0.45">
      <c r="B2532" s="1347" t="s">
        <v>1108</v>
      </c>
      <c r="D2532" s="1347" t="s">
        <v>3879</v>
      </c>
      <c r="E2532" s="1347" t="s">
        <v>1110</v>
      </c>
    </row>
    <row r="2533" spans="1:5" x14ac:dyDescent="0.45">
      <c r="B2533" s="1347" t="s">
        <v>3396</v>
      </c>
      <c r="D2533" s="1347" t="s">
        <v>1109</v>
      </c>
      <c r="E2533" s="1347" t="s">
        <v>3880</v>
      </c>
    </row>
    <row r="2534" spans="1:5" x14ac:dyDescent="0.45">
      <c r="B2534" s="1347" t="s">
        <v>1108</v>
      </c>
      <c r="D2534" s="1347" t="s">
        <v>3881</v>
      </c>
      <c r="E2534" s="1347" t="s">
        <v>1350</v>
      </c>
    </row>
    <row r="2535" spans="1:5" x14ac:dyDescent="0.45">
      <c r="A2535" s="1347" t="s">
        <v>1105</v>
      </c>
      <c r="B2535" s="1347" t="s">
        <v>3882</v>
      </c>
      <c r="C2535" s="1347" t="s">
        <v>1105</v>
      </c>
      <c r="D2535" s="1347" t="s">
        <v>3883</v>
      </c>
      <c r="E2535" s="1347" t="s">
        <v>3884</v>
      </c>
    </row>
    <row r="2536" spans="1:5" x14ac:dyDescent="0.45">
      <c r="B2536" s="1347" t="s">
        <v>3885</v>
      </c>
      <c r="D2536" s="1347" t="s">
        <v>3886</v>
      </c>
      <c r="E2536" s="1347" t="s">
        <v>1110</v>
      </c>
    </row>
    <row r="2537" spans="1:5" x14ac:dyDescent="0.45">
      <c r="A2537" s="1347">
        <v>1</v>
      </c>
      <c r="B2537" s="1347" t="s">
        <v>3887</v>
      </c>
      <c r="D2537" s="1347" t="s">
        <v>3888</v>
      </c>
      <c r="E2537" s="1347" t="s">
        <v>3889</v>
      </c>
    </row>
    <row r="2538" spans="1:5" x14ac:dyDescent="0.45">
      <c r="A2538" s="1347" t="s">
        <v>1105</v>
      </c>
      <c r="B2538" s="1347" t="s">
        <v>3890</v>
      </c>
      <c r="D2538" s="1347" t="s">
        <v>3891</v>
      </c>
      <c r="E2538" s="1347" t="s">
        <v>3892</v>
      </c>
    </row>
    <row r="2539" spans="1:5" x14ac:dyDescent="0.45">
      <c r="B2539" s="1347" t="s">
        <v>1108</v>
      </c>
      <c r="D2539" s="1347" t="s">
        <v>3893</v>
      </c>
      <c r="E2539" s="1347" t="s">
        <v>3894</v>
      </c>
    </row>
    <row r="2540" spans="1:5" x14ac:dyDescent="0.45">
      <c r="B2540" s="1347" t="s">
        <v>1108</v>
      </c>
      <c r="D2540" s="1347" t="s">
        <v>3895</v>
      </c>
      <c r="E2540" s="1347" t="s">
        <v>3896</v>
      </c>
    </row>
    <row r="2541" spans="1:5" x14ac:dyDescent="0.45">
      <c r="B2541" s="1347" t="s">
        <v>3897</v>
      </c>
      <c r="D2541" s="1347" t="s">
        <v>3898</v>
      </c>
      <c r="E2541" s="1347" t="s">
        <v>3899</v>
      </c>
    </row>
    <row r="2542" spans="1:5" x14ac:dyDescent="0.45">
      <c r="B2542" s="1347" t="s">
        <v>1108</v>
      </c>
      <c r="C2542" s="1347" t="s">
        <v>1105</v>
      </c>
      <c r="D2542" s="1347" t="s">
        <v>3900</v>
      </c>
      <c r="E2542" s="1347" t="s">
        <v>3901</v>
      </c>
    </row>
    <row r="2543" spans="1:5" x14ac:dyDescent="0.45">
      <c r="B2543" s="1347">
        <f>-45    -25</f>
        <v>-70</v>
      </c>
      <c r="D2543" s="1347" t="s">
        <v>3902</v>
      </c>
      <c r="E2543" s="1347" t="s">
        <v>3903</v>
      </c>
    </row>
    <row r="2544" spans="1:5" x14ac:dyDescent="0.45">
      <c r="B2544" s="1347" t="s">
        <v>3904</v>
      </c>
      <c r="D2544" s="1347" t="s">
        <v>3905</v>
      </c>
      <c r="E2544" s="1347" t="s">
        <v>3906</v>
      </c>
    </row>
    <row r="2545" spans="1:5" x14ac:dyDescent="0.45">
      <c r="B2545" s="1347" t="s">
        <v>3907</v>
      </c>
      <c r="D2545" s="1347">
        <f>-116  -1594  -8259</f>
        <v>-9969</v>
      </c>
      <c r="E2545" s="1347" t="s">
        <v>3908</v>
      </c>
    </row>
    <row r="2546" spans="1:5" x14ac:dyDescent="0.45">
      <c r="B2546" s="1347" t="s">
        <v>3909</v>
      </c>
      <c r="D2546" s="1347" t="s">
        <v>3910</v>
      </c>
      <c r="E2546" s="1347" t="s">
        <v>1110</v>
      </c>
    </row>
    <row r="2547" spans="1:5" x14ac:dyDescent="0.45">
      <c r="B2547" s="1347" t="s">
        <v>1108</v>
      </c>
      <c r="D2547" s="1347" t="s">
        <v>3911</v>
      </c>
      <c r="E2547" s="1347" t="s">
        <v>3912</v>
      </c>
    </row>
    <row r="2548" spans="1:5" x14ac:dyDescent="0.45">
      <c r="B2548" s="1347" t="s">
        <v>1108</v>
      </c>
      <c r="D2548" s="1347" t="s">
        <v>3913</v>
      </c>
      <c r="E2548" s="1347" t="s">
        <v>3914</v>
      </c>
    </row>
    <row r="2549" spans="1:5" x14ac:dyDescent="0.45">
      <c r="B2549" s="1347" t="s">
        <v>3915</v>
      </c>
      <c r="D2549" s="1347" t="s">
        <v>3916</v>
      </c>
      <c r="E2549" s="1347" t="s">
        <v>3917</v>
      </c>
    </row>
    <row r="2550" spans="1:5" x14ac:dyDescent="0.45">
      <c r="B2550" s="1347" t="s">
        <v>3918</v>
      </c>
      <c r="D2550" s="1347" t="s">
        <v>1109</v>
      </c>
      <c r="E2550" s="1347" t="s">
        <v>3919</v>
      </c>
    </row>
    <row r="2551" spans="1:5" x14ac:dyDescent="0.45">
      <c r="B2551" s="1347" t="s">
        <v>3920</v>
      </c>
      <c r="D2551" s="1347" t="s">
        <v>3921</v>
      </c>
      <c r="E2551" s="1347" t="s">
        <v>3922</v>
      </c>
    </row>
    <row r="2552" spans="1:5" x14ac:dyDescent="0.45">
      <c r="B2552" s="1347" t="s">
        <v>3923</v>
      </c>
      <c r="D2552" s="1347" t="s">
        <v>3924</v>
      </c>
      <c r="E2552" s="1347" t="s">
        <v>1275</v>
      </c>
    </row>
    <row r="2553" spans="1:5" x14ac:dyDescent="0.45">
      <c r="B2553" s="1347" t="s">
        <v>3925</v>
      </c>
      <c r="D2553" s="1347" t="s">
        <v>3926</v>
      </c>
      <c r="E2553" s="1347" t="s">
        <v>3927</v>
      </c>
    </row>
    <row r="2554" spans="1:5" x14ac:dyDescent="0.45">
      <c r="B2554" s="1347" t="s">
        <v>1108</v>
      </c>
      <c r="D2554" s="1347" t="s">
        <v>3928</v>
      </c>
      <c r="E2554" s="1347" t="s">
        <v>3929</v>
      </c>
    </row>
    <row r="2555" spans="1:5" x14ac:dyDescent="0.45">
      <c r="B2555" s="1347" t="s">
        <v>3930</v>
      </c>
      <c r="D2555" s="1347" t="s">
        <v>3931</v>
      </c>
      <c r="E2555" s="1347" t="s">
        <v>3932</v>
      </c>
    </row>
    <row r="2556" spans="1:5" x14ac:dyDescent="0.45">
      <c r="B2556" s="1347" t="s">
        <v>1108</v>
      </c>
      <c r="D2556" s="1347" t="s">
        <v>3933</v>
      </c>
      <c r="E2556" s="1347" t="s">
        <v>3934</v>
      </c>
    </row>
    <row r="2557" spans="1:5" x14ac:dyDescent="0.45">
      <c r="B2557" s="1347" t="s">
        <v>3935</v>
      </c>
      <c r="D2557" s="1347" t="s">
        <v>1109</v>
      </c>
      <c r="E2557" s="1347" t="s">
        <v>3936</v>
      </c>
    </row>
    <row r="2558" spans="1:5" x14ac:dyDescent="0.45">
      <c r="B2558" s="1347" t="s">
        <v>3937</v>
      </c>
      <c r="D2558" s="1347" t="s">
        <v>3938</v>
      </c>
      <c r="E2558" s="1347" t="s">
        <v>3939</v>
      </c>
    </row>
    <row r="2559" spans="1:5" x14ac:dyDescent="0.45">
      <c r="A2559" s="1347" t="s">
        <v>1105</v>
      </c>
      <c r="B2559" s="1347" t="s">
        <v>3940</v>
      </c>
      <c r="D2559" s="1347" t="s">
        <v>3941</v>
      </c>
      <c r="E2559" s="1347" t="s">
        <v>3942</v>
      </c>
    </row>
    <row r="2560" spans="1:5" x14ac:dyDescent="0.45">
      <c r="B2560" s="1347" t="s">
        <v>3943</v>
      </c>
      <c r="D2560" s="1347" t="s">
        <v>3944</v>
      </c>
      <c r="E2560" s="1347" t="s">
        <v>1110</v>
      </c>
    </row>
    <row r="2561" spans="1:5" x14ac:dyDescent="0.45">
      <c r="B2561" s="1347" t="s">
        <v>3945</v>
      </c>
      <c r="D2561" s="1347" t="s">
        <v>3946</v>
      </c>
      <c r="E2561" s="1347" t="s">
        <v>3947</v>
      </c>
    </row>
    <row r="2562" spans="1:5" x14ac:dyDescent="0.45">
      <c r="B2562" s="1347" t="s">
        <v>3948</v>
      </c>
      <c r="D2562" s="1347" t="s">
        <v>3949</v>
      </c>
      <c r="E2562" s="1347" t="s">
        <v>3950</v>
      </c>
    </row>
    <row r="2563" spans="1:5" x14ac:dyDescent="0.45">
      <c r="B2563" s="1347" t="s">
        <v>3951</v>
      </c>
      <c r="D2563" s="1347" t="s">
        <v>3952</v>
      </c>
      <c r="E2563" s="1347" t="s">
        <v>3953</v>
      </c>
    </row>
    <row r="2564" spans="1:5" x14ac:dyDescent="0.45">
      <c r="B2564" s="1347" t="s">
        <v>1108</v>
      </c>
      <c r="D2564" s="1347" t="s">
        <v>3954</v>
      </c>
      <c r="E2564" s="1347" t="s">
        <v>3955</v>
      </c>
    </row>
    <row r="2565" spans="1:5" x14ac:dyDescent="0.45">
      <c r="B2565" s="1347" t="s">
        <v>3349</v>
      </c>
      <c r="D2565" s="1347" t="s">
        <v>3956</v>
      </c>
      <c r="E2565" s="1347" t="s">
        <v>3957</v>
      </c>
    </row>
    <row r="2566" spans="1:5" x14ac:dyDescent="0.45">
      <c r="B2566" s="1347" t="s">
        <v>3958</v>
      </c>
      <c r="D2566" s="1347" t="s">
        <v>3959</v>
      </c>
      <c r="E2566" s="1347" t="s">
        <v>3960</v>
      </c>
    </row>
    <row r="2567" spans="1:5" x14ac:dyDescent="0.45">
      <c r="B2567" s="1347" t="s">
        <v>3961</v>
      </c>
      <c r="D2567" s="1347" t="s">
        <v>1109</v>
      </c>
      <c r="E2567" s="1347" t="s">
        <v>3962</v>
      </c>
    </row>
    <row r="2568" spans="1:5" x14ac:dyDescent="0.45">
      <c r="B2568" s="1347" t="s">
        <v>3963</v>
      </c>
      <c r="D2568" s="1347" t="s">
        <v>3964</v>
      </c>
      <c r="E2568" s="1347" t="s">
        <v>3965</v>
      </c>
    </row>
    <row r="2569" spans="1:5" x14ac:dyDescent="0.45">
      <c r="B2569" s="1347" t="s">
        <v>1108</v>
      </c>
      <c r="C2569" s="1347" t="s">
        <v>1105</v>
      </c>
      <c r="D2569" s="1347" t="s">
        <v>3966</v>
      </c>
      <c r="E2569" s="1347" t="s">
        <v>3967</v>
      </c>
    </row>
    <row r="2570" spans="1:5" x14ac:dyDescent="0.45">
      <c r="A2570" s="1347" t="s">
        <v>1105</v>
      </c>
      <c r="B2570" s="1347" t="s">
        <v>3968</v>
      </c>
      <c r="D2570" s="1347" t="s">
        <v>3969</v>
      </c>
      <c r="E2570" s="1347" t="s">
        <v>3970</v>
      </c>
    </row>
    <row r="2571" spans="1:5" x14ac:dyDescent="0.45">
      <c r="B2571" s="1347" t="s">
        <v>1108</v>
      </c>
      <c r="D2571" s="1347" t="s">
        <v>3971</v>
      </c>
      <c r="E2571" s="1347" t="s">
        <v>3972</v>
      </c>
    </row>
    <row r="2572" spans="1:5" x14ac:dyDescent="0.45">
      <c r="B2572" s="1347" t="s">
        <v>3973</v>
      </c>
      <c r="D2572" s="1347" t="s">
        <v>3974</v>
      </c>
      <c r="E2572" s="1347" t="s">
        <v>3975</v>
      </c>
    </row>
    <row r="2573" spans="1:5" x14ac:dyDescent="0.45">
      <c r="A2573" s="1347" t="s">
        <v>1105</v>
      </c>
      <c r="B2573" s="1347" t="s">
        <v>3976</v>
      </c>
      <c r="D2573" s="1347" t="s">
        <v>3977</v>
      </c>
      <c r="E2573" s="1347" t="s">
        <v>1110</v>
      </c>
    </row>
    <row r="2574" spans="1:5" x14ac:dyDescent="0.45">
      <c r="B2574" s="1347" t="s">
        <v>1108</v>
      </c>
      <c r="D2574" s="1347" t="s">
        <v>3978</v>
      </c>
      <c r="E2574" s="1347" t="s">
        <v>1275</v>
      </c>
    </row>
    <row r="2575" spans="1:5" x14ac:dyDescent="0.45">
      <c r="B2575" s="1347" t="s">
        <v>2285</v>
      </c>
      <c r="D2575" s="1347" t="s">
        <v>3979</v>
      </c>
      <c r="E2575" s="1347" t="s">
        <v>3980</v>
      </c>
    </row>
    <row r="2576" spans="1:5" x14ac:dyDescent="0.45">
      <c r="A2576" s="1347" t="s">
        <v>1105</v>
      </c>
      <c r="B2576" s="1347" t="s">
        <v>3981</v>
      </c>
      <c r="D2576" s="1347" t="s">
        <v>3982</v>
      </c>
      <c r="E2576" s="1347" t="s">
        <v>3983</v>
      </c>
    </row>
    <row r="2577" spans="1:5" x14ac:dyDescent="0.45">
      <c r="A2577" s="1347">
        <v>1</v>
      </c>
      <c r="B2577" s="1347" t="s">
        <v>3984</v>
      </c>
      <c r="D2577" s="1347" t="s">
        <v>3985</v>
      </c>
      <c r="E2577" s="1347" t="s">
        <v>3986</v>
      </c>
    </row>
    <row r="2578" spans="1:5" x14ac:dyDescent="0.45">
      <c r="B2578" s="1347" t="s">
        <v>1108</v>
      </c>
      <c r="D2578" s="1347" t="s">
        <v>3987</v>
      </c>
      <c r="E2578" s="1347" t="s">
        <v>3988</v>
      </c>
    </row>
    <row r="2579" spans="1:5" x14ac:dyDescent="0.45">
      <c r="B2579" s="1347" t="s">
        <v>3989</v>
      </c>
      <c r="D2579" s="1347" t="s">
        <v>3990</v>
      </c>
      <c r="E2579" s="1347" t="s">
        <v>3991</v>
      </c>
    </row>
    <row r="2580" spans="1:5" x14ac:dyDescent="0.45">
      <c r="A2580" s="1347" t="s">
        <v>1105</v>
      </c>
      <c r="B2580" s="1347" t="s">
        <v>3992</v>
      </c>
      <c r="D2580" s="1347" t="s">
        <v>3993</v>
      </c>
      <c r="E2580" s="1347" t="s">
        <v>3994</v>
      </c>
    </row>
    <row r="2581" spans="1:5" x14ac:dyDescent="0.45">
      <c r="B2581" s="1347" t="s">
        <v>3995</v>
      </c>
      <c r="D2581" s="1347" t="s">
        <v>3996</v>
      </c>
      <c r="E2581" s="1347" t="s">
        <v>3997</v>
      </c>
    </row>
    <row r="2582" spans="1:5" x14ac:dyDescent="0.45">
      <c r="B2582" s="1347" t="s">
        <v>3998</v>
      </c>
      <c r="D2582" s="1347" t="s">
        <v>3999</v>
      </c>
      <c r="E2582" s="1347" t="s">
        <v>4000</v>
      </c>
    </row>
    <row r="2583" spans="1:5" x14ac:dyDescent="0.45">
      <c r="B2583" s="1347" t="s">
        <v>4001</v>
      </c>
      <c r="C2583" s="1347" t="s">
        <v>1105</v>
      </c>
      <c r="D2583" s="1347" t="s">
        <v>4002</v>
      </c>
      <c r="E2583" s="1347" t="s">
        <v>4003</v>
      </c>
    </row>
    <row r="2584" spans="1:5" x14ac:dyDescent="0.45">
      <c r="B2584" s="1347" t="s">
        <v>1524</v>
      </c>
      <c r="D2584" s="1347" t="s">
        <v>4004</v>
      </c>
      <c r="E2584" s="1347" t="s">
        <v>4005</v>
      </c>
    </row>
    <row r="2585" spans="1:5" x14ac:dyDescent="0.45">
      <c r="B2585" s="1347" t="s">
        <v>1108</v>
      </c>
      <c r="D2585" s="1347" t="s">
        <v>4006</v>
      </c>
      <c r="E2585" s="1347" t="s">
        <v>4007</v>
      </c>
    </row>
    <row r="2586" spans="1:5" x14ac:dyDescent="0.45">
      <c r="B2586" s="1347" t="s">
        <v>4008</v>
      </c>
      <c r="D2586" s="1347" t="s">
        <v>1325</v>
      </c>
      <c r="E2586" s="1347" t="s">
        <v>4009</v>
      </c>
    </row>
    <row r="2587" spans="1:5" x14ac:dyDescent="0.45">
      <c r="B2587" s="1347" t="s">
        <v>4010</v>
      </c>
      <c r="D2587" s="1347" t="s">
        <v>4011</v>
      </c>
      <c r="E2587" s="1347" t="s">
        <v>4012</v>
      </c>
    </row>
    <row r="2588" spans="1:5" x14ac:dyDescent="0.45">
      <c r="B2588" s="1347" t="s">
        <v>1108</v>
      </c>
      <c r="D2588" s="1347" t="s">
        <v>1109</v>
      </c>
      <c r="E2588" s="1347" t="s">
        <v>4013</v>
      </c>
    </row>
    <row r="2589" spans="1:5" x14ac:dyDescent="0.45">
      <c r="A2589" s="1347" t="s">
        <v>1105</v>
      </c>
      <c r="B2589" s="1347" t="s">
        <v>4014</v>
      </c>
      <c r="D2589" s="1347" t="s">
        <v>4015</v>
      </c>
      <c r="E2589" s="1347" t="s">
        <v>1110</v>
      </c>
    </row>
    <row r="2590" spans="1:5" x14ac:dyDescent="0.45">
      <c r="A2590" s="1347">
        <v>-22</v>
      </c>
      <c r="B2590" s="1347" t="s">
        <v>4016</v>
      </c>
      <c r="D2590" s="1347" t="s">
        <v>4017</v>
      </c>
      <c r="E2590" s="1347" t="s">
        <v>1110</v>
      </c>
    </row>
    <row r="2591" spans="1:5" x14ac:dyDescent="0.45">
      <c r="B2591" s="1347" t="s">
        <v>1108</v>
      </c>
      <c r="D2591" s="1347" t="s">
        <v>1109</v>
      </c>
      <c r="E2591" s="1347" t="s">
        <v>1110</v>
      </c>
    </row>
    <row r="2592" spans="1:5" x14ac:dyDescent="0.45">
      <c r="B2592" s="1347" t="s">
        <v>1108</v>
      </c>
      <c r="D2592" s="1347" t="s">
        <v>1109</v>
      </c>
      <c r="E2592" s="1347" t="s">
        <v>1110</v>
      </c>
    </row>
    <row r="2593" spans="2:5" x14ac:dyDescent="0.45">
      <c r="B2593" s="1347" t="s">
        <v>1108</v>
      </c>
      <c r="D2593" s="1347" t="s">
        <v>1109</v>
      </c>
      <c r="E2593" s="1347" t="s">
        <v>1110</v>
      </c>
    </row>
    <row r="2594" spans="2:5" x14ac:dyDescent="0.45">
      <c r="B2594" s="1347" t="s">
        <v>1108</v>
      </c>
      <c r="D2594" s="1347" t="s">
        <v>1109</v>
      </c>
      <c r="E2594" s="1347" t="s">
        <v>1110</v>
      </c>
    </row>
    <row r="2595" spans="2:5" x14ac:dyDescent="0.45">
      <c r="B2595" s="1347" t="s">
        <v>1108</v>
      </c>
      <c r="D2595" s="1347" t="s">
        <v>1109</v>
      </c>
      <c r="E2595" s="1347" t="s">
        <v>1110</v>
      </c>
    </row>
    <row r="2596" spans="2:5" x14ac:dyDescent="0.45">
      <c r="B2596" s="1347" t="s">
        <v>1108</v>
      </c>
      <c r="D2596" s="1347" t="s">
        <v>1109</v>
      </c>
      <c r="E2596" s="1347" t="s">
        <v>1110</v>
      </c>
    </row>
    <row r="2597" spans="2:5" x14ac:dyDescent="0.45">
      <c r="B2597" s="1347" t="s">
        <v>1108</v>
      </c>
      <c r="D2597" s="1347" t="s">
        <v>1109</v>
      </c>
      <c r="E2597" s="1347" t="s">
        <v>1110</v>
      </c>
    </row>
    <row r="2598" spans="2:5" x14ac:dyDescent="0.45">
      <c r="B2598" s="1347" t="s">
        <v>1108</v>
      </c>
      <c r="D2598" s="1347" t="s">
        <v>1109</v>
      </c>
      <c r="E2598" s="1347" t="s">
        <v>1110</v>
      </c>
    </row>
    <row r="2599" spans="2:5" x14ac:dyDescent="0.45">
      <c r="B2599" s="1347" t="s">
        <v>1108</v>
      </c>
      <c r="D2599" s="1347" t="s">
        <v>1109</v>
      </c>
      <c r="E2599" s="1347" t="s">
        <v>1110</v>
      </c>
    </row>
    <row r="2600" spans="2:5" x14ac:dyDescent="0.45">
      <c r="B2600" s="1347" t="s">
        <v>1108</v>
      </c>
      <c r="D2600" s="1347" t="s">
        <v>1109</v>
      </c>
      <c r="E2600" s="1347" t="s">
        <v>1110</v>
      </c>
    </row>
    <row r="2601" spans="2:5" x14ac:dyDescent="0.45">
      <c r="B2601" s="1347" t="s">
        <v>1108</v>
      </c>
      <c r="D2601" s="1347" t="s">
        <v>1109</v>
      </c>
      <c r="E2601" s="1347" t="s">
        <v>1110</v>
      </c>
    </row>
    <row r="2602" spans="2:5" x14ac:dyDescent="0.45">
      <c r="B2602" s="1347" t="s">
        <v>1108</v>
      </c>
      <c r="D2602" s="1347" t="s">
        <v>1109</v>
      </c>
      <c r="E2602" s="1347" t="s">
        <v>1110</v>
      </c>
    </row>
    <row r="2603" spans="2:5" x14ac:dyDescent="0.45">
      <c r="B2603" s="1347" t="s">
        <v>1108</v>
      </c>
      <c r="D2603" s="1347" t="s">
        <v>1109</v>
      </c>
      <c r="E2603" s="1347" t="s">
        <v>1110</v>
      </c>
    </row>
    <row r="2604" spans="2:5" x14ac:dyDescent="0.45">
      <c r="B2604" s="1347" t="s">
        <v>1108</v>
      </c>
      <c r="D2604" s="1347" t="s">
        <v>1109</v>
      </c>
      <c r="E2604" s="1347" t="s">
        <v>1110</v>
      </c>
    </row>
    <row r="2605" spans="2:5" x14ac:dyDescent="0.45">
      <c r="B2605" s="1347" t="s">
        <v>1108</v>
      </c>
      <c r="D2605" s="1347" t="s">
        <v>1109</v>
      </c>
      <c r="E2605" s="1347" t="s">
        <v>1110</v>
      </c>
    </row>
    <row r="2606" spans="2:5" x14ac:dyDescent="0.45">
      <c r="B2606" s="1347" t="s">
        <v>1108</v>
      </c>
      <c r="D2606" s="1347" t="s">
        <v>1109</v>
      </c>
      <c r="E2606" s="1347" t="s">
        <v>1110</v>
      </c>
    </row>
    <row r="2607" spans="2:5" x14ac:dyDescent="0.45">
      <c r="B2607" s="1347" t="s">
        <v>1108</v>
      </c>
      <c r="D2607" s="1347" t="s">
        <v>1109</v>
      </c>
      <c r="E2607" s="1347" t="s">
        <v>1110</v>
      </c>
    </row>
    <row r="2608" spans="2:5" x14ac:dyDescent="0.45">
      <c r="B2608" s="1347" t="s">
        <v>1108</v>
      </c>
      <c r="D2608" s="1347" t="s">
        <v>1109</v>
      </c>
      <c r="E2608" s="1347" t="s">
        <v>1110</v>
      </c>
    </row>
    <row r="2609" spans="2:5" x14ac:dyDescent="0.45">
      <c r="B2609" s="1347" t="s">
        <v>1108</v>
      </c>
      <c r="D2609" s="1347" t="s">
        <v>1109</v>
      </c>
      <c r="E2609" s="1347" t="s">
        <v>1110</v>
      </c>
    </row>
    <row r="2610" spans="2:5" x14ac:dyDescent="0.45">
      <c r="B2610" s="1347" t="s">
        <v>1108</v>
      </c>
      <c r="D2610" s="1347" t="s">
        <v>1109</v>
      </c>
      <c r="E2610" s="1347" t="s">
        <v>1110</v>
      </c>
    </row>
    <row r="2611" spans="2:5" x14ac:dyDescent="0.45">
      <c r="B2611" s="1347" t="s">
        <v>1108</v>
      </c>
      <c r="D2611" s="1347" t="s">
        <v>1109</v>
      </c>
      <c r="E2611" s="1347" t="s">
        <v>1110</v>
      </c>
    </row>
    <row r="2612" spans="2:5" x14ac:dyDescent="0.45">
      <c r="B2612" s="1347" t="s">
        <v>1108</v>
      </c>
      <c r="D2612" s="1347" t="s">
        <v>1109</v>
      </c>
      <c r="E2612" s="1347" t="s">
        <v>1110</v>
      </c>
    </row>
    <row r="2613" spans="2:5" x14ac:dyDescent="0.45">
      <c r="B2613" s="1347" t="s">
        <v>1108</v>
      </c>
      <c r="D2613" s="1347" t="s">
        <v>1109</v>
      </c>
      <c r="E2613" s="1347" t="s">
        <v>1110</v>
      </c>
    </row>
    <row r="2614" spans="2:5" x14ac:dyDescent="0.45">
      <c r="B2614" s="1347" t="s">
        <v>1108</v>
      </c>
      <c r="D2614" s="1347" t="s">
        <v>1109</v>
      </c>
      <c r="E2614" s="1347" t="s">
        <v>1110</v>
      </c>
    </row>
    <row r="2615" spans="2:5" x14ac:dyDescent="0.45">
      <c r="B2615" s="1347" t="s">
        <v>1108</v>
      </c>
      <c r="D2615" s="1347" t="s">
        <v>1109</v>
      </c>
      <c r="E2615" s="1347" t="s">
        <v>1110</v>
      </c>
    </row>
    <row r="2616" spans="2:5" x14ac:dyDescent="0.45">
      <c r="B2616" s="1347" t="s">
        <v>1108</v>
      </c>
      <c r="D2616" s="1347" t="s">
        <v>1109</v>
      </c>
      <c r="E2616" s="1347" t="s">
        <v>1110</v>
      </c>
    </row>
    <row r="2617" spans="2:5" x14ac:dyDescent="0.45">
      <c r="B2617" s="1347" t="s">
        <v>1108</v>
      </c>
      <c r="D2617" s="1347" t="s">
        <v>1109</v>
      </c>
      <c r="E2617" s="1347" t="s">
        <v>1110</v>
      </c>
    </row>
    <row r="2618" spans="2:5" x14ac:dyDescent="0.45">
      <c r="B2618" s="1347" t="s">
        <v>1108</v>
      </c>
      <c r="D2618" s="1347" t="s">
        <v>1109</v>
      </c>
      <c r="E2618" s="1347" t="s">
        <v>1110</v>
      </c>
    </row>
    <row r="2619" spans="2:5" x14ac:dyDescent="0.45">
      <c r="B2619" s="1347" t="s">
        <v>1108</v>
      </c>
      <c r="D2619" s="1347" t="s">
        <v>1109</v>
      </c>
      <c r="E2619" s="1347" t="s">
        <v>1110</v>
      </c>
    </row>
    <row r="2620" spans="2:5" x14ac:dyDescent="0.45">
      <c r="B2620" s="1347" t="s">
        <v>1108</v>
      </c>
      <c r="D2620" s="1347" t="s">
        <v>1109</v>
      </c>
      <c r="E2620" s="1347" t="s">
        <v>1110</v>
      </c>
    </row>
    <row r="2621" spans="2:5" x14ac:dyDescent="0.45">
      <c r="B2621" s="1347" t="s">
        <v>1108</v>
      </c>
      <c r="D2621" s="1347" t="s">
        <v>1109</v>
      </c>
      <c r="E2621" s="1347" t="s">
        <v>1110</v>
      </c>
    </row>
    <row r="2622" spans="2:5" x14ac:dyDescent="0.45">
      <c r="B2622" s="1347" t="s">
        <v>1108</v>
      </c>
      <c r="D2622" s="1347" t="s">
        <v>1109</v>
      </c>
      <c r="E2622" s="1347" t="s">
        <v>1110</v>
      </c>
    </row>
    <row r="2623" spans="2:5" x14ac:dyDescent="0.45">
      <c r="B2623" s="1347" t="s">
        <v>1108</v>
      </c>
      <c r="D2623" s="1347" t="s">
        <v>1109</v>
      </c>
      <c r="E2623" s="1347" t="s">
        <v>1110</v>
      </c>
    </row>
    <row r="2624" spans="2:5" x14ac:dyDescent="0.45">
      <c r="B2624" s="1347" t="s">
        <v>1108</v>
      </c>
      <c r="D2624" s="1347" t="s">
        <v>1109</v>
      </c>
      <c r="E2624" s="1347" t="s">
        <v>1110</v>
      </c>
    </row>
    <row r="2625" spans="2:5" x14ac:dyDescent="0.45">
      <c r="B2625" s="1347" t="s">
        <v>1108</v>
      </c>
      <c r="D2625" s="1347" t="s">
        <v>1109</v>
      </c>
      <c r="E2625" s="1347" t="s">
        <v>1110</v>
      </c>
    </row>
    <row r="2626" spans="2:5" x14ac:dyDescent="0.45">
      <c r="B2626" s="1347" t="s">
        <v>1108</v>
      </c>
      <c r="D2626" s="1347" t="s">
        <v>1109</v>
      </c>
      <c r="E2626" s="1347" t="s">
        <v>1110</v>
      </c>
    </row>
    <row r="2627" spans="2:5" x14ac:dyDescent="0.45">
      <c r="B2627" s="1347" t="s">
        <v>1108</v>
      </c>
      <c r="D2627" s="1347" t="s">
        <v>1109</v>
      </c>
      <c r="E2627" s="1347" t="s">
        <v>1110</v>
      </c>
    </row>
    <row r="2628" spans="2:5" x14ac:dyDescent="0.45">
      <c r="B2628" s="1347" t="s">
        <v>1108</v>
      </c>
      <c r="D2628" s="1347" t="s">
        <v>1109</v>
      </c>
      <c r="E2628" s="1347" t="s">
        <v>1110</v>
      </c>
    </row>
    <row r="2629" spans="2:5" x14ac:dyDescent="0.45">
      <c r="B2629" s="1347" t="s">
        <v>1108</v>
      </c>
      <c r="D2629" s="1347" t="s">
        <v>1109</v>
      </c>
      <c r="E2629" s="1347" t="s">
        <v>1110</v>
      </c>
    </row>
    <row r="2630" spans="2:5" x14ac:dyDescent="0.45">
      <c r="B2630" s="1347" t="s">
        <v>1108</v>
      </c>
      <c r="D2630" s="1347" t="s">
        <v>1109</v>
      </c>
      <c r="E2630" s="1347" t="s">
        <v>1110</v>
      </c>
    </row>
    <row r="2631" spans="2:5" x14ac:dyDescent="0.45">
      <c r="B2631" s="1347" t="s">
        <v>1108</v>
      </c>
      <c r="D2631" s="1347" t="s">
        <v>1109</v>
      </c>
      <c r="E2631" s="1347" t="s">
        <v>1110</v>
      </c>
    </row>
    <row r="2632" spans="2:5" x14ac:dyDescent="0.45">
      <c r="B2632" s="1347" t="s">
        <v>1108</v>
      </c>
      <c r="D2632" s="1347" t="s">
        <v>1109</v>
      </c>
      <c r="E2632" s="1347" t="s">
        <v>1110</v>
      </c>
    </row>
    <row r="2633" spans="2:5" x14ac:dyDescent="0.45">
      <c r="B2633" s="1347" t="s">
        <v>1108</v>
      </c>
      <c r="D2633" s="1347" t="s">
        <v>1109</v>
      </c>
      <c r="E2633" s="1347" t="s">
        <v>1110</v>
      </c>
    </row>
    <row r="2634" spans="2:5" x14ac:dyDescent="0.45">
      <c r="B2634" s="1347" t="s">
        <v>1108</v>
      </c>
      <c r="D2634" s="1347" t="s">
        <v>1109</v>
      </c>
      <c r="E2634" s="1347" t="s">
        <v>1110</v>
      </c>
    </row>
    <row r="2635" spans="2:5" x14ac:dyDescent="0.45">
      <c r="B2635" s="1347" t="s">
        <v>1108</v>
      </c>
      <c r="D2635" s="1347" t="s">
        <v>1109</v>
      </c>
      <c r="E2635" s="1347" t="s">
        <v>1110</v>
      </c>
    </row>
    <row r="2636" spans="2:5" x14ac:dyDescent="0.45">
      <c r="B2636" s="1347" t="s">
        <v>1108</v>
      </c>
      <c r="D2636" s="1347" t="s">
        <v>1109</v>
      </c>
      <c r="E2636" s="1347" t="s">
        <v>1110</v>
      </c>
    </row>
    <row r="2637" spans="2:5" x14ac:dyDescent="0.45">
      <c r="B2637" s="1347" t="s">
        <v>1108</v>
      </c>
      <c r="D2637" s="1347" t="s">
        <v>1109</v>
      </c>
      <c r="E2637" s="1347" t="s">
        <v>1110</v>
      </c>
    </row>
    <row r="2638" spans="2:5" x14ac:dyDescent="0.45">
      <c r="B2638" s="1347" t="s">
        <v>1108</v>
      </c>
      <c r="D2638" s="1347" t="s">
        <v>1109</v>
      </c>
      <c r="E2638" s="1347" t="s">
        <v>1110</v>
      </c>
    </row>
    <row r="2639" spans="2:5" x14ac:dyDescent="0.45">
      <c r="B2639" s="1347" t="s">
        <v>1108</v>
      </c>
      <c r="D2639" s="1347" t="s">
        <v>1109</v>
      </c>
      <c r="E2639" s="1347" t="s">
        <v>1110</v>
      </c>
    </row>
    <row r="2640" spans="2:5" x14ac:dyDescent="0.45">
      <c r="B2640" s="1347" t="s">
        <v>1108</v>
      </c>
      <c r="D2640" s="1347" t="s">
        <v>1109</v>
      </c>
      <c r="E2640" s="1347" t="s">
        <v>1110</v>
      </c>
    </row>
    <row r="2641" spans="2:5" x14ac:dyDescent="0.45">
      <c r="B2641" s="1347" t="s">
        <v>1108</v>
      </c>
      <c r="D2641" s="1347" t="s">
        <v>1109</v>
      </c>
      <c r="E2641" s="1347" t="s">
        <v>1110</v>
      </c>
    </row>
    <row r="2642" spans="2:5" x14ac:dyDescent="0.45">
      <c r="B2642" s="1347" t="s">
        <v>1108</v>
      </c>
      <c r="D2642" s="1347" t="s">
        <v>1109</v>
      </c>
      <c r="E2642" s="1347" t="s">
        <v>1110</v>
      </c>
    </row>
    <row r="2643" spans="2:5" x14ac:dyDescent="0.45">
      <c r="B2643" s="1347" t="s">
        <v>1108</v>
      </c>
      <c r="D2643" s="1347" t="s">
        <v>1109</v>
      </c>
      <c r="E2643" s="1347" t="s">
        <v>1110</v>
      </c>
    </row>
    <row r="2644" spans="2:5" x14ac:dyDescent="0.45">
      <c r="B2644" s="1347" t="s">
        <v>1108</v>
      </c>
      <c r="D2644" s="1347" t="s">
        <v>1109</v>
      </c>
      <c r="E2644" s="1347" t="s">
        <v>1110</v>
      </c>
    </row>
    <row r="2645" spans="2:5" x14ac:dyDescent="0.45">
      <c r="B2645" s="1347" t="s">
        <v>1108</v>
      </c>
      <c r="D2645" s="1347" t="s">
        <v>1109</v>
      </c>
      <c r="E2645" s="1347" t="s">
        <v>1110</v>
      </c>
    </row>
    <row r="2646" spans="2:5" x14ac:dyDescent="0.45">
      <c r="B2646" s="1347" t="s">
        <v>1108</v>
      </c>
      <c r="D2646" s="1347" t="s">
        <v>1109</v>
      </c>
      <c r="E2646" s="1347" t="s">
        <v>1110</v>
      </c>
    </row>
    <row r="2647" spans="2:5" x14ac:dyDescent="0.45">
      <c r="B2647" s="1347" t="s">
        <v>1108</v>
      </c>
      <c r="D2647" s="1347" t="s">
        <v>1109</v>
      </c>
      <c r="E2647" s="1347" t="s">
        <v>1110</v>
      </c>
    </row>
    <row r="2648" spans="2:5" x14ac:dyDescent="0.45">
      <c r="B2648" s="1347" t="s">
        <v>1108</v>
      </c>
      <c r="D2648" s="1347" t="s">
        <v>1109</v>
      </c>
      <c r="E2648" s="1347" t="s">
        <v>1110</v>
      </c>
    </row>
    <row r="2649" spans="2:5" x14ac:dyDescent="0.45">
      <c r="B2649" s="1347" t="s">
        <v>1108</v>
      </c>
      <c r="D2649" s="1347" t="s">
        <v>1109</v>
      </c>
      <c r="E2649" s="1347" t="s">
        <v>1110</v>
      </c>
    </row>
    <row r="2650" spans="2:5" x14ac:dyDescent="0.45">
      <c r="B2650" s="1347" t="s">
        <v>1108</v>
      </c>
      <c r="D2650" s="1347" t="s">
        <v>1109</v>
      </c>
      <c r="E2650" s="1347" t="s">
        <v>1110</v>
      </c>
    </row>
    <row r="2651" spans="2:5" x14ac:dyDescent="0.45">
      <c r="B2651" s="1347" t="s">
        <v>1108</v>
      </c>
      <c r="D2651" s="1347" t="s">
        <v>1109</v>
      </c>
      <c r="E2651" s="1347" t="s">
        <v>1110</v>
      </c>
    </row>
    <row r="2652" spans="2:5" x14ac:dyDescent="0.45">
      <c r="B2652" s="1347" t="s">
        <v>1108</v>
      </c>
      <c r="D2652" s="1347" t="s">
        <v>1109</v>
      </c>
      <c r="E2652" s="1347" t="s">
        <v>1110</v>
      </c>
    </row>
    <row r="2653" spans="2:5" x14ac:dyDescent="0.45">
      <c r="B2653" s="1347" t="s">
        <v>1108</v>
      </c>
      <c r="D2653" s="1347" t="s">
        <v>1109</v>
      </c>
      <c r="E2653" s="1347" t="s">
        <v>1110</v>
      </c>
    </row>
    <row r="2654" spans="2:5" x14ac:dyDescent="0.45">
      <c r="B2654" s="1347" t="s">
        <v>1108</v>
      </c>
      <c r="D2654" s="1347" t="s">
        <v>1109</v>
      </c>
      <c r="E2654" s="1347" t="s">
        <v>1110</v>
      </c>
    </row>
    <row r="2655" spans="2:5" x14ac:dyDescent="0.45">
      <c r="B2655" s="1347" t="s">
        <v>1108</v>
      </c>
      <c r="D2655" s="1347" t="s">
        <v>1109</v>
      </c>
      <c r="E2655" s="1347" t="s">
        <v>1110</v>
      </c>
    </row>
    <row r="2656" spans="2:5" x14ac:dyDescent="0.45">
      <c r="B2656" s="1347" t="s">
        <v>1108</v>
      </c>
      <c r="D2656" s="1347" t="s">
        <v>1109</v>
      </c>
      <c r="E2656" s="1347" t="s">
        <v>1110</v>
      </c>
    </row>
    <row r="2657" spans="2:5" x14ac:dyDescent="0.45">
      <c r="B2657" s="1347" t="s">
        <v>1108</v>
      </c>
      <c r="D2657" s="1347" t="s">
        <v>1109</v>
      </c>
      <c r="E2657" s="1347" t="s">
        <v>1110</v>
      </c>
    </row>
    <row r="2658" spans="2:5" x14ac:dyDescent="0.45">
      <c r="B2658" s="1347" t="s">
        <v>1108</v>
      </c>
      <c r="D2658" s="1347" t="s">
        <v>1109</v>
      </c>
      <c r="E2658" s="1347" t="s">
        <v>1110</v>
      </c>
    </row>
    <row r="2659" spans="2:5" x14ac:dyDescent="0.45">
      <c r="B2659" s="1347" t="s">
        <v>1108</v>
      </c>
      <c r="D2659" s="1347" t="s">
        <v>1109</v>
      </c>
      <c r="E2659" s="1347" t="s">
        <v>1110</v>
      </c>
    </row>
    <row r="2660" spans="2:5" x14ac:dyDescent="0.45">
      <c r="B2660" s="1347" t="s">
        <v>1108</v>
      </c>
      <c r="D2660" s="1347" t="s">
        <v>1109</v>
      </c>
      <c r="E2660" s="1347" t="s">
        <v>1110</v>
      </c>
    </row>
    <row r="2661" spans="2:5" x14ac:dyDescent="0.45">
      <c r="B2661" s="1347" t="s">
        <v>1108</v>
      </c>
      <c r="D2661" s="1347" t="s">
        <v>1109</v>
      </c>
      <c r="E2661" s="1347" t="s">
        <v>1110</v>
      </c>
    </row>
    <row r="2662" spans="2:5" x14ac:dyDescent="0.45">
      <c r="B2662" s="1347" t="s">
        <v>1108</v>
      </c>
      <c r="D2662" s="1347" t="s">
        <v>1109</v>
      </c>
      <c r="E2662" s="1347" t="s">
        <v>1110</v>
      </c>
    </row>
    <row r="2663" spans="2:5" x14ac:dyDescent="0.45">
      <c r="B2663" s="1347" t="s">
        <v>1108</v>
      </c>
      <c r="D2663" s="1347" t="s">
        <v>1109</v>
      </c>
      <c r="E2663" s="1347" t="s">
        <v>1110</v>
      </c>
    </row>
    <row r="2664" spans="2:5" x14ac:dyDescent="0.45">
      <c r="B2664" s="1347" t="s">
        <v>1108</v>
      </c>
      <c r="D2664" s="1347" t="s">
        <v>1109</v>
      </c>
      <c r="E2664" s="1347" t="s">
        <v>1110</v>
      </c>
    </row>
    <row r="2665" spans="2:5" x14ac:dyDescent="0.45">
      <c r="B2665" s="1347" t="s">
        <v>1108</v>
      </c>
      <c r="D2665" s="1347" t="s">
        <v>1109</v>
      </c>
      <c r="E2665" s="1347" t="s">
        <v>1110</v>
      </c>
    </row>
    <row r="2666" spans="2:5" x14ac:dyDescent="0.45">
      <c r="B2666" s="1347" t="s">
        <v>1108</v>
      </c>
      <c r="D2666" s="1347" t="s">
        <v>1109</v>
      </c>
      <c r="E2666" s="1347" t="s">
        <v>1110</v>
      </c>
    </row>
    <row r="2667" spans="2:5" x14ac:dyDescent="0.45">
      <c r="B2667" s="1347" t="s">
        <v>1108</v>
      </c>
      <c r="D2667" s="1347" t="s">
        <v>1109</v>
      </c>
      <c r="E2667" s="1347" t="s">
        <v>1110</v>
      </c>
    </row>
    <row r="2668" spans="2:5" x14ac:dyDescent="0.45">
      <c r="B2668" s="1347" t="s">
        <v>1108</v>
      </c>
      <c r="D2668" s="1347" t="s">
        <v>1109</v>
      </c>
      <c r="E2668" s="1347" t="s">
        <v>1110</v>
      </c>
    </row>
    <row r="2669" spans="2:5" x14ac:dyDescent="0.45">
      <c r="B2669" s="1347" t="s">
        <v>1108</v>
      </c>
      <c r="D2669" s="1347" t="s">
        <v>1109</v>
      </c>
      <c r="E2669" s="1347" t="s">
        <v>1110</v>
      </c>
    </row>
    <row r="2670" spans="2:5" x14ac:dyDescent="0.45">
      <c r="B2670" s="1347" t="s">
        <v>1108</v>
      </c>
      <c r="D2670" s="1347" t="s">
        <v>1109</v>
      </c>
      <c r="E2670" s="1347" t="s">
        <v>1110</v>
      </c>
    </row>
    <row r="2671" spans="2:5" x14ac:dyDescent="0.45">
      <c r="B2671" s="1347" t="s">
        <v>1108</v>
      </c>
      <c r="D2671" s="1347" t="s">
        <v>1109</v>
      </c>
      <c r="E2671" s="1347" t="s">
        <v>1110</v>
      </c>
    </row>
    <row r="2672" spans="2:5" x14ac:dyDescent="0.45">
      <c r="B2672" s="1347" t="s">
        <v>1108</v>
      </c>
      <c r="D2672" s="1347" t="s">
        <v>1109</v>
      </c>
      <c r="E2672" s="1347" t="s">
        <v>1110</v>
      </c>
    </row>
    <row r="2673" spans="1:5" x14ac:dyDescent="0.45">
      <c r="B2673" s="1347" t="s">
        <v>1108</v>
      </c>
      <c r="D2673" s="1347" t="s">
        <v>1109</v>
      </c>
      <c r="E2673" s="1347" t="s">
        <v>1110</v>
      </c>
    </row>
    <row r="2674" spans="1:5" x14ac:dyDescent="0.45">
      <c r="B2674" s="1347" t="s">
        <v>1108</v>
      </c>
      <c r="D2674" s="1347" t="s">
        <v>1109</v>
      </c>
      <c r="E2674" s="1347" t="s">
        <v>1110</v>
      </c>
    </row>
    <row r="2675" spans="1:5" x14ac:dyDescent="0.45">
      <c r="B2675" s="1347" t="s">
        <v>4018</v>
      </c>
      <c r="D2675" s="1347" t="s">
        <v>4019</v>
      </c>
      <c r="E2675" s="1347" t="s">
        <v>4020</v>
      </c>
    </row>
    <row r="2676" spans="1:5" x14ac:dyDescent="0.45">
      <c r="B2676" s="1347" t="s">
        <v>1108</v>
      </c>
      <c r="C2676" s="1347" t="s">
        <v>1105</v>
      </c>
      <c r="D2676" s="1347" t="s">
        <v>4021</v>
      </c>
      <c r="E2676" s="1347" t="s">
        <v>1110</v>
      </c>
    </row>
    <row r="2677" spans="1:5" x14ac:dyDescent="0.45">
      <c r="A2677" s="1347" t="s">
        <v>1105</v>
      </c>
      <c r="B2677" s="1347" t="s">
        <v>4022</v>
      </c>
      <c r="D2677" s="1347" t="s">
        <v>4023</v>
      </c>
      <c r="E2677" s="1347" t="s">
        <v>4024</v>
      </c>
    </row>
    <row r="2678" spans="1:5" x14ac:dyDescent="0.45">
      <c r="B2678" s="1347" t="s">
        <v>4025</v>
      </c>
      <c r="D2678" s="1347" t="s">
        <v>4026</v>
      </c>
      <c r="E2678" s="1347" t="s">
        <v>4027</v>
      </c>
    </row>
    <row r="2679" spans="1:5" x14ac:dyDescent="0.45">
      <c r="B2679" s="1347" t="s">
        <v>1108</v>
      </c>
      <c r="D2679" s="1347" t="s">
        <v>4028</v>
      </c>
      <c r="E2679" s="1347" t="s">
        <v>4029</v>
      </c>
    </row>
    <row r="2680" spans="1:5" x14ac:dyDescent="0.45">
      <c r="A2680" s="1347" t="s">
        <v>1105</v>
      </c>
      <c r="B2680" s="1347" t="s">
        <v>4030</v>
      </c>
      <c r="D2680" s="1347" t="s">
        <v>1109</v>
      </c>
      <c r="E2680" s="1347" t="s">
        <v>4031</v>
      </c>
    </row>
    <row r="2681" spans="1:5" x14ac:dyDescent="0.45">
      <c r="B2681" s="1347" t="s">
        <v>1108</v>
      </c>
      <c r="D2681" s="1347" t="s">
        <v>4032</v>
      </c>
      <c r="E2681" s="1347" t="s">
        <v>1156</v>
      </c>
    </row>
    <row r="2682" spans="1:5" x14ac:dyDescent="0.45">
      <c r="B2682" s="1347" t="s">
        <v>4033</v>
      </c>
      <c r="D2682" s="1347" t="s">
        <v>4034</v>
      </c>
      <c r="E2682" s="1347" t="s">
        <v>4035</v>
      </c>
    </row>
    <row r="2683" spans="1:5" x14ac:dyDescent="0.45">
      <c r="B2683" s="1347" t="s">
        <v>4036</v>
      </c>
      <c r="D2683" s="1347">
        <f>-120    -87   -636</f>
        <v>-843</v>
      </c>
      <c r="E2683" s="1347" t="s">
        <v>1110</v>
      </c>
    </row>
    <row r="2684" spans="1:5" x14ac:dyDescent="0.45">
      <c r="B2684" s="1347" t="s">
        <v>4037</v>
      </c>
      <c r="D2684" s="1347" t="s">
        <v>4038</v>
      </c>
      <c r="E2684" s="1347" t="s">
        <v>4039</v>
      </c>
    </row>
    <row r="2685" spans="1:5" x14ac:dyDescent="0.45">
      <c r="A2685" s="1347">
        <v>1</v>
      </c>
      <c r="B2685" s="1347" t="s">
        <v>1242</v>
      </c>
      <c r="C2685" s="1347" t="s">
        <v>1105</v>
      </c>
      <c r="D2685" s="1347" t="s">
        <v>4040</v>
      </c>
      <c r="E2685" s="1347" t="s">
        <v>4041</v>
      </c>
    </row>
    <row r="2686" spans="1:5" x14ac:dyDescent="0.45">
      <c r="B2686" s="1347" t="s">
        <v>1108</v>
      </c>
      <c r="D2686" s="1347" t="s">
        <v>4042</v>
      </c>
      <c r="E2686" s="1347" t="s">
        <v>4043</v>
      </c>
    </row>
    <row r="2687" spans="1:5" x14ac:dyDescent="0.45">
      <c r="B2687" s="1347" t="s">
        <v>1108</v>
      </c>
      <c r="D2687" s="1347" t="s">
        <v>4044</v>
      </c>
      <c r="E2687" s="1347" t="s">
        <v>4045</v>
      </c>
    </row>
    <row r="2688" spans="1:5" x14ac:dyDescent="0.45">
      <c r="B2688" s="1347" t="s">
        <v>4046</v>
      </c>
      <c r="D2688" s="1347" t="s">
        <v>4047</v>
      </c>
      <c r="E2688" s="1347" t="s">
        <v>4048</v>
      </c>
    </row>
    <row r="2689" spans="1:5" x14ac:dyDescent="0.45">
      <c r="B2689" s="1347" t="s">
        <v>1108</v>
      </c>
      <c r="C2689" s="1347" t="s">
        <v>1105</v>
      </c>
      <c r="D2689" s="1347" t="s">
        <v>4049</v>
      </c>
      <c r="E2689" s="1347" t="s">
        <v>4050</v>
      </c>
    </row>
    <row r="2690" spans="1:5" x14ac:dyDescent="0.45">
      <c r="A2690" s="1347" t="s">
        <v>1105</v>
      </c>
      <c r="B2690" s="1347" t="s">
        <v>4051</v>
      </c>
      <c r="C2690" s="1347" t="s">
        <v>1105</v>
      </c>
      <c r="D2690" s="1347" t="s">
        <v>4052</v>
      </c>
      <c r="E2690" s="1347" t="s">
        <v>4053</v>
      </c>
    </row>
    <row r="2691" spans="1:5" x14ac:dyDescent="0.45">
      <c r="B2691" s="1347" t="s">
        <v>4054</v>
      </c>
      <c r="D2691" s="1347" t="s">
        <v>4055</v>
      </c>
      <c r="E2691" s="1347" t="s">
        <v>4056</v>
      </c>
    </row>
    <row r="2692" spans="1:5" x14ac:dyDescent="0.45">
      <c r="A2692" s="1347">
        <v>-2</v>
      </c>
      <c r="B2692" s="1347" t="s">
        <v>4057</v>
      </c>
      <c r="D2692" s="1347" t="s">
        <v>4058</v>
      </c>
      <c r="E2692" s="1347" t="s">
        <v>4059</v>
      </c>
    </row>
    <row r="2693" spans="1:5" x14ac:dyDescent="0.45">
      <c r="B2693" s="1347" t="s">
        <v>4060</v>
      </c>
      <c r="D2693" s="1347" t="s">
        <v>1707</v>
      </c>
      <c r="E2693" s="1347" t="s">
        <v>1110</v>
      </c>
    </row>
    <row r="2694" spans="1:5" x14ac:dyDescent="0.45">
      <c r="B2694" s="1347" t="s">
        <v>1108</v>
      </c>
      <c r="D2694" s="1347" t="s">
        <v>4061</v>
      </c>
      <c r="E2694" s="1347" t="s">
        <v>4062</v>
      </c>
    </row>
    <row r="2695" spans="1:5" x14ac:dyDescent="0.45">
      <c r="B2695" s="1347" t="s">
        <v>1108</v>
      </c>
      <c r="D2695" s="1347" t="s">
        <v>4063</v>
      </c>
      <c r="E2695" s="1347" t="s">
        <v>4064</v>
      </c>
    </row>
    <row r="2696" spans="1:5" x14ac:dyDescent="0.45">
      <c r="A2696" s="1347">
        <v>-6</v>
      </c>
      <c r="B2696" s="1347" t="s">
        <v>4065</v>
      </c>
      <c r="D2696" s="1347" t="s">
        <v>1109</v>
      </c>
      <c r="E2696" s="1347" t="s">
        <v>1110</v>
      </c>
    </row>
    <row r="2697" spans="1:5" x14ac:dyDescent="0.45">
      <c r="B2697" s="1347" t="s">
        <v>1108</v>
      </c>
      <c r="D2697" s="1347" t="s">
        <v>1109</v>
      </c>
      <c r="E2697" s="1347" t="s">
        <v>1110</v>
      </c>
    </row>
    <row r="2698" spans="1:5" x14ac:dyDescent="0.45">
      <c r="B2698" s="1347" t="s">
        <v>1108</v>
      </c>
      <c r="D2698" s="1347" t="s">
        <v>1109</v>
      </c>
      <c r="E2698" s="1347" t="s">
        <v>1110</v>
      </c>
    </row>
    <row r="2699" spans="1:5" x14ac:dyDescent="0.45">
      <c r="B2699" s="1347" t="s">
        <v>1108</v>
      </c>
      <c r="D2699" s="1347" t="s">
        <v>1109</v>
      </c>
      <c r="E2699" s="1347" t="s">
        <v>1110</v>
      </c>
    </row>
    <row r="2700" spans="1:5" x14ac:dyDescent="0.45">
      <c r="B2700" s="1347" t="s">
        <v>1108</v>
      </c>
      <c r="D2700" s="1347" t="s">
        <v>1109</v>
      </c>
      <c r="E2700" s="1347" t="s">
        <v>1110</v>
      </c>
    </row>
    <row r="2701" spans="1:5" x14ac:dyDescent="0.45">
      <c r="B2701" s="1347" t="s">
        <v>1108</v>
      </c>
      <c r="D2701" s="1347" t="s">
        <v>1109</v>
      </c>
      <c r="E2701" s="1347" t="s">
        <v>1110</v>
      </c>
    </row>
    <row r="2702" spans="1:5" x14ac:dyDescent="0.45">
      <c r="B2702" s="1347" t="s">
        <v>1108</v>
      </c>
      <c r="D2702" s="1347" t="s">
        <v>1109</v>
      </c>
      <c r="E2702" s="1347" t="s">
        <v>1110</v>
      </c>
    </row>
    <row r="2703" spans="1:5" x14ac:dyDescent="0.45">
      <c r="B2703" s="1347" t="s">
        <v>1108</v>
      </c>
      <c r="D2703" s="1347" t="s">
        <v>1109</v>
      </c>
      <c r="E2703" s="1347" t="s">
        <v>1110</v>
      </c>
    </row>
    <row r="2704" spans="1:5" x14ac:dyDescent="0.45">
      <c r="B2704" s="1347" t="s">
        <v>1108</v>
      </c>
      <c r="D2704" s="1347" t="s">
        <v>1109</v>
      </c>
      <c r="E2704" s="1347" t="s">
        <v>1110</v>
      </c>
    </row>
    <row r="2705" spans="2:5" x14ac:dyDescent="0.45">
      <c r="B2705" s="1347" t="s">
        <v>1108</v>
      </c>
      <c r="D2705" s="1347" t="s">
        <v>1109</v>
      </c>
      <c r="E2705" s="1347" t="s">
        <v>1110</v>
      </c>
    </row>
    <row r="2706" spans="2:5" x14ac:dyDescent="0.45">
      <c r="B2706" s="1347" t="s">
        <v>1108</v>
      </c>
      <c r="D2706" s="1347" t="s">
        <v>1109</v>
      </c>
      <c r="E2706" s="1347" t="s">
        <v>1110</v>
      </c>
    </row>
    <row r="2707" spans="2:5" x14ac:dyDescent="0.45">
      <c r="B2707" s="1347" t="s">
        <v>1108</v>
      </c>
      <c r="D2707" s="1347" t="s">
        <v>1109</v>
      </c>
      <c r="E2707" s="1347" t="s">
        <v>1110</v>
      </c>
    </row>
    <row r="2708" spans="2:5" x14ac:dyDescent="0.45">
      <c r="B2708" s="1347" t="s">
        <v>1108</v>
      </c>
      <c r="D2708" s="1347" t="s">
        <v>1109</v>
      </c>
      <c r="E2708" s="1347" t="s">
        <v>1110</v>
      </c>
    </row>
    <row r="2709" spans="2:5" x14ac:dyDescent="0.45">
      <c r="B2709" s="1347" t="s">
        <v>1108</v>
      </c>
      <c r="D2709" s="1347" t="s">
        <v>1109</v>
      </c>
      <c r="E2709" s="1347" t="s">
        <v>1110</v>
      </c>
    </row>
    <row r="2710" spans="2:5" x14ac:dyDescent="0.45">
      <c r="B2710" s="1347" t="s">
        <v>1108</v>
      </c>
      <c r="D2710" s="1347" t="s">
        <v>1109</v>
      </c>
      <c r="E2710" s="1347" t="s">
        <v>1110</v>
      </c>
    </row>
    <row r="2711" spans="2:5" x14ac:dyDescent="0.45">
      <c r="B2711" s="1347" t="s">
        <v>1108</v>
      </c>
      <c r="D2711" s="1347" t="s">
        <v>1109</v>
      </c>
      <c r="E2711" s="1347" t="s">
        <v>1110</v>
      </c>
    </row>
    <row r="2712" spans="2:5" x14ac:dyDescent="0.45">
      <c r="B2712" s="1347" t="s">
        <v>1108</v>
      </c>
      <c r="D2712" s="1347" t="s">
        <v>1109</v>
      </c>
      <c r="E2712" s="1347" t="s">
        <v>1110</v>
      </c>
    </row>
    <row r="2713" spans="2:5" x14ac:dyDescent="0.45">
      <c r="B2713" s="1347" t="s">
        <v>1108</v>
      </c>
      <c r="D2713" s="1347" t="s">
        <v>1109</v>
      </c>
      <c r="E2713" s="1347" t="s">
        <v>1110</v>
      </c>
    </row>
    <row r="2714" spans="2:5" x14ac:dyDescent="0.45">
      <c r="B2714" s="1347" t="s">
        <v>1108</v>
      </c>
      <c r="D2714" s="1347" t="s">
        <v>1109</v>
      </c>
      <c r="E2714" s="1347" t="s">
        <v>1110</v>
      </c>
    </row>
    <row r="2715" spans="2:5" x14ac:dyDescent="0.45">
      <c r="B2715" s="1347" t="s">
        <v>1108</v>
      </c>
      <c r="D2715" s="1347" t="s">
        <v>1109</v>
      </c>
      <c r="E2715" s="1347" t="s">
        <v>1110</v>
      </c>
    </row>
    <row r="2716" spans="2:5" x14ac:dyDescent="0.45">
      <c r="B2716" s="1347" t="s">
        <v>1108</v>
      </c>
      <c r="D2716" s="1347" t="s">
        <v>1109</v>
      </c>
      <c r="E2716" s="1347" t="s">
        <v>1110</v>
      </c>
    </row>
    <row r="2717" spans="2:5" x14ac:dyDescent="0.45">
      <c r="B2717" s="1347" t="s">
        <v>1108</v>
      </c>
      <c r="D2717" s="1347" t="s">
        <v>1109</v>
      </c>
      <c r="E2717" s="1347" t="s">
        <v>1110</v>
      </c>
    </row>
    <row r="2718" spans="2:5" x14ac:dyDescent="0.45">
      <c r="B2718" s="1347" t="s">
        <v>4066</v>
      </c>
      <c r="D2718" s="1347" t="s">
        <v>4067</v>
      </c>
      <c r="E2718" s="1347" t="s">
        <v>4068</v>
      </c>
    </row>
    <row r="2719" spans="2:5" x14ac:dyDescent="0.45">
      <c r="B2719" s="1347" t="s">
        <v>4069</v>
      </c>
      <c r="D2719" s="1347" t="s">
        <v>4070</v>
      </c>
      <c r="E2719" s="1347" t="s">
        <v>4071</v>
      </c>
    </row>
    <row r="2720" spans="2:5" x14ac:dyDescent="0.45">
      <c r="B2720" s="1347" t="s">
        <v>1108</v>
      </c>
      <c r="D2720" s="1347" t="s">
        <v>4072</v>
      </c>
      <c r="E2720" s="1347" t="s">
        <v>4073</v>
      </c>
    </row>
    <row r="2721" spans="1:5" x14ac:dyDescent="0.45">
      <c r="B2721" s="1347" t="s">
        <v>4074</v>
      </c>
      <c r="D2721" s="1347" t="s">
        <v>4075</v>
      </c>
      <c r="E2721" s="1347" t="s">
        <v>4076</v>
      </c>
    </row>
    <row r="2722" spans="1:5" x14ac:dyDescent="0.45">
      <c r="B2722" s="1347" t="s">
        <v>1108</v>
      </c>
      <c r="D2722" s="1347" t="s">
        <v>4077</v>
      </c>
      <c r="E2722" s="1347" t="s">
        <v>4078</v>
      </c>
    </row>
    <row r="2723" spans="1:5" x14ac:dyDescent="0.45">
      <c r="B2723" s="1347" t="s">
        <v>1108</v>
      </c>
      <c r="D2723" s="1347" t="s">
        <v>4079</v>
      </c>
      <c r="E2723" s="1347" t="s">
        <v>4080</v>
      </c>
    </row>
    <row r="2724" spans="1:5" x14ac:dyDescent="0.45">
      <c r="B2724" s="1347" t="s">
        <v>4081</v>
      </c>
      <c r="D2724" s="1347" t="s">
        <v>4082</v>
      </c>
      <c r="E2724" s="1347" t="s">
        <v>4083</v>
      </c>
    </row>
    <row r="2725" spans="1:5" x14ac:dyDescent="0.45">
      <c r="A2725" s="1347" t="s">
        <v>1105</v>
      </c>
      <c r="B2725" s="1347" t="s">
        <v>4084</v>
      </c>
      <c r="D2725" s="1347" t="s">
        <v>4085</v>
      </c>
      <c r="E2725" s="1347" t="s">
        <v>4086</v>
      </c>
    </row>
    <row r="2726" spans="1:5" x14ac:dyDescent="0.45">
      <c r="A2726" s="1347">
        <v>4</v>
      </c>
      <c r="B2726" s="1347" t="s">
        <v>4087</v>
      </c>
      <c r="D2726" s="1347" t="s">
        <v>4088</v>
      </c>
      <c r="E2726" s="1347" t="s">
        <v>4089</v>
      </c>
    </row>
    <row r="2727" spans="1:5" x14ac:dyDescent="0.45">
      <c r="B2727" s="1347" t="s">
        <v>4090</v>
      </c>
      <c r="D2727" s="1347" t="s">
        <v>4091</v>
      </c>
      <c r="E2727" s="1347" t="s">
        <v>4092</v>
      </c>
    </row>
    <row r="2728" spans="1:5" x14ac:dyDescent="0.45">
      <c r="B2728" s="1347" t="s">
        <v>4093</v>
      </c>
      <c r="D2728" s="1347" t="s">
        <v>4094</v>
      </c>
      <c r="E2728" s="1347" t="s">
        <v>4095</v>
      </c>
    </row>
    <row r="2729" spans="1:5" x14ac:dyDescent="0.45">
      <c r="B2729" s="1347" t="s">
        <v>4096</v>
      </c>
      <c r="D2729" s="1347" t="s">
        <v>4097</v>
      </c>
      <c r="E2729" s="1347" t="s">
        <v>4098</v>
      </c>
    </row>
    <row r="2730" spans="1:5" x14ac:dyDescent="0.45">
      <c r="B2730" s="1347" t="s">
        <v>1108</v>
      </c>
      <c r="D2730" s="1347" t="s">
        <v>4099</v>
      </c>
      <c r="E2730" s="1347" t="s">
        <v>4100</v>
      </c>
    </row>
    <row r="2731" spans="1:5" x14ac:dyDescent="0.45">
      <c r="A2731" s="1347">
        <v>1</v>
      </c>
      <c r="B2731" s="1347" t="s">
        <v>4101</v>
      </c>
      <c r="D2731" s="1347" t="s">
        <v>4102</v>
      </c>
      <c r="E2731" s="1347" t="s">
        <v>4103</v>
      </c>
    </row>
    <row r="2732" spans="1:5" x14ac:dyDescent="0.45">
      <c r="B2732" s="1347" t="s">
        <v>4104</v>
      </c>
      <c r="D2732" s="1347" t="s">
        <v>4105</v>
      </c>
      <c r="E2732" s="1347" t="s">
        <v>4106</v>
      </c>
    </row>
    <row r="2733" spans="1:5" x14ac:dyDescent="0.45">
      <c r="A2733" s="1347" t="s">
        <v>1105</v>
      </c>
      <c r="B2733" s="1347" t="s">
        <v>4107</v>
      </c>
      <c r="D2733" s="1347" t="s">
        <v>1109</v>
      </c>
      <c r="E2733" s="1347" t="s">
        <v>4108</v>
      </c>
    </row>
    <row r="2734" spans="1:5" x14ac:dyDescent="0.45">
      <c r="B2734" s="1347" t="s">
        <v>4109</v>
      </c>
      <c r="D2734" s="1347" t="s">
        <v>4110</v>
      </c>
      <c r="E2734" s="1347" t="s">
        <v>4111</v>
      </c>
    </row>
    <row r="2735" spans="1:5" x14ac:dyDescent="0.45">
      <c r="A2735" s="1347">
        <v>-1</v>
      </c>
      <c r="B2735" s="1347" t="s">
        <v>4112</v>
      </c>
      <c r="D2735" s="1347" t="s">
        <v>4113</v>
      </c>
      <c r="E2735" s="1347" t="s">
        <v>4114</v>
      </c>
    </row>
    <row r="2736" spans="1:5" x14ac:dyDescent="0.45">
      <c r="A2736" s="1347" t="s">
        <v>1105</v>
      </c>
      <c r="B2736" s="1347" t="s">
        <v>4115</v>
      </c>
      <c r="C2736" s="1347" t="s">
        <v>1105</v>
      </c>
      <c r="D2736" s="1347" t="s">
        <v>4116</v>
      </c>
      <c r="E2736" s="1347" t="s">
        <v>1110</v>
      </c>
    </row>
    <row r="2737" spans="2:5" x14ac:dyDescent="0.45">
      <c r="B2737" s="1347" t="s">
        <v>4117</v>
      </c>
      <c r="D2737" s="1347" t="s">
        <v>4118</v>
      </c>
      <c r="E2737" s="1347" t="s">
        <v>4119</v>
      </c>
    </row>
    <row r="2738" spans="2:5" x14ac:dyDescent="0.45">
      <c r="B2738" s="1347" t="s">
        <v>1108</v>
      </c>
      <c r="D2738" s="1347" t="s">
        <v>4120</v>
      </c>
      <c r="E2738" s="1347" t="s">
        <v>4121</v>
      </c>
    </row>
    <row r="2739" spans="2:5" x14ac:dyDescent="0.45">
      <c r="B2739" s="1347" t="s">
        <v>1108</v>
      </c>
      <c r="D2739" s="1347" t="s">
        <v>4122</v>
      </c>
      <c r="E2739" s="1347" t="s">
        <v>1110</v>
      </c>
    </row>
    <row r="2740" spans="2:5" x14ac:dyDescent="0.45">
      <c r="B2740" s="1347" t="s">
        <v>1108</v>
      </c>
      <c r="D2740" s="1347" t="s">
        <v>1109</v>
      </c>
      <c r="E2740" s="1347" t="s">
        <v>1110</v>
      </c>
    </row>
    <row r="2741" spans="2:5" x14ac:dyDescent="0.45">
      <c r="B2741" s="1347" t="s">
        <v>1108</v>
      </c>
      <c r="D2741" s="1347" t="s">
        <v>1109</v>
      </c>
      <c r="E2741" s="1347" t="s">
        <v>1110</v>
      </c>
    </row>
    <row r="2742" spans="2:5" x14ac:dyDescent="0.45">
      <c r="B2742" s="1347" t="s">
        <v>1108</v>
      </c>
      <c r="D2742" s="1347" t="s">
        <v>1109</v>
      </c>
      <c r="E2742" s="1347" t="s">
        <v>1110</v>
      </c>
    </row>
    <row r="2743" spans="2:5" x14ac:dyDescent="0.45">
      <c r="B2743" s="1347" t="s">
        <v>1108</v>
      </c>
      <c r="D2743" s="1347" t="s">
        <v>1109</v>
      </c>
      <c r="E2743" s="1347" t="s">
        <v>1110</v>
      </c>
    </row>
    <row r="2744" spans="2:5" x14ac:dyDescent="0.45">
      <c r="B2744" s="1347" t="s">
        <v>1108</v>
      </c>
      <c r="D2744" s="1347" t="s">
        <v>1109</v>
      </c>
      <c r="E2744" s="1347" t="s">
        <v>1110</v>
      </c>
    </row>
    <row r="2745" spans="2:5" x14ac:dyDescent="0.45">
      <c r="B2745" s="1347" t="s">
        <v>1108</v>
      </c>
      <c r="D2745" s="1347" t="s">
        <v>1109</v>
      </c>
      <c r="E2745" s="1347" t="s">
        <v>1110</v>
      </c>
    </row>
    <row r="2746" spans="2:5" x14ac:dyDescent="0.45">
      <c r="B2746" s="1347" t="s">
        <v>1108</v>
      </c>
      <c r="D2746" s="1347" t="s">
        <v>1109</v>
      </c>
      <c r="E2746" s="1347" t="s">
        <v>1110</v>
      </c>
    </row>
    <row r="2747" spans="2:5" x14ac:dyDescent="0.45">
      <c r="B2747" s="1347" t="s">
        <v>1108</v>
      </c>
      <c r="D2747" s="1347" t="s">
        <v>1109</v>
      </c>
      <c r="E2747" s="1347" t="s">
        <v>1110</v>
      </c>
    </row>
    <row r="2748" spans="2:5" x14ac:dyDescent="0.45">
      <c r="B2748" s="1347" t="s">
        <v>1108</v>
      </c>
      <c r="D2748" s="1347" t="s">
        <v>1109</v>
      </c>
      <c r="E2748" s="1347" t="s">
        <v>1110</v>
      </c>
    </row>
    <row r="2749" spans="2:5" x14ac:dyDescent="0.45">
      <c r="B2749" s="1347" t="s">
        <v>1108</v>
      </c>
      <c r="D2749" s="1347" t="s">
        <v>1109</v>
      </c>
      <c r="E2749" s="1347" t="s">
        <v>1110</v>
      </c>
    </row>
    <row r="2750" spans="2:5" x14ac:dyDescent="0.45">
      <c r="B2750" s="1347" t="s">
        <v>1108</v>
      </c>
      <c r="D2750" s="1347" t="s">
        <v>1109</v>
      </c>
      <c r="E2750" s="1347" t="s">
        <v>1110</v>
      </c>
    </row>
    <row r="2751" spans="2:5" x14ac:dyDescent="0.45">
      <c r="B2751" s="1347" t="s">
        <v>1108</v>
      </c>
      <c r="D2751" s="1347" t="s">
        <v>1109</v>
      </c>
      <c r="E2751" s="1347" t="s">
        <v>1110</v>
      </c>
    </row>
    <row r="2752" spans="2:5" x14ac:dyDescent="0.45">
      <c r="B2752" s="1347" t="s">
        <v>1108</v>
      </c>
      <c r="D2752" s="1347" t="s">
        <v>1109</v>
      </c>
      <c r="E2752" s="1347" t="s">
        <v>1110</v>
      </c>
    </row>
    <row r="2753" spans="2:5" x14ac:dyDescent="0.45">
      <c r="B2753" s="1347" t="s">
        <v>1108</v>
      </c>
      <c r="D2753" s="1347" t="s">
        <v>1109</v>
      </c>
      <c r="E2753" s="1347" t="s">
        <v>1110</v>
      </c>
    </row>
    <row r="2754" spans="2:5" x14ac:dyDescent="0.45">
      <c r="B2754" s="1347" t="s">
        <v>1108</v>
      </c>
      <c r="D2754" s="1347" t="s">
        <v>1109</v>
      </c>
      <c r="E2754" s="1347" t="s">
        <v>1110</v>
      </c>
    </row>
    <row r="2755" spans="2:5" x14ac:dyDescent="0.45">
      <c r="B2755" s="1347" t="s">
        <v>1108</v>
      </c>
      <c r="D2755" s="1347" t="s">
        <v>1109</v>
      </c>
      <c r="E2755" s="1347" t="s">
        <v>1110</v>
      </c>
    </row>
    <row r="2756" spans="2:5" x14ac:dyDescent="0.45">
      <c r="B2756" s="1347" t="s">
        <v>1108</v>
      </c>
      <c r="D2756" s="1347" t="s">
        <v>1109</v>
      </c>
      <c r="E2756" s="1347" t="s">
        <v>1110</v>
      </c>
    </row>
    <row r="2757" spans="2:5" x14ac:dyDescent="0.45">
      <c r="B2757" s="1347" t="s">
        <v>1108</v>
      </c>
      <c r="D2757" s="1347" t="s">
        <v>1109</v>
      </c>
      <c r="E2757" s="1347" t="s">
        <v>1110</v>
      </c>
    </row>
    <row r="2758" spans="2:5" x14ac:dyDescent="0.45">
      <c r="B2758" s="1347" t="s">
        <v>1108</v>
      </c>
      <c r="D2758" s="1347" t="s">
        <v>1109</v>
      </c>
      <c r="E2758" s="1347" t="s">
        <v>1110</v>
      </c>
    </row>
    <row r="2759" spans="2:5" x14ac:dyDescent="0.45">
      <c r="B2759" s="1347" t="s">
        <v>1108</v>
      </c>
      <c r="D2759" s="1347" t="s">
        <v>1109</v>
      </c>
      <c r="E2759" s="1347" t="s">
        <v>1110</v>
      </c>
    </row>
    <row r="2760" spans="2:5" x14ac:dyDescent="0.45">
      <c r="B2760" s="1347" t="s">
        <v>1108</v>
      </c>
      <c r="D2760" s="1347" t="s">
        <v>1109</v>
      </c>
      <c r="E2760" s="1347" t="s">
        <v>1110</v>
      </c>
    </row>
    <row r="2761" spans="2:5" x14ac:dyDescent="0.45">
      <c r="B2761" s="1347" t="s">
        <v>1108</v>
      </c>
      <c r="D2761" s="1347" t="s">
        <v>1109</v>
      </c>
      <c r="E2761" s="1347" t="s">
        <v>1110</v>
      </c>
    </row>
    <row r="2762" spans="2:5" x14ac:dyDescent="0.45">
      <c r="B2762" s="1347" t="s">
        <v>1108</v>
      </c>
      <c r="D2762" s="1347" t="s">
        <v>1109</v>
      </c>
      <c r="E2762" s="1347" t="s">
        <v>1110</v>
      </c>
    </row>
    <row r="2763" spans="2:5" x14ac:dyDescent="0.45">
      <c r="B2763" s="1347" t="s">
        <v>1108</v>
      </c>
      <c r="D2763" s="1347" t="s">
        <v>1109</v>
      </c>
      <c r="E2763" s="1347" t="s">
        <v>1110</v>
      </c>
    </row>
    <row r="2764" spans="2:5" x14ac:dyDescent="0.45">
      <c r="B2764" s="1347" t="s">
        <v>1108</v>
      </c>
      <c r="D2764" s="1347" t="s">
        <v>1109</v>
      </c>
      <c r="E2764" s="1347" t="s">
        <v>1110</v>
      </c>
    </row>
    <row r="2765" spans="2:5" x14ac:dyDescent="0.45">
      <c r="B2765" s="1347" t="s">
        <v>1108</v>
      </c>
      <c r="D2765" s="1347" t="s">
        <v>1109</v>
      </c>
      <c r="E2765" s="1347" t="s">
        <v>1110</v>
      </c>
    </row>
    <row r="2766" spans="2:5" x14ac:dyDescent="0.45">
      <c r="B2766" s="1347" t="s">
        <v>1108</v>
      </c>
      <c r="D2766" s="1347" t="s">
        <v>1109</v>
      </c>
      <c r="E2766" s="1347" t="s">
        <v>1110</v>
      </c>
    </row>
    <row r="2767" spans="2:5" x14ac:dyDescent="0.45">
      <c r="B2767" s="1347" t="s">
        <v>1108</v>
      </c>
      <c r="D2767" s="1347" t="s">
        <v>1109</v>
      </c>
      <c r="E2767" s="1347" t="s">
        <v>1110</v>
      </c>
    </row>
    <row r="2768" spans="2:5" x14ac:dyDescent="0.45">
      <c r="B2768" s="1347" t="s">
        <v>1108</v>
      </c>
      <c r="D2768" s="1347" t="s">
        <v>1109</v>
      </c>
      <c r="E2768" s="1347" t="s">
        <v>1110</v>
      </c>
    </row>
    <row r="2769" spans="2:5" x14ac:dyDescent="0.45">
      <c r="B2769" s="1347" t="s">
        <v>1108</v>
      </c>
      <c r="D2769" s="1347" t="s">
        <v>1109</v>
      </c>
      <c r="E2769" s="1347" t="s">
        <v>1110</v>
      </c>
    </row>
    <row r="2770" spans="2:5" x14ac:dyDescent="0.45">
      <c r="B2770" s="1347" t="s">
        <v>1108</v>
      </c>
      <c r="D2770" s="1347" t="s">
        <v>1109</v>
      </c>
      <c r="E2770" s="1347" t="s">
        <v>1110</v>
      </c>
    </row>
    <row r="2771" spans="2:5" x14ac:dyDescent="0.45">
      <c r="B2771" s="1347" t="s">
        <v>1108</v>
      </c>
      <c r="D2771" s="1347" t="s">
        <v>1109</v>
      </c>
      <c r="E2771" s="1347" t="s">
        <v>1110</v>
      </c>
    </row>
    <row r="2772" spans="2:5" x14ac:dyDescent="0.45">
      <c r="B2772" s="1347" t="s">
        <v>1108</v>
      </c>
      <c r="D2772" s="1347" t="s">
        <v>1109</v>
      </c>
      <c r="E2772" s="1347" t="s">
        <v>1110</v>
      </c>
    </row>
    <row r="2773" spans="2:5" x14ac:dyDescent="0.45">
      <c r="B2773" s="1347" t="s">
        <v>1108</v>
      </c>
      <c r="D2773" s="1347" t="s">
        <v>1109</v>
      </c>
      <c r="E2773" s="1347" t="s">
        <v>1110</v>
      </c>
    </row>
    <row r="2774" spans="2:5" x14ac:dyDescent="0.45">
      <c r="B2774" s="1347" t="s">
        <v>1108</v>
      </c>
      <c r="D2774" s="1347" t="s">
        <v>1109</v>
      </c>
      <c r="E2774" s="1347" t="s">
        <v>1110</v>
      </c>
    </row>
    <row r="2775" spans="2:5" x14ac:dyDescent="0.45">
      <c r="B2775" s="1347" t="s">
        <v>1108</v>
      </c>
      <c r="D2775" s="1347" t="s">
        <v>1109</v>
      </c>
      <c r="E2775" s="1347" t="s">
        <v>1110</v>
      </c>
    </row>
    <row r="2776" spans="2:5" x14ac:dyDescent="0.45">
      <c r="B2776" s="1347" t="s">
        <v>1108</v>
      </c>
      <c r="D2776" s="1347" t="s">
        <v>1109</v>
      </c>
      <c r="E2776" s="1347" t="s">
        <v>1110</v>
      </c>
    </row>
    <row r="2777" spans="2:5" x14ac:dyDescent="0.45">
      <c r="B2777" s="1347" t="s">
        <v>1108</v>
      </c>
      <c r="D2777" s="1347" t="s">
        <v>1109</v>
      </c>
      <c r="E2777" s="1347" t="s">
        <v>1110</v>
      </c>
    </row>
    <row r="2778" spans="2:5" x14ac:dyDescent="0.45">
      <c r="B2778" s="1347" t="s">
        <v>1108</v>
      </c>
      <c r="D2778" s="1347" t="s">
        <v>1109</v>
      </c>
      <c r="E2778" s="1347" t="s">
        <v>1110</v>
      </c>
    </row>
    <row r="2779" spans="2:5" x14ac:dyDescent="0.45">
      <c r="B2779" s="1347" t="s">
        <v>1108</v>
      </c>
      <c r="D2779" s="1347" t="s">
        <v>1109</v>
      </c>
      <c r="E2779" s="1347" t="s">
        <v>1110</v>
      </c>
    </row>
    <row r="2780" spans="2:5" x14ac:dyDescent="0.45">
      <c r="B2780" s="1347" t="s">
        <v>1108</v>
      </c>
      <c r="D2780" s="1347" t="s">
        <v>1109</v>
      </c>
      <c r="E2780" s="1347" t="s">
        <v>1110</v>
      </c>
    </row>
    <row r="2781" spans="2:5" x14ac:dyDescent="0.45">
      <c r="B2781" s="1347" t="s">
        <v>1108</v>
      </c>
      <c r="D2781" s="1347" t="s">
        <v>1109</v>
      </c>
      <c r="E2781" s="1347" t="s">
        <v>1110</v>
      </c>
    </row>
    <row r="2782" spans="2:5" x14ac:dyDescent="0.45">
      <c r="B2782" s="1347" t="s">
        <v>1108</v>
      </c>
      <c r="D2782" s="1347" t="s">
        <v>1109</v>
      </c>
      <c r="E2782" s="1347" t="s">
        <v>1110</v>
      </c>
    </row>
    <row r="2783" spans="2:5" x14ac:dyDescent="0.45">
      <c r="B2783" s="1347" t="s">
        <v>4123</v>
      </c>
      <c r="D2783" s="1347" t="s">
        <v>4124</v>
      </c>
      <c r="E2783" s="1347" t="s">
        <v>4125</v>
      </c>
    </row>
    <row r="2784" spans="2:5" x14ac:dyDescent="0.45">
      <c r="B2784" s="1347" t="s">
        <v>1108</v>
      </c>
      <c r="D2784" s="1347" t="s">
        <v>4126</v>
      </c>
      <c r="E2784" s="1347" t="s">
        <v>1110</v>
      </c>
    </row>
    <row r="2785" spans="1:5" x14ac:dyDescent="0.45">
      <c r="A2785" s="1347" t="s">
        <v>1105</v>
      </c>
      <c r="B2785" s="1347" t="s">
        <v>4127</v>
      </c>
      <c r="D2785" s="1347" t="s">
        <v>4128</v>
      </c>
      <c r="E2785" s="1347" t="s">
        <v>4129</v>
      </c>
    </row>
    <row r="2786" spans="1:5" x14ac:dyDescent="0.45">
      <c r="B2786" s="1347" t="s">
        <v>4130</v>
      </c>
      <c r="D2786" s="1347">
        <f>-69    -90   -809   -27</f>
        <v>-995</v>
      </c>
      <c r="E2786" s="1347" t="s">
        <v>4131</v>
      </c>
    </row>
    <row r="2787" spans="1:5" x14ac:dyDescent="0.45">
      <c r="B2787" s="1347" t="s">
        <v>1108</v>
      </c>
      <c r="D2787" s="1347" t="s">
        <v>4132</v>
      </c>
      <c r="E2787" s="1347" t="s">
        <v>4133</v>
      </c>
    </row>
    <row r="2788" spans="1:5" x14ac:dyDescent="0.45">
      <c r="B2788" s="1347" t="s">
        <v>4134</v>
      </c>
      <c r="D2788" s="1347" t="s">
        <v>1109</v>
      </c>
      <c r="E2788" s="1347" t="s">
        <v>4135</v>
      </c>
    </row>
    <row r="2789" spans="1:5" x14ac:dyDescent="0.45">
      <c r="B2789" s="1347" t="s">
        <v>1108</v>
      </c>
      <c r="D2789" s="1347" t="s">
        <v>4136</v>
      </c>
      <c r="E2789" s="1347" t="s">
        <v>1156</v>
      </c>
    </row>
    <row r="2790" spans="1:5" x14ac:dyDescent="0.45">
      <c r="A2790" s="1347">
        <v>-1</v>
      </c>
      <c r="B2790" s="1347" t="s">
        <v>4137</v>
      </c>
      <c r="D2790" s="1347" t="s">
        <v>4138</v>
      </c>
      <c r="E2790" s="1347" t="s">
        <v>4139</v>
      </c>
    </row>
    <row r="2791" spans="1:5" x14ac:dyDescent="0.45">
      <c r="A2791" s="1347" t="s">
        <v>1105</v>
      </c>
      <c r="B2791" s="1347" t="s">
        <v>4140</v>
      </c>
      <c r="D2791" s="1347" t="s">
        <v>4141</v>
      </c>
      <c r="E2791" s="1347" t="s">
        <v>1110</v>
      </c>
    </row>
    <row r="2792" spans="1:5" x14ac:dyDescent="0.45">
      <c r="B2792" s="1347" t="s">
        <v>2256</v>
      </c>
      <c r="D2792" s="1347" t="s">
        <v>4142</v>
      </c>
      <c r="E2792" s="1347" t="s">
        <v>4143</v>
      </c>
    </row>
    <row r="2793" spans="1:5" x14ac:dyDescent="0.45">
      <c r="A2793" s="1347">
        <v>4</v>
      </c>
      <c r="B2793" s="1347" t="s">
        <v>4144</v>
      </c>
      <c r="C2793" s="1347" t="s">
        <v>1105</v>
      </c>
      <c r="D2793" s="1347" t="s">
        <v>4145</v>
      </c>
      <c r="E2793" s="1347" t="s">
        <v>4146</v>
      </c>
    </row>
    <row r="2794" spans="1:5" x14ac:dyDescent="0.45">
      <c r="B2794" s="1347" t="s">
        <v>1108</v>
      </c>
      <c r="D2794" s="1347" t="s">
        <v>4147</v>
      </c>
      <c r="E2794" s="1347" t="s">
        <v>4148</v>
      </c>
    </row>
    <row r="2795" spans="1:5" x14ac:dyDescent="0.45">
      <c r="B2795" s="1347" t="s">
        <v>1108</v>
      </c>
      <c r="D2795" s="1347" t="s">
        <v>4149</v>
      </c>
      <c r="E2795" s="1347" t="s">
        <v>4150</v>
      </c>
    </row>
    <row r="2796" spans="1:5" x14ac:dyDescent="0.45">
      <c r="B2796" s="1347" t="s">
        <v>4151</v>
      </c>
      <c r="D2796" s="1347" t="s">
        <v>4152</v>
      </c>
      <c r="E2796" s="1347" t="s">
        <v>4153</v>
      </c>
    </row>
    <row r="2797" spans="1:5" x14ac:dyDescent="0.45">
      <c r="B2797" s="1347" t="s">
        <v>1108</v>
      </c>
      <c r="D2797" s="1347" t="s">
        <v>4154</v>
      </c>
      <c r="E2797" s="1347" t="s">
        <v>4155</v>
      </c>
    </row>
    <row r="2798" spans="1:5" x14ac:dyDescent="0.45">
      <c r="A2798" s="1347">
        <v>-1</v>
      </c>
      <c r="B2798" s="1347" t="s">
        <v>4156</v>
      </c>
      <c r="C2798" s="1347" t="s">
        <v>1105</v>
      </c>
      <c r="D2798" s="1347" t="s">
        <v>4157</v>
      </c>
      <c r="E2798" s="1347" t="s">
        <v>4158</v>
      </c>
    </row>
    <row r="2799" spans="1:5" x14ac:dyDescent="0.45">
      <c r="B2799" s="1347" t="s">
        <v>4159</v>
      </c>
      <c r="D2799" s="1347" t="s">
        <v>4160</v>
      </c>
      <c r="E2799" s="1347" t="s">
        <v>4161</v>
      </c>
    </row>
    <row r="2800" spans="1:5" x14ac:dyDescent="0.45">
      <c r="A2800" s="1347">
        <v>-1</v>
      </c>
      <c r="B2800" s="1347" t="s">
        <v>4162</v>
      </c>
      <c r="D2800" s="1347" t="s">
        <v>4163</v>
      </c>
      <c r="E2800" s="1347" t="s">
        <v>4164</v>
      </c>
    </row>
    <row r="2801" spans="1:5" x14ac:dyDescent="0.45">
      <c r="B2801" s="1347" t="s">
        <v>2614</v>
      </c>
      <c r="D2801" s="1347" t="s">
        <v>4165</v>
      </c>
      <c r="E2801" s="1347" t="s">
        <v>1110</v>
      </c>
    </row>
    <row r="2802" spans="1:5" x14ac:dyDescent="0.45">
      <c r="B2802" s="1347" t="s">
        <v>1108</v>
      </c>
      <c r="D2802" s="1347" t="s">
        <v>4166</v>
      </c>
      <c r="E2802" s="1347" t="s">
        <v>4167</v>
      </c>
    </row>
    <row r="2803" spans="1:5" x14ac:dyDescent="0.45">
      <c r="B2803" s="1347" t="s">
        <v>1108</v>
      </c>
      <c r="D2803" s="1347" t="s">
        <v>4168</v>
      </c>
      <c r="E2803" s="1347" t="s">
        <v>4169</v>
      </c>
    </row>
    <row r="2804" spans="1:5" x14ac:dyDescent="0.45">
      <c r="A2804" s="1347">
        <v>-12</v>
      </c>
      <c r="B2804" s="1347" t="s">
        <v>4170</v>
      </c>
      <c r="D2804" s="1347" t="s">
        <v>4171</v>
      </c>
      <c r="E2804" s="1347" t="s">
        <v>4172</v>
      </c>
    </row>
    <row r="2805" spans="1:5" x14ac:dyDescent="0.45">
      <c r="B2805" s="1347" t="s">
        <v>4173</v>
      </c>
      <c r="D2805" s="1347" t="s">
        <v>4174</v>
      </c>
      <c r="E2805" s="1347" t="s">
        <v>2123</v>
      </c>
    </row>
    <row r="2806" spans="1:5" x14ac:dyDescent="0.45">
      <c r="B2806" s="1347" t="s">
        <v>4175</v>
      </c>
      <c r="D2806" s="1347" t="s">
        <v>4176</v>
      </c>
      <c r="E2806" s="1347" t="s">
        <v>4177</v>
      </c>
    </row>
    <row r="2807" spans="1:5" x14ac:dyDescent="0.45">
      <c r="B2807" s="1347" t="s">
        <v>1108</v>
      </c>
      <c r="D2807" s="1347" t="s">
        <v>4178</v>
      </c>
      <c r="E2807" s="1347" t="s">
        <v>4179</v>
      </c>
    </row>
    <row r="2808" spans="1:5" x14ac:dyDescent="0.45">
      <c r="B2808" s="1347" t="s">
        <v>4180</v>
      </c>
      <c r="D2808" s="1347" t="s">
        <v>4181</v>
      </c>
      <c r="E2808" s="1347" t="s">
        <v>4182</v>
      </c>
    </row>
    <row r="2809" spans="1:5" x14ac:dyDescent="0.45">
      <c r="B2809" s="1347" t="s">
        <v>1108</v>
      </c>
      <c r="D2809" s="1347" t="s">
        <v>4183</v>
      </c>
      <c r="E2809" s="1347" t="s">
        <v>4184</v>
      </c>
    </row>
    <row r="2810" spans="1:5" x14ac:dyDescent="0.45">
      <c r="B2810" s="1347" t="s">
        <v>1108</v>
      </c>
      <c r="D2810" s="1347" t="s">
        <v>2982</v>
      </c>
      <c r="E2810" s="1347" t="s">
        <v>4185</v>
      </c>
    </row>
    <row r="2811" spans="1:5" x14ac:dyDescent="0.45">
      <c r="B2811" s="1347" t="s">
        <v>4186</v>
      </c>
      <c r="D2811" s="1347" t="s">
        <v>4187</v>
      </c>
      <c r="E2811" s="1347" t="s">
        <v>4188</v>
      </c>
    </row>
    <row r="2812" spans="1:5" x14ac:dyDescent="0.45">
      <c r="A2812" s="1347" t="s">
        <v>1105</v>
      </c>
      <c r="B2812" s="1347" t="s">
        <v>4189</v>
      </c>
      <c r="D2812" s="1347" t="s">
        <v>4190</v>
      </c>
      <c r="E2812" s="1347" t="s">
        <v>4191</v>
      </c>
    </row>
    <row r="2813" spans="1:5" x14ac:dyDescent="0.45">
      <c r="B2813" s="1347" t="s">
        <v>4192</v>
      </c>
      <c r="D2813" s="1347" t="s">
        <v>4193</v>
      </c>
      <c r="E2813" s="1347" t="s">
        <v>4194</v>
      </c>
    </row>
    <row r="2814" spans="1:5" x14ac:dyDescent="0.45">
      <c r="B2814" s="1347" t="s">
        <v>4195</v>
      </c>
      <c r="D2814" s="1347" t="s">
        <v>4196</v>
      </c>
      <c r="E2814" s="1347" t="s">
        <v>4197</v>
      </c>
    </row>
    <row r="2815" spans="1:5" x14ac:dyDescent="0.45">
      <c r="B2815" s="1347" t="s">
        <v>4198</v>
      </c>
      <c r="C2815" s="1347" t="s">
        <v>1105</v>
      </c>
      <c r="D2815" s="1347" t="s">
        <v>4199</v>
      </c>
      <c r="E2815" s="1347" t="s">
        <v>4200</v>
      </c>
    </row>
    <row r="2816" spans="1:5" x14ac:dyDescent="0.45">
      <c r="B2816" s="1347" t="s">
        <v>1203</v>
      </c>
      <c r="D2816" s="1347" t="s">
        <v>4201</v>
      </c>
      <c r="E2816" s="1347" t="s">
        <v>4202</v>
      </c>
    </row>
    <row r="2817" spans="1:5" x14ac:dyDescent="0.45">
      <c r="B2817" s="1347" t="s">
        <v>1108</v>
      </c>
      <c r="D2817" s="1347" t="s">
        <v>4203</v>
      </c>
      <c r="E2817" s="1347" t="s">
        <v>4204</v>
      </c>
    </row>
    <row r="2818" spans="1:5" x14ac:dyDescent="0.45">
      <c r="B2818" s="1347" t="s">
        <v>4205</v>
      </c>
      <c r="C2818" s="1347" t="s">
        <v>1105</v>
      </c>
      <c r="D2818" s="1347" t="s">
        <v>4206</v>
      </c>
      <c r="E2818" s="1347" t="s">
        <v>4207</v>
      </c>
    </row>
    <row r="2819" spans="1:5" x14ac:dyDescent="0.45">
      <c r="B2819" s="1347" t="s">
        <v>4208</v>
      </c>
      <c r="D2819" s="1347" t="s">
        <v>4209</v>
      </c>
      <c r="E2819" s="1347" t="s">
        <v>4210</v>
      </c>
    </row>
    <row r="2820" spans="1:5" x14ac:dyDescent="0.45">
      <c r="A2820" s="1347" t="s">
        <v>1105</v>
      </c>
      <c r="B2820" s="1347" t="s">
        <v>4211</v>
      </c>
      <c r="D2820" s="1347" t="s">
        <v>1109</v>
      </c>
      <c r="E2820" s="1347" t="s">
        <v>4212</v>
      </c>
    </row>
    <row r="2821" spans="1:5" x14ac:dyDescent="0.45">
      <c r="B2821" s="1347" t="s">
        <v>4213</v>
      </c>
      <c r="D2821" s="1347" t="s">
        <v>4214</v>
      </c>
      <c r="E2821" s="1347" t="s">
        <v>4215</v>
      </c>
    </row>
    <row r="2822" spans="1:5" x14ac:dyDescent="0.45">
      <c r="B2822" s="1347" t="s">
        <v>4216</v>
      </c>
      <c r="D2822" s="1347" t="s">
        <v>4217</v>
      </c>
      <c r="E2822" s="1347" t="s">
        <v>4218</v>
      </c>
    </row>
    <row r="2823" spans="1:5" x14ac:dyDescent="0.45">
      <c r="A2823" s="1347" t="s">
        <v>1105</v>
      </c>
      <c r="B2823" s="1347" t="s">
        <v>2094</v>
      </c>
      <c r="D2823" s="1347" t="s">
        <v>4219</v>
      </c>
      <c r="E2823" s="1347" t="s">
        <v>1110</v>
      </c>
    </row>
    <row r="2824" spans="1:5" x14ac:dyDescent="0.45">
      <c r="B2824" s="1347" t="s">
        <v>3034</v>
      </c>
      <c r="D2824" s="1347" t="s">
        <v>4220</v>
      </c>
      <c r="E2824" s="1347" t="s">
        <v>4221</v>
      </c>
    </row>
    <row r="2825" spans="1:5" x14ac:dyDescent="0.45">
      <c r="B2825" s="1347" t="s">
        <v>1108</v>
      </c>
      <c r="D2825" s="1347" t="s">
        <v>4222</v>
      </c>
      <c r="E2825" s="1347" t="s">
        <v>4223</v>
      </c>
    </row>
    <row r="2826" spans="1:5" x14ac:dyDescent="0.45">
      <c r="B2826" s="1347" t="s">
        <v>1108</v>
      </c>
      <c r="D2826" s="1347" t="s">
        <v>4224</v>
      </c>
      <c r="E2826" s="1347" t="s">
        <v>4225</v>
      </c>
    </row>
    <row r="2827" spans="1:5" x14ac:dyDescent="0.45">
      <c r="B2827" s="1347" t="s">
        <v>1108</v>
      </c>
      <c r="D2827" s="1347" t="s">
        <v>1109</v>
      </c>
      <c r="E2827" s="1347" t="s">
        <v>1110</v>
      </c>
    </row>
    <row r="2828" spans="1:5" x14ac:dyDescent="0.45">
      <c r="B2828" s="1347" t="s">
        <v>1108</v>
      </c>
      <c r="D2828" s="1347" t="s">
        <v>1109</v>
      </c>
      <c r="E2828" s="1347" t="s">
        <v>1110</v>
      </c>
    </row>
    <row r="2829" spans="1:5" x14ac:dyDescent="0.45">
      <c r="B2829" s="1347" t="s">
        <v>1108</v>
      </c>
      <c r="D2829" s="1347" t="s">
        <v>1109</v>
      </c>
      <c r="E2829" s="1347" t="s">
        <v>1110</v>
      </c>
    </row>
    <row r="2830" spans="1:5" x14ac:dyDescent="0.45">
      <c r="B2830" s="1347" t="s">
        <v>1108</v>
      </c>
      <c r="D2830" s="1347" t="s">
        <v>1109</v>
      </c>
      <c r="E2830" s="1347" t="s">
        <v>1110</v>
      </c>
    </row>
    <row r="2831" spans="1:5" x14ac:dyDescent="0.45">
      <c r="B2831" s="1347" t="s">
        <v>1108</v>
      </c>
      <c r="D2831" s="1347" t="s">
        <v>1109</v>
      </c>
      <c r="E2831" s="1347" t="s">
        <v>1110</v>
      </c>
    </row>
    <row r="2832" spans="1:5" x14ac:dyDescent="0.45">
      <c r="B2832" s="1347" t="s">
        <v>1108</v>
      </c>
      <c r="D2832" s="1347" t="s">
        <v>1109</v>
      </c>
      <c r="E2832" s="1347" t="s">
        <v>1110</v>
      </c>
    </row>
    <row r="2833" spans="2:5" x14ac:dyDescent="0.45">
      <c r="B2833" s="1347" t="s">
        <v>1108</v>
      </c>
      <c r="D2833" s="1347" t="s">
        <v>1109</v>
      </c>
      <c r="E2833" s="1347" t="s">
        <v>1110</v>
      </c>
    </row>
    <row r="2834" spans="2:5" x14ac:dyDescent="0.45">
      <c r="B2834" s="1347" t="s">
        <v>1108</v>
      </c>
      <c r="D2834" s="1347" t="s">
        <v>1109</v>
      </c>
      <c r="E2834" s="1347" t="s">
        <v>1110</v>
      </c>
    </row>
    <row r="2835" spans="2:5" x14ac:dyDescent="0.45">
      <c r="B2835" s="1347" t="s">
        <v>1108</v>
      </c>
      <c r="D2835" s="1347" t="s">
        <v>1109</v>
      </c>
      <c r="E2835" s="1347" t="s">
        <v>1110</v>
      </c>
    </row>
    <row r="2836" spans="2:5" x14ac:dyDescent="0.45">
      <c r="B2836" s="1347" t="s">
        <v>1108</v>
      </c>
      <c r="D2836" s="1347" t="s">
        <v>1109</v>
      </c>
      <c r="E2836" s="1347" t="s">
        <v>1110</v>
      </c>
    </row>
    <row r="2837" spans="2:5" x14ac:dyDescent="0.45">
      <c r="B2837" s="1347" t="s">
        <v>1108</v>
      </c>
      <c r="D2837" s="1347" t="s">
        <v>1109</v>
      </c>
      <c r="E2837" s="1347" t="s">
        <v>1110</v>
      </c>
    </row>
    <row r="2838" spans="2:5" x14ac:dyDescent="0.45">
      <c r="B2838" s="1347" t="s">
        <v>1108</v>
      </c>
      <c r="D2838" s="1347" t="s">
        <v>1109</v>
      </c>
      <c r="E2838" s="1347" t="s">
        <v>1110</v>
      </c>
    </row>
    <row r="2839" spans="2:5" x14ac:dyDescent="0.45">
      <c r="B2839" s="1347" t="s">
        <v>1108</v>
      </c>
      <c r="D2839" s="1347" t="s">
        <v>1109</v>
      </c>
      <c r="E2839" s="1347" t="s">
        <v>1110</v>
      </c>
    </row>
    <row r="2840" spans="2:5" x14ac:dyDescent="0.45">
      <c r="B2840" s="1347" t="s">
        <v>1108</v>
      </c>
      <c r="D2840" s="1347" t="s">
        <v>1109</v>
      </c>
      <c r="E2840" s="1347" t="s">
        <v>1110</v>
      </c>
    </row>
    <row r="2841" spans="2:5" x14ac:dyDescent="0.45">
      <c r="B2841" s="1347" t="s">
        <v>1108</v>
      </c>
      <c r="D2841" s="1347" t="s">
        <v>1109</v>
      </c>
      <c r="E2841" s="1347" t="s">
        <v>1110</v>
      </c>
    </row>
    <row r="2842" spans="2:5" x14ac:dyDescent="0.45">
      <c r="B2842" s="1347" t="s">
        <v>1108</v>
      </c>
      <c r="D2842" s="1347" t="s">
        <v>1109</v>
      </c>
      <c r="E2842" s="1347" t="s">
        <v>1110</v>
      </c>
    </row>
    <row r="2843" spans="2:5" x14ac:dyDescent="0.45">
      <c r="B2843" s="1347" t="s">
        <v>1108</v>
      </c>
      <c r="D2843" s="1347" t="s">
        <v>1109</v>
      </c>
      <c r="E2843" s="1347" t="s">
        <v>1110</v>
      </c>
    </row>
    <row r="2844" spans="2:5" x14ac:dyDescent="0.45">
      <c r="B2844" s="1347" t="s">
        <v>1108</v>
      </c>
      <c r="D2844" s="1347" t="s">
        <v>1109</v>
      </c>
      <c r="E2844" s="1347" t="s">
        <v>1110</v>
      </c>
    </row>
    <row r="2845" spans="2:5" x14ac:dyDescent="0.45">
      <c r="B2845" s="1347" t="s">
        <v>1108</v>
      </c>
      <c r="D2845" s="1347" t="s">
        <v>1109</v>
      </c>
      <c r="E2845" s="1347" t="s">
        <v>1110</v>
      </c>
    </row>
    <row r="2846" spans="2:5" x14ac:dyDescent="0.45">
      <c r="B2846" s="1347" t="s">
        <v>1108</v>
      </c>
      <c r="D2846" s="1347" t="s">
        <v>1109</v>
      </c>
      <c r="E2846" s="1347" t="s">
        <v>1110</v>
      </c>
    </row>
    <row r="2847" spans="2:5" x14ac:dyDescent="0.45">
      <c r="B2847" s="1347" t="s">
        <v>1108</v>
      </c>
      <c r="D2847" s="1347" t="s">
        <v>1109</v>
      </c>
      <c r="E2847" s="1347" t="s">
        <v>1110</v>
      </c>
    </row>
    <row r="2848" spans="2:5" x14ac:dyDescent="0.45">
      <c r="B2848" s="1347" t="s">
        <v>1108</v>
      </c>
      <c r="D2848" s="1347" t="s">
        <v>1109</v>
      </c>
      <c r="E2848" s="1347" t="s">
        <v>1110</v>
      </c>
    </row>
    <row r="2849" spans="2:5" x14ac:dyDescent="0.45">
      <c r="B2849" s="1347" t="s">
        <v>1108</v>
      </c>
      <c r="D2849" s="1347" t="s">
        <v>1109</v>
      </c>
      <c r="E2849" s="1347" t="s">
        <v>1110</v>
      </c>
    </row>
    <row r="2850" spans="2:5" x14ac:dyDescent="0.45">
      <c r="B2850" s="1347" t="s">
        <v>1108</v>
      </c>
      <c r="D2850" s="1347" t="s">
        <v>1109</v>
      </c>
      <c r="E2850" s="1347" t="s">
        <v>1110</v>
      </c>
    </row>
    <row r="2851" spans="2:5" x14ac:dyDescent="0.45">
      <c r="B2851" s="1347" t="s">
        <v>1108</v>
      </c>
      <c r="D2851" s="1347" t="s">
        <v>1109</v>
      </c>
      <c r="E2851" s="1347" t="s">
        <v>1110</v>
      </c>
    </row>
    <row r="2852" spans="2:5" x14ac:dyDescent="0.45">
      <c r="B2852" s="1347" t="s">
        <v>1108</v>
      </c>
      <c r="D2852" s="1347" t="s">
        <v>1109</v>
      </c>
      <c r="E2852" s="1347" t="s">
        <v>1110</v>
      </c>
    </row>
    <row r="2853" spans="2:5" x14ac:dyDescent="0.45">
      <c r="B2853" s="1347" t="s">
        <v>1108</v>
      </c>
      <c r="D2853" s="1347" t="s">
        <v>1109</v>
      </c>
      <c r="E2853" s="1347" t="s">
        <v>1110</v>
      </c>
    </row>
    <row r="2854" spans="2:5" x14ac:dyDescent="0.45">
      <c r="B2854" s="1347" t="s">
        <v>1108</v>
      </c>
      <c r="D2854" s="1347" t="s">
        <v>1109</v>
      </c>
      <c r="E2854" s="1347" t="s">
        <v>1110</v>
      </c>
    </row>
    <row r="2855" spans="2:5" x14ac:dyDescent="0.45">
      <c r="B2855" s="1347" t="s">
        <v>1108</v>
      </c>
      <c r="D2855" s="1347" t="s">
        <v>1109</v>
      </c>
      <c r="E2855" s="1347" t="s">
        <v>1110</v>
      </c>
    </row>
    <row r="2856" spans="2:5" x14ac:dyDescent="0.45">
      <c r="B2856" s="1347" t="s">
        <v>1108</v>
      </c>
      <c r="D2856" s="1347" t="s">
        <v>1109</v>
      </c>
      <c r="E2856" s="1347" t="s">
        <v>1110</v>
      </c>
    </row>
    <row r="2857" spans="2:5" x14ac:dyDescent="0.45">
      <c r="B2857" s="1347" t="s">
        <v>1108</v>
      </c>
      <c r="D2857" s="1347" t="s">
        <v>1109</v>
      </c>
      <c r="E2857" s="1347" t="s">
        <v>1110</v>
      </c>
    </row>
    <row r="2858" spans="2:5" x14ac:dyDescent="0.45">
      <c r="B2858" s="1347" t="s">
        <v>1108</v>
      </c>
      <c r="D2858" s="1347" t="s">
        <v>1109</v>
      </c>
      <c r="E2858" s="1347" t="s">
        <v>1110</v>
      </c>
    </row>
    <row r="2859" spans="2:5" x14ac:dyDescent="0.45">
      <c r="B2859" s="1347" t="s">
        <v>1108</v>
      </c>
      <c r="D2859" s="1347" t="s">
        <v>1109</v>
      </c>
      <c r="E2859" s="1347" t="s">
        <v>1110</v>
      </c>
    </row>
    <row r="2860" spans="2:5" x14ac:dyDescent="0.45">
      <c r="B2860" s="1347" t="s">
        <v>1108</v>
      </c>
      <c r="D2860" s="1347" t="s">
        <v>1109</v>
      </c>
      <c r="E2860" s="1347" t="s">
        <v>1110</v>
      </c>
    </row>
    <row r="2861" spans="2:5" x14ac:dyDescent="0.45">
      <c r="B2861" s="1347" t="s">
        <v>1108</v>
      </c>
      <c r="D2861" s="1347" t="s">
        <v>1109</v>
      </c>
      <c r="E2861" s="1347" t="s">
        <v>1110</v>
      </c>
    </row>
    <row r="2862" spans="2:5" x14ac:dyDescent="0.45">
      <c r="B2862" s="1347" t="s">
        <v>1108</v>
      </c>
      <c r="D2862" s="1347" t="s">
        <v>1109</v>
      </c>
      <c r="E2862" s="1347" t="s">
        <v>1110</v>
      </c>
    </row>
    <row r="2863" spans="2:5" x14ac:dyDescent="0.45">
      <c r="B2863" s="1347" t="s">
        <v>1108</v>
      </c>
      <c r="D2863" s="1347" t="s">
        <v>1109</v>
      </c>
      <c r="E2863" s="1347" t="s">
        <v>1110</v>
      </c>
    </row>
    <row r="2864" spans="2:5" x14ac:dyDescent="0.45">
      <c r="B2864" s="1347" t="s">
        <v>1108</v>
      </c>
      <c r="D2864" s="1347" t="s">
        <v>1109</v>
      </c>
      <c r="E2864" s="1347" t="s">
        <v>1110</v>
      </c>
    </row>
    <row r="2865" spans="2:5" x14ac:dyDescent="0.45">
      <c r="B2865" s="1347" t="s">
        <v>1108</v>
      </c>
      <c r="D2865" s="1347" t="s">
        <v>1109</v>
      </c>
      <c r="E2865" s="1347" t="s">
        <v>1110</v>
      </c>
    </row>
    <row r="2866" spans="2:5" x14ac:dyDescent="0.45">
      <c r="B2866" s="1347" t="s">
        <v>1108</v>
      </c>
      <c r="D2866" s="1347" t="s">
        <v>1109</v>
      </c>
      <c r="E2866" s="1347" t="s">
        <v>1110</v>
      </c>
    </row>
    <row r="2867" spans="2:5" x14ac:dyDescent="0.45">
      <c r="B2867" s="1347" t="s">
        <v>1108</v>
      </c>
      <c r="D2867" s="1347" t="s">
        <v>1109</v>
      </c>
      <c r="E2867" s="1347" t="s">
        <v>1110</v>
      </c>
    </row>
    <row r="2868" spans="2:5" x14ac:dyDescent="0.45">
      <c r="B2868" s="1347" t="s">
        <v>1108</v>
      </c>
      <c r="D2868" s="1347" t="s">
        <v>1109</v>
      </c>
      <c r="E2868" s="1347" t="s">
        <v>1110</v>
      </c>
    </row>
    <row r="2869" spans="2:5" x14ac:dyDescent="0.45">
      <c r="B2869" s="1347" t="s">
        <v>1108</v>
      </c>
      <c r="D2869" s="1347" t="s">
        <v>1109</v>
      </c>
      <c r="E2869" s="1347" t="s">
        <v>1110</v>
      </c>
    </row>
    <row r="2870" spans="2:5" x14ac:dyDescent="0.45">
      <c r="B2870" s="1347" t="s">
        <v>1108</v>
      </c>
      <c r="D2870" s="1347" t="s">
        <v>1109</v>
      </c>
      <c r="E2870" s="1347" t="s">
        <v>1110</v>
      </c>
    </row>
    <row r="2871" spans="2:5" x14ac:dyDescent="0.45">
      <c r="B2871" s="1347" t="s">
        <v>1108</v>
      </c>
      <c r="D2871" s="1347" t="s">
        <v>1109</v>
      </c>
      <c r="E2871" s="1347" t="s">
        <v>1110</v>
      </c>
    </row>
    <row r="2872" spans="2:5" x14ac:dyDescent="0.45">
      <c r="B2872" s="1347" t="s">
        <v>1108</v>
      </c>
      <c r="D2872" s="1347" t="s">
        <v>1109</v>
      </c>
      <c r="E2872" s="1347" t="s">
        <v>1110</v>
      </c>
    </row>
    <row r="2873" spans="2:5" x14ac:dyDescent="0.45">
      <c r="B2873" s="1347" t="s">
        <v>1108</v>
      </c>
      <c r="D2873" s="1347" t="s">
        <v>1109</v>
      </c>
      <c r="E2873" s="1347" t="s">
        <v>1110</v>
      </c>
    </row>
    <row r="2874" spans="2:5" x14ac:dyDescent="0.45">
      <c r="B2874" s="1347" t="s">
        <v>1108</v>
      </c>
      <c r="D2874" s="1347" t="s">
        <v>1109</v>
      </c>
      <c r="E2874" s="1347" t="s">
        <v>1110</v>
      </c>
    </row>
    <row r="2875" spans="2:5" x14ac:dyDescent="0.45">
      <c r="B2875" s="1347" t="s">
        <v>1108</v>
      </c>
      <c r="D2875" s="1347" t="s">
        <v>1109</v>
      </c>
      <c r="E2875" s="1347" t="s">
        <v>1110</v>
      </c>
    </row>
    <row r="2876" spans="2:5" x14ac:dyDescent="0.45">
      <c r="B2876" s="1347" t="s">
        <v>1108</v>
      </c>
      <c r="D2876" s="1347" t="s">
        <v>1109</v>
      </c>
      <c r="E2876" s="1347" t="s">
        <v>1110</v>
      </c>
    </row>
    <row r="2877" spans="2:5" x14ac:dyDescent="0.45">
      <c r="B2877" s="1347" t="s">
        <v>1108</v>
      </c>
      <c r="D2877" s="1347" t="s">
        <v>1109</v>
      </c>
      <c r="E2877" s="1347" t="s">
        <v>1110</v>
      </c>
    </row>
    <row r="2878" spans="2:5" x14ac:dyDescent="0.45">
      <c r="B2878" s="1347" t="s">
        <v>1108</v>
      </c>
      <c r="D2878" s="1347" t="s">
        <v>1109</v>
      </c>
      <c r="E2878" s="1347" t="s">
        <v>1110</v>
      </c>
    </row>
    <row r="2879" spans="2:5" x14ac:dyDescent="0.45">
      <c r="B2879" s="1347" t="s">
        <v>1108</v>
      </c>
      <c r="D2879" s="1347" t="s">
        <v>1109</v>
      </c>
      <c r="E2879" s="1347" t="s">
        <v>1110</v>
      </c>
    </row>
    <row r="2880" spans="2:5" x14ac:dyDescent="0.45">
      <c r="B2880" s="1347" t="s">
        <v>1108</v>
      </c>
      <c r="D2880" s="1347" t="s">
        <v>1109</v>
      </c>
      <c r="E2880" s="1347" t="s">
        <v>1110</v>
      </c>
    </row>
    <row r="2881" spans="2:5" x14ac:dyDescent="0.45">
      <c r="B2881" s="1347" t="s">
        <v>1108</v>
      </c>
      <c r="D2881" s="1347" t="s">
        <v>1109</v>
      </c>
      <c r="E2881" s="1347" t="s">
        <v>1110</v>
      </c>
    </row>
    <row r="2882" spans="2:5" x14ac:dyDescent="0.45">
      <c r="B2882" s="1347" t="s">
        <v>1108</v>
      </c>
      <c r="D2882" s="1347" t="s">
        <v>1109</v>
      </c>
      <c r="E2882" s="1347" t="s">
        <v>1110</v>
      </c>
    </row>
    <row r="2883" spans="2:5" x14ac:dyDescent="0.45">
      <c r="B2883" s="1347" t="s">
        <v>1108</v>
      </c>
      <c r="D2883" s="1347" t="s">
        <v>1109</v>
      </c>
      <c r="E2883" s="1347" t="s">
        <v>1110</v>
      </c>
    </row>
    <row r="2884" spans="2:5" x14ac:dyDescent="0.45">
      <c r="B2884" s="1347" t="s">
        <v>1108</v>
      </c>
      <c r="D2884" s="1347" t="s">
        <v>1109</v>
      </c>
      <c r="E2884" s="1347" t="s">
        <v>1110</v>
      </c>
    </row>
    <row r="2885" spans="2:5" x14ac:dyDescent="0.45">
      <c r="B2885" s="1347" t="s">
        <v>1108</v>
      </c>
      <c r="D2885" s="1347" t="s">
        <v>1109</v>
      </c>
      <c r="E2885" s="1347" t="s">
        <v>1110</v>
      </c>
    </row>
    <row r="2886" spans="2:5" x14ac:dyDescent="0.45">
      <c r="B2886" s="1347" t="s">
        <v>1108</v>
      </c>
      <c r="D2886" s="1347" t="s">
        <v>1109</v>
      </c>
      <c r="E2886" s="1347" t="s">
        <v>1110</v>
      </c>
    </row>
    <row r="2887" spans="2:5" x14ac:dyDescent="0.45">
      <c r="B2887" s="1347" t="s">
        <v>1108</v>
      </c>
      <c r="D2887" s="1347" t="s">
        <v>1109</v>
      </c>
      <c r="E2887" s="1347" t="s">
        <v>1110</v>
      </c>
    </row>
    <row r="2888" spans="2:5" x14ac:dyDescent="0.45">
      <c r="B2888" s="1347" t="s">
        <v>1108</v>
      </c>
      <c r="D2888" s="1347" t="s">
        <v>1109</v>
      </c>
      <c r="E2888" s="1347" t="s">
        <v>1110</v>
      </c>
    </row>
    <row r="2889" spans="2:5" x14ac:dyDescent="0.45">
      <c r="B2889" s="1347" t="s">
        <v>1108</v>
      </c>
      <c r="D2889" s="1347" t="s">
        <v>1109</v>
      </c>
      <c r="E2889" s="1347" t="s">
        <v>1110</v>
      </c>
    </row>
    <row r="2890" spans="2:5" x14ac:dyDescent="0.45">
      <c r="B2890" s="1347" t="s">
        <v>1108</v>
      </c>
      <c r="D2890" s="1347" t="s">
        <v>1109</v>
      </c>
      <c r="E2890" s="1347" t="s">
        <v>1110</v>
      </c>
    </row>
    <row r="2891" spans="2:5" x14ac:dyDescent="0.45">
      <c r="B2891" s="1347" t="s">
        <v>1108</v>
      </c>
      <c r="D2891" s="1347" t="s">
        <v>1109</v>
      </c>
      <c r="E2891" s="1347" t="s">
        <v>1110</v>
      </c>
    </row>
    <row r="2892" spans="2:5" x14ac:dyDescent="0.45">
      <c r="B2892" s="1347" t="s">
        <v>1108</v>
      </c>
      <c r="D2892" s="1347" t="s">
        <v>1109</v>
      </c>
      <c r="E2892" s="1347" t="s">
        <v>1110</v>
      </c>
    </row>
    <row r="2893" spans="2:5" x14ac:dyDescent="0.45">
      <c r="B2893" s="1347" t="s">
        <v>1108</v>
      </c>
      <c r="D2893" s="1347" t="s">
        <v>1109</v>
      </c>
      <c r="E2893" s="1347" t="s">
        <v>1110</v>
      </c>
    </row>
    <row r="2894" spans="2:5" x14ac:dyDescent="0.45">
      <c r="B2894" s="1347" t="s">
        <v>1108</v>
      </c>
      <c r="D2894" s="1347" t="s">
        <v>1109</v>
      </c>
      <c r="E2894" s="1347" t="s">
        <v>1110</v>
      </c>
    </row>
    <row r="2895" spans="2:5" x14ac:dyDescent="0.45">
      <c r="B2895" s="1347" t="s">
        <v>1108</v>
      </c>
      <c r="D2895" s="1347" t="s">
        <v>1109</v>
      </c>
      <c r="E2895" s="1347" t="s">
        <v>1110</v>
      </c>
    </row>
    <row r="2896" spans="2:5" x14ac:dyDescent="0.45">
      <c r="B2896" s="1347" t="s">
        <v>1108</v>
      </c>
      <c r="D2896" s="1347" t="s">
        <v>1109</v>
      </c>
      <c r="E2896" s="1347" t="s">
        <v>1110</v>
      </c>
    </row>
    <row r="2897" spans="2:5" x14ac:dyDescent="0.45">
      <c r="B2897" s="1347" t="s">
        <v>1108</v>
      </c>
      <c r="D2897" s="1347" t="s">
        <v>1109</v>
      </c>
      <c r="E2897" s="1347" t="s">
        <v>1110</v>
      </c>
    </row>
    <row r="2898" spans="2:5" x14ac:dyDescent="0.45">
      <c r="B2898" s="1347" t="s">
        <v>1108</v>
      </c>
      <c r="D2898" s="1347" t="s">
        <v>1109</v>
      </c>
      <c r="E2898" s="1347" t="s">
        <v>1110</v>
      </c>
    </row>
    <row r="2899" spans="2:5" x14ac:dyDescent="0.45">
      <c r="B2899" s="1347" t="s">
        <v>1108</v>
      </c>
      <c r="D2899" s="1347" t="s">
        <v>1109</v>
      </c>
      <c r="E2899" s="1347" t="s">
        <v>1110</v>
      </c>
    </row>
    <row r="2900" spans="2:5" x14ac:dyDescent="0.45">
      <c r="B2900" s="1347" t="s">
        <v>1108</v>
      </c>
      <c r="D2900" s="1347" t="s">
        <v>1109</v>
      </c>
      <c r="E2900" s="1347" t="s">
        <v>1110</v>
      </c>
    </row>
    <row r="2901" spans="2:5" x14ac:dyDescent="0.45">
      <c r="B2901" s="1347" t="s">
        <v>1108</v>
      </c>
      <c r="D2901" s="1347" t="s">
        <v>1109</v>
      </c>
      <c r="E2901" s="1347" t="s">
        <v>1110</v>
      </c>
    </row>
    <row r="2902" spans="2:5" x14ac:dyDescent="0.45">
      <c r="B2902" s="1347" t="s">
        <v>1108</v>
      </c>
      <c r="D2902" s="1347" t="s">
        <v>1109</v>
      </c>
      <c r="E2902" s="1347" t="s">
        <v>1110</v>
      </c>
    </row>
    <row r="2903" spans="2:5" x14ac:dyDescent="0.45">
      <c r="B2903" s="1347" t="s">
        <v>1108</v>
      </c>
      <c r="D2903" s="1347" t="s">
        <v>1109</v>
      </c>
      <c r="E2903" s="1347" t="s">
        <v>1110</v>
      </c>
    </row>
    <row r="2904" spans="2:5" x14ac:dyDescent="0.45">
      <c r="B2904" s="1347" t="s">
        <v>1108</v>
      </c>
      <c r="D2904" s="1347" t="s">
        <v>1109</v>
      </c>
      <c r="E2904" s="1347" t="s">
        <v>1110</v>
      </c>
    </row>
    <row r="2905" spans="2:5" x14ac:dyDescent="0.45">
      <c r="B2905" s="1347" t="s">
        <v>1108</v>
      </c>
      <c r="D2905" s="1347" t="s">
        <v>1109</v>
      </c>
      <c r="E2905" s="1347" t="s">
        <v>1110</v>
      </c>
    </row>
    <row r="2906" spans="2:5" x14ac:dyDescent="0.45">
      <c r="B2906" s="1347" t="s">
        <v>1108</v>
      </c>
      <c r="D2906" s="1347" t="s">
        <v>1109</v>
      </c>
      <c r="E2906" s="1347" t="s">
        <v>1110</v>
      </c>
    </row>
    <row r="2907" spans="2:5" x14ac:dyDescent="0.45">
      <c r="B2907" s="1347" t="s">
        <v>1108</v>
      </c>
      <c r="D2907" s="1347" t="s">
        <v>1109</v>
      </c>
      <c r="E2907" s="1347" t="s">
        <v>1110</v>
      </c>
    </row>
    <row r="2908" spans="2:5" x14ac:dyDescent="0.45">
      <c r="B2908" s="1347" t="s">
        <v>1108</v>
      </c>
      <c r="D2908" s="1347" t="s">
        <v>1109</v>
      </c>
      <c r="E2908" s="1347" t="s">
        <v>1110</v>
      </c>
    </row>
    <row r="2909" spans="2:5" x14ac:dyDescent="0.45">
      <c r="B2909" s="1347" t="s">
        <v>1108</v>
      </c>
      <c r="D2909" s="1347" t="s">
        <v>1109</v>
      </c>
      <c r="E2909" s="1347" t="s">
        <v>1110</v>
      </c>
    </row>
    <row r="2910" spans="2:5" x14ac:dyDescent="0.45">
      <c r="B2910" s="1347" t="s">
        <v>1108</v>
      </c>
      <c r="D2910" s="1347" t="s">
        <v>1109</v>
      </c>
      <c r="E2910" s="1347" t="s">
        <v>1110</v>
      </c>
    </row>
    <row r="2911" spans="2:5" x14ac:dyDescent="0.45">
      <c r="B2911" s="1347" t="s">
        <v>1108</v>
      </c>
      <c r="D2911" s="1347" t="s">
        <v>1109</v>
      </c>
      <c r="E2911" s="1347" t="s">
        <v>1110</v>
      </c>
    </row>
    <row r="2912" spans="2:5" x14ac:dyDescent="0.45">
      <c r="B2912" s="1347" t="s">
        <v>1108</v>
      </c>
      <c r="D2912" s="1347" t="s">
        <v>1109</v>
      </c>
      <c r="E2912" s="1347" t="s">
        <v>1110</v>
      </c>
    </row>
    <row r="2913" spans="1:5" x14ac:dyDescent="0.45">
      <c r="B2913" s="1347" t="s">
        <v>1108</v>
      </c>
      <c r="D2913" s="1347" t="s">
        <v>1109</v>
      </c>
      <c r="E2913" s="1347" t="s">
        <v>1110</v>
      </c>
    </row>
    <row r="2914" spans="1:5" x14ac:dyDescent="0.45">
      <c r="B2914" s="1347" t="s">
        <v>1108</v>
      </c>
      <c r="D2914" s="1347" t="s">
        <v>1109</v>
      </c>
      <c r="E2914" s="1347" t="s">
        <v>1110</v>
      </c>
    </row>
    <row r="2915" spans="1:5" x14ac:dyDescent="0.45">
      <c r="B2915" s="1347" t="s">
        <v>1108</v>
      </c>
      <c r="D2915" s="1347" t="s">
        <v>1109</v>
      </c>
      <c r="E2915" s="1347" t="s">
        <v>1110</v>
      </c>
    </row>
    <row r="2916" spans="1:5" x14ac:dyDescent="0.45">
      <c r="A2916" s="1347">
        <v>1</v>
      </c>
      <c r="B2916" s="1347" t="s">
        <v>4226</v>
      </c>
      <c r="D2916" s="1347">
        <f>-471   -407   -700</f>
        <v>-1578</v>
      </c>
      <c r="E2916" s="1347" t="s">
        <v>4227</v>
      </c>
    </row>
    <row r="2917" spans="1:5" x14ac:dyDescent="0.45">
      <c r="B2917" s="1347" t="s">
        <v>4228</v>
      </c>
      <c r="D2917" s="1347" t="s">
        <v>4229</v>
      </c>
      <c r="E2917" s="1347" t="s">
        <v>4230</v>
      </c>
    </row>
    <row r="2918" spans="1:5" x14ac:dyDescent="0.45">
      <c r="B2918" s="1347" t="s">
        <v>1108</v>
      </c>
      <c r="D2918" s="1347" t="s">
        <v>4231</v>
      </c>
      <c r="E2918" s="1347" t="s">
        <v>4232</v>
      </c>
    </row>
    <row r="2919" spans="1:5" x14ac:dyDescent="0.45">
      <c r="A2919" s="1347">
        <v>1</v>
      </c>
      <c r="B2919" s="1347" t="s">
        <v>4233</v>
      </c>
      <c r="D2919" s="1347">
        <f>-105   -940  -2329  -201</f>
        <v>-3575</v>
      </c>
      <c r="E2919" s="1347" t="s">
        <v>4234</v>
      </c>
    </row>
    <row r="2920" spans="1:5" x14ac:dyDescent="0.45">
      <c r="B2920" s="1347" t="s">
        <v>1108</v>
      </c>
      <c r="D2920" s="1347" t="s">
        <v>4235</v>
      </c>
      <c r="E2920" s="1347" t="s">
        <v>4236</v>
      </c>
    </row>
    <row r="2921" spans="1:5" x14ac:dyDescent="0.45">
      <c r="B2921" s="1347" t="s">
        <v>1108</v>
      </c>
      <c r="D2921" s="1347" t="s">
        <v>4237</v>
      </c>
      <c r="E2921" s="1347" t="s">
        <v>4238</v>
      </c>
    </row>
    <row r="2922" spans="1:5" x14ac:dyDescent="0.45">
      <c r="B2922" s="1347" t="s">
        <v>4239</v>
      </c>
      <c r="C2922" s="1347" t="s">
        <v>1105</v>
      </c>
      <c r="D2922" s="1347" t="s">
        <v>4240</v>
      </c>
      <c r="E2922" s="1347" t="s">
        <v>4241</v>
      </c>
    </row>
    <row r="2923" spans="1:5" x14ac:dyDescent="0.45">
      <c r="A2923" s="1347" t="s">
        <v>1105</v>
      </c>
      <c r="B2923" s="1347" t="s">
        <v>4242</v>
      </c>
      <c r="D2923" s="1347" t="s">
        <v>4243</v>
      </c>
      <c r="E2923" s="1347" t="s">
        <v>4244</v>
      </c>
    </row>
    <row r="2924" spans="1:5" x14ac:dyDescent="0.45">
      <c r="A2924" s="1347" t="s">
        <v>1105</v>
      </c>
      <c r="B2924" s="1347" t="s">
        <v>4245</v>
      </c>
      <c r="D2924" s="1347" t="s">
        <v>4246</v>
      </c>
      <c r="E2924" s="1347" t="s">
        <v>4247</v>
      </c>
    </row>
    <row r="2925" spans="1:5" x14ac:dyDescent="0.45">
      <c r="B2925" s="1347" t="s">
        <v>4248</v>
      </c>
      <c r="D2925" s="1347" t="s">
        <v>4249</v>
      </c>
      <c r="E2925" s="1347" t="s">
        <v>4250</v>
      </c>
    </row>
    <row r="2926" spans="1:5" x14ac:dyDescent="0.45">
      <c r="B2926" s="1347" t="s">
        <v>4251</v>
      </c>
      <c r="D2926" s="1347" t="s">
        <v>4252</v>
      </c>
      <c r="E2926" s="1347" t="s">
        <v>4253</v>
      </c>
    </row>
    <row r="2927" spans="1:5" x14ac:dyDescent="0.45">
      <c r="B2927" s="1347" t="s">
        <v>2517</v>
      </c>
      <c r="D2927" s="1347" t="s">
        <v>4254</v>
      </c>
      <c r="E2927" s="1347" t="s">
        <v>4255</v>
      </c>
    </row>
    <row r="2928" spans="1:5" x14ac:dyDescent="0.45">
      <c r="B2928" s="1347" t="s">
        <v>1108</v>
      </c>
      <c r="D2928" s="1347" t="s">
        <v>4256</v>
      </c>
      <c r="E2928" s="1347" t="s">
        <v>4257</v>
      </c>
    </row>
    <row r="2929" spans="1:5" x14ac:dyDescent="0.45">
      <c r="A2929" s="1347">
        <v>4</v>
      </c>
      <c r="B2929" s="1347" t="s">
        <v>4258</v>
      </c>
      <c r="D2929" s="1347" t="s">
        <v>4259</v>
      </c>
      <c r="E2929" s="1347" t="s">
        <v>4260</v>
      </c>
    </row>
    <row r="2930" spans="1:5" x14ac:dyDescent="0.45">
      <c r="B2930" s="1347" t="s">
        <v>4261</v>
      </c>
      <c r="D2930" s="1347" t="s">
        <v>4262</v>
      </c>
      <c r="E2930" s="1347" t="s">
        <v>4263</v>
      </c>
    </row>
    <row r="2931" spans="1:5" x14ac:dyDescent="0.45">
      <c r="B2931" s="1347" t="s">
        <v>4264</v>
      </c>
      <c r="D2931" s="1347" t="s">
        <v>1109</v>
      </c>
      <c r="E2931" s="1347" t="s">
        <v>4265</v>
      </c>
    </row>
    <row r="2932" spans="1:5" x14ac:dyDescent="0.45">
      <c r="B2932" s="1347" t="s">
        <v>4266</v>
      </c>
      <c r="D2932" s="1347" t="s">
        <v>4267</v>
      </c>
      <c r="E2932" s="1347" t="s">
        <v>4268</v>
      </c>
    </row>
    <row r="2933" spans="1:5" x14ac:dyDescent="0.45">
      <c r="B2933" s="1347" t="s">
        <v>4269</v>
      </c>
      <c r="D2933" s="1347" t="s">
        <v>4270</v>
      </c>
      <c r="E2933" s="1347" t="s">
        <v>4271</v>
      </c>
    </row>
    <row r="2934" spans="1:5" x14ac:dyDescent="0.45">
      <c r="A2934" s="1347" t="s">
        <v>1105</v>
      </c>
      <c r="B2934" s="1347" t="s">
        <v>4272</v>
      </c>
      <c r="D2934" s="1347" t="s">
        <v>4273</v>
      </c>
      <c r="E2934" s="1347" t="s">
        <v>1110</v>
      </c>
    </row>
    <row r="2935" spans="1:5" x14ac:dyDescent="0.45">
      <c r="B2935" s="1347" t="s">
        <v>4274</v>
      </c>
      <c r="D2935" s="1347" t="s">
        <v>4275</v>
      </c>
      <c r="E2935" s="1347" t="s">
        <v>4276</v>
      </c>
    </row>
    <row r="2936" spans="1:5" x14ac:dyDescent="0.45">
      <c r="B2936" s="1347" t="s">
        <v>1108</v>
      </c>
      <c r="D2936" s="1347" t="s">
        <v>4277</v>
      </c>
      <c r="E2936" s="1347" t="s">
        <v>4278</v>
      </c>
    </row>
    <row r="2937" spans="1:5" x14ac:dyDescent="0.45">
      <c r="B2937" s="1347" t="s">
        <v>1108</v>
      </c>
      <c r="D2937" s="1347" t="s">
        <v>4279</v>
      </c>
      <c r="E2937" s="1347" t="s">
        <v>4280</v>
      </c>
    </row>
    <row r="2938" spans="1:5" x14ac:dyDescent="0.45">
      <c r="A2938" s="1347" t="s">
        <v>1105</v>
      </c>
      <c r="B2938" s="1347" t="s">
        <v>4281</v>
      </c>
      <c r="D2938" s="1347" t="s">
        <v>1109</v>
      </c>
      <c r="E2938" s="1347" t="s">
        <v>1110</v>
      </c>
    </row>
    <row r="2939" spans="1:5" x14ac:dyDescent="0.45">
      <c r="B2939" s="1347" t="s">
        <v>1108</v>
      </c>
      <c r="D2939" s="1347" t="s">
        <v>1109</v>
      </c>
      <c r="E2939" s="1347" t="s">
        <v>1110</v>
      </c>
    </row>
    <row r="2940" spans="1:5" x14ac:dyDescent="0.45">
      <c r="B2940" s="1347" t="s">
        <v>1108</v>
      </c>
      <c r="D2940" s="1347" t="s">
        <v>1109</v>
      </c>
      <c r="E2940" s="1347" t="s">
        <v>1110</v>
      </c>
    </row>
    <row r="2941" spans="1:5" x14ac:dyDescent="0.45">
      <c r="B2941" s="1347" t="s">
        <v>1108</v>
      </c>
      <c r="D2941" s="1347" t="s">
        <v>1109</v>
      </c>
      <c r="E2941" s="1347" t="s">
        <v>1110</v>
      </c>
    </row>
    <row r="2942" spans="1:5" x14ac:dyDescent="0.45">
      <c r="B2942" s="1347" t="s">
        <v>1108</v>
      </c>
      <c r="D2942" s="1347" t="s">
        <v>1109</v>
      </c>
      <c r="E2942" s="1347" t="s">
        <v>1110</v>
      </c>
    </row>
    <row r="2943" spans="1:5" x14ac:dyDescent="0.45">
      <c r="B2943" s="1347" t="s">
        <v>1108</v>
      </c>
      <c r="D2943" s="1347" t="s">
        <v>1109</v>
      </c>
      <c r="E2943" s="1347" t="s">
        <v>1110</v>
      </c>
    </row>
    <row r="2944" spans="1:5" x14ac:dyDescent="0.45">
      <c r="B2944" s="1347" t="s">
        <v>1108</v>
      </c>
      <c r="D2944" s="1347" t="s">
        <v>1109</v>
      </c>
      <c r="E2944" s="1347" t="s">
        <v>1110</v>
      </c>
    </row>
    <row r="2945" spans="2:5" x14ac:dyDescent="0.45">
      <c r="B2945" s="1347" t="s">
        <v>1108</v>
      </c>
      <c r="D2945" s="1347" t="s">
        <v>1109</v>
      </c>
      <c r="E2945" s="1347" t="s">
        <v>1110</v>
      </c>
    </row>
    <row r="2946" spans="2:5" x14ac:dyDescent="0.45">
      <c r="B2946" s="1347" t="s">
        <v>1108</v>
      </c>
      <c r="D2946" s="1347" t="s">
        <v>1109</v>
      </c>
      <c r="E2946" s="1347" t="s">
        <v>1110</v>
      </c>
    </row>
    <row r="2947" spans="2:5" x14ac:dyDescent="0.45">
      <c r="B2947" s="1347" t="s">
        <v>1108</v>
      </c>
      <c r="D2947" s="1347" t="s">
        <v>1109</v>
      </c>
      <c r="E2947" s="1347" t="s">
        <v>1110</v>
      </c>
    </row>
    <row r="2948" spans="2:5" x14ac:dyDescent="0.45">
      <c r="B2948" s="1347" t="s">
        <v>1108</v>
      </c>
      <c r="D2948" s="1347" t="s">
        <v>1109</v>
      </c>
      <c r="E2948" s="1347" t="s">
        <v>1110</v>
      </c>
    </row>
    <row r="2949" spans="2:5" x14ac:dyDescent="0.45">
      <c r="B2949" s="1347" t="s">
        <v>1108</v>
      </c>
      <c r="D2949" s="1347" t="s">
        <v>1109</v>
      </c>
      <c r="E2949" s="1347" t="s">
        <v>1110</v>
      </c>
    </row>
    <row r="2950" spans="2:5" x14ac:dyDescent="0.45">
      <c r="B2950" s="1347" t="s">
        <v>1108</v>
      </c>
      <c r="D2950" s="1347" t="s">
        <v>1109</v>
      </c>
      <c r="E2950" s="1347" t="s">
        <v>1110</v>
      </c>
    </row>
    <row r="2951" spans="2:5" x14ac:dyDescent="0.45">
      <c r="B2951" s="1347" t="s">
        <v>1108</v>
      </c>
      <c r="D2951" s="1347" t="s">
        <v>1109</v>
      </c>
      <c r="E2951" s="1347" t="s">
        <v>1110</v>
      </c>
    </row>
    <row r="2952" spans="2:5" x14ac:dyDescent="0.45">
      <c r="B2952" s="1347" t="s">
        <v>1108</v>
      </c>
      <c r="D2952" s="1347" t="s">
        <v>1109</v>
      </c>
      <c r="E2952" s="1347" t="s">
        <v>1110</v>
      </c>
    </row>
    <row r="2953" spans="2:5" x14ac:dyDescent="0.45">
      <c r="B2953" s="1347" t="s">
        <v>1108</v>
      </c>
      <c r="D2953" s="1347" t="s">
        <v>1109</v>
      </c>
      <c r="E2953" s="1347" t="s">
        <v>1110</v>
      </c>
    </row>
    <row r="2954" spans="2:5" x14ac:dyDescent="0.45">
      <c r="B2954" s="1347" t="s">
        <v>1108</v>
      </c>
      <c r="D2954" s="1347" t="s">
        <v>1109</v>
      </c>
      <c r="E2954" s="1347" t="s">
        <v>1110</v>
      </c>
    </row>
    <row r="2955" spans="2:5" x14ac:dyDescent="0.45">
      <c r="B2955" s="1347" t="s">
        <v>1108</v>
      </c>
      <c r="D2955" s="1347" t="s">
        <v>1109</v>
      </c>
      <c r="E2955" s="1347" t="s">
        <v>1110</v>
      </c>
    </row>
    <row r="2956" spans="2:5" x14ac:dyDescent="0.45">
      <c r="B2956" s="1347" t="s">
        <v>1108</v>
      </c>
      <c r="D2956" s="1347" t="s">
        <v>1109</v>
      </c>
      <c r="E2956" s="1347" t="s">
        <v>1110</v>
      </c>
    </row>
    <row r="2957" spans="2:5" x14ac:dyDescent="0.45">
      <c r="B2957" s="1347" t="s">
        <v>1108</v>
      </c>
      <c r="D2957" s="1347" t="s">
        <v>1109</v>
      </c>
      <c r="E2957" s="1347" t="s">
        <v>1110</v>
      </c>
    </row>
    <row r="2958" spans="2:5" x14ac:dyDescent="0.45">
      <c r="B2958" s="1347" t="s">
        <v>1108</v>
      </c>
      <c r="D2958" s="1347" t="s">
        <v>1109</v>
      </c>
      <c r="E2958" s="1347" t="s">
        <v>1110</v>
      </c>
    </row>
    <row r="2959" spans="2:5" x14ac:dyDescent="0.45">
      <c r="B2959" s="1347" t="s">
        <v>1108</v>
      </c>
      <c r="D2959" s="1347" t="s">
        <v>1109</v>
      </c>
      <c r="E2959" s="1347" t="s">
        <v>1110</v>
      </c>
    </row>
    <row r="2960" spans="2:5" x14ac:dyDescent="0.45">
      <c r="B2960" s="1347" t="s">
        <v>1108</v>
      </c>
      <c r="D2960" s="1347" t="s">
        <v>1109</v>
      </c>
      <c r="E2960" s="1347" t="s">
        <v>1110</v>
      </c>
    </row>
    <row r="2961" spans="1:5" x14ac:dyDescent="0.45">
      <c r="B2961" s="1347" t="s">
        <v>4282</v>
      </c>
      <c r="C2961" s="1347" t="s">
        <v>1105</v>
      </c>
      <c r="D2961" s="1347" t="s">
        <v>4283</v>
      </c>
      <c r="E2961" s="1347" t="s">
        <v>4284</v>
      </c>
    </row>
    <row r="2962" spans="1:5" x14ac:dyDescent="0.45">
      <c r="B2962" s="1347" t="s">
        <v>1108</v>
      </c>
      <c r="D2962" s="1347" t="s">
        <v>4285</v>
      </c>
      <c r="E2962" s="1347" t="s">
        <v>1110</v>
      </c>
    </row>
    <row r="2963" spans="1:5" x14ac:dyDescent="0.45">
      <c r="B2963" s="1347" t="s">
        <v>3313</v>
      </c>
      <c r="D2963" s="1347" t="s">
        <v>4286</v>
      </c>
      <c r="E2963" s="1347" t="s">
        <v>4287</v>
      </c>
    </row>
    <row r="2964" spans="1:5" x14ac:dyDescent="0.45">
      <c r="B2964" s="1347" t="s">
        <v>4288</v>
      </c>
      <c r="C2964" s="1347" t="s">
        <v>1105</v>
      </c>
      <c r="D2964" s="1347" t="s">
        <v>4289</v>
      </c>
      <c r="E2964" s="1347" t="s">
        <v>4290</v>
      </c>
    </row>
    <row r="2965" spans="1:5" x14ac:dyDescent="0.45">
      <c r="B2965" s="1347" t="s">
        <v>1108</v>
      </c>
      <c r="D2965" s="1347" t="s">
        <v>4291</v>
      </c>
      <c r="E2965" s="1347" t="s">
        <v>4292</v>
      </c>
    </row>
    <row r="2966" spans="1:5" x14ac:dyDescent="0.45">
      <c r="B2966" s="1347" t="s">
        <v>4293</v>
      </c>
      <c r="D2966" s="1347" t="s">
        <v>1109</v>
      </c>
      <c r="E2966" s="1347" t="s">
        <v>4294</v>
      </c>
    </row>
    <row r="2967" spans="1:5" x14ac:dyDescent="0.45">
      <c r="B2967" s="1347" t="s">
        <v>1108</v>
      </c>
      <c r="D2967" s="1347" t="s">
        <v>4295</v>
      </c>
      <c r="E2967" s="1347" t="s">
        <v>1435</v>
      </c>
    </row>
    <row r="2968" spans="1:5" x14ac:dyDescent="0.45">
      <c r="A2968" s="1347">
        <v>2</v>
      </c>
      <c r="B2968" s="1347" t="s">
        <v>4296</v>
      </c>
      <c r="D2968" s="1347" t="s">
        <v>4297</v>
      </c>
      <c r="E2968" s="1347" t="s">
        <v>4298</v>
      </c>
    </row>
    <row r="2969" spans="1:5" x14ac:dyDescent="0.45">
      <c r="B2969" s="1347" t="s">
        <v>4299</v>
      </c>
      <c r="D2969" s="1347" t="s">
        <v>4300</v>
      </c>
      <c r="E2969" s="1347" t="s">
        <v>1110</v>
      </c>
    </row>
    <row r="2970" spans="1:5" x14ac:dyDescent="0.45">
      <c r="A2970" s="1347">
        <v>1</v>
      </c>
      <c r="B2970" s="1347" t="s">
        <v>3104</v>
      </c>
      <c r="C2970" s="1347" t="s">
        <v>1105</v>
      </c>
      <c r="D2970" s="1347" t="s">
        <v>4301</v>
      </c>
      <c r="E2970" s="1347" t="s">
        <v>4302</v>
      </c>
    </row>
    <row r="2971" spans="1:5" x14ac:dyDescent="0.45">
      <c r="A2971" s="1347" t="s">
        <v>1105</v>
      </c>
      <c r="B2971" s="1347" t="s">
        <v>4303</v>
      </c>
      <c r="C2971" s="1347" t="s">
        <v>1105</v>
      </c>
      <c r="D2971" s="1347" t="s">
        <v>4304</v>
      </c>
      <c r="E2971" s="1347" t="s">
        <v>4305</v>
      </c>
    </row>
    <row r="2972" spans="1:5" x14ac:dyDescent="0.45">
      <c r="B2972" s="1347" t="s">
        <v>1108</v>
      </c>
      <c r="D2972" s="1347" t="s">
        <v>4306</v>
      </c>
      <c r="E2972" s="1347" t="s">
        <v>4307</v>
      </c>
    </row>
    <row r="2973" spans="1:5" x14ac:dyDescent="0.45">
      <c r="B2973" s="1347" t="s">
        <v>1108</v>
      </c>
      <c r="D2973" s="1347" t="s">
        <v>4308</v>
      </c>
      <c r="E2973" s="1347" t="s">
        <v>4309</v>
      </c>
    </row>
    <row r="2974" spans="1:5" x14ac:dyDescent="0.45">
      <c r="A2974" s="1347">
        <v>2</v>
      </c>
      <c r="B2974" s="1347" t="s">
        <v>4310</v>
      </c>
      <c r="D2974" s="1347">
        <f>-4    -49   -148    -2</f>
        <v>-203</v>
      </c>
      <c r="E2974" s="1347" t="s">
        <v>4311</v>
      </c>
    </row>
    <row r="2975" spans="1:5" x14ac:dyDescent="0.45">
      <c r="B2975" s="1347" t="s">
        <v>1108</v>
      </c>
      <c r="C2975" s="1347" t="s">
        <v>1105</v>
      </c>
      <c r="D2975" s="1347" t="s">
        <v>4312</v>
      </c>
      <c r="E2975" s="1347" t="s">
        <v>4313</v>
      </c>
    </row>
    <row r="2976" spans="1:5" x14ac:dyDescent="0.45">
      <c r="B2976" s="1347" t="s">
        <v>4314</v>
      </c>
      <c r="D2976" s="1347" t="s">
        <v>4315</v>
      </c>
      <c r="E2976" s="1347" t="s">
        <v>4316</v>
      </c>
    </row>
    <row r="2977" spans="1:5" x14ac:dyDescent="0.45">
      <c r="A2977" s="1347">
        <v>1</v>
      </c>
      <c r="B2977" s="1347" t="s">
        <v>4317</v>
      </c>
      <c r="D2977" s="1347" t="s">
        <v>4318</v>
      </c>
      <c r="E2977" s="1347" t="s">
        <v>4319</v>
      </c>
    </row>
    <row r="2978" spans="1:5" x14ac:dyDescent="0.45">
      <c r="A2978" s="1347">
        <v>-1</v>
      </c>
      <c r="B2978" s="1347" t="s">
        <v>4320</v>
      </c>
      <c r="D2978" s="1347" t="s">
        <v>4321</v>
      </c>
      <c r="E2978" s="1347" t="s">
        <v>4322</v>
      </c>
    </row>
    <row r="2979" spans="1:5" x14ac:dyDescent="0.45">
      <c r="B2979" s="1347" t="s">
        <v>4323</v>
      </c>
      <c r="D2979" s="1347" t="s">
        <v>4324</v>
      </c>
      <c r="E2979" s="1347" t="s">
        <v>1110</v>
      </c>
    </row>
    <row r="2980" spans="1:5" x14ac:dyDescent="0.45">
      <c r="B2980" s="1347" t="s">
        <v>1108</v>
      </c>
      <c r="D2980" s="1347" t="s">
        <v>4325</v>
      </c>
      <c r="E2980" s="1347" t="s">
        <v>4326</v>
      </c>
    </row>
    <row r="2981" spans="1:5" x14ac:dyDescent="0.45">
      <c r="B2981" s="1347" t="s">
        <v>1108</v>
      </c>
      <c r="D2981" s="1347" t="s">
        <v>4327</v>
      </c>
      <c r="E2981" s="1347" t="s">
        <v>4328</v>
      </c>
    </row>
    <row r="2982" spans="1:5" x14ac:dyDescent="0.45">
      <c r="A2982" s="1347">
        <v>-13</v>
      </c>
      <c r="B2982" s="1347" t="s">
        <v>4329</v>
      </c>
      <c r="D2982" s="1347" t="s">
        <v>4330</v>
      </c>
      <c r="E2982" s="1347" t="s">
        <v>4331</v>
      </c>
    </row>
    <row r="2983" spans="1:5" x14ac:dyDescent="0.45">
      <c r="A2983" s="1347">
        <v>1</v>
      </c>
      <c r="B2983" s="1347" t="s">
        <v>4332</v>
      </c>
      <c r="D2983" s="1347" t="s">
        <v>1109</v>
      </c>
      <c r="E2983" s="1347" t="s">
        <v>4333</v>
      </c>
    </row>
    <row r="2984" spans="1:5" x14ac:dyDescent="0.45">
      <c r="A2984" s="1347" t="s">
        <v>1105</v>
      </c>
      <c r="B2984" s="1347" t="s">
        <v>4334</v>
      </c>
      <c r="D2984" s="1347" t="s">
        <v>4335</v>
      </c>
      <c r="E2984" s="1347" t="s">
        <v>4336</v>
      </c>
    </row>
    <row r="2985" spans="1:5" x14ac:dyDescent="0.45">
      <c r="B2985" s="1347" t="s">
        <v>4337</v>
      </c>
      <c r="D2985" s="1347" t="s">
        <v>1109</v>
      </c>
      <c r="E2985" s="1347" t="s">
        <v>4338</v>
      </c>
    </row>
    <row r="2986" spans="1:5" x14ac:dyDescent="0.45">
      <c r="B2986" s="1347" t="s">
        <v>4339</v>
      </c>
      <c r="D2986" s="1347" t="s">
        <v>4340</v>
      </c>
      <c r="E2986" s="1347" t="s">
        <v>4341</v>
      </c>
    </row>
    <row r="2987" spans="1:5" x14ac:dyDescent="0.45">
      <c r="A2987" s="1347" t="s">
        <v>1105</v>
      </c>
      <c r="B2987" s="1347" t="s">
        <v>4342</v>
      </c>
      <c r="D2987" s="1347" t="s">
        <v>4343</v>
      </c>
      <c r="E2987" s="1347" t="s">
        <v>1110</v>
      </c>
    </row>
    <row r="2988" spans="1:5" x14ac:dyDescent="0.45">
      <c r="B2988" s="1347" t="s">
        <v>4344</v>
      </c>
      <c r="D2988" s="1347" t="s">
        <v>4345</v>
      </c>
      <c r="E2988" s="1347" t="s">
        <v>4346</v>
      </c>
    </row>
    <row r="2989" spans="1:5" x14ac:dyDescent="0.45">
      <c r="B2989" s="1347" t="s">
        <v>1108</v>
      </c>
      <c r="D2989" s="1347" t="s">
        <v>4347</v>
      </c>
      <c r="E2989" s="1347" t="s">
        <v>4348</v>
      </c>
    </row>
    <row r="2990" spans="1:5" x14ac:dyDescent="0.45">
      <c r="A2990" s="1347">
        <v>2</v>
      </c>
      <c r="B2990" s="1347" t="s">
        <v>4144</v>
      </c>
      <c r="D2990" s="1347" t="s">
        <v>4349</v>
      </c>
      <c r="E2990" s="1347" t="s">
        <v>4350</v>
      </c>
    </row>
    <row r="2991" spans="1:5" x14ac:dyDescent="0.45">
      <c r="B2991" s="1347" t="s">
        <v>1108</v>
      </c>
      <c r="D2991" s="1347" t="s">
        <v>4351</v>
      </c>
      <c r="E2991" s="1347" t="s">
        <v>4352</v>
      </c>
    </row>
    <row r="2992" spans="1:5" x14ac:dyDescent="0.45">
      <c r="B2992" s="1347" t="s">
        <v>4353</v>
      </c>
      <c r="D2992" s="1347" t="s">
        <v>1109</v>
      </c>
      <c r="E2992" s="1347" t="s">
        <v>4354</v>
      </c>
    </row>
    <row r="2993" spans="1:5" x14ac:dyDescent="0.45">
      <c r="A2993" s="1347">
        <v>-3</v>
      </c>
      <c r="B2993" s="1347" t="s">
        <v>4355</v>
      </c>
      <c r="D2993" s="1347" t="s">
        <v>4356</v>
      </c>
      <c r="E2993" s="1347" t="s">
        <v>4357</v>
      </c>
    </row>
    <row r="2994" spans="1:5" x14ac:dyDescent="0.45">
      <c r="B2994" s="1347">
        <f>-52   -344</f>
        <v>-396</v>
      </c>
      <c r="D2994" s="1347" t="s">
        <v>4358</v>
      </c>
      <c r="E2994" s="1347" t="s">
        <v>4359</v>
      </c>
    </row>
    <row r="2995" spans="1:5" x14ac:dyDescent="0.45">
      <c r="B2995" s="1347" t="s">
        <v>4360</v>
      </c>
      <c r="D2995" s="1347" t="s">
        <v>4361</v>
      </c>
      <c r="E2995" s="1347" t="s">
        <v>1476</v>
      </c>
    </row>
    <row r="2996" spans="1:5" x14ac:dyDescent="0.45">
      <c r="B2996" s="1347" t="s">
        <v>4362</v>
      </c>
      <c r="D2996" s="1347" t="s">
        <v>4363</v>
      </c>
      <c r="E2996" s="1347" t="s">
        <v>4364</v>
      </c>
    </row>
    <row r="2997" spans="1:5" x14ac:dyDescent="0.45">
      <c r="B2997" s="1347" t="s">
        <v>4365</v>
      </c>
      <c r="D2997" s="1347" t="s">
        <v>4366</v>
      </c>
      <c r="E2997" s="1347" t="s">
        <v>4367</v>
      </c>
    </row>
    <row r="2998" spans="1:5" x14ac:dyDescent="0.45">
      <c r="B2998" s="1347" t="s">
        <v>4368</v>
      </c>
      <c r="D2998" s="1347" t="s">
        <v>4369</v>
      </c>
      <c r="E2998" s="1347" t="s">
        <v>4370</v>
      </c>
    </row>
    <row r="2999" spans="1:5" x14ac:dyDescent="0.45">
      <c r="B2999" s="1347" t="s">
        <v>1108</v>
      </c>
      <c r="D2999" s="1347" t="s">
        <v>4371</v>
      </c>
      <c r="E2999" s="1347" t="s">
        <v>4372</v>
      </c>
    </row>
    <row r="3000" spans="1:5" x14ac:dyDescent="0.45">
      <c r="B3000" s="1347" t="s">
        <v>4373</v>
      </c>
      <c r="D3000" s="1347" t="s">
        <v>4374</v>
      </c>
      <c r="E3000" s="1347" t="s">
        <v>4375</v>
      </c>
    </row>
    <row r="3001" spans="1:5" x14ac:dyDescent="0.45">
      <c r="A3001" s="1347">
        <v>1</v>
      </c>
      <c r="B3001" s="1347" t="s">
        <v>4376</v>
      </c>
      <c r="D3001" s="1347" t="s">
        <v>4377</v>
      </c>
      <c r="E3001" s="1347" t="s">
        <v>4378</v>
      </c>
    </row>
    <row r="3002" spans="1:5" x14ac:dyDescent="0.45">
      <c r="B3002" s="1347" t="s">
        <v>3973</v>
      </c>
      <c r="D3002" s="1347" t="s">
        <v>1109</v>
      </c>
      <c r="E3002" s="1347" t="s">
        <v>4379</v>
      </c>
    </row>
    <row r="3003" spans="1:5" x14ac:dyDescent="0.45">
      <c r="B3003" s="1347" t="s">
        <v>4380</v>
      </c>
      <c r="C3003" s="1347" t="s">
        <v>1105</v>
      </c>
      <c r="D3003" s="1347" t="s">
        <v>4381</v>
      </c>
      <c r="E3003" s="1347" t="s">
        <v>4382</v>
      </c>
    </row>
    <row r="3004" spans="1:5" x14ac:dyDescent="0.45">
      <c r="B3004" s="1347" t="s">
        <v>1108</v>
      </c>
      <c r="D3004" s="1347" t="s">
        <v>4383</v>
      </c>
      <c r="E3004" s="1347" t="s">
        <v>4384</v>
      </c>
    </row>
    <row r="3005" spans="1:5" x14ac:dyDescent="0.45">
      <c r="B3005" s="1347" t="s">
        <v>1108</v>
      </c>
      <c r="D3005" s="1347" t="s">
        <v>4385</v>
      </c>
      <c r="E3005" s="1347" t="s">
        <v>4386</v>
      </c>
    </row>
    <row r="3006" spans="1:5" x14ac:dyDescent="0.45">
      <c r="B3006" s="1347" t="s">
        <v>1108</v>
      </c>
      <c r="D3006" s="1347" t="s">
        <v>4387</v>
      </c>
      <c r="E3006" s="1347" t="s">
        <v>4388</v>
      </c>
    </row>
    <row r="3007" spans="1:5" x14ac:dyDescent="0.45">
      <c r="A3007" s="1347">
        <v>1</v>
      </c>
      <c r="B3007" s="1347" t="s">
        <v>4389</v>
      </c>
      <c r="D3007" s="1347" t="s">
        <v>4390</v>
      </c>
      <c r="E3007" s="1347" t="s">
        <v>4391</v>
      </c>
    </row>
    <row r="3008" spans="1:5" x14ac:dyDescent="0.45">
      <c r="B3008" s="1347" t="s">
        <v>1108</v>
      </c>
      <c r="D3008" s="1347" t="s">
        <v>3954</v>
      </c>
      <c r="E3008" s="1347" t="s">
        <v>4392</v>
      </c>
    </row>
    <row r="3009" spans="1:5" x14ac:dyDescent="0.45">
      <c r="B3009" s="1347" t="s">
        <v>4393</v>
      </c>
      <c r="D3009" s="1347" t="s">
        <v>4394</v>
      </c>
      <c r="E3009" s="1347" t="s">
        <v>4395</v>
      </c>
    </row>
    <row r="3010" spans="1:5" x14ac:dyDescent="0.45">
      <c r="B3010" s="1347" t="s">
        <v>4396</v>
      </c>
      <c r="D3010" s="1347" t="s">
        <v>4397</v>
      </c>
      <c r="E3010" s="1347" t="s">
        <v>4398</v>
      </c>
    </row>
    <row r="3011" spans="1:5" x14ac:dyDescent="0.45">
      <c r="B3011" s="1347" t="s">
        <v>1108</v>
      </c>
      <c r="D3011" s="1347" t="s">
        <v>4399</v>
      </c>
      <c r="E3011" s="1347" t="s">
        <v>1113</v>
      </c>
    </row>
    <row r="3012" spans="1:5" x14ac:dyDescent="0.45">
      <c r="B3012" s="1347" t="s">
        <v>4400</v>
      </c>
      <c r="D3012" s="1347" t="s">
        <v>4401</v>
      </c>
      <c r="E3012" s="1347" t="s">
        <v>4402</v>
      </c>
    </row>
    <row r="3013" spans="1:5" x14ac:dyDescent="0.45">
      <c r="A3013" s="1347" t="s">
        <v>1105</v>
      </c>
      <c r="B3013" s="1347" t="s">
        <v>4403</v>
      </c>
      <c r="D3013" s="1347" t="s">
        <v>4404</v>
      </c>
      <c r="E3013" s="1347" t="s">
        <v>4405</v>
      </c>
    </row>
    <row r="3014" spans="1:5" x14ac:dyDescent="0.45">
      <c r="A3014" s="1347" t="s">
        <v>1105</v>
      </c>
      <c r="B3014" s="1347" t="s">
        <v>4406</v>
      </c>
      <c r="D3014" s="1347" t="s">
        <v>4407</v>
      </c>
      <c r="E3014" s="1347" t="s">
        <v>4408</v>
      </c>
    </row>
    <row r="3015" spans="1:5" x14ac:dyDescent="0.45">
      <c r="B3015" s="1347" t="s">
        <v>1108</v>
      </c>
      <c r="D3015" s="1347" t="s">
        <v>4409</v>
      </c>
      <c r="E3015" s="1347" t="s">
        <v>4410</v>
      </c>
    </row>
    <row r="3016" spans="1:5" x14ac:dyDescent="0.45">
      <c r="B3016" s="1347" t="s">
        <v>4411</v>
      </c>
      <c r="D3016" s="1347" t="s">
        <v>4412</v>
      </c>
      <c r="E3016" s="1347" t="s">
        <v>4413</v>
      </c>
    </row>
    <row r="3017" spans="1:5" x14ac:dyDescent="0.45">
      <c r="B3017" s="1347" t="s">
        <v>4414</v>
      </c>
      <c r="D3017" s="1347" t="s">
        <v>4415</v>
      </c>
      <c r="E3017" s="1347" t="s">
        <v>4416</v>
      </c>
    </row>
    <row r="3018" spans="1:5" x14ac:dyDescent="0.45">
      <c r="B3018" s="1347" t="s">
        <v>4417</v>
      </c>
      <c r="D3018" s="1347" t="s">
        <v>4418</v>
      </c>
      <c r="E3018" s="1347" t="s">
        <v>4419</v>
      </c>
    </row>
    <row r="3019" spans="1:5" x14ac:dyDescent="0.45">
      <c r="B3019" s="1347" t="s">
        <v>4420</v>
      </c>
      <c r="D3019" s="1347" t="s">
        <v>4421</v>
      </c>
      <c r="E3019" s="1347" t="s">
        <v>4422</v>
      </c>
    </row>
    <row r="3020" spans="1:5" x14ac:dyDescent="0.45">
      <c r="A3020" s="1347" t="s">
        <v>1105</v>
      </c>
      <c r="B3020" s="1347" t="s">
        <v>4423</v>
      </c>
      <c r="D3020" s="1347" t="s">
        <v>4424</v>
      </c>
      <c r="E3020" s="1347" t="s">
        <v>4425</v>
      </c>
    </row>
    <row r="3021" spans="1:5" x14ac:dyDescent="0.45">
      <c r="A3021" s="1347" t="s">
        <v>1105</v>
      </c>
      <c r="B3021" s="1347" t="s">
        <v>3484</v>
      </c>
      <c r="D3021" s="1347" t="s">
        <v>4426</v>
      </c>
      <c r="E3021" s="1347" t="s">
        <v>4427</v>
      </c>
    </row>
    <row r="3022" spans="1:5" x14ac:dyDescent="0.45">
      <c r="B3022" s="1347" t="s">
        <v>1108</v>
      </c>
      <c r="D3022" s="1347" t="s">
        <v>4428</v>
      </c>
      <c r="E3022" s="1347" t="s">
        <v>4429</v>
      </c>
    </row>
    <row r="3023" spans="1:5" x14ac:dyDescent="0.45">
      <c r="A3023" s="1347">
        <v>2</v>
      </c>
      <c r="B3023" s="1347" t="s">
        <v>4430</v>
      </c>
      <c r="D3023" s="1347" t="s">
        <v>4431</v>
      </c>
      <c r="E3023" s="1347" t="s">
        <v>4432</v>
      </c>
    </row>
    <row r="3024" spans="1:5" x14ac:dyDescent="0.45">
      <c r="B3024" s="1347" t="s">
        <v>4433</v>
      </c>
      <c r="D3024" s="1347" t="s">
        <v>4434</v>
      </c>
      <c r="E3024" s="1347" t="s">
        <v>4435</v>
      </c>
    </row>
    <row r="3025" spans="1:5" x14ac:dyDescent="0.45">
      <c r="B3025" s="1347" t="s">
        <v>1108</v>
      </c>
      <c r="D3025" s="1347" t="s">
        <v>1109</v>
      </c>
      <c r="E3025" s="1347" t="s">
        <v>4436</v>
      </c>
    </row>
    <row r="3026" spans="1:5" x14ac:dyDescent="0.45">
      <c r="A3026" s="1347">
        <v>1</v>
      </c>
      <c r="B3026" s="1347" t="s">
        <v>4437</v>
      </c>
      <c r="D3026" s="1347" t="s">
        <v>4438</v>
      </c>
      <c r="E3026" s="1347" t="s">
        <v>1110</v>
      </c>
    </row>
    <row r="3027" spans="1:5" x14ac:dyDescent="0.45">
      <c r="A3027" s="1347">
        <v>-17</v>
      </c>
      <c r="B3027" s="1347" t="s">
        <v>4439</v>
      </c>
      <c r="D3027" s="1347" t="s">
        <v>4440</v>
      </c>
      <c r="E3027" s="1347" t="s">
        <v>1435</v>
      </c>
    </row>
    <row r="3028" spans="1:5" x14ac:dyDescent="0.45">
      <c r="A3028" s="1347">
        <v>2</v>
      </c>
      <c r="B3028" s="1347" t="s">
        <v>4441</v>
      </c>
      <c r="C3028" s="1347" t="s">
        <v>1105</v>
      </c>
      <c r="D3028" s="1347" t="s">
        <v>4442</v>
      </c>
      <c r="E3028" s="1347" t="s">
        <v>4443</v>
      </c>
    </row>
    <row r="3029" spans="1:5" x14ac:dyDescent="0.45">
      <c r="B3029" s="1347" t="s">
        <v>4444</v>
      </c>
      <c r="D3029" s="1347" t="s">
        <v>4445</v>
      </c>
      <c r="E3029" s="1347" t="s">
        <v>4446</v>
      </c>
    </row>
    <row r="3030" spans="1:5" x14ac:dyDescent="0.45">
      <c r="B3030" s="1347" t="s">
        <v>1108</v>
      </c>
      <c r="D3030" s="1347" t="s">
        <v>4447</v>
      </c>
      <c r="E3030" s="1347" t="s">
        <v>4448</v>
      </c>
    </row>
    <row r="3031" spans="1:5" x14ac:dyDescent="0.45">
      <c r="B3031" s="1347" t="s">
        <v>1108</v>
      </c>
      <c r="D3031" s="1347" t="s">
        <v>4449</v>
      </c>
      <c r="E3031" s="1347" t="s">
        <v>4450</v>
      </c>
    </row>
    <row r="3032" spans="1:5" x14ac:dyDescent="0.45">
      <c r="B3032" s="1347" t="s">
        <v>4451</v>
      </c>
      <c r="C3032" s="1347" t="s">
        <v>1105</v>
      </c>
      <c r="D3032" s="1347" t="s">
        <v>4452</v>
      </c>
      <c r="E3032" s="1347" t="s">
        <v>4453</v>
      </c>
    </row>
    <row r="3033" spans="1:5" x14ac:dyDescent="0.45">
      <c r="A3033" s="1347" t="s">
        <v>1105</v>
      </c>
      <c r="B3033" s="1347" t="s">
        <v>4454</v>
      </c>
      <c r="D3033" s="1347" t="s">
        <v>4455</v>
      </c>
      <c r="E3033" s="1347" t="s">
        <v>4456</v>
      </c>
    </row>
    <row r="3034" spans="1:5" x14ac:dyDescent="0.45">
      <c r="B3034" s="1347" t="s">
        <v>1108</v>
      </c>
      <c r="D3034" s="1347" t="s">
        <v>4457</v>
      </c>
      <c r="E3034" s="1347" t="s">
        <v>1110</v>
      </c>
    </row>
    <row r="3035" spans="1:5" x14ac:dyDescent="0.45">
      <c r="B3035" s="1347" t="s">
        <v>3581</v>
      </c>
      <c r="D3035" s="1347" t="s">
        <v>4458</v>
      </c>
      <c r="E3035" s="1347" t="s">
        <v>4459</v>
      </c>
    </row>
    <row r="3036" spans="1:5" x14ac:dyDescent="0.45">
      <c r="B3036" s="1347" t="s">
        <v>1108</v>
      </c>
      <c r="D3036" s="1347" t="s">
        <v>4460</v>
      </c>
      <c r="E3036" s="1347" t="s">
        <v>4461</v>
      </c>
    </row>
    <row r="3037" spans="1:5" x14ac:dyDescent="0.45">
      <c r="A3037" s="1347">
        <v>1</v>
      </c>
      <c r="B3037" s="1347" t="s">
        <v>2240</v>
      </c>
      <c r="D3037" s="1347" t="s">
        <v>4462</v>
      </c>
      <c r="E3037" s="1347" t="s">
        <v>4463</v>
      </c>
    </row>
    <row r="3038" spans="1:5" x14ac:dyDescent="0.45">
      <c r="B3038" s="1347" t="s">
        <v>1108</v>
      </c>
      <c r="D3038" s="1347" t="s">
        <v>4464</v>
      </c>
      <c r="E3038" s="1347" t="s">
        <v>4465</v>
      </c>
    </row>
    <row r="3039" spans="1:5" x14ac:dyDescent="0.45">
      <c r="A3039" s="1347">
        <v>-1</v>
      </c>
      <c r="B3039" s="1347" t="s">
        <v>4466</v>
      </c>
      <c r="C3039" s="1347" t="s">
        <v>1105</v>
      </c>
      <c r="D3039" s="1347" t="s">
        <v>4467</v>
      </c>
      <c r="E3039" s="1347" t="s">
        <v>4468</v>
      </c>
    </row>
    <row r="3040" spans="1:5" x14ac:dyDescent="0.45">
      <c r="B3040" s="1347" t="s">
        <v>4469</v>
      </c>
      <c r="C3040" s="1347" t="s">
        <v>1105</v>
      </c>
      <c r="D3040" s="1347" t="s">
        <v>4470</v>
      </c>
      <c r="E3040" s="1347" t="s">
        <v>4471</v>
      </c>
    </row>
    <row r="3041" spans="1:5" x14ac:dyDescent="0.45">
      <c r="A3041" s="1347" t="s">
        <v>1105</v>
      </c>
      <c r="B3041" s="1347" t="s">
        <v>4472</v>
      </c>
      <c r="D3041" s="1347" t="s">
        <v>4473</v>
      </c>
      <c r="E3041" s="1347" t="s">
        <v>4474</v>
      </c>
    </row>
    <row r="3042" spans="1:5" x14ac:dyDescent="0.45">
      <c r="B3042" s="1347" t="s">
        <v>4475</v>
      </c>
      <c r="D3042" s="1347" t="s">
        <v>4476</v>
      </c>
      <c r="E3042" s="1347" t="s">
        <v>4477</v>
      </c>
    </row>
    <row r="3043" spans="1:5" x14ac:dyDescent="0.45">
      <c r="A3043" s="1347">
        <v>-3</v>
      </c>
      <c r="B3043" s="1347" t="s">
        <v>4478</v>
      </c>
      <c r="D3043" s="1347" t="s">
        <v>4479</v>
      </c>
      <c r="E3043" s="1347" t="s">
        <v>4480</v>
      </c>
    </row>
    <row r="3044" spans="1:5" x14ac:dyDescent="0.45">
      <c r="B3044" s="1347" t="s">
        <v>1108</v>
      </c>
      <c r="D3044" s="1347" t="s">
        <v>4481</v>
      </c>
      <c r="E3044" s="1347" t="s">
        <v>4482</v>
      </c>
    </row>
    <row r="3045" spans="1:5" x14ac:dyDescent="0.45">
      <c r="B3045" s="1347" t="s">
        <v>1108</v>
      </c>
      <c r="D3045" s="1347" t="s">
        <v>4483</v>
      </c>
      <c r="E3045" s="1347" t="s">
        <v>4484</v>
      </c>
    </row>
    <row r="3046" spans="1:5" x14ac:dyDescent="0.45">
      <c r="A3046" s="1347">
        <v>1</v>
      </c>
      <c r="B3046" s="1347" t="s">
        <v>4485</v>
      </c>
      <c r="D3046" s="1347" t="s">
        <v>4486</v>
      </c>
      <c r="E3046" s="1347" t="s">
        <v>4487</v>
      </c>
    </row>
    <row r="3047" spans="1:5" x14ac:dyDescent="0.45">
      <c r="A3047" s="1347" t="s">
        <v>1105</v>
      </c>
      <c r="B3047" s="1347" t="s">
        <v>4488</v>
      </c>
      <c r="D3047" s="1347" t="s">
        <v>4489</v>
      </c>
      <c r="E3047" s="1347" t="s">
        <v>4490</v>
      </c>
    </row>
    <row r="3048" spans="1:5" x14ac:dyDescent="0.45">
      <c r="B3048" s="1347" t="s">
        <v>1108</v>
      </c>
      <c r="D3048" s="1347" t="s">
        <v>1109</v>
      </c>
      <c r="E3048" s="1347" t="s">
        <v>4491</v>
      </c>
    </row>
    <row r="3049" spans="1:5" x14ac:dyDescent="0.45">
      <c r="B3049" s="1347" t="s">
        <v>4492</v>
      </c>
      <c r="C3049" s="1347" t="s">
        <v>1105</v>
      </c>
      <c r="D3049" s="1347" t="s">
        <v>4493</v>
      </c>
      <c r="E3049" s="1347" t="s">
        <v>4494</v>
      </c>
    </row>
    <row r="3050" spans="1:5" x14ac:dyDescent="0.45">
      <c r="A3050" s="1347">
        <v>14</v>
      </c>
      <c r="B3050" s="1347" t="s">
        <v>4495</v>
      </c>
      <c r="D3050" s="1347" t="s">
        <v>4496</v>
      </c>
      <c r="E3050" s="1347" t="s">
        <v>4497</v>
      </c>
    </row>
    <row r="3051" spans="1:5" x14ac:dyDescent="0.45">
      <c r="B3051" s="1347" t="s">
        <v>4498</v>
      </c>
      <c r="D3051" s="1347" t="s">
        <v>4499</v>
      </c>
      <c r="E3051" s="1347" t="s">
        <v>1220</v>
      </c>
    </row>
    <row r="3052" spans="1:5" x14ac:dyDescent="0.45">
      <c r="A3052" s="1347">
        <v>2</v>
      </c>
      <c r="B3052" s="1347" t="s">
        <v>4500</v>
      </c>
      <c r="C3052" s="1347" t="s">
        <v>1105</v>
      </c>
      <c r="D3052" s="1347" t="s">
        <v>4501</v>
      </c>
      <c r="E3052" s="1347" t="s">
        <v>4502</v>
      </c>
    </row>
    <row r="3053" spans="1:5" x14ac:dyDescent="0.45">
      <c r="B3053" s="1347" t="s">
        <v>1108</v>
      </c>
      <c r="D3053" s="1347" t="s">
        <v>4503</v>
      </c>
      <c r="E3053" s="1347" t="s">
        <v>4504</v>
      </c>
    </row>
    <row r="3054" spans="1:5" x14ac:dyDescent="0.45">
      <c r="B3054" s="1347" t="s">
        <v>1108</v>
      </c>
      <c r="D3054" s="1347" t="s">
        <v>4505</v>
      </c>
      <c r="E3054" s="1347" t="s">
        <v>4506</v>
      </c>
    </row>
    <row r="3055" spans="1:5" x14ac:dyDescent="0.45">
      <c r="B3055" s="1347" t="s">
        <v>4507</v>
      </c>
      <c r="D3055" s="1347" t="s">
        <v>4508</v>
      </c>
      <c r="E3055" s="1347" t="s">
        <v>4509</v>
      </c>
    </row>
    <row r="3056" spans="1:5" x14ac:dyDescent="0.45">
      <c r="A3056" s="1347">
        <v>-1</v>
      </c>
      <c r="B3056" s="1347" t="s">
        <v>4510</v>
      </c>
      <c r="D3056" s="1347" t="s">
        <v>4511</v>
      </c>
      <c r="E3056" s="1347" t="s">
        <v>4512</v>
      </c>
    </row>
    <row r="3057" spans="1:5" x14ac:dyDescent="0.45">
      <c r="B3057" s="1347" t="s">
        <v>1108</v>
      </c>
      <c r="D3057" s="1347" t="s">
        <v>4513</v>
      </c>
      <c r="E3057" s="1347" t="s">
        <v>1110</v>
      </c>
    </row>
    <row r="3058" spans="1:5" x14ac:dyDescent="0.45">
      <c r="B3058" s="1347" t="s">
        <v>1703</v>
      </c>
      <c r="D3058" s="1347" t="s">
        <v>4514</v>
      </c>
      <c r="E3058" s="1347" t="s">
        <v>4515</v>
      </c>
    </row>
    <row r="3059" spans="1:5" x14ac:dyDescent="0.45">
      <c r="B3059" s="1347" t="s">
        <v>1108</v>
      </c>
      <c r="D3059" s="1347" t="s">
        <v>4516</v>
      </c>
      <c r="E3059" s="1347" t="s">
        <v>4517</v>
      </c>
    </row>
    <row r="3060" spans="1:5" x14ac:dyDescent="0.45">
      <c r="A3060" s="1347">
        <v>6</v>
      </c>
      <c r="B3060" s="1347" t="s">
        <v>2690</v>
      </c>
      <c r="D3060" s="1347" t="s">
        <v>4518</v>
      </c>
      <c r="E3060" s="1347" t="s">
        <v>4519</v>
      </c>
    </row>
    <row r="3061" spans="1:5" x14ac:dyDescent="0.45">
      <c r="B3061" s="1347" t="s">
        <v>1108</v>
      </c>
      <c r="D3061" s="1347" t="s">
        <v>4520</v>
      </c>
      <c r="E3061" s="1347" t="s">
        <v>4521</v>
      </c>
    </row>
    <row r="3062" spans="1:5" x14ac:dyDescent="0.45">
      <c r="A3062" s="1347">
        <v>-2</v>
      </c>
      <c r="B3062" s="1347" t="s">
        <v>4522</v>
      </c>
      <c r="C3062" s="1347">
        <v>-2</v>
      </c>
      <c r="D3062" s="1347" t="s">
        <v>4523</v>
      </c>
      <c r="E3062" s="1347" t="s">
        <v>4524</v>
      </c>
    </row>
    <row r="3063" spans="1:5" x14ac:dyDescent="0.45">
      <c r="B3063" s="1347" t="s">
        <v>4525</v>
      </c>
      <c r="C3063" s="1347" t="s">
        <v>1105</v>
      </c>
      <c r="D3063" s="1347" t="s">
        <v>4526</v>
      </c>
      <c r="E3063" s="1347" t="s">
        <v>4527</v>
      </c>
    </row>
    <row r="3064" spans="1:5" x14ac:dyDescent="0.45">
      <c r="A3064" s="1347" t="s">
        <v>1105</v>
      </c>
      <c r="B3064" s="1347" t="s">
        <v>4528</v>
      </c>
      <c r="D3064" s="1347" t="s">
        <v>4529</v>
      </c>
      <c r="E3064" s="1347" t="s">
        <v>4530</v>
      </c>
    </row>
    <row r="3065" spans="1:5" x14ac:dyDescent="0.45">
      <c r="A3065" s="1347" t="s">
        <v>1105</v>
      </c>
      <c r="B3065" s="1347" t="s">
        <v>4531</v>
      </c>
      <c r="D3065" s="1347" t="s">
        <v>4532</v>
      </c>
      <c r="E3065" s="1347" t="s">
        <v>4533</v>
      </c>
    </row>
    <row r="3066" spans="1:5" x14ac:dyDescent="0.45">
      <c r="A3066" s="1347">
        <v>-2</v>
      </c>
      <c r="B3066" s="1347" t="s">
        <v>4534</v>
      </c>
      <c r="D3066" s="1347" t="s">
        <v>1570</v>
      </c>
      <c r="E3066" s="1347" t="s">
        <v>4535</v>
      </c>
    </row>
    <row r="3067" spans="1:5" x14ac:dyDescent="0.45">
      <c r="B3067" s="1347" t="s">
        <v>1108</v>
      </c>
      <c r="C3067" s="1347" t="s">
        <v>1105</v>
      </c>
      <c r="D3067" s="1347" t="s">
        <v>4536</v>
      </c>
      <c r="E3067" s="1347" t="s">
        <v>4537</v>
      </c>
    </row>
    <row r="3068" spans="1:5" x14ac:dyDescent="0.45">
      <c r="B3068" s="1347" t="s">
        <v>1108</v>
      </c>
      <c r="D3068" s="1347" t="s">
        <v>4538</v>
      </c>
      <c r="E3068" s="1347" t="s">
        <v>4539</v>
      </c>
    </row>
    <row r="3069" spans="1:5" x14ac:dyDescent="0.45">
      <c r="A3069" s="1347">
        <v>-15</v>
      </c>
      <c r="B3069" s="1347" t="s">
        <v>3740</v>
      </c>
      <c r="D3069" s="1347" t="s">
        <v>4540</v>
      </c>
      <c r="E3069" s="1347" t="s">
        <v>4541</v>
      </c>
    </row>
    <row r="3070" spans="1:5" x14ac:dyDescent="0.45">
      <c r="B3070" s="1347" t="s">
        <v>4542</v>
      </c>
      <c r="D3070" s="1347" t="s">
        <v>4543</v>
      </c>
      <c r="E3070" s="1347" t="s">
        <v>4544</v>
      </c>
    </row>
    <row r="3071" spans="1:5" x14ac:dyDescent="0.45">
      <c r="B3071" s="1347" t="s">
        <v>1108</v>
      </c>
      <c r="D3071" s="1347" t="s">
        <v>1109</v>
      </c>
      <c r="E3071" s="1347" t="s">
        <v>4545</v>
      </c>
    </row>
    <row r="3072" spans="1:5" x14ac:dyDescent="0.45">
      <c r="B3072" s="1347" t="s">
        <v>1379</v>
      </c>
      <c r="C3072" s="1347" t="s">
        <v>1105</v>
      </c>
      <c r="D3072" s="1347" t="s">
        <v>4546</v>
      </c>
      <c r="E3072" s="1347" t="s">
        <v>4547</v>
      </c>
    </row>
    <row r="3073" spans="1:5" x14ac:dyDescent="0.45">
      <c r="A3073" s="1347">
        <v>6</v>
      </c>
      <c r="B3073" s="1347" t="s">
        <v>4548</v>
      </c>
      <c r="D3073" s="1347">
        <f>-248   -906  -3482</f>
        <v>-4636</v>
      </c>
      <c r="E3073" s="1347" t="s">
        <v>4549</v>
      </c>
    </row>
    <row r="3074" spans="1:5" x14ac:dyDescent="0.45">
      <c r="B3074" s="1347" t="s">
        <v>4550</v>
      </c>
      <c r="D3074" s="1347" t="s">
        <v>4551</v>
      </c>
      <c r="E3074" s="1347" t="s">
        <v>1110</v>
      </c>
    </row>
    <row r="3075" spans="1:5" x14ac:dyDescent="0.45">
      <c r="A3075" s="1347">
        <v>1</v>
      </c>
      <c r="B3075" s="1347" t="s">
        <v>4552</v>
      </c>
      <c r="D3075" s="1347" t="s">
        <v>4553</v>
      </c>
      <c r="E3075" s="1347" t="s">
        <v>4554</v>
      </c>
    </row>
    <row r="3076" spans="1:5" x14ac:dyDescent="0.45">
      <c r="A3076" s="1347">
        <v>-3</v>
      </c>
      <c r="B3076" s="1347" t="s">
        <v>4555</v>
      </c>
      <c r="D3076" s="1347" t="s">
        <v>4556</v>
      </c>
      <c r="E3076" s="1347" t="s">
        <v>4557</v>
      </c>
    </row>
    <row r="3077" spans="1:5" x14ac:dyDescent="0.45">
      <c r="B3077" s="1347" t="s">
        <v>1108</v>
      </c>
      <c r="D3077" s="1347" t="s">
        <v>4558</v>
      </c>
      <c r="E3077" s="1347" t="s">
        <v>4559</v>
      </c>
    </row>
    <row r="3078" spans="1:5" x14ac:dyDescent="0.45">
      <c r="A3078" s="1347" t="s">
        <v>1105</v>
      </c>
      <c r="B3078" s="1347" t="s">
        <v>4560</v>
      </c>
      <c r="D3078" s="1347" t="s">
        <v>4561</v>
      </c>
      <c r="E3078" s="1347" t="s">
        <v>4562</v>
      </c>
    </row>
    <row r="3079" spans="1:5" x14ac:dyDescent="0.45">
      <c r="A3079" s="1347">
        <v>-4</v>
      </c>
      <c r="B3079" s="1347" t="s">
        <v>4563</v>
      </c>
      <c r="D3079" s="1347" t="s">
        <v>4564</v>
      </c>
      <c r="E3079" s="1347" t="s">
        <v>4565</v>
      </c>
    </row>
    <row r="3080" spans="1:5" x14ac:dyDescent="0.45">
      <c r="B3080" s="1347" t="s">
        <v>1108</v>
      </c>
      <c r="D3080" s="1347" t="s">
        <v>4566</v>
      </c>
      <c r="E3080" s="1347" t="s">
        <v>1113</v>
      </c>
    </row>
    <row r="3081" spans="1:5" x14ac:dyDescent="0.45">
      <c r="B3081" s="1347" t="s">
        <v>4567</v>
      </c>
      <c r="D3081" s="1347" t="s">
        <v>4568</v>
      </c>
      <c r="E3081" s="1347" t="s">
        <v>4569</v>
      </c>
    </row>
    <row r="3082" spans="1:5" x14ac:dyDescent="0.45">
      <c r="A3082" s="1347">
        <v>-20</v>
      </c>
      <c r="B3082" s="1347" t="s">
        <v>3860</v>
      </c>
      <c r="D3082" s="1347" t="s">
        <v>4570</v>
      </c>
      <c r="E3082" s="1347" t="s">
        <v>4571</v>
      </c>
    </row>
    <row r="3083" spans="1:5" x14ac:dyDescent="0.45">
      <c r="A3083" s="1347" t="s">
        <v>1105</v>
      </c>
      <c r="B3083" s="1347" t="s">
        <v>4572</v>
      </c>
      <c r="D3083" s="1347" t="s">
        <v>4573</v>
      </c>
      <c r="E3083" s="1347" t="s">
        <v>4574</v>
      </c>
    </row>
    <row r="3084" spans="1:5" x14ac:dyDescent="0.45">
      <c r="B3084" s="1347" t="s">
        <v>1108</v>
      </c>
      <c r="D3084" s="1347" t="s">
        <v>4575</v>
      </c>
      <c r="E3084" s="1347" t="s">
        <v>4576</v>
      </c>
    </row>
    <row r="3085" spans="1:5" x14ac:dyDescent="0.45">
      <c r="B3085" s="1347" t="s">
        <v>4577</v>
      </c>
      <c r="D3085" s="1347" t="s">
        <v>4578</v>
      </c>
      <c r="E3085" s="1347" t="s">
        <v>4579</v>
      </c>
    </row>
    <row r="3086" spans="1:5" x14ac:dyDescent="0.45">
      <c r="B3086" s="1347" t="s">
        <v>1207</v>
      </c>
      <c r="D3086" s="1347" t="s">
        <v>4580</v>
      </c>
      <c r="E3086" s="1347" t="s">
        <v>4581</v>
      </c>
    </row>
    <row r="3087" spans="1:5" x14ac:dyDescent="0.45">
      <c r="A3087" s="1347">
        <v>-1</v>
      </c>
      <c r="B3087" s="1347" t="s">
        <v>4582</v>
      </c>
      <c r="D3087" s="1347" t="s">
        <v>4583</v>
      </c>
      <c r="E3087" s="1347" t="s">
        <v>4584</v>
      </c>
    </row>
    <row r="3088" spans="1:5" x14ac:dyDescent="0.45">
      <c r="B3088" s="1347" t="s">
        <v>4585</v>
      </c>
      <c r="D3088" s="1347" t="s">
        <v>4586</v>
      </c>
      <c r="E3088" s="1347" t="s">
        <v>4587</v>
      </c>
    </row>
    <row r="3089" spans="1:5" x14ac:dyDescent="0.45">
      <c r="A3089" s="1347">
        <v>-3</v>
      </c>
      <c r="B3089" s="1347" t="s">
        <v>4588</v>
      </c>
      <c r="C3089" s="1347" t="s">
        <v>1105</v>
      </c>
      <c r="D3089" s="1347" t="s">
        <v>4589</v>
      </c>
      <c r="E3089" s="1347" t="s">
        <v>4590</v>
      </c>
    </row>
    <row r="3090" spans="1:5" x14ac:dyDescent="0.45">
      <c r="A3090" s="1347">
        <v>3</v>
      </c>
      <c r="B3090" s="1347" t="s">
        <v>4591</v>
      </c>
      <c r="D3090" s="1347" t="s">
        <v>4592</v>
      </c>
      <c r="E3090" s="1347" t="s">
        <v>4593</v>
      </c>
    </row>
    <row r="3091" spans="1:5" x14ac:dyDescent="0.45">
      <c r="B3091" s="1347" t="s">
        <v>1108</v>
      </c>
      <c r="D3091" s="1347" t="s">
        <v>4594</v>
      </c>
      <c r="E3091" s="1347" t="s">
        <v>4595</v>
      </c>
    </row>
    <row r="3092" spans="1:5" x14ac:dyDescent="0.45">
      <c r="B3092" s="1347" t="s">
        <v>4596</v>
      </c>
      <c r="D3092" s="1347" t="s">
        <v>4597</v>
      </c>
      <c r="E3092" s="1347" t="s">
        <v>4598</v>
      </c>
    </row>
    <row r="3093" spans="1:5" x14ac:dyDescent="0.45">
      <c r="B3093" s="1347" t="s">
        <v>4599</v>
      </c>
      <c r="D3093" s="1347" t="s">
        <v>4600</v>
      </c>
      <c r="E3093" s="1347" t="s">
        <v>4601</v>
      </c>
    </row>
    <row r="3094" spans="1:5" x14ac:dyDescent="0.45">
      <c r="B3094" s="1347" t="s">
        <v>1108</v>
      </c>
      <c r="D3094" s="1347" t="s">
        <v>1109</v>
      </c>
      <c r="E3094" s="1347" t="s">
        <v>4602</v>
      </c>
    </row>
    <row r="3095" spans="1:5" x14ac:dyDescent="0.45">
      <c r="B3095" s="1347" t="s">
        <v>4603</v>
      </c>
      <c r="D3095" s="1347" t="s">
        <v>4604</v>
      </c>
      <c r="E3095" s="1347" t="s">
        <v>1110</v>
      </c>
    </row>
    <row r="3096" spans="1:5" x14ac:dyDescent="0.45">
      <c r="A3096" s="1347">
        <v>6</v>
      </c>
      <c r="B3096" s="1347" t="s">
        <v>4605</v>
      </c>
      <c r="C3096" s="1347" t="s">
        <v>1105</v>
      </c>
      <c r="D3096" s="1347" t="s">
        <v>4606</v>
      </c>
      <c r="E3096" s="1347" t="s">
        <v>1476</v>
      </c>
    </row>
    <row r="3097" spans="1:5" x14ac:dyDescent="0.45">
      <c r="A3097" s="1347">
        <v>1</v>
      </c>
      <c r="B3097" s="1347" t="s">
        <v>4607</v>
      </c>
      <c r="C3097" s="1347" t="s">
        <v>1105</v>
      </c>
      <c r="D3097" s="1347" t="s">
        <v>4608</v>
      </c>
      <c r="E3097" s="1347" t="s">
        <v>4609</v>
      </c>
    </row>
    <row r="3098" spans="1:5" x14ac:dyDescent="0.45">
      <c r="B3098" s="1347" t="s">
        <v>4610</v>
      </c>
      <c r="D3098" s="1347" t="s">
        <v>4611</v>
      </c>
      <c r="E3098" s="1347" t="s">
        <v>4612</v>
      </c>
    </row>
    <row r="3099" spans="1:5" x14ac:dyDescent="0.45">
      <c r="A3099" s="1347">
        <v>-8</v>
      </c>
      <c r="B3099" s="1347" t="s">
        <v>4613</v>
      </c>
      <c r="C3099" s="1347" t="s">
        <v>1105</v>
      </c>
      <c r="D3099" s="1347" t="s">
        <v>4614</v>
      </c>
      <c r="E3099" s="1347" t="s">
        <v>4615</v>
      </c>
    </row>
    <row r="3100" spans="1:5" x14ac:dyDescent="0.45">
      <c r="A3100" s="1347">
        <v>1</v>
      </c>
      <c r="B3100" s="1347" t="s">
        <v>4616</v>
      </c>
      <c r="D3100" s="1347" t="s">
        <v>1109</v>
      </c>
      <c r="E3100" s="1347" t="s">
        <v>4617</v>
      </c>
    </row>
    <row r="3101" spans="1:5" x14ac:dyDescent="0.45">
      <c r="B3101" s="1347" t="s">
        <v>4618</v>
      </c>
      <c r="D3101" s="1347" t="s">
        <v>4619</v>
      </c>
      <c r="E3101" s="1347" t="s">
        <v>4620</v>
      </c>
    </row>
    <row r="3102" spans="1:5" x14ac:dyDescent="0.45">
      <c r="A3102" s="1347">
        <v>-3</v>
      </c>
      <c r="B3102" s="1347" t="s">
        <v>4621</v>
      </c>
      <c r="C3102" s="1347" t="s">
        <v>1105</v>
      </c>
      <c r="D3102" s="1347" t="s">
        <v>4622</v>
      </c>
      <c r="E3102" s="1347" t="s">
        <v>1958</v>
      </c>
    </row>
    <row r="3103" spans="1:5" x14ac:dyDescent="0.45">
      <c r="B3103" s="1347" t="s">
        <v>4623</v>
      </c>
      <c r="D3103" s="1347" t="s">
        <v>4624</v>
      </c>
      <c r="E3103" s="1347" t="s">
        <v>4625</v>
      </c>
    </row>
    <row r="3104" spans="1:5" x14ac:dyDescent="0.45">
      <c r="B3104" s="1347" t="s">
        <v>1108</v>
      </c>
      <c r="D3104" s="1347" t="s">
        <v>4626</v>
      </c>
      <c r="E3104" s="1347" t="s">
        <v>4627</v>
      </c>
    </row>
    <row r="3105" spans="1:5" x14ac:dyDescent="0.45">
      <c r="A3105" s="1347">
        <v>1</v>
      </c>
      <c r="B3105" s="1347" t="s">
        <v>2766</v>
      </c>
      <c r="D3105" s="1347" t="s">
        <v>2249</v>
      </c>
      <c r="E3105" s="1347" t="s">
        <v>4628</v>
      </c>
    </row>
    <row r="3106" spans="1:5" x14ac:dyDescent="0.45">
      <c r="B3106" s="1347" t="s">
        <v>1108</v>
      </c>
      <c r="D3106" s="1347" t="s">
        <v>4629</v>
      </c>
      <c r="E3106" s="1347" t="s">
        <v>4630</v>
      </c>
    </row>
    <row r="3107" spans="1:5" x14ac:dyDescent="0.45">
      <c r="A3107" s="1347" t="s">
        <v>1105</v>
      </c>
      <c r="B3107" s="1347" t="s">
        <v>4631</v>
      </c>
      <c r="D3107" s="1347" t="s">
        <v>1109</v>
      </c>
      <c r="E3107" s="1347" t="s">
        <v>4632</v>
      </c>
    </row>
    <row r="3108" spans="1:5" x14ac:dyDescent="0.45">
      <c r="B3108" s="1347" t="s">
        <v>4633</v>
      </c>
      <c r="D3108" s="1347" t="s">
        <v>4634</v>
      </c>
      <c r="E3108" s="1347" t="s">
        <v>4635</v>
      </c>
    </row>
    <row r="3109" spans="1:5" x14ac:dyDescent="0.45">
      <c r="A3109" s="1347">
        <v>-2</v>
      </c>
      <c r="B3109" s="1347" t="s">
        <v>4636</v>
      </c>
      <c r="D3109" s="1347" t="s">
        <v>4637</v>
      </c>
      <c r="E3109" s="1347" t="s">
        <v>4638</v>
      </c>
    </row>
    <row r="3110" spans="1:5" x14ac:dyDescent="0.45">
      <c r="A3110" s="1347">
        <v>2</v>
      </c>
      <c r="B3110" s="1347" t="s">
        <v>4639</v>
      </c>
      <c r="D3110" s="1347" t="s">
        <v>4640</v>
      </c>
      <c r="E3110" s="1347" t="s">
        <v>1402</v>
      </c>
    </row>
    <row r="3111" spans="1:5" x14ac:dyDescent="0.45">
      <c r="B3111" s="1347" t="s">
        <v>4641</v>
      </c>
      <c r="D3111" s="1347" t="s">
        <v>4642</v>
      </c>
      <c r="E3111" s="1347" t="s">
        <v>4643</v>
      </c>
    </row>
    <row r="3112" spans="1:5" x14ac:dyDescent="0.45">
      <c r="A3112" s="1347">
        <v>-11</v>
      </c>
      <c r="B3112" s="1347" t="s">
        <v>4644</v>
      </c>
      <c r="C3112" s="1347" t="s">
        <v>1105</v>
      </c>
      <c r="D3112" s="1347" t="s">
        <v>4645</v>
      </c>
      <c r="E3112" s="1347" t="s">
        <v>4646</v>
      </c>
    </row>
    <row r="3113" spans="1:5" x14ac:dyDescent="0.45">
      <c r="A3113" s="1347" t="s">
        <v>1105</v>
      </c>
      <c r="B3113" s="1347" t="s">
        <v>2264</v>
      </c>
      <c r="D3113" s="1347" t="s">
        <v>4647</v>
      </c>
      <c r="E3113" s="1347" t="s">
        <v>4648</v>
      </c>
    </row>
    <row r="3114" spans="1:5" x14ac:dyDescent="0.45">
      <c r="B3114" s="1347" t="s">
        <v>1108</v>
      </c>
      <c r="D3114" s="1347" t="s">
        <v>4649</v>
      </c>
      <c r="E3114" s="1347" t="s">
        <v>4650</v>
      </c>
    </row>
    <row r="3115" spans="1:5" x14ac:dyDescent="0.45">
      <c r="B3115" s="1347" t="s">
        <v>4651</v>
      </c>
      <c r="D3115" s="1347" t="s">
        <v>4652</v>
      </c>
      <c r="E3115" s="1347" t="s">
        <v>4653</v>
      </c>
    </row>
    <row r="3116" spans="1:5" x14ac:dyDescent="0.45">
      <c r="A3116" s="1347" t="s">
        <v>1105</v>
      </c>
      <c r="B3116" s="1347" t="s">
        <v>4654</v>
      </c>
      <c r="D3116" s="1347" t="s">
        <v>4655</v>
      </c>
      <c r="E3116" s="1347" t="s">
        <v>4656</v>
      </c>
    </row>
    <row r="3117" spans="1:5" x14ac:dyDescent="0.45">
      <c r="B3117" s="1347" t="s">
        <v>4657</v>
      </c>
      <c r="D3117" s="1347" t="s">
        <v>1109</v>
      </c>
      <c r="E3117" s="1347" t="s">
        <v>4658</v>
      </c>
    </row>
    <row r="3118" spans="1:5" x14ac:dyDescent="0.45">
      <c r="B3118" s="1347" t="s">
        <v>4659</v>
      </c>
      <c r="D3118" s="1347" t="s">
        <v>4660</v>
      </c>
      <c r="E3118" s="1347" t="s">
        <v>4661</v>
      </c>
    </row>
    <row r="3119" spans="1:5" x14ac:dyDescent="0.45">
      <c r="B3119" s="1347" t="s">
        <v>1108</v>
      </c>
      <c r="D3119" s="1347" t="s">
        <v>4662</v>
      </c>
      <c r="E3119" s="1347" t="s">
        <v>4663</v>
      </c>
    </row>
    <row r="3120" spans="1:5" x14ac:dyDescent="0.45">
      <c r="B3120" s="1347" t="s">
        <v>1108</v>
      </c>
      <c r="C3120" s="1347" t="s">
        <v>1105</v>
      </c>
      <c r="D3120" s="1347" t="s">
        <v>4664</v>
      </c>
      <c r="E3120" s="1347" t="s">
        <v>4665</v>
      </c>
    </row>
    <row r="3121" spans="1:5" x14ac:dyDescent="0.45">
      <c r="B3121" s="1347" t="s">
        <v>1108</v>
      </c>
      <c r="D3121" s="1347" t="s">
        <v>4666</v>
      </c>
      <c r="E3121" s="1347" t="s">
        <v>4667</v>
      </c>
    </row>
    <row r="3122" spans="1:5" x14ac:dyDescent="0.45">
      <c r="A3122" s="1347">
        <v>53</v>
      </c>
      <c r="B3122" s="1347" t="s">
        <v>4668</v>
      </c>
      <c r="D3122" s="1347">
        <f>-169  -4125 -14452  -289</f>
        <v>-19035</v>
      </c>
      <c r="E3122" s="1347" t="s">
        <v>4669</v>
      </c>
    </row>
    <row r="3123" spans="1:5" x14ac:dyDescent="0.45">
      <c r="B3123" s="1347" t="s">
        <v>1108</v>
      </c>
      <c r="D3123" s="1347" t="s">
        <v>4670</v>
      </c>
      <c r="E3123" s="1347" t="s">
        <v>1110</v>
      </c>
    </row>
    <row r="3124" spans="1:5" x14ac:dyDescent="0.45">
      <c r="A3124" s="1347">
        <v>-2</v>
      </c>
      <c r="B3124" s="1347" t="s">
        <v>4671</v>
      </c>
      <c r="D3124" s="1347" t="s">
        <v>4672</v>
      </c>
      <c r="E3124" s="1347" t="s">
        <v>4673</v>
      </c>
    </row>
    <row r="3125" spans="1:5" x14ac:dyDescent="0.45">
      <c r="B3125" s="1347" t="s">
        <v>4674</v>
      </c>
      <c r="D3125" s="1347" t="s">
        <v>4675</v>
      </c>
      <c r="E3125" s="1347" t="s">
        <v>4676</v>
      </c>
    </row>
    <row r="3126" spans="1:5" x14ac:dyDescent="0.45">
      <c r="B3126" s="1347" t="s">
        <v>1108</v>
      </c>
      <c r="D3126" s="1347" t="s">
        <v>4677</v>
      </c>
      <c r="E3126" s="1347" t="s">
        <v>4678</v>
      </c>
    </row>
    <row r="3127" spans="1:5" x14ac:dyDescent="0.45">
      <c r="A3127" s="1347" t="s">
        <v>1105</v>
      </c>
      <c r="B3127" s="1347" t="s">
        <v>1291</v>
      </c>
      <c r="D3127" s="1347" t="s">
        <v>1109</v>
      </c>
      <c r="E3127" s="1347" t="s">
        <v>4679</v>
      </c>
    </row>
    <row r="3128" spans="1:5" x14ac:dyDescent="0.45">
      <c r="B3128" s="1347" t="s">
        <v>1108</v>
      </c>
      <c r="C3128" s="1347" t="s">
        <v>1105</v>
      </c>
      <c r="D3128" s="1347" t="s">
        <v>4680</v>
      </c>
      <c r="E3128" s="1347" t="s">
        <v>1110</v>
      </c>
    </row>
    <row r="3129" spans="1:5" x14ac:dyDescent="0.45">
      <c r="A3129" s="1347">
        <v>4</v>
      </c>
      <c r="B3129" s="1347" t="s">
        <v>4681</v>
      </c>
      <c r="D3129" s="1347" t="s">
        <v>4682</v>
      </c>
      <c r="E3129" s="1347" t="s">
        <v>4683</v>
      </c>
    </row>
    <row r="3130" spans="1:5" x14ac:dyDescent="0.45">
      <c r="B3130" s="1347" t="s">
        <v>4684</v>
      </c>
      <c r="D3130" s="1347" t="s">
        <v>4685</v>
      </c>
      <c r="E3130" s="1347" t="s">
        <v>1110</v>
      </c>
    </row>
    <row r="3131" spans="1:5" x14ac:dyDescent="0.45">
      <c r="A3131" s="1347">
        <v>1</v>
      </c>
      <c r="B3131" s="1347" t="s">
        <v>4686</v>
      </c>
      <c r="C3131" s="1347" t="s">
        <v>1105</v>
      </c>
      <c r="D3131" s="1347" t="s">
        <v>4687</v>
      </c>
      <c r="E3131" s="1347" t="s">
        <v>4688</v>
      </c>
    </row>
    <row r="3132" spans="1:5" x14ac:dyDescent="0.45">
      <c r="B3132" s="1347" t="s">
        <v>4689</v>
      </c>
      <c r="D3132" s="1347" t="s">
        <v>4690</v>
      </c>
      <c r="E3132" s="1347" t="s">
        <v>4691</v>
      </c>
    </row>
    <row r="3133" spans="1:5" x14ac:dyDescent="0.45">
      <c r="B3133" s="1347" t="s">
        <v>1108</v>
      </c>
      <c r="D3133" s="1347" t="s">
        <v>4692</v>
      </c>
      <c r="E3133" s="1347" t="s">
        <v>4693</v>
      </c>
    </row>
    <row r="3134" spans="1:5" x14ac:dyDescent="0.45">
      <c r="B3134" s="1347" t="s">
        <v>1108</v>
      </c>
      <c r="D3134" s="1347" t="s">
        <v>4694</v>
      </c>
      <c r="E3134" s="1347" t="s">
        <v>4695</v>
      </c>
    </row>
    <row r="3135" spans="1:5" x14ac:dyDescent="0.45">
      <c r="A3135" s="1347">
        <v>1</v>
      </c>
      <c r="B3135" s="1347" t="s">
        <v>4696</v>
      </c>
      <c r="C3135" s="1347" t="s">
        <v>1105</v>
      </c>
      <c r="D3135" s="1347" t="s">
        <v>4697</v>
      </c>
      <c r="E3135" s="1347" t="s">
        <v>4698</v>
      </c>
    </row>
    <row r="3136" spans="1:5" x14ac:dyDescent="0.45">
      <c r="B3136" s="1347" t="s">
        <v>1108</v>
      </c>
      <c r="C3136" s="1347" t="s">
        <v>1105</v>
      </c>
      <c r="D3136" s="1347" t="s">
        <v>4699</v>
      </c>
      <c r="E3136" s="1347" t="s">
        <v>4700</v>
      </c>
    </row>
    <row r="3137" spans="1:5" x14ac:dyDescent="0.45">
      <c r="A3137" s="1347">
        <v>9</v>
      </c>
      <c r="B3137" s="1347" t="s">
        <v>4701</v>
      </c>
      <c r="D3137" s="1347" t="s">
        <v>4702</v>
      </c>
      <c r="E3137" s="1347" t="s">
        <v>4703</v>
      </c>
    </row>
    <row r="3138" spans="1:5" x14ac:dyDescent="0.45">
      <c r="A3138" s="1347">
        <v>2</v>
      </c>
      <c r="B3138" s="1347" t="s">
        <v>4704</v>
      </c>
      <c r="D3138" s="1347" t="s">
        <v>4705</v>
      </c>
      <c r="E3138" s="1347" t="s">
        <v>4706</v>
      </c>
    </row>
    <row r="3139" spans="1:5" x14ac:dyDescent="0.45">
      <c r="B3139" s="1347" t="s">
        <v>4707</v>
      </c>
      <c r="D3139" s="1347" t="s">
        <v>4708</v>
      </c>
      <c r="E3139" s="1347" t="s">
        <v>4709</v>
      </c>
    </row>
    <row r="3140" spans="1:5" x14ac:dyDescent="0.45">
      <c r="B3140" s="1347" t="s">
        <v>4710</v>
      </c>
      <c r="D3140" s="1347" t="s">
        <v>4711</v>
      </c>
      <c r="E3140" s="1347" t="s">
        <v>1110</v>
      </c>
    </row>
    <row r="3141" spans="1:5" x14ac:dyDescent="0.45">
      <c r="B3141" s="1347" t="s">
        <v>1108</v>
      </c>
      <c r="D3141" s="1347" t="s">
        <v>4712</v>
      </c>
      <c r="E3141" s="1347" t="s">
        <v>4713</v>
      </c>
    </row>
    <row r="3142" spans="1:5" x14ac:dyDescent="0.45">
      <c r="B3142" s="1347" t="s">
        <v>1108</v>
      </c>
      <c r="D3142" s="1347" t="s">
        <v>4714</v>
      </c>
      <c r="E3142" s="1347" t="s">
        <v>4715</v>
      </c>
    </row>
    <row r="3143" spans="1:5" x14ac:dyDescent="0.45">
      <c r="A3143" s="1347">
        <v>-2</v>
      </c>
      <c r="B3143" s="1347" t="s">
        <v>2256</v>
      </c>
      <c r="D3143" s="1347" t="s">
        <v>4079</v>
      </c>
      <c r="E3143" s="1347" t="s">
        <v>4716</v>
      </c>
    </row>
    <row r="3144" spans="1:5" x14ac:dyDescent="0.45">
      <c r="A3144" s="1347" t="s">
        <v>1105</v>
      </c>
      <c r="B3144" s="1347" t="s">
        <v>4717</v>
      </c>
      <c r="D3144" s="1347" t="s">
        <v>1109</v>
      </c>
      <c r="E3144" s="1347" t="s">
        <v>4718</v>
      </c>
    </row>
    <row r="3145" spans="1:5" x14ac:dyDescent="0.45">
      <c r="A3145" s="1347" t="s">
        <v>1105</v>
      </c>
      <c r="B3145" s="1347" t="s">
        <v>4719</v>
      </c>
      <c r="C3145" s="1347">
        <v>1</v>
      </c>
      <c r="D3145" s="1347" t="s">
        <v>4720</v>
      </c>
      <c r="E3145" s="1347" t="s">
        <v>4721</v>
      </c>
    </row>
    <row r="3146" spans="1:5" x14ac:dyDescent="0.45">
      <c r="B3146" s="1347" t="s">
        <v>1108</v>
      </c>
      <c r="D3146" s="1347" t="s">
        <v>4722</v>
      </c>
      <c r="E3146" s="1347" t="s">
        <v>4723</v>
      </c>
    </row>
    <row r="3147" spans="1:5" x14ac:dyDescent="0.45">
      <c r="B3147" s="1347" t="s">
        <v>1108</v>
      </c>
      <c r="D3147" s="1347" t="s">
        <v>4724</v>
      </c>
      <c r="E3147" s="1347" t="s">
        <v>4725</v>
      </c>
    </row>
    <row r="3148" spans="1:5" x14ac:dyDescent="0.45">
      <c r="B3148" s="1347" t="s">
        <v>4726</v>
      </c>
      <c r="D3148" s="1347" t="s">
        <v>4727</v>
      </c>
      <c r="E3148" s="1347" t="s">
        <v>4728</v>
      </c>
    </row>
    <row r="3149" spans="1:5" x14ac:dyDescent="0.45">
      <c r="A3149" s="1347">
        <v>-1</v>
      </c>
      <c r="B3149" s="1347" t="s">
        <v>4729</v>
      </c>
      <c r="D3149" s="1347" t="s">
        <v>4730</v>
      </c>
      <c r="E3149" s="1347" t="s">
        <v>2630</v>
      </c>
    </row>
    <row r="3150" spans="1:5" x14ac:dyDescent="0.45">
      <c r="B3150" s="1347" t="s">
        <v>1108</v>
      </c>
      <c r="D3150" s="1347" t="s">
        <v>4731</v>
      </c>
      <c r="E3150" s="1347" t="s">
        <v>1110</v>
      </c>
    </row>
    <row r="3151" spans="1:5" x14ac:dyDescent="0.45">
      <c r="A3151" s="1347">
        <v>1</v>
      </c>
      <c r="B3151" s="1347" t="s">
        <v>4732</v>
      </c>
      <c r="D3151" s="1347" t="s">
        <v>4733</v>
      </c>
      <c r="E3151" s="1347" t="s">
        <v>4734</v>
      </c>
    </row>
    <row r="3152" spans="1:5" x14ac:dyDescent="0.45">
      <c r="B3152" s="1347" t="s">
        <v>1108</v>
      </c>
      <c r="D3152" s="1347" t="s">
        <v>4735</v>
      </c>
      <c r="E3152" s="1347" t="s">
        <v>4736</v>
      </c>
    </row>
    <row r="3153" spans="1:5" x14ac:dyDescent="0.45">
      <c r="A3153" s="1347">
        <v>2</v>
      </c>
      <c r="B3153" s="1347" t="s">
        <v>1550</v>
      </c>
      <c r="D3153" s="1347" t="s">
        <v>4737</v>
      </c>
      <c r="E3153" s="1347" t="s">
        <v>4738</v>
      </c>
    </row>
    <row r="3154" spans="1:5" x14ac:dyDescent="0.45">
      <c r="B3154" s="1347" t="s">
        <v>1108</v>
      </c>
      <c r="D3154" s="1347" t="s">
        <v>4739</v>
      </c>
      <c r="E3154" s="1347" t="s">
        <v>4740</v>
      </c>
    </row>
    <row r="3155" spans="1:5" x14ac:dyDescent="0.45">
      <c r="A3155" s="1347">
        <v>-1</v>
      </c>
      <c r="B3155" s="1347" t="s">
        <v>4741</v>
      </c>
      <c r="D3155" s="1347">
        <f>-860  -2507  -2403</f>
        <v>-5770</v>
      </c>
      <c r="E3155" s="1347" t="s">
        <v>4742</v>
      </c>
    </row>
    <row r="3156" spans="1:5" x14ac:dyDescent="0.45">
      <c r="B3156" s="1347" t="s">
        <v>4743</v>
      </c>
      <c r="C3156" s="1347" t="s">
        <v>1105</v>
      </c>
      <c r="D3156" s="1347" t="s">
        <v>4744</v>
      </c>
      <c r="E3156" s="1347" t="s">
        <v>4745</v>
      </c>
    </row>
    <row r="3157" spans="1:5" x14ac:dyDescent="0.45">
      <c r="A3157" s="1347">
        <v>-1</v>
      </c>
      <c r="B3157" s="1347" t="s">
        <v>4746</v>
      </c>
      <c r="D3157" s="1347" t="s">
        <v>4747</v>
      </c>
      <c r="E3157" s="1347" t="s">
        <v>4748</v>
      </c>
    </row>
    <row r="3158" spans="1:5" x14ac:dyDescent="0.45">
      <c r="A3158" s="1347" t="s">
        <v>1105</v>
      </c>
      <c r="B3158" s="1347" t="s">
        <v>4749</v>
      </c>
      <c r="D3158" s="1347" t="s">
        <v>4750</v>
      </c>
      <c r="E3158" s="1347" t="s">
        <v>4751</v>
      </c>
    </row>
    <row r="3159" spans="1:5" x14ac:dyDescent="0.45">
      <c r="A3159" s="1347">
        <v>-28</v>
      </c>
      <c r="B3159" s="1347" t="s">
        <v>4752</v>
      </c>
      <c r="D3159" s="1347" t="s">
        <v>4753</v>
      </c>
      <c r="E3159" s="1347" t="s">
        <v>4754</v>
      </c>
    </row>
    <row r="3160" spans="1:5" x14ac:dyDescent="0.45">
      <c r="B3160" s="1347" t="s">
        <v>1108</v>
      </c>
      <c r="C3160" s="1347" t="s">
        <v>1105</v>
      </c>
      <c r="D3160" s="1347" t="s">
        <v>4755</v>
      </c>
      <c r="E3160" s="1347" t="s">
        <v>4756</v>
      </c>
    </row>
    <row r="3161" spans="1:5" x14ac:dyDescent="0.45">
      <c r="B3161" s="1347" t="s">
        <v>1108</v>
      </c>
      <c r="D3161" s="1347" t="s">
        <v>4757</v>
      </c>
      <c r="E3161" s="1347" t="s">
        <v>4758</v>
      </c>
    </row>
    <row r="3162" spans="1:5" x14ac:dyDescent="0.45">
      <c r="B3162" s="1347" t="s">
        <v>4759</v>
      </c>
      <c r="D3162" s="1347" t="s">
        <v>4760</v>
      </c>
      <c r="E3162" s="1347" t="s">
        <v>4761</v>
      </c>
    </row>
    <row r="3163" spans="1:5" x14ac:dyDescent="0.45">
      <c r="A3163" s="1347">
        <v>-1</v>
      </c>
      <c r="B3163" s="1347" t="s">
        <v>1566</v>
      </c>
      <c r="D3163" s="1347" t="s">
        <v>4762</v>
      </c>
      <c r="E3163" s="1347" t="s">
        <v>4763</v>
      </c>
    </row>
    <row r="3164" spans="1:5" x14ac:dyDescent="0.45">
      <c r="B3164" s="1347" t="s">
        <v>1108</v>
      </c>
      <c r="D3164" s="1347" t="s">
        <v>1109</v>
      </c>
      <c r="E3164" s="1347" t="s">
        <v>4764</v>
      </c>
    </row>
    <row r="3165" spans="1:5" x14ac:dyDescent="0.45">
      <c r="B3165" s="1347" t="s">
        <v>4765</v>
      </c>
      <c r="C3165" s="1347" t="s">
        <v>1105</v>
      </c>
      <c r="D3165" s="1347" t="s">
        <v>4766</v>
      </c>
      <c r="E3165" s="1347" t="s">
        <v>4767</v>
      </c>
    </row>
    <row r="3166" spans="1:5" x14ac:dyDescent="0.45">
      <c r="A3166" s="1347">
        <v>12</v>
      </c>
      <c r="B3166" s="1347" t="s">
        <v>4768</v>
      </c>
      <c r="D3166" s="1347">
        <f>-684  -2218  -1233</f>
        <v>-4135</v>
      </c>
      <c r="E3166" s="1347" t="s">
        <v>4769</v>
      </c>
    </row>
    <row r="3167" spans="1:5" x14ac:dyDescent="0.45">
      <c r="B3167" s="1347" t="s">
        <v>3439</v>
      </c>
      <c r="D3167" s="1347" t="s">
        <v>4770</v>
      </c>
      <c r="E3167" s="1347" t="s">
        <v>1350</v>
      </c>
    </row>
    <row r="3168" spans="1:5" x14ac:dyDescent="0.45">
      <c r="A3168" s="1347">
        <v>3</v>
      </c>
      <c r="B3168" s="1347" t="s">
        <v>4771</v>
      </c>
      <c r="D3168" s="1347" t="s">
        <v>4772</v>
      </c>
      <c r="E3168" s="1347" t="s">
        <v>4773</v>
      </c>
    </row>
    <row r="3169" spans="1:5" x14ac:dyDescent="0.45">
      <c r="B3169" s="1347" t="s">
        <v>4774</v>
      </c>
      <c r="C3169" s="1347" t="s">
        <v>1105</v>
      </c>
      <c r="D3169" s="1347" t="s">
        <v>4775</v>
      </c>
      <c r="E3169" s="1347" t="s">
        <v>4776</v>
      </c>
    </row>
    <row r="3170" spans="1:5" x14ac:dyDescent="0.45">
      <c r="B3170" s="1347" t="s">
        <v>4777</v>
      </c>
      <c r="D3170" s="1347" t="s">
        <v>2737</v>
      </c>
      <c r="E3170" s="1347" t="s">
        <v>4778</v>
      </c>
    </row>
    <row r="3171" spans="1:5" x14ac:dyDescent="0.45">
      <c r="B3171" s="1347" t="s">
        <v>1108</v>
      </c>
      <c r="D3171" s="1347" t="s">
        <v>4779</v>
      </c>
      <c r="E3171" s="1347" t="s">
        <v>4780</v>
      </c>
    </row>
    <row r="3172" spans="1:5" x14ac:dyDescent="0.45">
      <c r="A3172" s="1347">
        <v>8</v>
      </c>
      <c r="B3172" s="1347" t="s">
        <v>4781</v>
      </c>
      <c r="C3172" s="1347" t="s">
        <v>1105</v>
      </c>
      <c r="D3172" s="1347" t="s">
        <v>4782</v>
      </c>
      <c r="E3172" s="1347" t="s">
        <v>4783</v>
      </c>
    </row>
    <row r="3173" spans="1:5" x14ac:dyDescent="0.45">
      <c r="B3173" s="1347" t="s">
        <v>1108</v>
      </c>
      <c r="D3173" s="1347" t="s">
        <v>4784</v>
      </c>
      <c r="E3173" s="1347" t="s">
        <v>4785</v>
      </c>
    </row>
    <row r="3174" spans="1:5" x14ac:dyDescent="0.45">
      <c r="B3174" s="1347" t="s">
        <v>1108</v>
      </c>
      <c r="D3174" s="1347" t="s">
        <v>4786</v>
      </c>
      <c r="E3174" s="1347" t="s">
        <v>4787</v>
      </c>
    </row>
    <row r="3175" spans="1:5" x14ac:dyDescent="0.45">
      <c r="B3175" s="1347" t="s">
        <v>4788</v>
      </c>
      <c r="D3175" s="1347" t="s">
        <v>4789</v>
      </c>
      <c r="E3175" s="1347" t="s">
        <v>4790</v>
      </c>
    </row>
    <row r="3176" spans="1:5" x14ac:dyDescent="0.45">
      <c r="A3176" s="1347" t="s">
        <v>1105</v>
      </c>
      <c r="B3176" s="1347" t="s">
        <v>4791</v>
      </c>
      <c r="D3176" s="1347" t="s">
        <v>4792</v>
      </c>
      <c r="E3176" s="1347" t="s">
        <v>4793</v>
      </c>
    </row>
    <row r="3177" spans="1:5" x14ac:dyDescent="0.45">
      <c r="A3177" s="1347">
        <v>2</v>
      </c>
      <c r="B3177" s="1347" t="s">
        <v>4794</v>
      </c>
      <c r="D3177" s="1347" t="s">
        <v>4795</v>
      </c>
      <c r="E3177" s="1347" t="s">
        <v>4796</v>
      </c>
    </row>
    <row r="3178" spans="1:5" x14ac:dyDescent="0.45">
      <c r="B3178" s="1347" t="s">
        <v>4797</v>
      </c>
      <c r="D3178" s="1347" t="s">
        <v>4798</v>
      </c>
      <c r="E3178" s="1347" t="s">
        <v>4799</v>
      </c>
    </row>
    <row r="3179" spans="1:5" x14ac:dyDescent="0.45">
      <c r="B3179" s="1347" t="s">
        <v>4800</v>
      </c>
      <c r="C3179" s="1347">
        <v>-2</v>
      </c>
      <c r="D3179" s="1347" t="s">
        <v>4801</v>
      </c>
      <c r="E3179" s="1347" t="s">
        <v>4802</v>
      </c>
    </row>
    <row r="3180" spans="1:5" x14ac:dyDescent="0.45">
      <c r="B3180" s="1347" t="s">
        <v>2846</v>
      </c>
      <c r="D3180" s="1347" t="s">
        <v>4803</v>
      </c>
      <c r="E3180" s="1347" t="s">
        <v>4804</v>
      </c>
    </row>
    <row r="3181" spans="1:5" x14ac:dyDescent="0.45">
      <c r="B3181" s="1347" t="s">
        <v>1108</v>
      </c>
      <c r="D3181" s="1347" t="s">
        <v>4805</v>
      </c>
      <c r="E3181" s="1347" t="s">
        <v>4806</v>
      </c>
    </row>
    <row r="3182" spans="1:5" x14ac:dyDescent="0.45">
      <c r="A3182" s="1347">
        <v>1</v>
      </c>
      <c r="B3182" s="1347" t="s">
        <v>4807</v>
      </c>
      <c r="C3182" s="1347" t="s">
        <v>1105</v>
      </c>
      <c r="D3182" s="1347" t="s">
        <v>4808</v>
      </c>
      <c r="E3182" s="1347" t="s">
        <v>4809</v>
      </c>
    </row>
    <row r="3183" spans="1:5" x14ac:dyDescent="0.45">
      <c r="B3183" s="1347" t="s">
        <v>4810</v>
      </c>
      <c r="D3183" s="1347" t="s">
        <v>4811</v>
      </c>
      <c r="E3183" s="1347" t="s">
        <v>4812</v>
      </c>
    </row>
    <row r="3184" spans="1:5" x14ac:dyDescent="0.45">
      <c r="A3184" s="1347" t="s">
        <v>1105</v>
      </c>
      <c r="B3184" s="1347" t="s">
        <v>4813</v>
      </c>
      <c r="D3184" s="1347" t="s">
        <v>1109</v>
      </c>
      <c r="E3184" s="1347" t="s">
        <v>4814</v>
      </c>
    </row>
    <row r="3185" spans="1:5" x14ac:dyDescent="0.45">
      <c r="A3185" s="1347" t="s">
        <v>1105</v>
      </c>
      <c r="B3185" s="1347" t="s">
        <v>4815</v>
      </c>
      <c r="D3185" s="1347" t="s">
        <v>4816</v>
      </c>
      <c r="E3185" s="1347" t="s">
        <v>4817</v>
      </c>
    </row>
    <row r="3186" spans="1:5" x14ac:dyDescent="0.45">
      <c r="A3186" s="1347">
        <v>-18</v>
      </c>
      <c r="B3186" s="1347" t="s">
        <v>4818</v>
      </c>
      <c r="D3186" s="1347" t="s">
        <v>4819</v>
      </c>
      <c r="E3186" s="1347" t="s">
        <v>4820</v>
      </c>
    </row>
    <row r="3187" spans="1:5" x14ac:dyDescent="0.45">
      <c r="A3187" s="1347">
        <v>-1</v>
      </c>
      <c r="B3187" s="1347" t="s">
        <v>4821</v>
      </c>
      <c r="C3187" s="1347" t="s">
        <v>1105</v>
      </c>
      <c r="D3187" s="1347" t="s">
        <v>4822</v>
      </c>
      <c r="E3187" s="1347" t="s">
        <v>1110</v>
      </c>
    </row>
    <row r="3188" spans="1:5" x14ac:dyDescent="0.45">
      <c r="B3188" s="1347" t="s">
        <v>3665</v>
      </c>
      <c r="D3188" s="1347" t="s">
        <v>4823</v>
      </c>
      <c r="E3188" s="1347" t="s">
        <v>4824</v>
      </c>
    </row>
    <row r="3189" spans="1:5" x14ac:dyDescent="0.45">
      <c r="B3189" s="1347" t="s">
        <v>1108</v>
      </c>
      <c r="D3189" s="1347" t="s">
        <v>4825</v>
      </c>
      <c r="E3189" s="1347" t="s">
        <v>4826</v>
      </c>
    </row>
    <row r="3190" spans="1:5" x14ac:dyDescent="0.45">
      <c r="B3190" s="1347" t="s">
        <v>1108</v>
      </c>
      <c r="D3190" s="1347" t="s">
        <v>4827</v>
      </c>
      <c r="E3190" s="1347" t="s">
        <v>4828</v>
      </c>
    </row>
    <row r="3191" spans="1:5" x14ac:dyDescent="0.45">
      <c r="B3191" s="1347" t="s">
        <v>1828</v>
      </c>
      <c r="D3191" s="1347" t="s">
        <v>4829</v>
      </c>
      <c r="E3191" s="1347" t="s">
        <v>4830</v>
      </c>
    </row>
    <row r="3192" spans="1:5" x14ac:dyDescent="0.45">
      <c r="A3192" s="1347">
        <v>5</v>
      </c>
      <c r="B3192" s="1347" t="s">
        <v>4831</v>
      </c>
      <c r="C3192" s="1347">
        <v>2</v>
      </c>
      <c r="D3192" s="1347" t="s">
        <v>4832</v>
      </c>
      <c r="E3192" s="1347" t="s">
        <v>1958</v>
      </c>
    </row>
    <row r="3193" spans="1:5" x14ac:dyDescent="0.45">
      <c r="B3193" s="1347" t="s">
        <v>1108</v>
      </c>
      <c r="D3193" s="1347" t="s">
        <v>1109</v>
      </c>
      <c r="E3193" s="1347" t="s">
        <v>1110</v>
      </c>
    </row>
    <row r="3194" spans="1:5" x14ac:dyDescent="0.45">
      <c r="B3194" s="1347" t="s">
        <v>1108</v>
      </c>
      <c r="D3194" s="1347" t="s">
        <v>1109</v>
      </c>
      <c r="E3194" s="1347" t="s">
        <v>1110</v>
      </c>
    </row>
    <row r="3195" spans="1:5" x14ac:dyDescent="0.45">
      <c r="B3195" s="1347" t="s">
        <v>1108</v>
      </c>
      <c r="D3195" s="1347" t="s">
        <v>1109</v>
      </c>
      <c r="E3195" s="1347" t="s">
        <v>1110</v>
      </c>
    </row>
    <row r="3196" spans="1:5" x14ac:dyDescent="0.45">
      <c r="B3196" s="1347" t="s">
        <v>1108</v>
      </c>
      <c r="D3196" s="1347" t="s">
        <v>1109</v>
      </c>
      <c r="E3196" s="1347" t="s">
        <v>1110</v>
      </c>
    </row>
    <row r="3197" spans="1:5" x14ac:dyDescent="0.45">
      <c r="B3197" s="1347" t="s">
        <v>1108</v>
      </c>
      <c r="D3197" s="1347" t="s">
        <v>1109</v>
      </c>
      <c r="E3197" s="1347" t="s">
        <v>1110</v>
      </c>
    </row>
    <row r="3198" spans="1:5" x14ac:dyDescent="0.45">
      <c r="B3198" s="1347" t="s">
        <v>1108</v>
      </c>
      <c r="D3198" s="1347" t="s">
        <v>1109</v>
      </c>
      <c r="E3198" s="1347" t="s">
        <v>1110</v>
      </c>
    </row>
    <row r="3199" spans="1:5" x14ac:dyDescent="0.45">
      <c r="B3199" s="1347" t="s">
        <v>1108</v>
      </c>
      <c r="D3199" s="1347" t="s">
        <v>1109</v>
      </c>
      <c r="E3199" s="1347" t="s">
        <v>1110</v>
      </c>
    </row>
    <row r="3200" spans="1:5" x14ac:dyDescent="0.45">
      <c r="B3200" s="1347" t="s">
        <v>1108</v>
      </c>
      <c r="D3200" s="1347" t="s">
        <v>1109</v>
      </c>
      <c r="E3200" s="1347" t="s">
        <v>1110</v>
      </c>
    </row>
    <row r="3201" spans="2:5" x14ac:dyDescent="0.45">
      <c r="B3201" s="1347" t="s">
        <v>1108</v>
      </c>
      <c r="D3201" s="1347" t="s">
        <v>1109</v>
      </c>
      <c r="E3201" s="1347" t="s">
        <v>1110</v>
      </c>
    </row>
    <row r="3202" spans="2:5" x14ac:dyDescent="0.45">
      <c r="B3202" s="1347" t="s">
        <v>1108</v>
      </c>
      <c r="D3202" s="1347" t="s">
        <v>1109</v>
      </c>
      <c r="E3202" s="1347" t="s">
        <v>1110</v>
      </c>
    </row>
    <row r="3203" spans="2:5" x14ac:dyDescent="0.45">
      <c r="B3203" s="1347" t="s">
        <v>1108</v>
      </c>
      <c r="D3203" s="1347" t="s">
        <v>1109</v>
      </c>
      <c r="E3203" s="1347" t="s">
        <v>1110</v>
      </c>
    </row>
    <row r="3204" spans="2:5" x14ac:dyDescent="0.45">
      <c r="B3204" s="1347" t="s">
        <v>1108</v>
      </c>
      <c r="D3204" s="1347" t="s">
        <v>1109</v>
      </c>
      <c r="E3204" s="1347" t="s">
        <v>1110</v>
      </c>
    </row>
    <row r="3205" spans="2:5" x14ac:dyDescent="0.45">
      <c r="B3205" s="1347" t="s">
        <v>1108</v>
      </c>
      <c r="D3205" s="1347" t="s">
        <v>1109</v>
      </c>
      <c r="E3205" s="1347" t="s">
        <v>1110</v>
      </c>
    </row>
    <row r="3206" spans="2:5" x14ac:dyDescent="0.45">
      <c r="B3206" s="1347" t="s">
        <v>1108</v>
      </c>
      <c r="D3206" s="1347" t="s">
        <v>1109</v>
      </c>
      <c r="E3206" s="1347" t="s">
        <v>1110</v>
      </c>
    </row>
    <row r="3207" spans="2:5" x14ac:dyDescent="0.45">
      <c r="B3207" s="1347" t="s">
        <v>1108</v>
      </c>
      <c r="D3207" s="1347" t="s">
        <v>1109</v>
      </c>
      <c r="E3207" s="1347" t="s">
        <v>1110</v>
      </c>
    </row>
    <row r="3208" spans="2:5" x14ac:dyDescent="0.45">
      <c r="B3208" s="1347" t="s">
        <v>1108</v>
      </c>
      <c r="D3208" s="1347" t="s">
        <v>1109</v>
      </c>
      <c r="E3208" s="1347" t="s">
        <v>1110</v>
      </c>
    </row>
    <row r="3209" spans="2:5" x14ac:dyDescent="0.45">
      <c r="B3209" s="1347" t="s">
        <v>1108</v>
      </c>
      <c r="D3209" s="1347" t="s">
        <v>1109</v>
      </c>
      <c r="E3209" s="1347" t="s">
        <v>1110</v>
      </c>
    </row>
    <row r="3210" spans="2:5" x14ac:dyDescent="0.45">
      <c r="B3210" s="1347" t="s">
        <v>1108</v>
      </c>
      <c r="D3210" s="1347" t="s">
        <v>1109</v>
      </c>
      <c r="E3210" s="1347" t="s">
        <v>1110</v>
      </c>
    </row>
    <row r="3211" spans="2:5" x14ac:dyDescent="0.45">
      <c r="B3211" s="1347" t="s">
        <v>1108</v>
      </c>
      <c r="D3211" s="1347" t="s">
        <v>1109</v>
      </c>
      <c r="E3211" s="1347" t="s">
        <v>1110</v>
      </c>
    </row>
    <row r="3212" spans="2:5" x14ac:dyDescent="0.45">
      <c r="B3212" s="1347" t="s">
        <v>1108</v>
      </c>
      <c r="D3212" s="1347" t="s">
        <v>1109</v>
      </c>
      <c r="E3212" s="1347" t="s">
        <v>1110</v>
      </c>
    </row>
    <row r="3213" spans="2:5" x14ac:dyDescent="0.45">
      <c r="B3213" s="1347" t="s">
        <v>1108</v>
      </c>
      <c r="D3213" s="1347" t="s">
        <v>1109</v>
      </c>
      <c r="E3213" s="1347" t="s">
        <v>1110</v>
      </c>
    </row>
    <row r="3214" spans="2:5" x14ac:dyDescent="0.45">
      <c r="B3214" s="1347" t="s">
        <v>1108</v>
      </c>
      <c r="D3214" s="1347" t="s">
        <v>1109</v>
      </c>
      <c r="E3214" s="1347" t="s">
        <v>1110</v>
      </c>
    </row>
    <row r="3215" spans="2:5" x14ac:dyDescent="0.45">
      <c r="B3215" s="1347" t="s">
        <v>1108</v>
      </c>
      <c r="D3215" s="1347" t="s">
        <v>1109</v>
      </c>
      <c r="E3215" s="1347" t="s">
        <v>1110</v>
      </c>
    </row>
    <row r="3216" spans="2:5" x14ac:dyDescent="0.45">
      <c r="B3216" s="1347" t="s">
        <v>1108</v>
      </c>
      <c r="D3216" s="1347" t="s">
        <v>1109</v>
      </c>
      <c r="E3216" s="1347" t="s">
        <v>1110</v>
      </c>
    </row>
    <row r="3217" spans="2:5" x14ac:dyDescent="0.45">
      <c r="B3217" s="1347" t="s">
        <v>1108</v>
      </c>
      <c r="D3217" s="1347" t="s">
        <v>1109</v>
      </c>
      <c r="E3217" s="1347" t="s">
        <v>1110</v>
      </c>
    </row>
    <row r="3218" spans="2:5" x14ac:dyDescent="0.45">
      <c r="B3218" s="1347" t="s">
        <v>1108</v>
      </c>
      <c r="D3218" s="1347" t="s">
        <v>1109</v>
      </c>
      <c r="E3218" s="1347" t="s">
        <v>1110</v>
      </c>
    </row>
    <row r="3219" spans="2:5" x14ac:dyDescent="0.45">
      <c r="B3219" s="1347" t="s">
        <v>1108</v>
      </c>
      <c r="D3219" s="1347" t="s">
        <v>1109</v>
      </c>
      <c r="E3219" s="1347" t="s">
        <v>1110</v>
      </c>
    </row>
    <row r="3220" spans="2:5" x14ac:dyDescent="0.45">
      <c r="B3220" s="1347" t="s">
        <v>1108</v>
      </c>
      <c r="D3220" s="1347" t="s">
        <v>1109</v>
      </c>
      <c r="E3220" s="1347" t="s">
        <v>1110</v>
      </c>
    </row>
    <row r="3221" spans="2:5" x14ac:dyDescent="0.45">
      <c r="B3221" s="1347" t="s">
        <v>1108</v>
      </c>
      <c r="D3221" s="1347" t="s">
        <v>1109</v>
      </c>
      <c r="E3221" s="1347" t="s">
        <v>1110</v>
      </c>
    </row>
    <row r="3222" spans="2:5" x14ac:dyDescent="0.45">
      <c r="B3222" s="1347" t="s">
        <v>1108</v>
      </c>
      <c r="D3222" s="1347" t="s">
        <v>1109</v>
      </c>
      <c r="E3222" s="1347" t="s">
        <v>1110</v>
      </c>
    </row>
    <row r="3223" spans="2:5" x14ac:dyDescent="0.45">
      <c r="B3223" s="1347" t="s">
        <v>1108</v>
      </c>
      <c r="D3223" s="1347" t="s">
        <v>1109</v>
      </c>
      <c r="E3223" s="1347" t="s">
        <v>1110</v>
      </c>
    </row>
    <row r="3224" spans="2:5" x14ac:dyDescent="0.45">
      <c r="B3224" s="1347" t="s">
        <v>1108</v>
      </c>
      <c r="D3224" s="1347" t="s">
        <v>1109</v>
      </c>
      <c r="E3224" s="1347" t="s">
        <v>1110</v>
      </c>
    </row>
    <row r="3225" spans="2:5" x14ac:dyDescent="0.45">
      <c r="B3225" s="1347" t="s">
        <v>1108</v>
      </c>
      <c r="D3225" s="1347" t="s">
        <v>1109</v>
      </c>
      <c r="E3225" s="1347" t="s">
        <v>1110</v>
      </c>
    </row>
    <row r="3226" spans="2:5" x14ac:dyDescent="0.45">
      <c r="B3226" s="1347" t="s">
        <v>1108</v>
      </c>
      <c r="D3226" s="1347" t="s">
        <v>1109</v>
      </c>
      <c r="E3226" s="1347" t="s">
        <v>1110</v>
      </c>
    </row>
    <row r="3227" spans="2:5" x14ac:dyDescent="0.45">
      <c r="B3227" s="1347" t="s">
        <v>1108</v>
      </c>
      <c r="D3227" s="1347" t="s">
        <v>1109</v>
      </c>
      <c r="E3227" s="1347" t="s">
        <v>1110</v>
      </c>
    </row>
    <row r="3228" spans="2:5" x14ac:dyDescent="0.45">
      <c r="B3228" s="1347" t="s">
        <v>1108</v>
      </c>
      <c r="D3228" s="1347" t="s">
        <v>1109</v>
      </c>
      <c r="E3228" s="1347" t="s">
        <v>1110</v>
      </c>
    </row>
    <row r="3229" spans="2:5" x14ac:dyDescent="0.45">
      <c r="B3229" s="1347" t="s">
        <v>1108</v>
      </c>
      <c r="D3229" s="1347" t="s">
        <v>1109</v>
      </c>
      <c r="E3229" s="1347" t="s">
        <v>1110</v>
      </c>
    </row>
    <row r="3230" spans="2:5" x14ac:dyDescent="0.45">
      <c r="B3230" s="1347" t="s">
        <v>1108</v>
      </c>
      <c r="D3230" s="1347" t="s">
        <v>1109</v>
      </c>
      <c r="E3230" s="1347" t="s">
        <v>1110</v>
      </c>
    </row>
    <row r="3231" spans="2:5" x14ac:dyDescent="0.45">
      <c r="B3231" s="1347" t="s">
        <v>1108</v>
      </c>
      <c r="D3231" s="1347" t="s">
        <v>1109</v>
      </c>
      <c r="E3231" s="1347" t="s">
        <v>1110</v>
      </c>
    </row>
    <row r="3232" spans="2:5" x14ac:dyDescent="0.45">
      <c r="B3232" s="1347" t="s">
        <v>1108</v>
      </c>
      <c r="D3232" s="1347" t="s">
        <v>1109</v>
      </c>
      <c r="E3232" s="1347" t="s">
        <v>1110</v>
      </c>
    </row>
    <row r="3233" spans="2:5" x14ac:dyDescent="0.45">
      <c r="B3233" s="1347" t="s">
        <v>1108</v>
      </c>
      <c r="D3233" s="1347" t="s">
        <v>1109</v>
      </c>
      <c r="E3233" s="1347" t="s">
        <v>1110</v>
      </c>
    </row>
    <row r="3234" spans="2:5" x14ac:dyDescent="0.45">
      <c r="B3234" s="1347" t="s">
        <v>1108</v>
      </c>
      <c r="D3234" s="1347" t="s">
        <v>1109</v>
      </c>
      <c r="E3234" s="1347" t="s">
        <v>1110</v>
      </c>
    </row>
    <row r="3235" spans="2:5" x14ac:dyDescent="0.45">
      <c r="B3235" s="1347" t="s">
        <v>1108</v>
      </c>
      <c r="D3235" s="1347" t="s">
        <v>1109</v>
      </c>
      <c r="E3235" s="1347" t="s">
        <v>1110</v>
      </c>
    </row>
    <row r="3236" spans="2:5" x14ac:dyDescent="0.45">
      <c r="B3236" s="1347" t="s">
        <v>1108</v>
      </c>
      <c r="D3236" s="1347" t="s">
        <v>1109</v>
      </c>
      <c r="E3236" s="1347" t="s">
        <v>1110</v>
      </c>
    </row>
    <row r="3237" spans="2:5" x14ac:dyDescent="0.45">
      <c r="B3237" s="1347" t="s">
        <v>1108</v>
      </c>
      <c r="D3237" s="1347" t="s">
        <v>1109</v>
      </c>
      <c r="E3237" s="1347" t="s">
        <v>1110</v>
      </c>
    </row>
    <row r="3238" spans="2:5" x14ac:dyDescent="0.45">
      <c r="B3238" s="1347" t="s">
        <v>1108</v>
      </c>
      <c r="D3238" s="1347" t="s">
        <v>1109</v>
      </c>
      <c r="E3238" s="1347" t="s">
        <v>1110</v>
      </c>
    </row>
    <row r="3239" spans="2:5" x14ac:dyDescent="0.45">
      <c r="B3239" s="1347" t="s">
        <v>1108</v>
      </c>
      <c r="D3239" s="1347" t="s">
        <v>1109</v>
      </c>
      <c r="E3239" s="1347" t="s">
        <v>1110</v>
      </c>
    </row>
    <row r="3240" spans="2:5" x14ac:dyDescent="0.45">
      <c r="B3240" s="1347" t="s">
        <v>1108</v>
      </c>
      <c r="D3240" s="1347" t="s">
        <v>1109</v>
      </c>
      <c r="E3240" s="1347" t="s">
        <v>1110</v>
      </c>
    </row>
    <row r="3241" spans="2:5" x14ac:dyDescent="0.45">
      <c r="B3241" s="1347" t="s">
        <v>1108</v>
      </c>
      <c r="D3241" s="1347" t="s">
        <v>1109</v>
      </c>
      <c r="E3241" s="1347" t="s">
        <v>1110</v>
      </c>
    </row>
    <row r="3242" spans="2:5" x14ac:dyDescent="0.45">
      <c r="B3242" s="1347" t="s">
        <v>1108</v>
      </c>
      <c r="D3242" s="1347" t="s">
        <v>1109</v>
      </c>
      <c r="E3242" s="1347" t="s">
        <v>1110</v>
      </c>
    </row>
    <row r="3243" spans="2:5" x14ac:dyDescent="0.45">
      <c r="B3243" s="1347" t="s">
        <v>1108</v>
      </c>
      <c r="D3243" s="1347" t="s">
        <v>1109</v>
      </c>
      <c r="E3243" s="1347" t="s">
        <v>1110</v>
      </c>
    </row>
    <row r="3244" spans="2:5" x14ac:dyDescent="0.45">
      <c r="B3244" s="1347" t="s">
        <v>1108</v>
      </c>
      <c r="D3244" s="1347" t="s">
        <v>1109</v>
      </c>
      <c r="E3244" s="1347" t="s">
        <v>1110</v>
      </c>
    </row>
    <row r="3245" spans="2:5" x14ac:dyDescent="0.45">
      <c r="B3245" s="1347" t="s">
        <v>1108</v>
      </c>
      <c r="D3245" s="1347" t="s">
        <v>1109</v>
      </c>
      <c r="E3245" s="1347" t="s">
        <v>1110</v>
      </c>
    </row>
    <row r="3246" spans="2:5" x14ac:dyDescent="0.45">
      <c r="B3246" s="1347" t="s">
        <v>1108</v>
      </c>
      <c r="D3246" s="1347" t="s">
        <v>1109</v>
      </c>
      <c r="E3246" s="1347" t="s">
        <v>1110</v>
      </c>
    </row>
    <row r="3247" spans="2:5" x14ac:dyDescent="0.45">
      <c r="B3247" s="1347" t="s">
        <v>1108</v>
      </c>
      <c r="D3247" s="1347" t="s">
        <v>1109</v>
      </c>
      <c r="E3247" s="1347" t="s">
        <v>1110</v>
      </c>
    </row>
    <row r="3248" spans="2:5" x14ac:dyDescent="0.45">
      <c r="B3248" s="1347" t="s">
        <v>1108</v>
      </c>
      <c r="D3248" s="1347" t="s">
        <v>1109</v>
      </c>
      <c r="E3248" s="1347" t="s">
        <v>1110</v>
      </c>
    </row>
    <row r="3249" spans="2:5" x14ac:dyDescent="0.45">
      <c r="B3249" s="1347" t="s">
        <v>1108</v>
      </c>
      <c r="D3249" s="1347" t="s">
        <v>1109</v>
      </c>
      <c r="E3249" s="1347" t="s">
        <v>1110</v>
      </c>
    </row>
    <row r="3250" spans="2:5" x14ac:dyDescent="0.45">
      <c r="B3250" s="1347" t="s">
        <v>1108</v>
      </c>
      <c r="D3250" s="1347" t="s">
        <v>1109</v>
      </c>
      <c r="E3250" s="1347" t="s">
        <v>1110</v>
      </c>
    </row>
    <row r="3251" spans="2:5" x14ac:dyDescent="0.45">
      <c r="B3251" s="1347" t="s">
        <v>1108</v>
      </c>
      <c r="D3251" s="1347" t="s">
        <v>1109</v>
      </c>
      <c r="E3251" s="1347" t="s">
        <v>1110</v>
      </c>
    </row>
    <row r="3252" spans="2:5" x14ac:dyDescent="0.45">
      <c r="B3252" s="1347" t="s">
        <v>1108</v>
      </c>
      <c r="D3252" s="1347" t="s">
        <v>1109</v>
      </c>
      <c r="E3252" s="1347" t="s">
        <v>1110</v>
      </c>
    </row>
    <row r="3253" spans="2:5" x14ac:dyDescent="0.45">
      <c r="B3253" s="1347" t="s">
        <v>1108</v>
      </c>
      <c r="D3253" s="1347" t="s">
        <v>1109</v>
      </c>
      <c r="E3253" s="1347" t="s">
        <v>1110</v>
      </c>
    </row>
    <row r="3254" spans="2:5" x14ac:dyDescent="0.45">
      <c r="B3254" s="1347" t="s">
        <v>1108</v>
      </c>
      <c r="D3254" s="1347" t="s">
        <v>1109</v>
      </c>
      <c r="E3254" s="1347" t="s">
        <v>1110</v>
      </c>
    </row>
    <row r="3255" spans="2:5" x14ac:dyDescent="0.45">
      <c r="B3255" s="1347" t="s">
        <v>1108</v>
      </c>
      <c r="D3255" s="1347" t="s">
        <v>1109</v>
      </c>
      <c r="E3255" s="1347" t="s">
        <v>1110</v>
      </c>
    </row>
    <row r="3256" spans="2:5" x14ac:dyDescent="0.45">
      <c r="B3256" s="1347" t="s">
        <v>1108</v>
      </c>
      <c r="D3256" s="1347" t="s">
        <v>1109</v>
      </c>
      <c r="E3256" s="1347" t="s">
        <v>1110</v>
      </c>
    </row>
    <row r="3257" spans="2:5" x14ac:dyDescent="0.45">
      <c r="B3257" s="1347" t="s">
        <v>1108</v>
      </c>
      <c r="D3257" s="1347" t="s">
        <v>1109</v>
      </c>
      <c r="E3257" s="1347" t="s">
        <v>1110</v>
      </c>
    </row>
    <row r="3258" spans="2:5" x14ac:dyDescent="0.45">
      <c r="B3258" s="1347" t="s">
        <v>1108</v>
      </c>
      <c r="D3258" s="1347" t="s">
        <v>1109</v>
      </c>
      <c r="E3258" s="1347" t="s">
        <v>1110</v>
      </c>
    </row>
    <row r="3259" spans="2:5" x14ac:dyDescent="0.45">
      <c r="B3259" s="1347" t="s">
        <v>1108</v>
      </c>
      <c r="D3259" s="1347" t="s">
        <v>1109</v>
      </c>
      <c r="E3259" s="1347" t="s">
        <v>1110</v>
      </c>
    </row>
    <row r="3260" spans="2:5" x14ac:dyDescent="0.45">
      <c r="B3260" s="1347" t="s">
        <v>1108</v>
      </c>
      <c r="D3260" s="1347" t="s">
        <v>1109</v>
      </c>
      <c r="E3260" s="1347" t="s">
        <v>1110</v>
      </c>
    </row>
    <row r="3261" spans="2:5" x14ac:dyDescent="0.45">
      <c r="B3261" s="1347" t="s">
        <v>1108</v>
      </c>
      <c r="D3261" s="1347" t="s">
        <v>1109</v>
      </c>
      <c r="E3261" s="1347" t="s">
        <v>1110</v>
      </c>
    </row>
    <row r="3262" spans="2:5" x14ac:dyDescent="0.45">
      <c r="B3262" s="1347" t="s">
        <v>1108</v>
      </c>
      <c r="D3262" s="1347" t="s">
        <v>1109</v>
      </c>
      <c r="E3262" s="1347" t="s">
        <v>1110</v>
      </c>
    </row>
    <row r="3263" spans="2:5" x14ac:dyDescent="0.45">
      <c r="B3263" s="1347" t="s">
        <v>1108</v>
      </c>
      <c r="D3263" s="1347" t="s">
        <v>1109</v>
      </c>
      <c r="E3263" s="1347" t="s">
        <v>1110</v>
      </c>
    </row>
    <row r="3264" spans="2:5" x14ac:dyDescent="0.45">
      <c r="B3264" s="1347" t="s">
        <v>1108</v>
      </c>
      <c r="D3264" s="1347" t="s">
        <v>1109</v>
      </c>
      <c r="E3264" s="1347" t="s">
        <v>1110</v>
      </c>
    </row>
    <row r="3265" spans="2:5" x14ac:dyDescent="0.45">
      <c r="B3265" s="1347" t="s">
        <v>1108</v>
      </c>
      <c r="D3265" s="1347" t="s">
        <v>1109</v>
      </c>
      <c r="E3265" s="1347" t="s">
        <v>1110</v>
      </c>
    </row>
    <row r="3266" spans="2:5" x14ac:dyDescent="0.45">
      <c r="B3266" s="1347" t="s">
        <v>1108</v>
      </c>
      <c r="D3266" s="1347" t="s">
        <v>1109</v>
      </c>
      <c r="E3266" s="1347" t="s">
        <v>1110</v>
      </c>
    </row>
    <row r="3267" spans="2:5" x14ac:dyDescent="0.45">
      <c r="B3267" s="1347" t="s">
        <v>1108</v>
      </c>
      <c r="D3267" s="1347" t="s">
        <v>1109</v>
      </c>
      <c r="E3267" s="1347" t="s">
        <v>1110</v>
      </c>
    </row>
    <row r="3268" spans="2:5" x14ac:dyDescent="0.45">
      <c r="B3268" s="1347" t="s">
        <v>1108</v>
      </c>
      <c r="D3268" s="1347" t="s">
        <v>1109</v>
      </c>
      <c r="E3268" s="1347" t="s">
        <v>1110</v>
      </c>
    </row>
    <row r="3269" spans="2:5" x14ac:dyDescent="0.45">
      <c r="B3269" s="1347" t="s">
        <v>1108</v>
      </c>
      <c r="D3269" s="1347" t="s">
        <v>1109</v>
      </c>
      <c r="E3269" s="1347" t="s">
        <v>1110</v>
      </c>
    </row>
    <row r="3270" spans="2:5" x14ac:dyDescent="0.45">
      <c r="B3270" s="1347" t="s">
        <v>1108</v>
      </c>
      <c r="D3270" s="1347" t="s">
        <v>1109</v>
      </c>
      <c r="E3270" s="1347" t="s">
        <v>1110</v>
      </c>
    </row>
    <row r="3271" spans="2:5" x14ac:dyDescent="0.45">
      <c r="B3271" s="1347" t="s">
        <v>1108</v>
      </c>
      <c r="D3271" s="1347" t="s">
        <v>1109</v>
      </c>
      <c r="E3271" s="1347" t="s">
        <v>1110</v>
      </c>
    </row>
    <row r="3272" spans="2:5" x14ac:dyDescent="0.45">
      <c r="B3272" s="1347" t="s">
        <v>1108</v>
      </c>
      <c r="D3272" s="1347" t="s">
        <v>1109</v>
      </c>
      <c r="E3272" s="1347" t="s">
        <v>1110</v>
      </c>
    </row>
    <row r="3273" spans="2:5" x14ac:dyDescent="0.45">
      <c r="B3273" s="1347" t="s">
        <v>1108</v>
      </c>
      <c r="D3273" s="1347" t="s">
        <v>1109</v>
      </c>
      <c r="E3273" s="1347" t="s">
        <v>1110</v>
      </c>
    </row>
    <row r="3274" spans="2:5" x14ac:dyDescent="0.45">
      <c r="B3274" s="1347" t="s">
        <v>1108</v>
      </c>
      <c r="D3274" s="1347" t="s">
        <v>1109</v>
      </c>
      <c r="E3274" s="1347" t="s">
        <v>1110</v>
      </c>
    </row>
    <row r="3275" spans="2:5" x14ac:dyDescent="0.45">
      <c r="B3275" s="1347" t="s">
        <v>1108</v>
      </c>
      <c r="D3275" s="1347" t="s">
        <v>1109</v>
      </c>
      <c r="E3275" s="1347" t="s">
        <v>1110</v>
      </c>
    </row>
    <row r="3276" spans="2:5" x14ac:dyDescent="0.45">
      <c r="B3276" s="1347" t="s">
        <v>1108</v>
      </c>
      <c r="D3276" s="1347" t="s">
        <v>1109</v>
      </c>
      <c r="E3276" s="1347" t="s">
        <v>1110</v>
      </c>
    </row>
    <row r="3277" spans="2:5" x14ac:dyDescent="0.45">
      <c r="B3277" s="1347" t="s">
        <v>1108</v>
      </c>
      <c r="D3277" s="1347" t="s">
        <v>1109</v>
      </c>
      <c r="E3277" s="1347" t="s">
        <v>1110</v>
      </c>
    </row>
    <row r="3278" spans="2:5" x14ac:dyDescent="0.45">
      <c r="B3278" s="1347" t="s">
        <v>1108</v>
      </c>
      <c r="D3278" s="1347" t="s">
        <v>1109</v>
      </c>
      <c r="E3278" s="1347" t="s">
        <v>1110</v>
      </c>
    </row>
    <row r="3279" spans="2:5" x14ac:dyDescent="0.45">
      <c r="B3279" s="1347" t="s">
        <v>1108</v>
      </c>
      <c r="D3279" s="1347" t="s">
        <v>1109</v>
      </c>
      <c r="E3279" s="1347" t="s">
        <v>1110</v>
      </c>
    </row>
    <row r="3280" spans="2:5" x14ac:dyDescent="0.45">
      <c r="B3280" s="1347" t="s">
        <v>1108</v>
      </c>
      <c r="D3280" s="1347" t="s">
        <v>1109</v>
      </c>
      <c r="E3280" s="1347" t="s">
        <v>1110</v>
      </c>
    </row>
    <row r="3281" spans="2:5" x14ac:dyDescent="0.45">
      <c r="B3281" s="1347" t="s">
        <v>1108</v>
      </c>
      <c r="D3281" s="1347" t="s">
        <v>1109</v>
      </c>
      <c r="E3281" s="1347" t="s">
        <v>1110</v>
      </c>
    </row>
    <row r="3282" spans="2:5" x14ac:dyDescent="0.45">
      <c r="B3282" s="1347" t="s">
        <v>1108</v>
      </c>
      <c r="D3282" s="1347" t="s">
        <v>1109</v>
      </c>
      <c r="E3282" s="1347" t="s">
        <v>1110</v>
      </c>
    </row>
    <row r="3283" spans="2:5" x14ac:dyDescent="0.45">
      <c r="B3283" s="1347" t="s">
        <v>1108</v>
      </c>
      <c r="D3283" s="1347" t="s">
        <v>1109</v>
      </c>
      <c r="E3283" s="1347" t="s">
        <v>1110</v>
      </c>
    </row>
    <row r="3284" spans="2:5" x14ac:dyDescent="0.45">
      <c r="B3284" s="1347" t="s">
        <v>1108</v>
      </c>
      <c r="D3284" s="1347" t="s">
        <v>1109</v>
      </c>
      <c r="E3284" s="1347" t="s">
        <v>1110</v>
      </c>
    </row>
    <row r="3285" spans="2:5" x14ac:dyDescent="0.45">
      <c r="B3285" s="1347" t="s">
        <v>1108</v>
      </c>
      <c r="D3285" s="1347" t="s">
        <v>1109</v>
      </c>
      <c r="E3285" s="1347" t="s">
        <v>1110</v>
      </c>
    </row>
    <row r="3286" spans="2:5" x14ac:dyDescent="0.45">
      <c r="B3286" s="1347" t="s">
        <v>1108</v>
      </c>
      <c r="D3286" s="1347" t="s">
        <v>1109</v>
      </c>
      <c r="E3286" s="1347" t="s">
        <v>1110</v>
      </c>
    </row>
    <row r="3287" spans="2:5" x14ac:dyDescent="0.45">
      <c r="B3287" s="1347" t="s">
        <v>1108</v>
      </c>
      <c r="D3287" s="1347" t="s">
        <v>1109</v>
      </c>
      <c r="E3287" s="1347" t="s">
        <v>1110</v>
      </c>
    </row>
    <row r="3288" spans="2:5" x14ac:dyDescent="0.45">
      <c r="B3288" s="1347" t="s">
        <v>1108</v>
      </c>
      <c r="D3288" s="1347" t="s">
        <v>1109</v>
      </c>
      <c r="E3288" s="1347" t="s">
        <v>1110</v>
      </c>
    </row>
    <row r="3289" spans="2:5" x14ac:dyDescent="0.45">
      <c r="B3289" s="1347" t="s">
        <v>1108</v>
      </c>
      <c r="D3289" s="1347" t="s">
        <v>1109</v>
      </c>
      <c r="E3289" s="1347" t="s">
        <v>1110</v>
      </c>
    </row>
    <row r="3290" spans="2:5" x14ac:dyDescent="0.45">
      <c r="B3290" s="1347" t="s">
        <v>1108</v>
      </c>
      <c r="D3290" s="1347" t="s">
        <v>1109</v>
      </c>
      <c r="E3290" s="1347" t="s">
        <v>1110</v>
      </c>
    </row>
    <row r="3291" spans="2:5" x14ac:dyDescent="0.45">
      <c r="B3291" s="1347" t="s">
        <v>1108</v>
      </c>
      <c r="D3291" s="1347" t="s">
        <v>1109</v>
      </c>
      <c r="E3291" s="1347" t="s">
        <v>1110</v>
      </c>
    </row>
    <row r="3292" spans="2:5" x14ac:dyDescent="0.45">
      <c r="B3292" s="1347" t="s">
        <v>1108</v>
      </c>
      <c r="D3292" s="1347" t="s">
        <v>1109</v>
      </c>
      <c r="E3292" s="1347" t="s">
        <v>1110</v>
      </c>
    </row>
    <row r="3293" spans="2:5" x14ac:dyDescent="0.45">
      <c r="B3293" s="1347" t="s">
        <v>1108</v>
      </c>
      <c r="D3293" s="1347" t="s">
        <v>1109</v>
      </c>
      <c r="E3293" s="1347" t="s">
        <v>1110</v>
      </c>
    </row>
    <row r="3294" spans="2:5" x14ac:dyDescent="0.45">
      <c r="B3294" s="1347" t="s">
        <v>1108</v>
      </c>
      <c r="D3294" s="1347" t="s">
        <v>1109</v>
      </c>
      <c r="E3294" s="1347" t="s">
        <v>1110</v>
      </c>
    </row>
    <row r="3295" spans="2:5" x14ac:dyDescent="0.45">
      <c r="B3295" s="1347" t="s">
        <v>1108</v>
      </c>
      <c r="D3295" s="1347" t="s">
        <v>1109</v>
      </c>
      <c r="E3295" s="1347" t="s">
        <v>1110</v>
      </c>
    </row>
    <row r="3296" spans="2:5" x14ac:dyDescent="0.45">
      <c r="B3296" s="1347" t="s">
        <v>1108</v>
      </c>
      <c r="D3296" s="1347" t="s">
        <v>1109</v>
      </c>
      <c r="E3296" s="1347" t="s">
        <v>1110</v>
      </c>
    </row>
    <row r="3297" spans="2:5" x14ac:dyDescent="0.45">
      <c r="B3297" s="1347" t="s">
        <v>1108</v>
      </c>
      <c r="D3297" s="1347" t="s">
        <v>1109</v>
      </c>
      <c r="E3297" s="1347" t="s">
        <v>1110</v>
      </c>
    </row>
    <row r="3298" spans="2:5" x14ac:dyDescent="0.45">
      <c r="B3298" s="1347" t="s">
        <v>1108</v>
      </c>
      <c r="D3298" s="1347" t="s">
        <v>1109</v>
      </c>
      <c r="E3298" s="1347" t="s">
        <v>1110</v>
      </c>
    </row>
    <row r="3299" spans="2:5" x14ac:dyDescent="0.45">
      <c r="B3299" s="1347" t="s">
        <v>1108</v>
      </c>
      <c r="D3299" s="1347" t="s">
        <v>1109</v>
      </c>
      <c r="E3299" s="1347" t="s">
        <v>1110</v>
      </c>
    </row>
    <row r="3300" spans="2:5" x14ac:dyDescent="0.45">
      <c r="B3300" s="1347" t="s">
        <v>1108</v>
      </c>
      <c r="D3300" s="1347" t="s">
        <v>1109</v>
      </c>
      <c r="E3300" s="1347" t="s">
        <v>1110</v>
      </c>
    </row>
    <row r="3301" spans="2:5" x14ac:dyDescent="0.45">
      <c r="B3301" s="1347" t="s">
        <v>1108</v>
      </c>
      <c r="D3301" s="1347" t="s">
        <v>1109</v>
      </c>
      <c r="E3301" s="1347" t="s">
        <v>1110</v>
      </c>
    </row>
    <row r="3302" spans="2:5" x14ac:dyDescent="0.45">
      <c r="B3302" s="1347" t="s">
        <v>1108</v>
      </c>
      <c r="D3302" s="1347" t="s">
        <v>1109</v>
      </c>
      <c r="E3302" s="1347" t="s">
        <v>1110</v>
      </c>
    </row>
    <row r="3303" spans="2:5" x14ac:dyDescent="0.45">
      <c r="B3303" s="1347" t="s">
        <v>1108</v>
      </c>
      <c r="D3303" s="1347" t="s">
        <v>1109</v>
      </c>
      <c r="E3303" s="1347" t="s">
        <v>1110</v>
      </c>
    </row>
    <row r="3304" spans="2:5" x14ac:dyDescent="0.45">
      <c r="B3304" s="1347" t="s">
        <v>1108</v>
      </c>
      <c r="D3304" s="1347" t="s">
        <v>1109</v>
      </c>
      <c r="E3304" s="1347" t="s">
        <v>1110</v>
      </c>
    </row>
    <row r="3305" spans="2:5" x14ac:dyDescent="0.45">
      <c r="B3305" s="1347" t="s">
        <v>1108</v>
      </c>
      <c r="D3305" s="1347" t="s">
        <v>1109</v>
      </c>
      <c r="E3305" s="1347" t="s">
        <v>1110</v>
      </c>
    </row>
    <row r="3306" spans="2:5" x14ac:dyDescent="0.45">
      <c r="B3306" s="1347" t="s">
        <v>1108</v>
      </c>
      <c r="D3306" s="1347" t="s">
        <v>1109</v>
      </c>
      <c r="E3306" s="1347" t="s">
        <v>1110</v>
      </c>
    </row>
    <row r="3307" spans="2:5" x14ac:dyDescent="0.45">
      <c r="B3307" s="1347" t="s">
        <v>1108</v>
      </c>
      <c r="D3307" s="1347" t="s">
        <v>1109</v>
      </c>
      <c r="E3307" s="1347" t="s">
        <v>1110</v>
      </c>
    </row>
    <row r="3308" spans="2:5" x14ac:dyDescent="0.45">
      <c r="B3308" s="1347" t="s">
        <v>1108</v>
      </c>
      <c r="D3308" s="1347" t="s">
        <v>1109</v>
      </c>
      <c r="E3308" s="1347" t="s">
        <v>1110</v>
      </c>
    </row>
    <row r="3309" spans="2:5" x14ac:dyDescent="0.45">
      <c r="B3309" s="1347" t="s">
        <v>1108</v>
      </c>
      <c r="D3309" s="1347" t="s">
        <v>1109</v>
      </c>
      <c r="E3309" s="1347" t="s">
        <v>1110</v>
      </c>
    </row>
    <row r="3310" spans="2:5" x14ac:dyDescent="0.45">
      <c r="B3310" s="1347" t="s">
        <v>1108</v>
      </c>
      <c r="D3310" s="1347" t="s">
        <v>1109</v>
      </c>
      <c r="E3310" s="1347" t="s">
        <v>1110</v>
      </c>
    </row>
    <row r="3311" spans="2:5" x14ac:dyDescent="0.45">
      <c r="B3311" s="1347" t="s">
        <v>1108</v>
      </c>
      <c r="D3311" s="1347" t="s">
        <v>1109</v>
      </c>
      <c r="E3311" s="1347" t="s">
        <v>1110</v>
      </c>
    </row>
    <row r="3312" spans="2:5" x14ac:dyDescent="0.45">
      <c r="B3312" s="1347" t="s">
        <v>1108</v>
      </c>
      <c r="D3312" s="1347" t="s">
        <v>1109</v>
      </c>
      <c r="E3312" s="1347" t="s">
        <v>1110</v>
      </c>
    </row>
    <row r="3313" spans="2:5" x14ac:dyDescent="0.45">
      <c r="B3313" s="1347" t="s">
        <v>1108</v>
      </c>
      <c r="D3313" s="1347" t="s">
        <v>1109</v>
      </c>
      <c r="E3313" s="1347" t="s">
        <v>1110</v>
      </c>
    </row>
    <row r="3314" spans="2:5" x14ac:dyDescent="0.45">
      <c r="B3314" s="1347" t="s">
        <v>1108</v>
      </c>
      <c r="D3314" s="1347" t="s">
        <v>1109</v>
      </c>
      <c r="E3314" s="1347" t="s">
        <v>1110</v>
      </c>
    </row>
    <row r="3315" spans="2:5" x14ac:dyDescent="0.45">
      <c r="B3315" s="1347" t="s">
        <v>1108</v>
      </c>
      <c r="D3315" s="1347" t="s">
        <v>1109</v>
      </c>
      <c r="E3315" s="1347" t="s">
        <v>1110</v>
      </c>
    </row>
    <row r="3316" spans="2:5" x14ac:dyDescent="0.45">
      <c r="B3316" s="1347" t="s">
        <v>1108</v>
      </c>
      <c r="D3316" s="1347" t="s">
        <v>1109</v>
      </c>
      <c r="E3316" s="1347" t="s">
        <v>1110</v>
      </c>
    </row>
    <row r="3317" spans="2:5" x14ac:dyDescent="0.45">
      <c r="B3317" s="1347" t="s">
        <v>1108</v>
      </c>
      <c r="D3317" s="1347" t="s">
        <v>1109</v>
      </c>
      <c r="E3317" s="1347" t="s">
        <v>1110</v>
      </c>
    </row>
    <row r="3318" spans="2:5" x14ac:dyDescent="0.45">
      <c r="B3318" s="1347" t="s">
        <v>1108</v>
      </c>
      <c r="D3318" s="1347" t="s">
        <v>1109</v>
      </c>
      <c r="E3318" s="1347" t="s">
        <v>1110</v>
      </c>
    </row>
    <row r="3319" spans="2:5" x14ac:dyDescent="0.45">
      <c r="B3319" s="1347" t="s">
        <v>1108</v>
      </c>
      <c r="D3319" s="1347" t="s">
        <v>1109</v>
      </c>
      <c r="E3319" s="1347" t="s">
        <v>1110</v>
      </c>
    </row>
    <row r="3320" spans="2:5" x14ac:dyDescent="0.45">
      <c r="B3320" s="1347" t="s">
        <v>1108</v>
      </c>
      <c r="D3320" s="1347" t="s">
        <v>1109</v>
      </c>
      <c r="E3320" s="1347" t="s">
        <v>1110</v>
      </c>
    </row>
    <row r="3321" spans="2:5" x14ac:dyDescent="0.45">
      <c r="B3321" s="1347" t="s">
        <v>1108</v>
      </c>
      <c r="D3321" s="1347" t="s">
        <v>1109</v>
      </c>
      <c r="E3321" s="1347" t="s">
        <v>1110</v>
      </c>
    </row>
    <row r="3322" spans="2:5" x14ac:dyDescent="0.45">
      <c r="B3322" s="1347" t="s">
        <v>1108</v>
      </c>
      <c r="D3322" s="1347" t="s">
        <v>1109</v>
      </c>
      <c r="E3322" s="1347" t="s">
        <v>1110</v>
      </c>
    </row>
    <row r="3323" spans="2:5" x14ac:dyDescent="0.45">
      <c r="B3323" s="1347" t="s">
        <v>1108</v>
      </c>
      <c r="D3323" s="1347" t="s">
        <v>1109</v>
      </c>
      <c r="E3323" s="1347" t="s">
        <v>1110</v>
      </c>
    </row>
    <row r="3324" spans="2:5" x14ac:dyDescent="0.45">
      <c r="B3324" s="1347" t="s">
        <v>1108</v>
      </c>
      <c r="D3324" s="1347" t="s">
        <v>1109</v>
      </c>
      <c r="E3324" s="1347" t="s">
        <v>1110</v>
      </c>
    </row>
    <row r="3325" spans="2:5" x14ac:dyDescent="0.45">
      <c r="B3325" s="1347" t="s">
        <v>1108</v>
      </c>
      <c r="D3325" s="1347" t="s">
        <v>1109</v>
      </c>
      <c r="E3325" s="1347" t="s">
        <v>1110</v>
      </c>
    </row>
    <row r="3326" spans="2:5" x14ac:dyDescent="0.45">
      <c r="B3326" s="1347" t="s">
        <v>1108</v>
      </c>
      <c r="D3326" s="1347" t="s">
        <v>1109</v>
      </c>
      <c r="E3326" s="1347" t="s">
        <v>1110</v>
      </c>
    </row>
    <row r="3327" spans="2:5" x14ac:dyDescent="0.45">
      <c r="B3327" s="1347" t="s">
        <v>1108</v>
      </c>
      <c r="D3327" s="1347" t="s">
        <v>1109</v>
      </c>
      <c r="E3327" s="1347" t="s">
        <v>1110</v>
      </c>
    </row>
    <row r="3328" spans="2:5" x14ac:dyDescent="0.45">
      <c r="B3328" s="1347" t="s">
        <v>1108</v>
      </c>
      <c r="D3328" s="1347" t="s">
        <v>1109</v>
      </c>
      <c r="E3328" s="1347" t="s">
        <v>1110</v>
      </c>
    </row>
    <row r="3329" spans="2:5" x14ac:dyDescent="0.45">
      <c r="B3329" s="1347" t="s">
        <v>1108</v>
      </c>
      <c r="D3329" s="1347" t="s">
        <v>1109</v>
      </c>
      <c r="E3329" s="1347" t="s">
        <v>1110</v>
      </c>
    </row>
    <row r="3330" spans="2:5" x14ac:dyDescent="0.45">
      <c r="B3330" s="1347" t="s">
        <v>1108</v>
      </c>
      <c r="D3330" s="1347" t="s">
        <v>1109</v>
      </c>
      <c r="E3330" s="1347" t="s">
        <v>1110</v>
      </c>
    </row>
    <row r="3331" spans="2:5" x14ac:dyDescent="0.45">
      <c r="B3331" s="1347" t="s">
        <v>1108</v>
      </c>
      <c r="D3331" s="1347" t="s">
        <v>1109</v>
      </c>
      <c r="E3331" s="1347" t="s">
        <v>1110</v>
      </c>
    </row>
    <row r="3332" spans="2:5" x14ac:dyDescent="0.45">
      <c r="B3332" s="1347" t="s">
        <v>1108</v>
      </c>
      <c r="D3332" s="1347" t="s">
        <v>1109</v>
      </c>
      <c r="E3332" s="1347" t="s">
        <v>1110</v>
      </c>
    </row>
    <row r="3333" spans="2:5" x14ac:dyDescent="0.45">
      <c r="B3333" s="1347" t="s">
        <v>1108</v>
      </c>
      <c r="D3333" s="1347" t="s">
        <v>1109</v>
      </c>
      <c r="E3333" s="1347" t="s">
        <v>1110</v>
      </c>
    </row>
    <row r="3334" spans="2:5" x14ac:dyDescent="0.45">
      <c r="B3334" s="1347" t="s">
        <v>1108</v>
      </c>
      <c r="D3334" s="1347" t="s">
        <v>1109</v>
      </c>
      <c r="E3334" s="1347" t="s">
        <v>1110</v>
      </c>
    </row>
    <row r="3335" spans="2:5" x14ac:dyDescent="0.45">
      <c r="B3335" s="1347" t="s">
        <v>1108</v>
      </c>
      <c r="D3335" s="1347" t="s">
        <v>1109</v>
      </c>
      <c r="E3335" s="1347" t="s">
        <v>1110</v>
      </c>
    </row>
    <row r="3336" spans="2:5" x14ac:dyDescent="0.45">
      <c r="B3336" s="1347" t="s">
        <v>1108</v>
      </c>
      <c r="D3336" s="1347" t="s">
        <v>1109</v>
      </c>
      <c r="E3336" s="1347" t="s">
        <v>1110</v>
      </c>
    </row>
    <row r="3337" spans="2:5" x14ac:dyDescent="0.45">
      <c r="B3337" s="1347" t="s">
        <v>1108</v>
      </c>
      <c r="D3337" s="1347" t="s">
        <v>1109</v>
      </c>
      <c r="E3337" s="1347" t="s">
        <v>1110</v>
      </c>
    </row>
    <row r="3338" spans="2:5" x14ac:dyDescent="0.45">
      <c r="B3338" s="1347" t="s">
        <v>1108</v>
      </c>
      <c r="D3338" s="1347" t="s">
        <v>1109</v>
      </c>
      <c r="E3338" s="1347" t="s">
        <v>1110</v>
      </c>
    </row>
    <row r="3339" spans="2:5" x14ac:dyDescent="0.45">
      <c r="B3339" s="1347" t="s">
        <v>1108</v>
      </c>
      <c r="D3339" s="1347" t="s">
        <v>1109</v>
      </c>
      <c r="E3339" s="1347" t="s">
        <v>1110</v>
      </c>
    </row>
    <row r="3340" spans="2:5" x14ac:dyDescent="0.45">
      <c r="B3340" s="1347" t="s">
        <v>1108</v>
      </c>
      <c r="D3340" s="1347" t="s">
        <v>1109</v>
      </c>
      <c r="E3340" s="1347" t="s">
        <v>1110</v>
      </c>
    </row>
    <row r="3341" spans="2:5" x14ac:dyDescent="0.45">
      <c r="B3341" s="1347" t="s">
        <v>1108</v>
      </c>
      <c r="D3341" s="1347" t="s">
        <v>1109</v>
      </c>
      <c r="E3341" s="1347" t="s">
        <v>1110</v>
      </c>
    </row>
    <row r="3342" spans="2:5" x14ac:dyDescent="0.45">
      <c r="B3342" s="1347" t="s">
        <v>1108</v>
      </c>
      <c r="D3342" s="1347" t="s">
        <v>1109</v>
      </c>
      <c r="E3342" s="1347" t="s">
        <v>1110</v>
      </c>
    </row>
    <row r="3343" spans="2:5" x14ac:dyDescent="0.45">
      <c r="B3343" s="1347" t="s">
        <v>1108</v>
      </c>
      <c r="D3343" s="1347" t="s">
        <v>1109</v>
      </c>
      <c r="E3343" s="1347" t="s">
        <v>1110</v>
      </c>
    </row>
    <row r="3344" spans="2:5" x14ac:dyDescent="0.45">
      <c r="B3344" s="1347" t="s">
        <v>1108</v>
      </c>
      <c r="D3344" s="1347" t="s">
        <v>1109</v>
      </c>
      <c r="E3344" s="1347" t="s">
        <v>1110</v>
      </c>
    </row>
    <row r="3345" spans="2:5" x14ac:dyDescent="0.45">
      <c r="B3345" s="1347" t="s">
        <v>1108</v>
      </c>
      <c r="D3345" s="1347" t="s">
        <v>1109</v>
      </c>
      <c r="E3345" s="1347" t="s">
        <v>1110</v>
      </c>
    </row>
    <row r="3346" spans="2:5" x14ac:dyDescent="0.45">
      <c r="B3346" s="1347" t="s">
        <v>1108</v>
      </c>
      <c r="D3346" s="1347" t="s">
        <v>1109</v>
      </c>
      <c r="E3346" s="1347" t="s">
        <v>1110</v>
      </c>
    </row>
    <row r="3347" spans="2:5" x14ac:dyDescent="0.45">
      <c r="B3347" s="1347" t="s">
        <v>1108</v>
      </c>
      <c r="D3347" s="1347" t="s">
        <v>1109</v>
      </c>
      <c r="E3347" s="1347" t="s">
        <v>1110</v>
      </c>
    </row>
    <row r="3348" spans="2:5" x14ac:dyDescent="0.45">
      <c r="B3348" s="1347" t="s">
        <v>1108</v>
      </c>
      <c r="D3348" s="1347" t="s">
        <v>1109</v>
      </c>
      <c r="E3348" s="1347" t="s">
        <v>1110</v>
      </c>
    </row>
    <row r="3349" spans="2:5" x14ac:dyDescent="0.45">
      <c r="B3349" s="1347" t="s">
        <v>1108</v>
      </c>
      <c r="D3349" s="1347" t="s">
        <v>1109</v>
      </c>
      <c r="E3349" s="1347" t="s">
        <v>1110</v>
      </c>
    </row>
    <row r="3350" spans="2:5" x14ac:dyDescent="0.45">
      <c r="B3350" s="1347" t="s">
        <v>1108</v>
      </c>
      <c r="D3350" s="1347" t="s">
        <v>1109</v>
      </c>
      <c r="E3350" s="1347" t="s">
        <v>1110</v>
      </c>
    </row>
    <row r="3351" spans="2:5" x14ac:dyDescent="0.45">
      <c r="B3351" s="1347" t="s">
        <v>1108</v>
      </c>
      <c r="D3351" s="1347" t="s">
        <v>1109</v>
      </c>
      <c r="E3351" s="1347" t="s">
        <v>1110</v>
      </c>
    </row>
    <row r="3352" spans="2:5" x14ac:dyDescent="0.45">
      <c r="B3352" s="1347" t="s">
        <v>1108</v>
      </c>
      <c r="D3352" s="1347" t="s">
        <v>1109</v>
      </c>
      <c r="E3352" s="1347" t="s">
        <v>1110</v>
      </c>
    </row>
    <row r="3353" spans="2:5" x14ac:dyDescent="0.45">
      <c r="B3353" s="1347" t="s">
        <v>1108</v>
      </c>
      <c r="D3353" s="1347" t="s">
        <v>1109</v>
      </c>
      <c r="E3353" s="1347" t="s">
        <v>1110</v>
      </c>
    </row>
    <row r="3354" spans="2:5" x14ac:dyDescent="0.45">
      <c r="B3354" s="1347" t="s">
        <v>1108</v>
      </c>
      <c r="D3354" s="1347" t="s">
        <v>1109</v>
      </c>
      <c r="E3354" s="1347" t="s">
        <v>1110</v>
      </c>
    </row>
    <row r="3355" spans="2:5" x14ac:dyDescent="0.45">
      <c r="B3355" s="1347" t="s">
        <v>1108</v>
      </c>
      <c r="D3355" s="1347" t="s">
        <v>1109</v>
      </c>
      <c r="E3355" s="1347" t="s">
        <v>1110</v>
      </c>
    </row>
    <row r="3356" spans="2:5" x14ac:dyDescent="0.45">
      <c r="B3356" s="1347" t="s">
        <v>1108</v>
      </c>
      <c r="D3356" s="1347" t="s">
        <v>1109</v>
      </c>
      <c r="E3356" s="1347" t="s">
        <v>1110</v>
      </c>
    </row>
    <row r="3357" spans="2:5" x14ac:dyDescent="0.45">
      <c r="B3357" s="1347" t="s">
        <v>1108</v>
      </c>
      <c r="D3357" s="1347" t="s">
        <v>1109</v>
      </c>
      <c r="E3357" s="1347" t="s">
        <v>1110</v>
      </c>
    </row>
    <row r="3358" spans="2:5" x14ac:dyDescent="0.45">
      <c r="B3358" s="1347" t="s">
        <v>1108</v>
      </c>
      <c r="D3358" s="1347" t="s">
        <v>1109</v>
      </c>
      <c r="E3358" s="1347" t="s">
        <v>1110</v>
      </c>
    </row>
    <row r="3359" spans="2:5" x14ac:dyDescent="0.45">
      <c r="B3359" s="1347" t="s">
        <v>1108</v>
      </c>
      <c r="D3359" s="1347" t="s">
        <v>1109</v>
      </c>
      <c r="E3359" s="1347" t="s">
        <v>1110</v>
      </c>
    </row>
    <row r="3360" spans="2:5" x14ac:dyDescent="0.45">
      <c r="B3360" s="1347" t="s">
        <v>1108</v>
      </c>
      <c r="D3360" s="1347" t="s">
        <v>1109</v>
      </c>
      <c r="E3360" s="1347" t="s">
        <v>4833</v>
      </c>
    </row>
    <row r="3361" spans="1:5" x14ac:dyDescent="0.45">
      <c r="B3361" s="1347" t="s">
        <v>2690</v>
      </c>
      <c r="D3361" s="1347" t="s">
        <v>4834</v>
      </c>
      <c r="E3361" s="1347" t="s">
        <v>4835</v>
      </c>
    </row>
    <row r="3362" spans="1:5" x14ac:dyDescent="0.45">
      <c r="B3362" s="1347" t="s">
        <v>1108</v>
      </c>
      <c r="D3362" s="1347" t="s">
        <v>4836</v>
      </c>
      <c r="E3362" s="1347" t="s">
        <v>4837</v>
      </c>
    </row>
    <row r="3363" spans="1:5" x14ac:dyDescent="0.45">
      <c r="B3363" s="1347" t="s">
        <v>1632</v>
      </c>
      <c r="D3363" s="1347" t="s">
        <v>4838</v>
      </c>
      <c r="E3363" s="1347" t="s">
        <v>4839</v>
      </c>
    </row>
    <row r="3364" spans="1:5" x14ac:dyDescent="0.45">
      <c r="A3364" s="1347">
        <v>1</v>
      </c>
      <c r="B3364" s="1347" t="s">
        <v>4840</v>
      </c>
      <c r="D3364" s="1347" t="s">
        <v>4841</v>
      </c>
      <c r="E3364" s="1347" t="s">
        <v>4842</v>
      </c>
    </row>
    <row r="3365" spans="1:5" x14ac:dyDescent="0.45">
      <c r="B3365" s="1347" t="s">
        <v>1108</v>
      </c>
      <c r="D3365" s="1347" t="s">
        <v>4843</v>
      </c>
      <c r="E3365" s="1347" t="s">
        <v>1110</v>
      </c>
    </row>
    <row r="3366" spans="1:5" x14ac:dyDescent="0.45">
      <c r="B3366" s="1347" t="s">
        <v>4844</v>
      </c>
      <c r="D3366" s="1347" t="s">
        <v>4845</v>
      </c>
      <c r="E3366" s="1347" t="s">
        <v>4846</v>
      </c>
    </row>
    <row r="3367" spans="1:5" x14ac:dyDescent="0.45">
      <c r="B3367" s="1347" t="s">
        <v>1207</v>
      </c>
      <c r="D3367" s="1347" t="s">
        <v>4847</v>
      </c>
      <c r="E3367" s="1347" t="s">
        <v>4848</v>
      </c>
    </row>
    <row r="3368" spans="1:5" x14ac:dyDescent="0.45">
      <c r="B3368" s="1347" t="s">
        <v>4849</v>
      </c>
      <c r="D3368" s="1347" t="s">
        <v>4850</v>
      </c>
      <c r="E3368" s="1347" t="s">
        <v>4851</v>
      </c>
    </row>
    <row r="3369" spans="1:5" x14ac:dyDescent="0.45">
      <c r="B3369" s="1347" t="s">
        <v>1108</v>
      </c>
      <c r="D3369" s="1347" t="s">
        <v>4852</v>
      </c>
      <c r="E3369" s="1347" t="s">
        <v>4853</v>
      </c>
    </row>
    <row r="3370" spans="1:5" x14ac:dyDescent="0.45">
      <c r="B3370" s="1347" t="s">
        <v>4854</v>
      </c>
      <c r="D3370" s="1347" t="s">
        <v>4855</v>
      </c>
      <c r="E3370" s="1347" t="s">
        <v>4856</v>
      </c>
    </row>
    <row r="3371" spans="1:5" x14ac:dyDescent="0.45">
      <c r="A3371" s="1347" t="s">
        <v>1105</v>
      </c>
      <c r="B3371" s="1347" t="s">
        <v>4857</v>
      </c>
      <c r="D3371" s="1347" t="s">
        <v>4858</v>
      </c>
      <c r="E3371" s="1347" t="s">
        <v>4859</v>
      </c>
    </row>
    <row r="3372" spans="1:5" x14ac:dyDescent="0.45">
      <c r="B3372" s="1347" t="s">
        <v>4860</v>
      </c>
      <c r="D3372" s="1347" t="s">
        <v>4861</v>
      </c>
      <c r="E3372" s="1347" t="s">
        <v>4862</v>
      </c>
    </row>
    <row r="3373" spans="1:5" x14ac:dyDescent="0.45">
      <c r="B3373" s="1347" t="s">
        <v>4863</v>
      </c>
      <c r="D3373" s="1347" t="s">
        <v>4864</v>
      </c>
      <c r="E3373" s="1347" t="s">
        <v>4865</v>
      </c>
    </row>
    <row r="3374" spans="1:5" x14ac:dyDescent="0.45">
      <c r="A3374" s="1347">
        <v>2</v>
      </c>
      <c r="B3374" s="1347" t="s">
        <v>4866</v>
      </c>
      <c r="C3374" s="1347" t="s">
        <v>1105</v>
      </c>
      <c r="D3374" s="1347" t="s">
        <v>4867</v>
      </c>
      <c r="E3374" s="1347" t="s">
        <v>4868</v>
      </c>
    </row>
    <row r="3375" spans="1:5" x14ac:dyDescent="0.45">
      <c r="A3375" s="1347">
        <v>-25</v>
      </c>
      <c r="B3375" s="1347" t="s">
        <v>1914</v>
      </c>
      <c r="D3375" s="1347" t="s">
        <v>4869</v>
      </c>
      <c r="E3375" s="1347" t="s">
        <v>4870</v>
      </c>
    </row>
    <row r="3376" spans="1:5" x14ac:dyDescent="0.45">
      <c r="B3376" s="1347" t="s">
        <v>1108</v>
      </c>
      <c r="D3376" s="1347" t="s">
        <v>4871</v>
      </c>
      <c r="E3376" s="1347" t="s">
        <v>4872</v>
      </c>
    </row>
    <row r="3377" spans="1:5" x14ac:dyDescent="0.45">
      <c r="A3377" s="1347">
        <v>1</v>
      </c>
      <c r="B3377" s="1347" t="s">
        <v>4873</v>
      </c>
      <c r="D3377" s="1347" t="s">
        <v>4874</v>
      </c>
      <c r="E3377" s="1347" t="s">
        <v>4875</v>
      </c>
    </row>
    <row r="3378" spans="1:5" x14ac:dyDescent="0.45">
      <c r="B3378" s="1347" t="s">
        <v>4876</v>
      </c>
      <c r="D3378" s="1347" t="s">
        <v>4877</v>
      </c>
      <c r="E3378" s="1347" t="s">
        <v>4878</v>
      </c>
    </row>
    <row r="3379" spans="1:5" x14ac:dyDescent="0.45">
      <c r="B3379" s="1347" t="s">
        <v>1108</v>
      </c>
      <c r="D3379" s="1347" t="s">
        <v>1109</v>
      </c>
      <c r="E3379" s="1347" t="s">
        <v>4879</v>
      </c>
    </row>
    <row r="3380" spans="1:5" x14ac:dyDescent="0.45">
      <c r="B3380" s="1347" t="s">
        <v>4880</v>
      </c>
      <c r="D3380" s="1347" t="s">
        <v>4881</v>
      </c>
      <c r="E3380" s="1347" t="s">
        <v>1110</v>
      </c>
    </row>
    <row r="3381" spans="1:5" x14ac:dyDescent="0.45">
      <c r="B3381" s="1347" t="s">
        <v>4882</v>
      </c>
      <c r="C3381" s="1347" t="s">
        <v>1105</v>
      </c>
      <c r="D3381" s="1347" t="s">
        <v>4883</v>
      </c>
      <c r="E3381" s="1347" t="s">
        <v>1110</v>
      </c>
    </row>
    <row r="3382" spans="1:5" x14ac:dyDescent="0.45">
      <c r="B3382" s="1347" t="s">
        <v>4884</v>
      </c>
      <c r="D3382" s="1347" t="s">
        <v>4885</v>
      </c>
      <c r="E3382" s="1347" t="s">
        <v>4886</v>
      </c>
    </row>
    <row r="3383" spans="1:5" x14ac:dyDescent="0.45">
      <c r="B3383" s="1347" t="s">
        <v>4887</v>
      </c>
      <c r="D3383" s="1347" t="s">
        <v>4888</v>
      </c>
      <c r="E3383" s="1347" t="s">
        <v>4889</v>
      </c>
    </row>
    <row r="3384" spans="1:5" x14ac:dyDescent="0.45">
      <c r="A3384" s="1347">
        <v>-8</v>
      </c>
      <c r="B3384" s="1347" t="s">
        <v>4890</v>
      </c>
      <c r="D3384" s="1347" t="s">
        <v>4891</v>
      </c>
      <c r="E3384" s="1347" t="s">
        <v>1110</v>
      </c>
    </row>
    <row r="3385" spans="1:5" x14ac:dyDescent="0.45">
      <c r="A3385" s="1347">
        <v>1</v>
      </c>
      <c r="B3385" s="1347" t="s">
        <v>4892</v>
      </c>
      <c r="D3385" s="1347" t="s">
        <v>4893</v>
      </c>
      <c r="E3385" s="1347" t="s">
        <v>4894</v>
      </c>
    </row>
    <row r="3386" spans="1:5" x14ac:dyDescent="0.45">
      <c r="B3386" s="1347" t="s">
        <v>4895</v>
      </c>
      <c r="C3386" s="1347" t="s">
        <v>1105</v>
      </c>
      <c r="D3386" s="1347" t="s">
        <v>4896</v>
      </c>
      <c r="E3386" s="1347" t="s">
        <v>4897</v>
      </c>
    </row>
    <row r="3387" spans="1:5" x14ac:dyDescent="0.45">
      <c r="B3387" s="1347" t="s">
        <v>1108</v>
      </c>
      <c r="D3387" s="1347" t="s">
        <v>4898</v>
      </c>
      <c r="E3387" s="1347" t="s">
        <v>4899</v>
      </c>
    </row>
    <row r="3388" spans="1:5" x14ac:dyDescent="0.45">
      <c r="B3388" s="1347" t="s">
        <v>4900</v>
      </c>
      <c r="D3388" s="1347" t="s">
        <v>4901</v>
      </c>
      <c r="E3388" s="1347" t="s">
        <v>4902</v>
      </c>
    </row>
    <row r="3389" spans="1:5" x14ac:dyDescent="0.45">
      <c r="B3389" s="1347" t="s">
        <v>1108</v>
      </c>
      <c r="D3389" s="1347" t="s">
        <v>4903</v>
      </c>
      <c r="E3389" s="1347" t="s">
        <v>4904</v>
      </c>
    </row>
    <row r="3390" spans="1:5" x14ac:dyDescent="0.45">
      <c r="B3390" s="1347" t="s">
        <v>1108</v>
      </c>
      <c r="D3390" s="1347" t="s">
        <v>1860</v>
      </c>
      <c r="E3390" s="1347" t="s">
        <v>4905</v>
      </c>
    </row>
    <row r="3391" spans="1:5" x14ac:dyDescent="0.45">
      <c r="B3391" s="1347" t="s">
        <v>4906</v>
      </c>
      <c r="D3391" s="1347" t="s">
        <v>4907</v>
      </c>
      <c r="E3391" s="1347" t="s">
        <v>4908</v>
      </c>
    </row>
    <row r="3392" spans="1:5" x14ac:dyDescent="0.45">
      <c r="A3392" s="1347" t="s">
        <v>1105</v>
      </c>
      <c r="B3392" s="1347" t="s">
        <v>4909</v>
      </c>
      <c r="D3392" s="1347" t="s">
        <v>4910</v>
      </c>
      <c r="E3392" s="1347" t="s">
        <v>4911</v>
      </c>
    </row>
    <row r="3393" spans="1:5" x14ac:dyDescent="0.45">
      <c r="A3393" s="1347" t="s">
        <v>1105</v>
      </c>
      <c r="B3393" s="1347" t="s">
        <v>4912</v>
      </c>
      <c r="D3393" s="1347" t="s">
        <v>4913</v>
      </c>
      <c r="E3393" s="1347" t="s">
        <v>4914</v>
      </c>
    </row>
    <row r="3394" spans="1:5" x14ac:dyDescent="0.45">
      <c r="B3394" s="1347" t="s">
        <v>4915</v>
      </c>
      <c r="D3394" s="1347" t="s">
        <v>4916</v>
      </c>
      <c r="E3394" s="1347" t="s">
        <v>4917</v>
      </c>
    </row>
    <row r="3395" spans="1:5" x14ac:dyDescent="0.45">
      <c r="B3395" s="1347" t="s">
        <v>4918</v>
      </c>
      <c r="D3395" s="1347" t="s">
        <v>4919</v>
      </c>
      <c r="E3395" s="1347" t="s">
        <v>4920</v>
      </c>
    </row>
    <row r="3396" spans="1:5" x14ac:dyDescent="0.45">
      <c r="B3396" s="1347" t="s">
        <v>4921</v>
      </c>
      <c r="D3396" s="1347" t="s">
        <v>4922</v>
      </c>
      <c r="E3396" s="1347" t="s">
        <v>4923</v>
      </c>
    </row>
    <row r="3397" spans="1:5" x14ac:dyDescent="0.45">
      <c r="B3397" s="1347" t="s">
        <v>1108</v>
      </c>
      <c r="D3397" s="1347" t="s">
        <v>4924</v>
      </c>
      <c r="E3397" s="1347" t="s">
        <v>4925</v>
      </c>
    </row>
    <row r="3398" spans="1:5" x14ac:dyDescent="0.45">
      <c r="B3398" s="1347" t="s">
        <v>4926</v>
      </c>
      <c r="D3398" s="1347" t="s">
        <v>4927</v>
      </c>
      <c r="E3398" s="1347" t="s">
        <v>4928</v>
      </c>
    </row>
    <row r="3399" spans="1:5" x14ac:dyDescent="0.45">
      <c r="B3399" s="1347" t="s">
        <v>4929</v>
      </c>
      <c r="D3399" s="1347" t="s">
        <v>4930</v>
      </c>
      <c r="E3399" s="1347" t="s">
        <v>4931</v>
      </c>
    </row>
    <row r="3400" spans="1:5" x14ac:dyDescent="0.45">
      <c r="A3400" s="1347">
        <v>-3</v>
      </c>
      <c r="B3400" s="1347" t="s">
        <v>4932</v>
      </c>
      <c r="D3400" s="1347" t="s">
        <v>1109</v>
      </c>
      <c r="E3400" s="1347" t="s">
        <v>4933</v>
      </c>
    </row>
    <row r="3401" spans="1:5" x14ac:dyDescent="0.45">
      <c r="A3401" s="1347" t="s">
        <v>1105</v>
      </c>
      <c r="B3401" s="1347" t="s">
        <v>4934</v>
      </c>
      <c r="D3401" s="1347" t="s">
        <v>4935</v>
      </c>
      <c r="E3401" s="1347" t="s">
        <v>4936</v>
      </c>
    </row>
    <row r="3402" spans="1:5" x14ac:dyDescent="0.45">
      <c r="A3402" s="1347" t="s">
        <v>1105</v>
      </c>
      <c r="B3402" s="1347" t="s">
        <v>4937</v>
      </c>
      <c r="D3402" s="1347" t="s">
        <v>4938</v>
      </c>
      <c r="E3402" s="1347" t="s">
        <v>4939</v>
      </c>
    </row>
    <row r="3403" spans="1:5" x14ac:dyDescent="0.45">
      <c r="B3403" s="1347" t="s">
        <v>4940</v>
      </c>
      <c r="D3403" s="1347" t="s">
        <v>4941</v>
      </c>
      <c r="E3403" s="1347" t="s">
        <v>1110</v>
      </c>
    </row>
    <row r="3404" spans="1:5" x14ac:dyDescent="0.45">
      <c r="B3404" s="1347" t="s">
        <v>4942</v>
      </c>
      <c r="D3404" s="1347" t="s">
        <v>4943</v>
      </c>
      <c r="E3404" s="1347" t="s">
        <v>4944</v>
      </c>
    </row>
    <row r="3405" spans="1:5" x14ac:dyDescent="0.45">
      <c r="B3405" s="1347" t="s">
        <v>1108</v>
      </c>
      <c r="D3405" s="1347" t="s">
        <v>4945</v>
      </c>
      <c r="E3405" s="1347" t="s">
        <v>4946</v>
      </c>
    </row>
    <row r="3406" spans="1:5" x14ac:dyDescent="0.45">
      <c r="B3406" s="1347" t="s">
        <v>1108</v>
      </c>
      <c r="D3406" s="1347" t="s">
        <v>4947</v>
      </c>
      <c r="E3406" s="1347" t="s">
        <v>4948</v>
      </c>
    </row>
    <row r="3407" spans="1:5" x14ac:dyDescent="0.45">
      <c r="A3407" s="1347" t="s">
        <v>1105</v>
      </c>
      <c r="B3407" s="1347" t="s">
        <v>1907</v>
      </c>
      <c r="D3407" s="1347" t="s">
        <v>4949</v>
      </c>
      <c r="E3407" s="1347" t="s">
        <v>4950</v>
      </c>
    </row>
    <row r="3408" spans="1:5" x14ac:dyDescent="0.45">
      <c r="A3408" s="1347" t="s">
        <v>1105</v>
      </c>
      <c r="B3408" s="1347" t="s">
        <v>4951</v>
      </c>
      <c r="D3408" s="1347" t="s">
        <v>4952</v>
      </c>
      <c r="E3408" s="1347" t="s">
        <v>4953</v>
      </c>
    </row>
    <row r="3409" spans="1:5" x14ac:dyDescent="0.45">
      <c r="B3409" s="1347" t="s">
        <v>1108</v>
      </c>
      <c r="D3409" s="1347" t="s">
        <v>4954</v>
      </c>
      <c r="E3409" s="1347" t="s">
        <v>4955</v>
      </c>
    </row>
    <row r="3410" spans="1:5" x14ac:dyDescent="0.45">
      <c r="B3410" s="1347" t="s">
        <v>1108</v>
      </c>
      <c r="D3410" s="1347" t="s">
        <v>4956</v>
      </c>
      <c r="E3410" s="1347" t="s">
        <v>4957</v>
      </c>
    </row>
    <row r="3411" spans="1:5" x14ac:dyDescent="0.45">
      <c r="B3411" s="1347" t="s">
        <v>1108</v>
      </c>
      <c r="D3411" s="1347" t="s">
        <v>4958</v>
      </c>
      <c r="E3411" s="1347" t="s">
        <v>4959</v>
      </c>
    </row>
    <row r="3412" spans="1:5" x14ac:dyDescent="0.45">
      <c r="B3412" s="1347" t="s">
        <v>4960</v>
      </c>
      <c r="D3412" s="1347" t="s">
        <v>4961</v>
      </c>
      <c r="E3412" s="1347" t="s">
        <v>4962</v>
      </c>
    </row>
    <row r="3413" spans="1:5" x14ac:dyDescent="0.45">
      <c r="A3413" s="1347">
        <v>1</v>
      </c>
      <c r="B3413" s="1347" t="s">
        <v>4963</v>
      </c>
      <c r="D3413" s="1347" t="s">
        <v>4964</v>
      </c>
      <c r="E3413" s="1347" t="s">
        <v>4965</v>
      </c>
    </row>
    <row r="3414" spans="1:5" x14ac:dyDescent="0.45">
      <c r="B3414" s="1347" t="s">
        <v>1108</v>
      </c>
      <c r="D3414" s="1347" t="s">
        <v>4966</v>
      </c>
      <c r="E3414" s="1347" t="s">
        <v>1110</v>
      </c>
    </row>
    <row r="3415" spans="1:5" x14ac:dyDescent="0.45">
      <c r="B3415" s="1347" t="s">
        <v>4967</v>
      </c>
      <c r="D3415" s="1347" t="s">
        <v>4968</v>
      </c>
      <c r="E3415" s="1347" t="s">
        <v>4969</v>
      </c>
    </row>
    <row r="3416" spans="1:5" x14ac:dyDescent="0.45">
      <c r="B3416" s="1347" t="s">
        <v>1108</v>
      </c>
      <c r="D3416" s="1347" t="s">
        <v>4970</v>
      </c>
      <c r="E3416" s="1347" t="s">
        <v>4971</v>
      </c>
    </row>
    <row r="3417" spans="1:5" x14ac:dyDescent="0.45">
      <c r="A3417" s="1347" t="s">
        <v>1105</v>
      </c>
      <c r="B3417" s="1347" t="s">
        <v>4972</v>
      </c>
      <c r="D3417" s="1347" t="s">
        <v>4973</v>
      </c>
      <c r="E3417" s="1347" t="s">
        <v>4974</v>
      </c>
    </row>
    <row r="3418" spans="1:5" x14ac:dyDescent="0.45">
      <c r="B3418" s="1347" t="s">
        <v>1108</v>
      </c>
      <c r="D3418" s="1347" t="s">
        <v>4975</v>
      </c>
      <c r="E3418" s="1347" t="s">
        <v>4976</v>
      </c>
    </row>
    <row r="3419" spans="1:5" x14ac:dyDescent="0.45">
      <c r="A3419" s="1347" t="s">
        <v>1105</v>
      </c>
      <c r="B3419" s="1347" t="s">
        <v>4977</v>
      </c>
      <c r="D3419" s="1347" t="s">
        <v>4978</v>
      </c>
      <c r="E3419" s="1347" t="s">
        <v>4979</v>
      </c>
    </row>
    <row r="3420" spans="1:5" x14ac:dyDescent="0.45">
      <c r="B3420" s="1347" t="s">
        <v>3458</v>
      </c>
      <c r="D3420" s="1347" t="s">
        <v>4980</v>
      </c>
      <c r="E3420" s="1347" t="s">
        <v>4981</v>
      </c>
    </row>
    <row r="3421" spans="1:5" x14ac:dyDescent="0.45">
      <c r="A3421" s="1347">
        <v>-1</v>
      </c>
      <c r="B3421" s="1347" t="s">
        <v>4982</v>
      </c>
      <c r="D3421" s="1347" t="s">
        <v>4983</v>
      </c>
      <c r="E3421" s="1347" t="s">
        <v>4984</v>
      </c>
    </row>
    <row r="3422" spans="1:5" x14ac:dyDescent="0.45">
      <c r="A3422" s="1347" t="s">
        <v>1105</v>
      </c>
      <c r="B3422" s="1347" t="s">
        <v>4985</v>
      </c>
      <c r="D3422" s="1347" t="s">
        <v>4986</v>
      </c>
      <c r="E3422" s="1347" t="s">
        <v>4987</v>
      </c>
    </row>
    <row r="3423" spans="1:5" x14ac:dyDescent="0.45">
      <c r="B3423" s="1347" t="s">
        <v>4988</v>
      </c>
      <c r="D3423" s="1347" t="s">
        <v>4989</v>
      </c>
      <c r="E3423" s="1347" t="s">
        <v>4990</v>
      </c>
    </row>
    <row r="3424" spans="1:5" x14ac:dyDescent="0.45">
      <c r="B3424" s="1347" t="s">
        <v>1108</v>
      </c>
      <c r="D3424" s="1347" t="s">
        <v>4991</v>
      </c>
      <c r="E3424" s="1347" t="s">
        <v>4992</v>
      </c>
    </row>
    <row r="3425" spans="1:5" x14ac:dyDescent="0.45">
      <c r="B3425" s="1347" t="s">
        <v>1108</v>
      </c>
      <c r="D3425" s="1347" t="s">
        <v>4993</v>
      </c>
      <c r="E3425" s="1347" t="s">
        <v>4994</v>
      </c>
    </row>
    <row r="3426" spans="1:5" x14ac:dyDescent="0.45">
      <c r="A3426" s="1347">
        <v>1</v>
      </c>
      <c r="B3426" s="1347" t="s">
        <v>2935</v>
      </c>
      <c r="D3426" s="1347" t="s">
        <v>4995</v>
      </c>
      <c r="E3426" s="1347" t="s">
        <v>4996</v>
      </c>
    </row>
    <row r="3427" spans="1:5" x14ac:dyDescent="0.45">
      <c r="B3427" s="1347" t="s">
        <v>1343</v>
      </c>
      <c r="D3427" s="1347" t="s">
        <v>4997</v>
      </c>
      <c r="E3427" s="1347" t="s">
        <v>4998</v>
      </c>
    </row>
    <row r="3428" spans="1:5" x14ac:dyDescent="0.45">
      <c r="B3428" s="1347" t="s">
        <v>1108</v>
      </c>
      <c r="D3428" s="1347" t="s">
        <v>1109</v>
      </c>
      <c r="E3428" s="1347" t="s">
        <v>4999</v>
      </c>
    </row>
    <row r="3429" spans="1:5" x14ac:dyDescent="0.45">
      <c r="B3429" s="1347" t="s">
        <v>2491</v>
      </c>
      <c r="D3429" s="1347" t="s">
        <v>5000</v>
      </c>
      <c r="E3429" s="1347" t="s">
        <v>5001</v>
      </c>
    </row>
    <row r="3430" spans="1:5" x14ac:dyDescent="0.45">
      <c r="B3430" s="1347" t="s">
        <v>5002</v>
      </c>
      <c r="D3430" s="1347" t="s">
        <v>5003</v>
      </c>
      <c r="E3430" s="1347" t="s">
        <v>5004</v>
      </c>
    </row>
    <row r="3431" spans="1:5" x14ac:dyDescent="0.45">
      <c r="B3431" s="1347" t="s">
        <v>5005</v>
      </c>
      <c r="D3431" s="1347" t="s">
        <v>5006</v>
      </c>
      <c r="E3431" s="1347" t="s">
        <v>1402</v>
      </c>
    </row>
    <row r="3432" spans="1:5" x14ac:dyDescent="0.45">
      <c r="B3432" s="1347" t="s">
        <v>5007</v>
      </c>
      <c r="D3432" s="1347" t="s">
        <v>5008</v>
      </c>
      <c r="E3432" s="1347" t="s">
        <v>5009</v>
      </c>
    </row>
    <row r="3433" spans="1:5" x14ac:dyDescent="0.45">
      <c r="A3433" s="1347">
        <v>6</v>
      </c>
      <c r="B3433" s="1347" t="s">
        <v>5010</v>
      </c>
      <c r="D3433" s="1347" t="s">
        <v>1109</v>
      </c>
      <c r="E3433" s="1347" t="s">
        <v>5011</v>
      </c>
    </row>
    <row r="3434" spans="1:5" x14ac:dyDescent="0.45">
      <c r="A3434" s="1347">
        <v>-17</v>
      </c>
      <c r="B3434" s="1347" t="s">
        <v>5012</v>
      </c>
      <c r="D3434" s="1347" t="s">
        <v>5013</v>
      </c>
      <c r="E3434" s="1347" t="s">
        <v>5014</v>
      </c>
    </row>
    <row r="3435" spans="1:5" x14ac:dyDescent="0.45">
      <c r="B3435" s="1347" t="s">
        <v>1108</v>
      </c>
      <c r="D3435" s="1347" t="s">
        <v>5015</v>
      </c>
      <c r="E3435" s="1347" t="s">
        <v>1110</v>
      </c>
    </row>
    <row r="3436" spans="1:5" x14ac:dyDescent="0.45">
      <c r="B3436" s="1347" t="s">
        <v>2573</v>
      </c>
      <c r="D3436" s="1347" t="s">
        <v>5016</v>
      </c>
      <c r="E3436" s="1347" t="s">
        <v>5017</v>
      </c>
    </row>
    <row r="3437" spans="1:5" x14ac:dyDescent="0.45">
      <c r="B3437" s="1347" t="s">
        <v>5018</v>
      </c>
      <c r="D3437" s="1347" t="s">
        <v>5019</v>
      </c>
      <c r="E3437" s="1347" t="s">
        <v>5020</v>
      </c>
    </row>
    <row r="3438" spans="1:5" x14ac:dyDescent="0.45">
      <c r="B3438" s="1347" t="s">
        <v>1108</v>
      </c>
      <c r="D3438" s="1347" t="s">
        <v>5021</v>
      </c>
      <c r="E3438" s="1347" t="s">
        <v>5022</v>
      </c>
    </row>
    <row r="3439" spans="1:5" x14ac:dyDescent="0.45">
      <c r="B3439" s="1347" t="s">
        <v>2829</v>
      </c>
      <c r="D3439" s="1347" t="s">
        <v>1109</v>
      </c>
      <c r="E3439" s="1347" t="s">
        <v>5023</v>
      </c>
    </row>
    <row r="3440" spans="1:5" x14ac:dyDescent="0.45">
      <c r="B3440" s="1347" t="s">
        <v>1108</v>
      </c>
      <c r="D3440" s="1347" t="s">
        <v>5024</v>
      </c>
      <c r="E3440" s="1347" t="s">
        <v>1402</v>
      </c>
    </row>
    <row r="3441" spans="1:5" x14ac:dyDescent="0.45">
      <c r="B3441" s="1347" t="s">
        <v>5025</v>
      </c>
      <c r="D3441" s="1347" t="s">
        <v>5026</v>
      </c>
      <c r="E3441" s="1347" t="s">
        <v>5027</v>
      </c>
    </row>
    <row r="3442" spans="1:5" x14ac:dyDescent="0.45">
      <c r="A3442" s="1347">
        <v>-25</v>
      </c>
      <c r="B3442" s="1347" t="s">
        <v>5028</v>
      </c>
      <c r="D3442" s="1347" t="s">
        <v>5029</v>
      </c>
      <c r="E3442" s="1347" t="s">
        <v>1110</v>
      </c>
    </row>
    <row r="3443" spans="1:5" x14ac:dyDescent="0.45">
      <c r="B3443" s="1347" t="s">
        <v>5030</v>
      </c>
      <c r="D3443" s="1347" t="s">
        <v>5031</v>
      </c>
      <c r="E3443" s="1347" t="s">
        <v>5032</v>
      </c>
    </row>
    <row r="3444" spans="1:5" x14ac:dyDescent="0.45">
      <c r="B3444" s="1347" t="s">
        <v>5033</v>
      </c>
      <c r="D3444" s="1347" t="s">
        <v>5034</v>
      </c>
      <c r="E3444" s="1347" t="s">
        <v>5035</v>
      </c>
    </row>
    <row r="3445" spans="1:5" x14ac:dyDescent="0.45">
      <c r="B3445" s="1347" t="s">
        <v>1108</v>
      </c>
      <c r="D3445" s="1347" t="s">
        <v>5036</v>
      </c>
      <c r="E3445" s="1347" t="s">
        <v>5037</v>
      </c>
    </row>
    <row r="3446" spans="1:5" x14ac:dyDescent="0.45">
      <c r="B3446" s="1347" t="s">
        <v>1108</v>
      </c>
      <c r="D3446" s="1347" t="s">
        <v>5038</v>
      </c>
      <c r="E3446" s="1347" t="s">
        <v>5039</v>
      </c>
    </row>
    <row r="3447" spans="1:5" x14ac:dyDescent="0.45">
      <c r="B3447" s="1347" t="s">
        <v>5040</v>
      </c>
      <c r="C3447" s="1347" t="s">
        <v>1105</v>
      </c>
      <c r="D3447" s="1347" t="s">
        <v>5041</v>
      </c>
      <c r="E3447" s="1347" t="s">
        <v>5042</v>
      </c>
    </row>
    <row r="3448" spans="1:5" x14ac:dyDescent="0.45">
      <c r="B3448" s="1347" t="s">
        <v>1108</v>
      </c>
      <c r="D3448" s="1347" t="s">
        <v>5043</v>
      </c>
      <c r="E3448" s="1347" t="s">
        <v>5044</v>
      </c>
    </row>
    <row r="3449" spans="1:5" x14ac:dyDescent="0.45">
      <c r="B3449" s="1347" t="s">
        <v>5045</v>
      </c>
      <c r="D3449" s="1347" t="s">
        <v>5046</v>
      </c>
      <c r="E3449" s="1347" t="s">
        <v>5047</v>
      </c>
    </row>
    <row r="3450" spans="1:5" x14ac:dyDescent="0.45">
      <c r="B3450" s="1347" t="s">
        <v>5048</v>
      </c>
      <c r="D3450" s="1347" t="s">
        <v>5049</v>
      </c>
      <c r="E3450" s="1347" t="s">
        <v>5050</v>
      </c>
    </row>
    <row r="3451" spans="1:5" x14ac:dyDescent="0.45">
      <c r="B3451" s="1347" t="s">
        <v>5051</v>
      </c>
      <c r="D3451" s="1347" t="s">
        <v>5052</v>
      </c>
      <c r="E3451" s="1347" t="s">
        <v>5053</v>
      </c>
    </row>
    <row r="3452" spans="1:5" x14ac:dyDescent="0.45">
      <c r="B3452" s="1347" t="s">
        <v>3159</v>
      </c>
      <c r="D3452" s="1347" t="s">
        <v>5054</v>
      </c>
      <c r="E3452" s="1347" t="s">
        <v>1110</v>
      </c>
    </row>
    <row r="3453" spans="1:5" x14ac:dyDescent="0.45">
      <c r="B3453" s="1347" t="s">
        <v>1108</v>
      </c>
      <c r="D3453" s="1347" t="s">
        <v>5055</v>
      </c>
      <c r="E3453" s="1347" t="s">
        <v>5056</v>
      </c>
    </row>
    <row r="3454" spans="1:5" x14ac:dyDescent="0.45">
      <c r="B3454" s="1347" t="s">
        <v>1108</v>
      </c>
      <c r="D3454" s="1347" t="s">
        <v>5057</v>
      </c>
      <c r="E3454" s="1347" t="s">
        <v>5058</v>
      </c>
    </row>
    <row r="3455" spans="1:5" x14ac:dyDescent="0.45">
      <c r="A3455" s="1347" t="s">
        <v>1105</v>
      </c>
      <c r="B3455" s="1347" t="s">
        <v>5059</v>
      </c>
      <c r="D3455" s="1347" t="s">
        <v>4949</v>
      </c>
      <c r="E3455" s="1347" t="s">
        <v>5060</v>
      </c>
    </row>
    <row r="3456" spans="1:5" x14ac:dyDescent="0.45">
      <c r="A3456" s="1347">
        <v>2</v>
      </c>
      <c r="B3456" s="1347" t="s">
        <v>5061</v>
      </c>
      <c r="D3456" s="1347" t="s">
        <v>1109</v>
      </c>
      <c r="E3456" s="1347" t="s">
        <v>5062</v>
      </c>
    </row>
    <row r="3457" spans="1:5" x14ac:dyDescent="0.45">
      <c r="A3457" s="1347">
        <v>-1</v>
      </c>
      <c r="B3457" s="1347" t="s">
        <v>5063</v>
      </c>
      <c r="D3457" s="1347" t="s">
        <v>5064</v>
      </c>
      <c r="E3457" s="1347" t="s">
        <v>5065</v>
      </c>
    </row>
    <row r="3458" spans="1:5" x14ac:dyDescent="0.45">
      <c r="B3458" s="1347" t="s">
        <v>1108</v>
      </c>
      <c r="D3458" s="1347" t="s">
        <v>5066</v>
      </c>
      <c r="E3458" s="1347" t="s">
        <v>5067</v>
      </c>
    </row>
    <row r="3459" spans="1:5" x14ac:dyDescent="0.45">
      <c r="B3459" s="1347" t="s">
        <v>5068</v>
      </c>
      <c r="D3459" s="1347" t="s">
        <v>5069</v>
      </c>
      <c r="E3459" s="1347" t="s">
        <v>5070</v>
      </c>
    </row>
    <row r="3460" spans="1:5" x14ac:dyDescent="0.45">
      <c r="B3460" s="1347" t="s">
        <v>5071</v>
      </c>
      <c r="D3460" s="1347" t="s">
        <v>1109</v>
      </c>
      <c r="E3460" s="1347" t="s">
        <v>5072</v>
      </c>
    </row>
    <row r="3461" spans="1:5" x14ac:dyDescent="0.45">
      <c r="A3461" s="1347" t="s">
        <v>1105</v>
      </c>
      <c r="B3461" s="1347" t="s">
        <v>1632</v>
      </c>
      <c r="D3461" s="1347" t="s">
        <v>5073</v>
      </c>
      <c r="E3461" s="1347" t="s">
        <v>5074</v>
      </c>
    </row>
    <row r="3462" spans="1:5" x14ac:dyDescent="0.45">
      <c r="B3462" s="1347" t="s">
        <v>5075</v>
      </c>
      <c r="D3462" s="1347" t="s">
        <v>5076</v>
      </c>
      <c r="E3462" s="1347" t="s">
        <v>1350</v>
      </c>
    </row>
    <row r="3463" spans="1:5" x14ac:dyDescent="0.45">
      <c r="B3463" s="1347" t="s">
        <v>5077</v>
      </c>
      <c r="D3463" s="1347" t="s">
        <v>1266</v>
      </c>
      <c r="E3463" s="1347" t="s">
        <v>5078</v>
      </c>
    </row>
    <row r="3464" spans="1:5" x14ac:dyDescent="0.45">
      <c r="B3464" s="1347" t="s">
        <v>1108</v>
      </c>
      <c r="D3464" s="1347" t="s">
        <v>5079</v>
      </c>
      <c r="E3464" s="1347" t="s">
        <v>5080</v>
      </c>
    </row>
    <row r="3465" spans="1:5" x14ac:dyDescent="0.45">
      <c r="A3465" s="1347">
        <v>2</v>
      </c>
      <c r="B3465" s="1347" t="s">
        <v>5081</v>
      </c>
      <c r="D3465" s="1347" t="s">
        <v>5082</v>
      </c>
      <c r="E3465" s="1347" t="s">
        <v>5083</v>
      </c>
    </row>
    <row r="3466" spans="1:5" x14ac:dyDescent="0.45">
      <c r="B3466" s="1347" t="s">
        <v>1108</v>
      </c>
      <c r="D3466" s="1347" t="s">
        <v>5084</v>
      </c>
      <c r="E3466" s="1347" t="s">
        <v>5085</v>
      </c>
    </row>
    <row r="3467" spans="1:5" x14ac:dyDescent="0.45">
      <c r="B3467" s="1347" t="s">
        <v>5086</v>
      </c>
      <c r="D3467" s="1347" t="s">
        <v>1109</v>
      </c>
      <c r="E3467" s="1347" t="s">
        <v>5087</v>
      </c>
    </row>
    <row r="3468" spans="1:5" x14ac:dyDescent="0.45">
      <c r="A3468" s="1347" t="s">
        <v>1105</v>
      </c>
      <c r="B3468" s="1347" t="s">
        <v>5088</v>
      </c>
      <c r="D3468" s="1347" t="s">
        <v>5089</v>
      </c>
      <c r="E3468" s="1347" t="s">
        <v>5090</v>
      </c>
    </row>
    <row r="3469" spans="1:5" x14ac:dyDescent="0.45">
      <c r="A3469" s="1347">
        <v>-1</v>
      </c>
      <c r="B3469" s="1347" t="s">
        <v>5091</v>
      </c>
      <c r="D3469" s="1347" t="s">
        <v>5092</v>
      </c>
      <c r="E3469" s="1347" t="s">
        <v>5093</v>
      </c>
    </row>
    <row r="3470" spans="1:5" x14ac:dyDescent="0.45">
      <c r="A3470" s="1347">
        <v>-4</v>
      </c>
      <c r="B3470" s="1347" t="s">
        <v>5094</v>
      </c>
      <c r="C3470" s="1347">
        <v>-2</v>
      </c>
      <c r="D3470" s="1347" t="s">
        <v>5095</v>
      </c>
      <c r="E3470" s="1347" t="s">
        <v>1476</v>
      </c>
    </row>
    <row r="3471" spans="1:5" x14ac:dyDescent="0.45">
      <c r="B3471" s="1347" t="s">
        <v>5096</v>
      </c>
      <c r="D3471" s="1347" t="s">
        <v>5097</v>
      </c>
      <c r="E3471" s="1347" t="s">
        <v>5098</v>
      </c>
    </row>
    <row r="3472" spans="1:5" x14ac:dyDescent="0.45">
      <c r="A3472" s="1347">
        <v>1</v>
      </c>
      <c r="B3472" s="1347" t="s">
        <v>5099</v>
      </c>
      <c r="D3472" s="1347" t="s">
        <v>5100</v>
      </c>
      <c r="E3472" s="1347" t="s">
        <v>5101</v>
      </c>
    </row>
    <row r="3473" spans="1:5" x14ac:dyDescent="0.45">
      <c r="A3473" s="1347">
        <v>1</v>
      </c>
      <c r="B3473" s="1347" t="s">
        <v>5102</v>
      </c>
      <c r="D3473" s="1347" t="s">
        <v>5103</v>
      </c>
      <c r="E3473" s="1347" t="s">
        <v>5104</v>
      </c>
    </row>
    <row r="3474" spans="1:5" x14ac:dyDescent="0.45">
      <c r="B3474" s="1347" t="s">
        <v>1108</v>
      </c>
      <c r="D3474" s="1347" t="s">
        <v>5105</v>
      </c>
      <c r="E3474" s="1347" t="s">
        <v>5106</v>
      </c>
    </row>
    <row r="3475" spans="1:5" x14ac:dyDescent="0.45">
      <c r="B3475" s="1347" t="s">
        <v>5107</v>
      </c>
      <c r="D3475" s="1347" t="s">
        <v>5108</v>
      </c>
      <c r="E3475" s="1347" t="s">
        <v>5109</v>
      </c>
    </row>
    <row r="3476" spans="1:5" x14ac:dyDescent="0.45">
      <c r="A3476" s="1347" t="s">
        <v>1105</v>
      </c>
      <c r="B3476" s="1347" t="s">
        <v>5110</v>
      </c>
      <c r="D3476" s="1347" t="s">
        <v>5111</v>
      </c>
      <c r="E3476" s="1347" t="s">
        <v>5112</v>
      </c>
    </row>
    <row r="3477" spans="1:5" x14ac:dyDescent="0.45">
      <c r="A3477" s="1347">
        <v>-15</v>
      </c>
      <c r="B3477" s="1347" t="s">
        <v>1383</v>
      </c>
      <c r="D3477" s="1347" t="s">
        <v>1109</v>
      </c>
      <c r="E3477" s="1347" t="s">
        <v>5113</v>
      </c>
    </row>
    <row r="3478" spans="1:5" x14ac:dyDescent="0.45">
      <c r="B3478" s="1347" t="s">
        <v>5114</v>
      </c>
      <c r="D3478" s="1347" t="s">
        <v>5115</v>
      </c>
      <c r="E3478" s="1347" t="s">
        <v>5116</v>
      </c>
    </row>
    <row r="3479" spans="1:5" x14ac:dyDescent="0.45">
      <c r="B3479" s="1347" t="s">
        <v>1108</v>
      </c>
      <c r="D3479" s="1347" t="s">
        <v>5117</v>
      </c>
      <c r="E3479" s="1347" t="s">
        <v>5118</v>
      </c>
    </row>
    <row r="3480" spans="1:5" x14ac:dyDescent="0.45">
      <c r="B3480" s="1347" t="s">
        <v>1108</v>
      </c>
      <c r="C3480" s="1347" t="s">
        <v>1105</v>
      </c>
      <c r="D3480" s="1347" t="s">
        <v>5119</v>
      </c>
      <c r="E3480" s="1347" t="s">
        <v>5120</v>
      </c>
    </row>
    <row r="3481" spans="1:5" x14ac:dyDescent="0.45">
      <c r="B3481" s="1347" t="s">
        <v>1108</v>
      </c>
      <c r="D3481" s="1347" t="s">
        <v>5121</v>
      </c>
      <c r="E3481" s="1347" t="s">
        <v>5122</v>
      </c>
    </row>
    <row r="3482" spans="1:5" x14ac:dyDescent="0.45">
      <c r="A3482" s="1347">
        <v>6</v>
      </c>
      <c r="B3482" s="1347" t="s">
        <v>5123</v>
      </c>
      <c r="D3482" s="1347" t="s">
        <v>5124</v>
      </c>
      <c r="E3482" s="1347" t="s">
        <v>1110</v>
      </c>
    </row>
    <row r="3483" spans="1:5" x14ac:dyDescent="0.45">
      <c r="B3483" s="1347" t="s">
        <v>1108</v>
      </c>
      <c r="C3483" s="1347">
        <v>2</v>
      </c>
      <c r="D3483" s="1347" t="s">
        <v>5125</v>
      </c>
      <c r="E3483" s="1347" t="s">
        <v>5126</v>
      </c>
    </row>
    <row r="3484" spans="1:5" x14ac:dyDescent="0.45">
      <c r="B3484" s="1347" t="s">
        <v>5127</v>
      </c>
      <c r="D3484" s="1347" t="s">
        <v>5128</v>
      </c>
      <c r="E3484" s="1347" t="s">
        <v>5129</v>
      </c>
    </row>
    <row r="3485" spans="1:5" x14ac:dyDescent="0.45">
      <c r="B3485" s="1347" t="s">
        <v>1108</v>
      </c>
      <c r="D3485" s="1347" t="s">
        <v>2329</v>
      </c>
      <c r="E3485" s="1347" t="s">
        <v>5130</v>
      </c>
    </row>
    <row r="3486" spans="1:5" x14ac:dyDescent="0.45">
      <c r="B3486" s="1347" t="s">
        <v>5131</v>
      </c>
      <c r="D3486" s="1347">
        <f>-18  -1166  -1936</f>
        <v>-3120</v>
      </c>
      <c r="E3486" s="1347" t="s">
        <v>5132</v>
      </c>
    </row>
    <row r="3487" spans="1:5" x14ac:dyDescent="0.45">
      <c r="A3487" s="1347">
        <v>-1</v>
      </c>
      <c r="B3487" s="1347" t="s">
        <v>5133</v>
      </c>
      <c r="D3487" s="1347" t="s">
        <v>5134</v>
      </c>
      <c r="E3487" s="1347" t="s">
        <v>5135</v>
      </c>
    </row>
    <row r="3488" spans="1:5" x14ac:dyDescent="0.45">
      <c r="B3488" s="1347" t="s">
        <v>1108</v>
      </c>
      <c r="D3488" s="1347" t="s">
        <v>5136</v>
      </c>
      <c r="E3488" s="1347" t="s">
        <v>1113</v>
      </c>
    </row>
    <row r="3489" spans="1:5" x14ac:dyDescent="0.45">
      <c r="B3489" s="1347" t="s">
        <v>5137</v>
      </c>
      <c r="D3489" s="1347" t="s">
        <v>5138</v>
      </c>
      <c r="E3489" s="1347" t="s">
        <v>5139</v>
      </c>
    </row>
    <row r="3490" spans="1:5" x14ac:dyDescent="0.45">
      <c r="A3490" s="1347">
        <v>-1</v>
      </c>
      <c r="B3490" s="1347" t="s">
        <v>5140</v>
      </c>
      <c r="D3490" s="1347" t="s">
        <v>2357</v>
      </c>
      <c r="E3490" s="1347" t="s">
        <v>5141</v>
      </c>
    </row>
    <row r="3491" spans="1:5" x14ac:dyDescent="0.45">
      <c r="B3491" s="1347" t="s">
        <v>5142</v>
      </c>
      <c r="D3491" s="1347" t="s">
        <v>5143</v>
      </c>
      <c r="E3491" s="1347" t="s">
        <v>5144</v>
      </c>
    </row>
    <row r="3492" spans="1:5" x14ac:dyDescent="0.45">
      <c r="B3492" s="1347" t="s">
        <v>1108</v>
      </c>
      <c r="D3492" s="1347" t="s">
        <v>3640</v>
      </c>
      <c r="E3492" s="1347" t="s">
        <v>5145</v>
      </c>
    </row>
    <row r="3493" spans="1:5" x14ac:dyDescent="0.45">
      <c r="B3493" s="1347" t="s">
        <v>2664</v>
      </c>
      <c r="D3493" s="1347" t="s">
        <v>5146</v>
      </c>
      <c r="E3493" s="1347" t="s">
        <v>5147</v>
      </c>
    </row>
    <row r="3494" spans="1:5" x14ac:dyDescent="0.45">
      <c r="B3494" s="1347" t="s">
        <v>5148</v>
      </c>
      <c r="D3494" s="1347" t="s">
        <v>5149</v>
      </c>
      <c r="E3494" s="1347" t="s">
        <v>5150</v>
      </c>
    </row>
    <row r="3495" spans="1:5" x14ac:dyDescent="0.45">
      <c r="A3495" s="1347">
        <v>-1</v>
      </c>
      <c r="B3495" s="1347" t="s">
        <v>5151</v>
      </c>
      <c r="D3495" s="1347" t="s">
        <v>5152</v>
      </c>
      <c r="E3495" s="1347" t="s">
        <v>5153</v>
      </c>
    </row>
    <row r="3496" spans="1:5" x14ac:dyDescent="0.45">
      <c r="B3496" s="1347" t="s">
        <v>5154</v>
      </c>
      <c r="D3496" s="1347" t="s">
        <v>5155</v>
      </c>
      <c r="E3496" s="1347" t="s">
        <v>5156</v>
      </c>
    </row>
    <row r="3497" spans="1:5" x14ac:dyDescent="0.45">
      <c r="A3497" s="1347">
        <v>9</v>
      </c>
      <c r="B3497" s="1347" t="s">
        <v>5157</v>
      </c>
      <c r="D3497" s="1347" t="s">
        <v>5158</v>
      </c>
      <c r="E3497" s="1347" t="s">
        <v>5159</v>
      </c>
    </row>
    <row r="3498" spans="1:5" x14ac:dyDescent="0.45">
      <c r="A3498" s="1347" t="s">
        <v>1105</v>
      </c>
      <c r="B3498" s="1347" t="s">
        <v>5160</v>
      </c>
      <c r="D3498" s="1347" t="s">
        <v>5161</v>
      </c>
      <c r="E3498" s="1347" t="s">
        <v>5162</v>
      </c>
    </row>
    <row r="3499" spans="1:5" x14ac:dyDescent="0.45">
      <c r="B3499" s="1347" t="s">
        <v>1108</v>
      </c>
      <c r="D3499" s="1347" t="s">
        <v>5163</v>
      </c>
      <c r="E3499" s="1347" t="s">
        <v>5164</v>
      </c>
    </row>
    <row r="3500" spans="1:5" x14ac:dyDescent="0.45">
      <c r="A3500" s="1347" t="s">
        <v>1105</v>
      </c>
      <c r="B3500" s="1347" t="s">
        <v>5165</v>
      </c>
      <c r="D3500" s="1347" t="s">
        <v>1305</v>
      </c>
      <c r="E3500" s="1347" t="s">
        <v>5166</v>
      </c>
    </row>
    <row r="3501" spans="1:5" x14ac:dyDescent="0.45">
      <c r="B3501" s="1347" t="s">
        <v>5167</v>
      </c>
      <c r="D3501" s="1347" t="s">
        <v>5168</v>
      </c>
      <c r="E3501" s="1347" t="s">
        <v>5169</v>
      </c>
    </row>
    <row r="3502" spans="1:5" x14ac:dyDescent="0.45">
      <c r="B3502" s="1347" t="s">
        <v>1108</v>
      </c>
      <c r="D3502" s="1347" t="s">
        <v>1109</v>
      </c>
      <c r="E3502" s="1347" t="s">
        <v>5170</v>
      </c>
    </row>
    <row r="3503" spans="1:5" x14ac:dyDescent="0.45">
      <c r="A3503" s="1347" t="s">
        <v>1105</v>
      </c>
      <c r="B3503" s="1347" t="s">
        <v>5171</v>
      </c>
      <c r="D3503" s="1347" t="s">
        <v>5172</v>
      </c>
      <c r="E3503" s="1347" t="s">
        <v>1110</v>
      </c>
    </row>
    <row r="3504" spans="1:5" x14ac:dyDescent="0.45">
      <c r="A3504" s="1347">
        <v>3</v>
      </c>
      <c r="B3504" s="1347" t="s">
        <v>5173</v>
      </c>
      <c r="C3504" s="1347" t="s">
        <v>1105</v>
      </c>
      <c r="D3504" s="1347" t="s">
        <v>5174</v>
      </c>
      <c r="E3504" s="1347" t="s">
        <v>1476</v>
      </c>
    </row>
    <row r="3505" spans="1:5" x14ac:dyDescent="0.45">
      <c r="A3505" s="1347">
        <v>1</v>
      </c>
      <c r="B3505" s="1347" t="s">
        <v>1288</v>
      </c>
      <c r="D3505" s="1347" t="s">
        <v>5175</v>
      </c>
      <c r="E3505" s="1347" t="s">
        <v>5176</v>
      </c>
    </row>
    <row r="3506" spans="1:5" x14ac:dyDescent="0.45">
      <c r="B3506" s="1347" t="s">
        <v>5177</v>
      </c>
      <c r="D3506" s="1347" t="s">
        <v>5178</v>
      </c>
      <c r="E3506" s="1347" t="s">
        <v>5179</v>
      </c>
    </row>
    <row r="3507" spans="1:5" x14ac:dyDescent="0.45">
      <c r="A3507" s="1347">
        <v>-34</v>
      </c>
      <c r="B3507" s="1347" t="s">
        <v>5180</v>
      </c>
      <c r="D3507" s="1347" t="s">
        <v>5181</v>
      </c>
      <c r="E3507" s="1347" t="s">
        <v>1110</v>
      </c>
    </row>
    <row r="3508" spans="1:5" x14ac:dyDescent="0.45">
      <c r="A3508" s="1347">
        <v>1</v>
      </c>
      <c r="B3508" s="1347" t="s">
        <v>5182</v>
      </c>
      <c r="D3508" s="1347" t="s">
        <v>5183</v>
      </c>
      <c r="E3508" s="1347" t="s">
        <v>1110</v>
      </c>
    </row>
    <row r="3509" spans="1:5" x14ac:dyDescent="0.45">
      <c r="B3509" s="1347" t="s">
        <v>1108</v>
      </c>
      <c r="D3509" s="1347" t="s">
        <v>1109</v>
      </c>
      <c r="E3509" s="1347" t="s">
        <v>1110</v>
      </c>
    </row>
    <row r="3510" spans="1:5" x14ac:dyDescent="0.45">
      <c r="B3510" s="1347" t="s">
        <v>1108</v>
      </c>
      <c r="D3510" s="1347" t="s">
        <v>1109</v>
      </c>
      <c r="E3510" s="1347" t="s">
        <v>1110</v>
      </c>
    </row>
    <row r="3511" spans="1:5" x14ac:dyDescent="0.45">
      <c r="B3511" s="1347" t="s">
        <v>1108</v>
      </c>
      <c r="D3511" s="1347" t="s">
        <v>1109</v>
      </c>
      <c r="E3511" s="1347" t="s">
        <v>1110</v>
      </c>
    </row>
    <row r="3512" spans="1:5" x14ac:dyDescent="0.45">
      <c r="B3512" s="1347" t="s">
        <v>1108</v>
      </c>
      <c r="D3512" s="1347" t="s">
        <v>1109</v>
      </c>
      <c r="E3512" s="1347" t="s">
        <v>1110</v>
      </c>
    </row>
    <row r="3513" spans="1:5" x14ac:dyDescent="0.45">
      <c r="B3513" s="1347" t="s">
        <v>1108</v>
      </c>
      <c r="D3513" s="1347" t="s">
        <v>1109</v>
      </c>
      <c r="E3513" s="1347" t="s">
        <v>1110</v>
      </c>
    </row>
    <row r="3514" spans="1:5" x14ac:dyDescent="0.45">
      <c r="B3514" s="1347" t="s">
        <v>1108</v>
      </c>
      <c r="D3514" s="1347" t="s">
        <v>1109</v>
      </c>
      <c r="E3514" s="1347" t="s">
        <v>1110</v>
      </c>
    </row>
    <row r="3515" spans="1:5" x14ac:dyDescent="0.45">
      <c r="B3515" s="1347" t="s">
        <v>1108</v>
      </c>
      <c r="D3515" s="1347" t="s">
        <v>1109</v>
      </c>
      <c r="E3515" s="1347" t="s">
        <v>1110</v>
      </c>
    </row>
    <row r="3516" spans="1:5" x14ac:dyDescent="0.45">
      <c r="B3516" s="1347" t="s">
        <v>1108</v>
      </c>
      <c r="D3516" s="1347" t="s">
        <v>1109</v>
      </c>
      <c r="E3516" s="1347" t="s">
        <v>1110</v>
      </c>
    </row>
    <row r="3517" spans="1:5" x14ac:dyDescent="0.45">
      <c r="B3517" s="1347" t="s">
        <v>1108</v>
      </c>
      <c r="D3517" s="1347" t="s">
        <v>1109</v>
      </c>
      <c r="E3517" s="1347" t="s">
        <v>1110</v>
      </c>
    </row>
    <row r="3518" spans="1:5" x14ac:dyDescent="0.45">
      <c r="B3518" s="1347" t="s">
        <v>1108</v>
      </c>
      <c r="D3518" s="1347" t="s">
        <v>1109</v>
      </c>
      <c r="E3518" s="1347" t="s">
        <v>1110</v>
      </c>
    </row>
    <row r="3519" spans="1:5" x14ac:dyDescent="0.45">
      <c r="B3519" s="1347" t="s">
        <v>1108</v>
      </c>
      <c r="D3519" s="1347" t="s">
        <v>1109</v>
      </c>
      <c r="E3519" s="1347" t="s">
        <v>1110</v>
      </c>
    </row>
    <row r="3520" spans="1:5" x14ac:dyDescent="0.45">
      <c r="B3520" s="1347" t="s">
        <v>1108</v>
      </c>
      <c r="D3520" s="1347" t="s">
        <v>1109</v>
      </c>
      <c r="E3520" s="1347" t="s">
        <v>1110</v>
      </c>
    </row>
    <row r="3521" spans="2:5" x14ac:dyDescent="0.45">
      <c r="B3521" s="1347" t="s">
        <v>1108</v>
      </c>
      <c r="D3521" s="1347" t="s">
        <v>1109</v>
      </c>
      <c r="E3521" s="1347" t="s">
        <v>1110</v>
      </c>
    </row>
    <row r="3522" spans="2:5" x14ac:dyDescent="0.45">
      <c r="B3522" s="1347" t="s">
        <v>1108</v>
      </c>
      <c r="D3522" s="1347" t="s">
        <v>1109</v>
      </c>
      <c r="E3522" s="1347" t="s">
        <v>1110</v>
      </c>
    </row>
    <row r="3523" spans="2:5" x14ac:dyDescent="0.45">
      <c r="B3523" s="1347" t="s">
        <v>1108</v>
      </c>
      <c r="D3523" s="1347" t="s">
        <v>1109</v>
      </c>
      <c r="E3523" s="1347" t="s">
        <v>1110</v>
      </c>
    </row>
    <row r="3524" spans="2:5" x14ac:dyDescent="0.45">
      <c r="B3524" s="1347" t="s">
        <v>1108</v>
      </c>
      <c r="D3524" s="1347" t="s">
        <v>1109</v>
      </c>
      <c r="E3524" s="1347" t="s">
        <v>1110</v>
      </c>
    </row>
    <row r="3525" spans="2:5" x14ac:dyDescent="0.45">
      <c r="B3525" s="1347" t="s">
        <v>1108</v>
      </c>
      <c r="D3525" s="1347" t="s">
        <v>1109</v>
      </c>
      <c r="E3525" s="1347" t="s">
        <v>1110</v>
      </c>
    </row>
    <row r="3526" spans="2:5" x14ac:dyDescent="0.45">
      <c r="B3526" s="1347" t="s">
        <v>1108</v>
      </c>
      <c r="D3526" s="1347" t="s">
        <v>1109</v>
      </c>
      <c r="E3526" s="1347" t="s">
        <v>1110</v>
      </c>
    </row>
    <row r="3527" spans="2:5" x14ac:dyDescent="0.45">
      <c r="B3527" s="1347" t="s">
        <v>1108</v>
      </c>
      <c r="D3527" s="1347" t="s">
        <v>1109</v>
      </c>
      <c r="E3527" s="1347" t="s">
        <v>1110</v>
      </c>
    </row>
    <row r="3528" spans="2:5" x14ac:dyDescent="0.45">
      <c r="B3528" s="1347" t="s">
        <v>1108</v>
      </c>
      <c r="D3528" s="1347" t="s">
        <v>1109</v>
      </c>
      <c r="E3528" s="1347" t="s">
        <v>1110</v>
      </c>
    </row>
    <row r="3529" spans="2:5" x14ac:dyDescent="0.45">
      <c r="B3529" s="1347" t="s">
        <v>1108</v>
      </c>
      <c r="D3529" s="1347" t="s">
        <v>1109</v>
      </c>
      <c r="E3529" s="1347" t="s">
        <v>1110</v>
      </c>
    </row>
    <row r="3530" spans="2:5" x14ac:dyDescent="0.45">
      <c r="B3530" s="1347" t="s">
        <v>1108</v>
      </c>
      <c r="D3530" s="1347" t="s">
        <v>1109</v>
      </c>
      <c r="E3530" s="1347" t="s">
        <v>1110</v>
      </c>
    </row>
    <row r="3531" spans="2:5" x14ac:dyDescent="0.45">
      <c r="B3531" s="1347" t="s">
        <v>1108</v>
      </c>
      <c r="D3531" s="1347" t="s">
        <v>1109</v>
      </c>
      <c r="E3531" s="1347" t="s">
        <v>1110</v>
      </c>
    </row>
    <row r="3532" spans="2:5" x14ac:dyDescent="0.45">
      <c r="B3532" s="1347" t="s">
        <v>1108</v>
      </c>
      <c r="D3532" s="1347" t="s">
        <v>1109</v>
      </c>
      <c r="E3532" s="1347" t="s">
        <v>1110</v>
      </c>
    </row>
    <row r="3533" spans="2:5" x14ac:dyDescent="0.45">
      <c r="B3533" s="1347" t="s">
        <v>1108</v>
      </c>
      <c r="D3533" s="1347" t="s">
        <v>1109</v>
      </c>
      <c r="E3533" s="1347" t="s">
        <v>1110</v>
      </c>
    </row>
    <row r="3534" spans="2:5" x14ac:dyDescent="0.45">
      <c r="B3534" s="1347" t="s">
        <v>1108</v>
      </c>
      <c r="D3534" s="1347" t="s">
        <v>1109</v>
      </c>
      <c r="E3534" s="1347" t="s">
        <v>1110</v>
      </c>
    </row>
    <row r="3535" spans="2:5" x14ac:dyDescent="0.45">
      <c r="B3535" s="1347" t="s">
        <v>1108</v>
      </c>
      <c r="D3535" s="1347" t="s">
        <v>1109</v>
      </c>
      <c r="E3535" s="1347" t="s">
        <v>1110</v>
      </c>
    </row>
    <row r="3536" spans="2:5" x14ac:dyDescent="0.45">
      <c r="B3536" s="1347" t="s">
        <v>1108</v>
      </c>
      <c r="D3536" s="1347" t="s">
        <v>1109</v>
      </c>
      <c r="E3536" s="1347" t="s">
        <v>1110</v>
      </c>
    </row>
    <row r="3537" spans="2:5" x14ac:dyDescent="0.45">
      <c r="B3537" s="1347" t="s">
        <v>1108</v>
      </c>
      <c r="D3537" s="1347" t="s">
        <v>1109</v>
      </c>
      <c r="E3537" s="1347" t="s">
        <v>1110</v>
      </c>
    </row>
    <row r="3538" spans="2:5" x14ac:dyDescent="0.45">
      <c r="B3538" s="1347" t="s">
        <v>1108</v>
      </c>
      <c r="D3538" s="1347" t="s">
        <v>1109</v>
      </c>
      <c r="E3538" s="1347" t="s">
        <v>1110</v>
      </c>
    </row>
    <row r="3539" spans="2:5" x14ac:dyDescent="0.45">
      <c r="B3539" s="1347" t="s">
        <v>1108</v>
      </c>
      <c r="D3539" s="1347" t="s">
        <v>1109</v>
      </c>
      <c r="E3539" s="1347" t="s">
        <v>1110</v>
      </c>
    </row>
    <row r="3540" spans="2:5" x14ac:dyDescent="0.45">
      <c r="B3540" s="1347" t="s">
        <v>1108</v>
      </c>
      <c r="D3540" s="1347" t="s">
        <v>1109</v>
      </c>
      <c r="E3540" s="1347" t="s">
        <v>1110</v>
      </c>
    </row>
    <row r="3541" spans="2:5" x14ac:dyDescent="0.45">
      <c r="B3541" s="1347" t="s">
        <v>1108</v>
      </c>
      <c r="D3541" s="1347" t="s">
        <v>1109</v>
      </c>
      <c r="E3541" s="1347" t="s">
        <v>1110</v>
      </c>
    </row>
    <row r="3542" spans="2:5" x14ac:dyDescent="0.45">
      <c r="B3542" s="1347" t="s">
        <v>1108</v>
      </c>
      <c r="D3542" s="1347" t="s">
        <v>1109</v>
      </c>
      <c r="E3542" s="1347" t="s">
        <v>1110</v>
      </c>
    </row>
    <row r="3543" spans="2:5" x14ac:dyDescent="0.45">
      <c r="B3543" s="1347" t="s">
        <v>1108</v>
      </c>
      <c r="D3543" s="1347" t="s">
        <v>1109</v>
      </c>
      <c r="E3543" s="1347" t="s">
        <v>1110</v>
      </c>
    </row>
    <row r="3544" spans="2:5" x14ac:dyDescent="0.45">
      <c r="B3544" s="1347" t="s">
        <v>1108</v>
      </c>
      <c r="D3544" s="1347" t="s">
        <v>1109</v>
      </c>
      <c r="E3544" s="1347" t="s">
        <v>1110</v>
      </c>
    </row>
    <row r="3545" spans="2:5" x14ac:dyDescent="0.45">
      <c r="B3545" s="1347" t="s">
        <v>1108</v>
      </c>
      <c r="D3545" s="1347" t="s">
        <v>1109</v>
      </c>
      <c r="E3545" s="1347" t="s">
        <v>1110</v>
      </c>
    </row>
    <row r="3546" spans="2:5" x14ac:dyDescent="0.45">
      <c r="B3546" s="1347" t="s">
        <v>1108</v>
      </c>
      <c r="D3546" s="1347" t="s">
        <v>1109</v>
      </c>
      <c r="E3546" s="1347" t="s">
        <v>1110</v>
      </c>
    </row>
    <row r="3547" spans="2:5" x14ac:dyDescent="0.45">
      <c r="B3547" s="1347" t="s">
        <v>1108</v>
      </c>
      <c r="D3547" s="1347" t="s">
        <v>1109</v>
      </c>
      <c r="E3547" s="1347" t="s">
        <v>1110</v>
      </c>
    </row>
    <row r="3548" spans="2:5" x14ac:dyDescent="0.45">
      <c r="B3548" s="1347" t="s">
        <v>1108</v>
      </c>
      <c r="D3548" s="1347" t="s">
        <v>1109</v>
      </c>
      <c r="E3548" s="1347" t="s">
        <v>1110</v>
      </c>
    </row>
    <row r="3549" spans="2:5" x14ac:dyDescent="0.45">
      <c r="B3549" s="1347" t="s">
        <v>1108</v>
      </c>
      <c r="D3549" s="1347" t="s">
        <v>1109</v>
      </c>
      <c r="E3549" s="1347" t="s">
        <v>1110</v>
      </c>
    </row>
    <row r="3550" spans="2:5" x14ac:dyDescent="0.45">
      <c r="B3550" s="1347" t="s">
        <v>1108</v>
      </c>
      <c r="D3550" s="1347" t="s">
        <v>1109</v>
      </c>
      <c r="E3550" s="1347" t="s">
        <v>1110</v>
      </c>
    </row>
    <row r="3551" spans="2:5" x14ac:dyDescent="0.45">
      <c r="B3551" s="1347" t="s">
        <v>1108</v>
      </c>
      <c r="D3551" s="1347" t="s">
        <v>1109</v>
      </c>
      <c r="E3551" s="1347" t="s">
        <v>1110</v>
      </c>
    </row>
    <row r="3552" spans="2:5" x14ac:dyDescent="0.45">
      <c r="B3552" s="1347" t="s">
        <v>1108</v>
      </c>
      <c r="D3552" s="1347" t="s">
        <v>1109</v>
      </c>
      <c r="E3552" s="1347" t="s">
        <v>1110</v>
      </c>
    </row>
    <row r="3553" spans="1:5" x14ac:dyDescent="0.45">
      <c r="B3553" s="1347" t="s">
        <v>1108</v>
      </c>
      <c r="D3553" s="1347" t="s">
        <v>1109</v>
      </c>
      <c r="E3553" s="1347" t="s">
        <v>1110</v>
      </c>
    </row>
    <row r="3554" spans="1:5" x14ac:dyDescent="0.45">
      <c r="B3554" s="1347" t="s">
        <v>1108</v>
      </c>
      <c r="D3554" s="1347" t="s">
        <v>1109</v>
      </c>
      <c r="E3554" s="1347" t="s">
        <v>1110</v>
      </c>
    </row>
    <row r="3555" spans="1:5" x14ac:dyDescent="0.45">
      <c r="B3555" s="1347" t="s">
        <v>1108</v>
      </c>
      <c r="D3555" s="1347" t="s">
        <v>1109</v>
      </c>
      <c r="E3555" s="1347" t="s">
        <v>1110</v>
      </c>
    </row>
    <row r="3556" spans="1:5" x14ac:dyDescent="0.45">
      <c r="B3556" s="1347" t="s">
        <v>1108</v>
      </c>
      <c r="D3556" s="1347" t="s">
        <v>1109</v>
      </c>
      <c r="E3556" s="1347" t="s">
        <v>1110</v>
      </c>
    </row>
    <row r="3557" spans="1:5" x14ac:dyDescent="0.45">
      <c r="B3557" s="1347" t="s">
        <v>1108</v>
      </c>
      <c r="D3557" s="1347" t="s">
        <v>1109</v>
      </c>
      <c r="E3557" s="1347" t="s">
        <v>1110</v>
      </c>
    </row>
    <row r="3558" spans="1:5" x14ac:dyDescent="0.45">
      <c r="B3558" s="1347" t="s">
        <v>1108</v>
      </c>
      <c r="D3558" s="1347" t="s">
        <v>1109</v>
      </c>
      <c r="E3558" s="1347" t="s">
        <v>5184</v>
      </c>
    </row>
    <row r="3559" spans="1:5" x14ac:dyDescent="0.45">
      <c r="A3559" s="1347">
        <v>-1</v>
      </c>
      <c r="B3559" s="1347" t="s">
        <v>5185</v>
      </c>
      <c r="D3559" s="1347" t="s">
        <v>1562</v>
      </c>
      <c r="E3559" s="1347" t="s">
        <v>5186</v>
      </c>
    </row>
    <row r="3560" spans="1:5" x14ac:dyDescent="0.45">
      <c r="B3560" s="1347" t="s">
        <v>1108</v>
      </c>
      <c r="D3560" s="1347" t="s">
        <v>5187</v>
      </c>
      <c r="E3560" s="1347" t="s">
        <v>5188</v>
      </c>
    </row>
    <row r="3561" spans="1:5" x14ac:dyDescent="0.45">
      <c r="B3561" s="1347" t="s">
        <v>5189</v>
      </c>
      <c r="D3561" s="1347" t="s">
        <v>5190</v>
      </c>
      <c r="E3561" s="1347" t="s">
        <v>5191</v>
      </c>
    </row>
    <row r="3562" spans="1:5" x14ac:dyDescent="0.45">
      <c r="A3562" s="1347" t="s">
        <v>1105</v>
      </c>
      <c r="B3562" s="1347" t="s">
        <v>5192</v>
      </c>
      <c r="D3562" s="1347" t="s">
        <v>5193</v>
      </c>
      <c r="E3562" s="1347" t="s">
        <v>4914</v>
      </c>
    </row>
    <row r="3563" spans="1:5" x14ac:dyDescent="0.45">
      <c r="B3563" s="1347" t="s">
        <v>1108</v>
      </c>
      <c r="D3563" s="1347" t="s">
        <v>5194</v>
      </c>
      <c r="E3563" s="1347" t="s">
        <v>1220</v>
      </c>
    </row>
    <row r="3564" spans="1:5" x14ac:dyDescent="0.45">
      <c r="B3564" s="1347" t="s">
        <v>5195</v>
      </c>
      <c r="D3564" s="1347" t="s">
        <v>5196</v>
      </c>
      <c r="E3564" s="1347" t="s">
        <v>5197</v>
      </c>
    </row>
    <row r="3565" spans="1:5" x14ac:dyDescent="0.45">
      <c r="A3565" s="1347" t="s">
        <v>1105</v>
      </c>
      <c r="B3565" s="1347" t="s">
        <v>5198</v>
      </c>
      <c r="D3565" s="1347" t="s">
        <v>5199</v>
      </c>
      <c r="E3565" s="1347" t="s">
        <v>5200</v>
      </c>
    </row>
    <row r="3566" spans="1:5" x14ac:dyDescent="0.45">
      <c r="B3566" s="1347" t="s">
        <v>5201</v>
      </c>
      <c r="D3566" s="1347" t="s">
        <v>5202</v>
      </c>
      <c r="E3566" s="1347" t="s">
        <v>5203</v>
      </c>
    </row>
    <row r="3567" spans="1:5" x14ac:dyDescent="0.45">
      <c r="B3567" s="1347" t="s">
        <v>1108</v>
      </c>
      <c r="D3567" s="1347" t="s">
        <v>5204</v>
      </c>
      <c r="E3567" s="1347" t="s">
        <v>5205</v>
      </c>
    </row>
    <row r="3568" spans="1:5" x14ac:dyDescent="0.45">
      <c r="B3568" s="1347" t="s">
        <v>5206</v>
      </c>
      <c r="D3568" s="1347" t="s">
        <v>5207</v>
      </c>
      <c r="E3568" s="1347" t="s">
        <v>5208</v>
      </c>
    </row>
    <row r="3569" spans="1:5" x14ac:dyDescent="0.45">
      <c r="B3569" s="1347" t="s">
        <v>2163</v>
      </c>
      <c r="D3569" s="1347" t="s">
        <v>5209</v>
      </c>
      <c r="E3569" s="1347" t="s">
        <v>5210</v>
      </c>
    </row>
    <row r="3570" spans="1:5" x14ac:dyDescent="0.45">
      <c r="B3570" s="1347" t="s">
        <v>5211</v>
      </c>
      <c r="D3570" s="1347" t="s">
        <v>5212</v>
      </c>
      <c r="E3570" s="1347" t="s">
        <v>5213</v>
      </c>
    </row>
    <row r="3571" spans="1:5" x14ac:dyDescent="0.45">
      <c r="B3571" s="1347" t="s">
        <v>5214</v>
      </c>
      <c r="D3571" s="1347" t="s">
        <v>5215</v>
      </c>
      <c r="E3571" s="1347" t="s">
        <v>5216</v>
      </c>
    </row>
    <row r="3572" spans="1:5" x14ac:dyDescent="0.45">
      <c r="A3572" s="1347" t="s">
        <v>1105</v>
      </c>
      <c r="B3572" s="1347" t="s">
        <v>5217</v>
      </c>
      <c r="D3572" s="1347" t="s">
        <v>5218</v>
      </c>
      <c r="E3572" s="1347" t="s">
        <v>5219</v>
      </c>
    </row>
    <row r="3573" spans="1:5" x14ac:dyDescent="0.45">
      <c r="B3573" s="1347" t="s">
        <v>5220</v>
      </c>
      <c r="D3573" s="1347" t="s">
        <v>5221</v>
      </c>
      <c r="E3573" s="1347" t="s">
        <v>5222</v>
      </c>
    </row>
    <row r="3574" spans="1:5" x14ac:dyDescent="0.45">
      <c r="B3574" s="1347" t="s">
        <v>1108</v>
      </c>
      <c r="D3574" s="1347" t="s">
        <v>5223</v>
      </c>
      <c r="E3574" s="1347" t="s">
        <v>5224</v>
      </c>
    </row>
    <row r="3575" spans="1:5" x14ac:dyDescent="0.45">
      <c r="B3575" s="1347" t="s">
        <v>5225</v>
      </c>
      <c r="D3575" s="1347" t="s">
        <v>1426</v>
      </c>
      <c r="E3575" s="1347" t="s">
        <v>5226</v>
      </c>
    </row>
    <row r="3576" spans="1:5" x14ac:dyDescent="0.45">
      <c r="B3576" s="1347" t="s">
        <v>5227</v>
      </c>
      <c r="D3576" s="1347" t="s">
        <v>5228</v>
      </c>
      <c r="E3576" s="1347" t="s">
        <v>5229</v>
      </c>
    </row>
    <row r="3577" spans="1:5" x14ac:dyDescent="0.45">
      <c r="B3577" s="1347" t="s">
        <v>1108</v>
      </c>
      <c r="D3577" s="1347" t="s">
        <v>1109</v>
      </c>
      <c r="E3577" s="1347" t="s">
        <v>5230</v>
      </c>
    </row>
    <row r="3578" spans="1:5" x14ac:dyDescent="0.45">
      <c r="A3578" s="1347" t="s">
        <v>1105</v>
      </c>
      <c r="B3578" s="1347" t="s">
        <v>5231</v>
      </c>
      <c r="D3578" s="1347" t="s">
        <v>5232</v>
      </c>
      <c r="E3578" s="1347" t="s">
        <v>1110</v>
      </c>
    </row>
    <row r="3579" spans="1:5" x14ac:dyDescent="0.45">
      <c r="B3579" s="1347" t="s">
        <v>5233</v>
      </c>
      <c r="D3579" s="1347" t="s">
        <v>5234</v>
      </c>
      <c r="E3579" s="1347" t="s">
        <v>1156</v>
      </c>
    </row>
    <row r="3580" spans="1:5" x14ac:dyDescent="0.45">
      <c r="B3580" s="1347" t="s">
        <v>5235</v>
      </c>
      <c r="D3580" s="1347" t="s">
        <v>5236</v>
      </c>
      <c r="E3580" s="1347" t="s">
        <v>5237</v>
      </c>
    </row>
    <row r="3581" spans="1:5" x14ac:dyDescent="0.45">
      <c r="B3581" s="1347" t="s">
        <v>5238</v>
      </c>
      <c r="D3581" s="1347" t="s">
        <v>5239</v>
      </c>
      <c r="E3581" s="1347" t="s">
        <v>5240</v>
      </c>
    </row>
    <row r="3582" spans="1:5" x14ac:dyDescent="0.45">
      <c r="A3582" s="1347">
        <v>5</v>
      </c>
      <c r="B3582" s="1347" t="s">
        <v>5241</v>
      </c>
      <c r="C3582" s="1347">
        <v>1</v>
      </c>
      <c r="D3582" s="1347" t="s">
        <v>5242</v>
      </c>
      <c r="E3582" s="1347" t="s">
        <v>1110</v>
      </c>
    </row>
    <row r="3583" spans="1:5" x14ac:dyDescent="0.45">
      <c r="B3583" s="1347" t="s">
        <v>5243</v>
      </c>
      <c r="D3583" s="1347" t="s">
        <v>5244</v>
      </c>
      <c r="E3583" s="1347" t="s">
        <v>1220</v>
      </c>
    </row>
    <row r="3584" spans="1:5" x14ac:dyDescent="0.45">
      <c r="B3584" s="1347" t="s">
        <v>1108</v>
      </c>
      <c r="D3584" s="1347" t="s">
        <v>1109</v>
      </c>
      <c r="E3584" s="1347" t="s">
        <v>1110</v>
      </c>
    </row>
    <row r="3585" spans="2:5" x14ac:dyDescent="0.45">
      <c r="B3585" s="1347" t="s">
        <v>1108</v>
      </c>
      <c r="D3585" s="1347" t="s">
        <v>1109</v>
      </c>
      <c r="E3585" s="1347" t="s">
        <v>1110</v>
      </c>
    </row>
    <row r="3586" spans="2:5" x14ac:dyDescent="0.45">
      <c r="B3586" s="1347" t="s">
        <v>1108</v>
      </c>
      <c r="D3586" s="1347" t="s">
        <v>1109</v>
      </c>
      <c r="E3586" s="1347" t="s">
        <v>1110</v>
      </c>
    </row>
    <row r="3587" spans="2:5" x14ac:dyDescent="0.45">
      <c r="B3587" s="1347" t="s">
        <v>1108</v>
      </c>
      <c r="D3587" s="1347" t="s">
        <v>1109</v>
      </c>
      <c r="E3587" s="1347" t="s">
        <v>1110</v>
      </c>
    </row>
    <row r="3588" spans="2:5" x14ac:dyDescent="0.45">
      <c r="B3588" s="1347" t="s">
        <v>1108</v>
      </c>
      <c r="D3588" s="1347" t="s">
        <v>1109</v>
      </c>
      <c r="E3588" s="1347" t="s">
        <v>1110</v>
      </c>
    </row>
    <row r="3589" spans="2:5" x14ac:dyDescent="0.45">
      <c r="B3589" s="1347" t="s">
        <v>1108</v>
      </c>
      <c r="D3589" s="1347" t="s">
        <v>1109</v>
      </c>
      <c r="E3589" s="1347" t="s">
        <v>1110</v>
      </c>
    </row>
    <row r="3590" spans="2:5" x14ac:dyDescent="0.45">
      <c r="B3590" s="1347" t="s">
        <v>1108</v>
      </c>
      <c r="D3590" s="1347" t="s">
        <v>1109</v>
      </c>
      <c r="E3590" s="1347" t="s">
        <v>1110</v>
      </c>
    </row>
    <row r="3591" spans="2:5" x14ac:dyDescent="0.45">
      <c r="B3591" s="1347" t="s">
        <v>1108</v>
      </c>
      <c r="D3591" s="1347" t="s">
        <v>1109</v>
      </c>
      <c r="E3591" s="1347" t="s">
        <v>1110</v>
      </c>
    </row>
    <row r="3592" spans="2:5" x14ac:dyDescent="0.45">
      <c r="B3592" s="1347" t="s">
        <v>1108</v>
      </c>
      <c r="D3592" s="1347" t="s">
        <v>1109</v>
      </c>
      <c r="E3592" s="1347" t="s">
        <v>1110</v>
      </c>
    </row>
    <row r="3593" spans="2:5" x14ac:dyDescent="0.45">
      <c r="B3593" s="1347" t="s">
        <v>1108</v>
      </c>
      <c r="D3593" s="1347" t="s">
        <v>1109</v>
      </c>
      <c r="E3593" s="1347" t="s">
        <v>1110</v>
      </c>
    </row>
    <row r="3594" spans="2:5" x14ac:dyDescent="0.45">
      <c r="B3594" s="1347" t="s">
        <v>1108</v>
      </c>
      <c r="D3594" s="1347" t="s">
        <v>1109</v>
      </c>
      <c r="E3594" s="1347" t="s">
        <v>1110</v>
      </c>
    </row>
    <row r="3595" spans="2:5" x14ac:dyDescent="0.45">
      <c r="B3595" s="1347" t="s">
        <v>1108</v>
      </c>
      <c r="D3595" s="1347" t="s">
        <v>1109</v>
      </c>
      <c r="E3595" s="1347" t="s">
        <v>1110</v>
      </c>
    </row>
    <row r="3596" spans="2:5" x14ac:dyDescent="0.45">
      <c r="B3596" s="1347" t="s">
        <v>1108</v>
      </c>
      <c r="D3596" s="1347" t="s">
        <v>1109</v>
      </c>
      <c r="E3596" s="1347" t="s">
        <v>1110</v>
      </c>
    </row>
    <row r="3597" spans="2:5" x14ac:dyDescent="0.45">
      <c r="B3597" s="1347" t="s">
        <v>1108</v>
      </c>
      <c r="D3597" s="1347" t="s">
        <v>1109</v>
      </c>
      <c r="E3597" s="1347" t="s">
        <v>1110</v>
      </c>
    </row>
    <row r="3598" spans="2:5" x14ac:dyDescent="0.45">
      <c r="B3598" s="1347" t="s">
        <v>1108</v>
      </c>
      <c r="D3598" s="1347" t="s">
        <v>1109</v>
      </c>
      <c r="E3598" s="1347" t="s">
        <v>1110</v>
      </c>
    </row>
    <row r="3599" spans="2:5" x14ac:dyDescent="0.45">
      <c r="B3599" s="1347" t="s">
        <v>1108</v>
      </c>
      <c r="D3599" s="1347" t="s">
        <v>1109</v>
      </c>
      <c r="E3599" s="1347" t="s">
        <v>1110</v>
      </c>
    </row>
    <row r="3600" spans="2:5" x14ac:dyDescent="0.45">
      <c r="B3600" s="1347" t="s">
        <v>1108</v>
      </c>
      <c r="D3600" s="1347" t="s">
        <v>1109</v>
      </c>
      <c r="E3600" s="1347" t="s">
        <v>1110</v>
      </c>
    </row>
    <row r="3601" spans="1:5" x14ac:dyDescent="0.45">
      <c r="B3601" s="1347" t="s">
        <v>1108</v>
      </c>
      <c r="D3601" s="1347" t="s">
        <v>1109</v>
      </c>
      <c r="E3601" s="1347" t="s">
        <v>1110</v>
      </c>
    </row>
    <row r="3602" spans="1:5" x14ac:dyDescent="0.45">
      <c r="B3602" s="1347" t="s">
        <v>1108</v>
      </c>
      <c r="D3602" s="1347" t="s">
        <v>1109</v>
      </c>
      <c r="E3602" s="1347" t="s">
        <v>1110</v>
      </c>
    </row>
    <row r="3603" spans="1:5" x14ac:dyDescent="0.45">
      <c r="B3603" s="1347" t="s">
        <v>1108</v>
      </c>
      <c r="D3603" s="1347" t="s">
        <v>1109</v>
      </c>
      <c r="E3603" s="1347" t="s">
        <v>1110</v>
      </c>
    </row>
    <row r="3604" spans="1:5" x14ac:dyDescent="0.45">
      <c r="B3604" s="1347" t="s">
        <v>1108</v>
      </c>
      <c r="D3604" s="1347" t="s">
        <v>1109</v>
      </c>
      <c r="E3604" s="1347" t="s">
        <v>1110</v>
      </c>
    </row>
    <row r="3605" spans="1:5" x14ac:dyDescent="0.45">
      <c r="B3605" s="1347" t="s">
        <v>1108</v>
      </c>
      <c r="D3605" s="1347" t="s">
        <v>1109</v>
      </c>
      <c r="E3605" s="1347" t="s">
        <v>1110</v>
      </c>
    </row>
    <row r="3606" spans="1:5" x14ac:dyDescent="0.45">
      <c r="B3606" s="1347" t="s">
        <v>1108</v>
      </c>
      <c r="D3606" s="1347" t="s">
        <v>1109</v>
      </c>
      <c r="E3606" s="1347" t="s">
        <v>1110</v>
      </c>
    </row>
    <row r="3607" spans="1:5" x14ac:dyDescent="0.45">
      <c r="B3607" s="1347" t="s">
        <v>1108</v>
      </c>
      <c r="D3607" s="1347" t="s">
        <v>1109</v>
      </c>
      <c r="E3607" s="1347" t="s">
        <v>1110</v>
      </c>
    </row>
    <row r="3608" spans="1:5" x14ac:dyDescent="0.45">
      <c r="B3608" s="1347" t="s">
        <v>1108</v>
      </c>
      <c r="D3608" s="1347" t="s">
        <v>1109</v>
      </c>
      <c r="E3608" s="1347" t="s">
        <v>1110</v>
      </c>
    </row>
    <row r="3609" spans="1:5" x14ac:dyDescent="0.45">
      <c r="B3609" s="1347" t="s">
        <v>5245</v>
      </c>
      <c r="D3609" s="1347">
        <f>-138   -445   -537   -44</f>
        <v>-1164</v>
      </c>
      <c r="E3609" s="1347" t="s">
        <v>5246</v>
      </c>
    </row>
    <row r="3610" spans="1:5" x14ac:dyDescent="0.45">
      <c r="B3610" s="1347" t="s">
        <v>1108</v>
      </c>
      <c r="D3610" s="1347" t="s">
        <v>5247</v>
      </c>
      <c r="E3610" s="1347" t="s">
        <v>1110</v>
      </c>
    </row>
    <row r="3611" spans="1:5" x14ac:dyDescent="0.45">
      <c r="A3611" s="1347" t="s">
        <v>1105</v>
      </c>
      <c r="B3611" s="1347" t="s">
        <v>5248</v>
      </c>
      <c r="D3611" s="1347" t="s">
        <v>5249</v>
      </c>
      <c r="E3611" s="1347" t="s">
        <v>5250</v>
      </c>
    </row>
    <row r="3612" spans="1:5" x14ac:dyDescent="0.45">
      <c r="B3612" s="1347" t="s">
        <v>5251</v>
      </c>
      <c r="D3612" s="1347">
        <f>-130   -552   -320   -21</f>
        <v>-1023</v>
      </c>
      <c r="E3612" s="1347" t="s">
        <v>5252</v>
      </c>
    </row>
    <row r="3613" spans="1:5" x14ac:dyDescent="0.45">
      <c r="B3613" s="1347" t="s">
        <v>1108</v>
      </c>
      <c r="D3613" s="1347" t="s">
        <v>1253</v>
      </c>
      <c r="E3613" s="1347" t="s">
        <v>5253</v>
      </c>
    </row>
    <row r="3614" spans="1:5" x14ac:dyDescent="0.45">
      <c r="A3614" s="1347" t="s">
        <v>1105</v>
      </c>
      <c r="B3614" s="1347" t="s">
        <v>4022</v>
      </c>
      <c r="D3614" s="1347" t="s">
        <v>1109</v>
      </c>
      <c r="E3614" s="1347" t="s">
        <v>5254</v>
      </c>
    </row>
    <row r="3615" spans="1:5" x14ac:dyDescent="0.45">
      <c r="B3615" s="1347" t="s">
        <v>1108</v>
      </c>
      <c r="D3615" s="1347" t="s">
        <v>5255</v>
      </c>
      <c r="E3615" s="1347" t="s">
        <v>1476</v>
      </c>
    </row>
    <row r="3616" spans="1:5" x14ac:dyDescent="0.45">
      <c r="A3616" s="1347">
        <v>2</v>
      </c>
      <c r="B3616" s="1347" t="s">
        <v>5256</v>
      </c>
      <c r="D3616" s="1347" t="s">
        <v>5257</v>
      </c>
      <c r="E3616" s="1347" t="s">
        <v>5258</v>
      </c>
    </row>
    <row r="3617" spans="1:5" x14ac:dyDescent="0.45">
      <c r="A3617" s="1347" t="s">
        <v>1105</v>
      </c>
      <c r="B3617" s="1347" t="s">
        <v>5259</v>
      </c>
      <c r="D3617" s="1347">
        <f>-134  -1263   -158</f>
        <v>-1555</v>
      </c>
      <c r="E3617" s="1347" t="s">
        <v>1110</v>
      </c>
    </row>
    <row r="3618" spans="1:5" x14ac:dyDescent="0.45">
      <c r="A3618" s="1347">
        <v>-5</v>
      </c>
      <c r="B3618" s="1347" t="s">
        <v>5260</v>
      </c>
      <c r="C3618" s="1347" t="s">
        <v>1105</v>
      </c>
      <c r="D3618" s="1347" t="s">
        <v>5261</v>
      </c>
      <c r="E3618" s="1347" t="s">
        <v>5262</v>
      </c>
    </row>
    <row r="3619" spans="1:5" x14ac:dyDescent="0.45">
      <c r="A3619" s="1347">
        <v>-1</v>
      </c>
      <c r="B3619" s="1347" t="s">
        <v>1445</v>
      </c>
      <c r="D3619" s="1347">
        <f>-472  -1393   -112  -184</f>
        <v>-2161</v>
      </c>
      <c r="E3619" s="1347" t="s">
        <v>5263</v>
      </c>
    </row>
    <row r="3620" spans="1:5" x14ac:dyDescent="0.45">
      <c r="B3620" s="1347" t="s">
        <v>1108</v>
      </c>
      <c r="D3620" s="1347" t="s">
        <v>5264</v>
      </c>
      <c r="E3620" s="1347" t="s">
        <v>5265</v>
      </c>
    </row>
    <row r="3621" spans="1:5" x14ac:dyDescent="0.45">
      <c r="B3621" s="1347" t="s">
        <v>1108</v>
      </c>
      <c r="D3621" s="1347" t="s">
        <v>5266</v>
      </c>
      <c r="E3621" s="1347" t="s">
        <v>5267</v>
      </c>
    </row>
    <row r="3622" spans="1:5" x14ac:dyDescent="0.45">
      <c r="A3622" s="1347">
        <v>5</v>
      </c>
      <c r="B3622" s="1347" t="s">
        <v>5268</v>
      </c>
      <c r="D3622" s="1347">
        <f>-307   -203   -882   -19</f>
        <v>-1411</v>
      </c>
      <c r="E3622" s="1347" t="s">
        <v>5269</v>
      </c>
    </row>
    <row r="3623" spans="1:5" x14ac:dyDescent="0.45">
      <c r="B3623" s="1347" t="s">
        <v>1108</v>
      </c>
      <c r="D3623" s="1347" t="s">
        <v>5270</v>
      </c>
      <c r="E3623" s="1347" t="s">
        <v>5271</v>
      </c>
    </row>
    <row r="3624" spans="1:5" x14ac:dyDescent="0.45">
      <c r="B3624" s="1347" t="s">
        <v>5272</v>
      </c>
      <c r="D3624" s="1347" t="s">
        <v>5273</v>
      </c>
      <c r="E3624" s="1347" t="s">
        <v>5274</v>
      </c>
    </row>
    <row r="3625" spans="1:5" x14ac:dyDescent="0.45">
      <c r="A3625" s="1347">
        <v>2</v>
      </c>
      <c r="B3625" s="1347" t="s">
        <v>5275</v>
      </c>
      <c r="D3625" s="1347" t="s">
        <v>5276</v>
      </c>
      <c r="E3625" s="1347" t="s">
        <v>5277</v>
      </c>
    </row>
    <row r="3626" spans="1:5" x14ac:dyDescent="0.45">
      <c r="A3626" s="1347" t="s">
        <v>1105</v>
      </c>
      <c r="B3626" s="1347" t="s">
        <v>5278</v>
      </c>
      <c r="D3626" s="1347">
        <f>-145  -1116   -794</f>
        <v>-2055</v>
      </c>
      <c r="E3626" s="1347" t="s">
        <v>5279</v>
      </c>
    </row>
    <row r="3627" spans="1:5" x14ac:dyDescent="0.45">
      <c r="B3627" s="1347" t="s">
        <v>5280</v>
      </c>
      <c r="D3627" s="1347" t="s">
        <v>5281</v>
      </c>
      <c r="E3627" s="1347" t="s">
        <v>1110</v>
      </c>
    </row>
    <row r="3628" spans="1:5" x14ac:dyDescent="0.45">
      <c r="B3628" s="1347" t="s">
        <v>1108</v>
      </c>
      <c r="C3628" s="1347">
        <v>-1</v>
      </c>
      <c r="D3628" s="1347" t="s">
        <v>5282</v>
      </c>
      <c r="E3628" s="1347" t="s">
        <v>5283</v>
      </c>
    </row>
    <row r="3629" spans="1:5" x14ac:dyDescent="0.45">
      <c r="B3629" s="1347" t="s">
        <v>1108</v>
      </c>
      <c r="D3629" s="1347" t="s">
        <v>5284</v>
      </c>
      <c r="E3629" s="1347" t="s">
        <v>5285</v>
      </c>
    </row>
    <row r="3630" spans="1:5" x14ac:dyDescent="0.45">
      <c r="A3630" s="1347">
        <v>3</v>
      </c>
      <c r="B3630" s="1347" t="s">
        <v>5286</v>
      </c>
      <c r="D3630" s="1347" t="s">
        <v>1625</v>
      </c>
      <c r="E3630" s="1347" t="s">
        <v>5287</v>
      </c>
    </row>
    <row r="3631" spans="1:5" x14ac:dyDescent="0.45">
      <c r="A3631" s="1347">
        <v>1</v>
      </c>
      <c r="B3631" s="1347" t="s">
        <v>5288</v>
      </c>
      <c r="D3631" s="1347" t="s">
        <v>1109</v>
      </c>
      <c r="E3631" s="1347" t="s">
        <v>5289</v>
      </c>
    </row>
    <row r="3632" spans="1:5" x14ac:dyDescent="0.45">
      <c r="B3632" s="1347" t="s">
        <v>5290</v>
      </c>
      <c r="D3632" s="1347" t="s">
        <v>5291</v>
      </c>
      <c r="E3632" s="1347" t="s">
        <v>5292</v>
      </c>
    </row>
    <row r="3633" spans="1:5" x14ac:dyDescent="0.45">
      <c r="B3633" s="1347" t="s">
        <v>1108</v>
      </c>
      <c r="D3633" s="1347" t="s">
        <v>5293</v>
      </c>
      <c r="E3633" s="1347" t="s">
        <v>5294</v>
      </c>
    </row>
    <row r="3634" spans="1:5" x14ac:dyDescent="0.45">
      <c r="A3634" s="1347">
        <v>3</v>
      </c>
      <c r="B3634" s="1347" t="s">
        <v>2259</v>
      </c>
      <c r="D3634" s="1347" t="s">
        <v>5295</v>
      </c>
      <c r="E3634" s="1347" t="s">
        <v>5296</v>
      </c>
    </row>
    <row r="3635" spans="1:5" x14ac:dyDescent="0.45">
      <c r="B3635" s="1347" t="s">
        <v>1108</v>
      </c>
      <c r="D3635" s="1347" t="s">
        <v>5297</v>
      </c>
      <c r="E3635" s="1347" t="s">
        <v>5298</v>
      </c>
    </row>
    <row r="3636" spans="1:5" x14ac:dyDescent="0.45">
      <c r="B3636" s="1347" t="s">
        <v>1108</v>
      </c>
      <c r="D3636" s="1347" t="s">
        <v>5299</v>
      </c>
      <c r="E3636" s="1347" t="s">
        <v>5300</v>
      </c>
    </row>
    <row r="3637" spans="1:5" x14ac:dyDescent="0.45">
      <c r="B3637" s="1347" t="s">
        <v>2544</v>
      </c>
      <c r="D3637" s="1347" t="s">
        <v>5301</v>
      </c>
      <c r="E3637" s="1347" t="s">
        <v>5302</v>
      </c>
    </row>
    <row r="3638" spans="1:5" x14ac:dyDescent="0.45">
      <c r="A3638" s="1347">
        <v>1</v>
      </c>
      <c r="B3638" s="1347" t="s">
        <v>1548</v>
      </c>
      <c r="D3638" s="1347" t="s">
        <v>5303</v>
      </c>
      <c r="E3638" s="1347" t="s">
        <v>5304</v>
      </c>
    </row>
    <row r="3639" spans="1:5" x14ac:dyDescent="0.45">
      <c r="B3639" s="1347" t="s">
        <v>1108</v>
      </c>
      <c r="D3639" s="1347" t="s">
        <v>5305</v>
      </c>
      <c r="E3639" s="1347" t="s">
        <v>1110</v>
      </c>
    </row>
    <row r="3640" spans="1:5" x14ac:dyDescent="0.45">
      <c r="A3640" s="1347">
        <v>-1</v>
      </c>
      <c r="B3640" s="1347" t="s">
        <v>5306</v>
      </c>
      <c r="D3640" s="1347" t="s">
        <v>5307</v>
      </c>
      <c r="E3640" s="1347" t="s">
        <v>5308</v>
      </c>
    </row>
    <row r="3641" spans="1:5" x14ac:dyDescent="0.45">
      <c r="B3641" s="1347" t="s">
        <v>1108</v>
      </c>
      <c r="D3641" s="1347" t="s">
        <v>5309</v>
      </c>
      <c r="E3641" s="1347" t="s">
        <v>5310</v>
      </c>
    </row>
    <row r="3642" spans="1:5" x14ac:dyDescent="0.45">
      <c r="A3642" s="1347">
        <v>-2</v>
      </c>
      <c r="B3642" s="1347" t="s">
        <v>5311</v>
      </c>
      <c r="D3642" s="1347" t="s">
        <v>5312</v>
      </c>
      <c r="E3642" s="1347" t="s">
        <v>5313</v>
      </c>
    </row>
    <row r="3643" spans="1:5" x14ac:dyDescent="0.45">
      <c r="B3643" s="1347" t="s">
        <v>1108</v>
      </c>
      <c r="D3643" s="1347" t="s">
        <v>5314</v>
      </c>
      <c r="E3643" s="1347" t="s">
        <v>5315</v>
      </c>
    </row>
    <row r="3644" spans="1:5" x14ac:dyDescent="0.45">
      <c r="A3644" s="1347">
        <v>4</v>
      </c>
      <c r="B3644" s="1347" t="s">
        <v>5316</v>
      </c>
      <c r="D3644" s="1347" t="s">
        <v>5317</v>
      </c>
      <c r="E3644" s="1347" t="s">
        <v>5318</v>
      </c>
    </row>
    <row r="3645" spans="1:5" x14ac:dyDescent="0.45">
      <c r="B3645" s="1347" t="s">
        <v>5319</v>
      </c>
      <c r="D3645" s="1347" t="s">
        <v>5320</v>
      </c>
      <c r="E3645" s="1347" t="s">
        <v>5321</v>
      </c>
    </row>
    <row r="3646" spans="1:5" x14ac:dyDescent="0.45">
      <c r="A3646" s="1347">
        <v>2</v>
      </c>
      <c r="B3646" s="1347" t="s">
        <v>5322</v>
      </c>
      <c r="D3646" s="1347" t="s">
        <v>5323</v>
      </c>
      <c r="E3646" s="1347" t="s">
        <v>5324</v>
      </c>
    </row>
    <row r="3647" spans="1:5" x14ac:dyDescent="0.45">
      <c r="B3647" s="1347" t="s">
        <v>5325</v>
      </c>
      <c r="D3647" s="1347" t="s">
        <v>5326</v>
      </c>
      <c r="E3647" s="1347" t="s">
        <v>5327</v>
      </c>
    </row>
    <row r="3648" spans="1:5" x14ac:dyDescent="0.45">
      <c r="A3648" s="1347">
        <v>4</v>
      </c>
      <c r="B3648" s="1347" t="s">
        <v>5328</v>
      </c>
      <c r="D3648" s="1347" t="s">
        <v>5329</v>
      </c>
      <c r="E3648" s="1347" t="s">
        <v>5330</v>
      </c>
    </row>
    <row r="3649" spans="1:5" x14ac:dyDescent="0.45">
      <c r="B3649" s="1347" t="s">
        <v>1108</v>
      </c>
      <c r="D3649" s="1347" t="s">
        <v>5331</v>
      </c>
      <c r="E3649" s="1347" t="s">
        <v>5332</v>
      </c>
    </row>
    <row r="3650" spans="1:5" x14ac:dyDescent="0.45">
      <c r="B3650" s="1347" t="s">
        <v>1108</v>
      </c>
      <c r="C3650" s="1347">
        <v>-1</v>
      </c>
      <c r="D3650" s="1347" t="s">
        <v>5333</v>
      </c>
      <c r="E3650" s="1347" t="s">
        <v>5334</v>
      </c>
    </row>
    <row r="3651" spans="1:5" x14ac:dyDescent="0.45">
      <c r="A3651" s="1347" t="s">
        <v>1105</v>
      </c>
      <c r="B3651" s="1347" t="s">
        <v>5335</v>
      </c>
      <c r="D3651" s="1347" t="s">
        <v>5336</v>
      </c>
      <c r="E3651" s="1347" t="s">
        <v>5337</v>
      </c>
    </row>
    <row r="3652" spans="1:5" x14ac:dyDescent="0.45">
      <c r="A3652" s="1347">
        <v>-1</v>
      </c>
      <c r="B3652" s="1347" t="s">
        <v>5338</v>
      </c>
      <c r="D3652" s="1347" t="s">
        <v>5339</v>
      </c>
      <c r="E3652" s="1347" t="s">
        <v>5340</v>
      </c>
    </row>
    <row r="3653" spans="1:5" x14ac:dyDescent="0.45">
      <c r="B3653" s="1347" t="s">
        <v>1108</v>
      </c>
      <c r="D3653" s="1347" t="s">
        <v>1109</v>
      </c>
      <c r="E3653" s="1347" t="s">
        <v>5341</v>
      </c>
    </row>
    <row r="3654" spans="1:5" x14ac:dyDescent="0.45">
      <c r="A3654" s="1347" t="s">
        <v>1105</v>
      </c>
      <c r="B3654" s="1347" t="s">
        <v>1663</v>
      </c>
      <c r="D3654" s="1347" t="s">
        <v>5342</v>
      </c>
      <c r="E3654" s="1347" t="s">
        <v>5343</v>
      </c>
    </row>
    <row r="3655" spans="1:5" x14ac:dyDescent="0.45">
      <c r="A3655" s="1347">
        <v>-5</v>
      </c>
      <c r="B3655" s="1347" t="s">
        <v>5344</v>
      </c>
      <c r="D3655" s="1347" t="s">
        <v>5345</v>
      </c>
      <c r="E3655" s="1347" t="s">
        <v>5346</v>
      </c>
    </row>
    <row r="3656" spans="1:5" x14ac:dyDescent="0.45">
      <c r="B3656" s="1347" t="s">
        <v>5347</v>
      </c>
      <c r="D3656" s="1347" t="s">
        <v>5348</v>
      </c>
      <c r="E3656" s="1347" t="s">
        <v>1275</v>
      </c>
    </row>
    <row r="3657" spans="1:5" x14ac:dyDescent="0.45">
      <c r="A3657" s="1347">
        <v>-17</v>
      </c>
      <c r="B3657" s="1347" t="s">
        <v>5349</v>
      </c>
      <c r="D3657" s="1347" t="s">
        <v>5350</v>
      </c>
      <c r="E3657" s="1347" t="s">
        <v>5351</v>
      </c>
    </row>
    <row r="3658" spans="1:5" x14ac:dyDescent="0.45">
      <c r="A3658" s="1347">
        <v>-19</v>
      </c>
      <c r="B3658" s="1347" t="s">
        <v>5352</v>
      </c>
      <c r="D3658" s="1347" t="s">
        <v>1109</v>
      </c>
      <c r="E3658" s="1347" t="s">
        <v>5353</v>
      </c>
    </row>
    <row r="3659" spans="1:5" x14ac:dyDescent="0.45">
      <c r="A3659" s="1347">
        <v>-4</v>
      </c>
      <c r="B3659" s="1347" t="s">
        <v>5354</v>
      </c>
      <c r="C3659" s="1347" t="s">
        <v>1105</v>
      </c>
      <c r="D3659" s="1347" t="s">
        <v>5355</v>
      </c>
      <c r="E3659" s="1347" t="s">
        <v>5356</v>
      </c>
    </row>
    <row r="3660" spans="1:5" x14ac:dyDescent="0.45">
      <c r="B3660" s="1347" t="s">
        <v>1108</v>
      </c>
      <c r="D3660" s="1347" t="s">
        <v>1109</v>
      </c>
      <c r="E3660" s="1347" t="s">
        <v>1110</v>
      </c>
    </row>
    <row r="3661" spans="1:5" x14ac:dyDescent="0.45">
      <c r="B3661" s="1347" t="s">
        <v>1108</v>
      </c>
      <c r="D3661" s="1347" t="s">
        <v>1109</v>
      </c>
      <c r="E3661" s="1347" t="s">
        <v>1110</v>
      </c>
    </row>
    <row r="3662" spans="1:5" x14ac:dyDescent="0.45">
      <c r="B3662" s="1347" t="s">
        <v>1108</v>
      </c>
      <c r="D3662" s="1347" t="s">
        <v>1109</v>
      </c>
      <c r="E3662" s="1347" t="s">
        <v>1110</v>
      </c>
    </row>
    <row r="3663" spans="1:5" x14ac:dyDescent="0.45">
      <c r="B3663" s="1347" t="s">
        <v>1108</v>
      </c>
      <c r="D3663" s="1347" t="s">
        <v>1109</v>
      </c>
      <c r="E3663" s="1347" t="s">
        <v>1110</v>
      </c>
    </row>
    <row r="3664" spans="1:5" x14ac:dyDescent="0.45">
      <c r="B3664" s="1347" t="s">
        <v>1108</v>
      </c>
      <c r="D3664" s="1347" t="s">
        <v>1109</v>
      </c>
      <c r="E3664" s="1347" t="s">
        <v>1110</v>
      </c>
    </row>
    <row r="3665" spans="2:5" x14ac:dyDescent="0.45">
      <c r="B3665" s="1347" t="s">
        <v>1108</v>
      </c>
      <c r="D3665" s="1347" t="s">
        <v>1109</v>
      </c>
      <c r="E3665" s="1347" t="s">
        <v>1110</v>
      </c>
    </row>
    <row r="3666" spans="2:5" x14ac:dyDescent="0.45">
      <c r="B3666" s="1347" t="s">
        <v>1108</v>
      </c>
      <c r="D3666" s="1347" t="s">
        <v>1109</v>
      </c>
      <c r="E3666" s="1347" t="s">
        <v>1110</v>
      </c>
    </row>
    <row r="3667" spans="2:5" x14ac:dyDescent="0.45">
      <c r="B3667" s="1347" t="s">
        <v>1108</v>
      </c>
      <c r="D3667" s="1347" t="s">
        <v>1109</v>
      </c>
      <c r="E3667" s="1347" t="s">
        <v>1110</v>
      </c>
    </row>
    <row r="3668" spans="2:5" x14ac:dyDescent="0.45">
      <c r="B3668" s="1347" t="s">
        <v>1108</v>
      </c>
      <c r="D3668" s="1347" t="s">
        <v>1109</v>
      </c>
      <c r="E3668" s="1347" t="s">
        <v>1110</v>
      </c>
    </row>
    <row r="3669" spans="2:5" x14ac:dyDescent="0.45">
      <c r="B3669" s="1347" t="s">
        <v>1108</v>
      </c>
      <c r="D3669" s="1347" t="s">
        <v>1109</v>
      </c>
      <c r="E3669" s="1347" t="s">
        <v>1110</v>
      </c>
    </row>
    <row r="3670" spans="2:5" x14ac:dyDescent="0.45">
      <c r="B3670" s="1347" t="s">
        <v>1108</v>
      </c>
      <c r="D3670" s="1347" t="s">
        <v>1109</v>
      </c>
      <c r="E3670" s="1347" t="s">
        <v>1110</v>
      </c>
    </row>
    <row r="3671" spans="2:5" x14ac:dyDescent="0.45">
      <c r="B3671" s="1347" t="s">
        <v>1108</v>
      </c>
      <c r="D3671" s="1347" t="s">
        <v>1109</v>
      </c>
      <c r="E3671" s="1347" t="s">
        <v>1110</v>
      </c>
    </row>
    <row r="3672" spans="2:5" x14ac:dyDescent="0.45">
      <c r="B3672" s="1347" t="s">
        <v>1108</v>
      </c>
      <c r="D3672" s="1347" t="s">
        <v>1109</v>
      </c>
      <c r="E3672" s="1347" t="s">
        <v>1110</v>
      </c>
    </row>
    <row r="3673" spans="2:5" x14ac:dyDescent="0.45">
      <c r="B3673" s="1347" t="s">
        <v>1108</v>
      </c>
      <c r="D3673" s="1347" t="s">
        <v>1109</v>
      </c>
      <c r="E3673" s="1347" t="s">
        <v>1110</v>
      </c>
    </row>
    <row r="3674" spans="2:5" x14ac:dyDescent="0.45">
      <c r="B3674" s="1347" t="s">
        <v>1108</v>
      </c>
      <c r="D3674" s="1347" t="s">
        <v>1109</v>
      </c>
      <c r="E3674" s="1347" t="s">
        <v>1110</v>
      </c>
    </row>
    <row r="3675" spans="2:5" x14ac:dyDescent="0.45">
      <c r="B3675" s="1347" t="s">
        <v>1108</v>
      </c>
      <c r="D3675" s="1347" t="s">
        <v>1109</v>
      </c>
      <c r="E3675" s="1347" t="s">
        <v>1110</v>
      </c>
    </row>
    <row r="3676" spans="2:5" x14ac:dyDescent="0.45">
      <c r="B3676" s="1347" t="s">
        <v>1108</v>
      </c>
      <c r="D3676" s="1347" t="s">
        <v>1109</v>
      </c>
      <c r="E3676" s="1347" t="s">
        <v>1110</v>
      </c>
    </row>
    <row r="3677" spans="2:5" x14ac:dyDescent="0.45">
      <c r="B3677" s="1347" t="s">
        <v>1108</v>
      </c>
      <c r="D3677" s="1347" t="s">
        <v>1109</v>
      </c>
      <c r="E3677" s="1347" t="s">
        <v>1110</v>
      </c>
    </row>
    <row r="3678" spans="2:5" x14ac:dyDescent="0.45">
      <c r="B3678" s="1347" t="s">
        <v>1108</v>
      </c>
      <c r="D3678" s="1347" t="s">
        <v>1109</v>
      </c>
      <c r="E3678" s="1347" t="s">
        <v>1110</v>
      </c>
    </row>
    <row r="3679" spans="2:5" x14ac:dyDescent="0.45">
      <c r="B3679" s="1347" t="s">
        <v>1108</v>
      </c>
      <c r="D3679" s="1347" t="s">
        <v>1109</v>
      </c>
      <c r="E3679" s="1347" t="s">
        <v>1110</v>
      </c>
    </row>
    <row r="3680" spans="2:5" x14ac:dyDescent="0.45">
      <c r="B3680" s="1347" t="s">
        <v>1108</v>
      </c>
      <c r="D3680" s="1347" t="s">
        <v>1109</v>
      </c>
      <c r="E3680" s="1347" t="s">
        <v>1110</v>
      </c>
    </row>
    <row r="3681" spans="2:5" x14ac:dyDescent="0.45">
      <c r="B3681" s="1347" t="s">
        <v>1108</v>
      </c>
      <c r="D3681" s="1347" t="s">
        <v>1109</v>
      </c>
      <c r="E3681" s="1347" t="s">
        <v>1110</v>
      </c>
    </row>
    <row r="3682" spans="2:5" x14ac:dyDescent="0.45">
      <c r="B3682" s="1347" t="s">
        <v>1108</v>
      </c>
      <c r="D3682" s="1347" t="s">
        <v>1109</v>
      </c>
      <c r="E3682" s="1347" t="s">
        <v>1110</v>
      </c>
    </row>
    <row r="3683" spans="2:5" x14ac:dyDescent="0.45">
      <c r="B3683" s="1347" t="s">
        <v>1108</v>
      </c>
      <c r="D3683" s="1347" t="s">
        <v>1109</v>
      </c>
      <c r="E3683" s="1347" t="s">
        <v>1110</v>
      </c>
    </row>
    <row r="3684" spans="2:5" x14ac:dyDescent="0.45">
      <c r="B3684" s="1347" t="s">
        <v>1108</v>
      </c>
      <c r="D3684" s="1347" t="s">
        <v>1109</v>
      </c>
      <c r="E3684" s="1347" t="s">
        <v>1110</v>
      </c>
    </row>
    <row r="3685" spans="2:5" x14ac:dyDescent="0.45">
      <c r="B3685" s="1347" t="s">
        <v>1108</v>
      </c>
      <c r="D3685" s="1347" t="s">
        <v>1109</v>
      </c>
      <c r="E3685" s="1347" t="s">
        <v>1110</v>
      </c>
    </row>
    <row r="3686" spans="2:5" x14ac:dyDescent="0.45">
      <c r="B3686" s="1347" t="s">
        <v>1108</v>
      </c>
      <c r="D3686" s="1347" t="s">
        <v>1109</v>
      </c>
      <c r="E3686" s="1347" t="s">
        <v>1110</v>
      </c>
    </row>
    <row r="3687" spans="2:5" x14ac:dyDescent="0.45">
      <c r="B3687" s="1347" t="s">
        <v>1108</v>
      </c>
      <c r="D3687" s="1347" t="s">
        <v>1109</v>
      </c>
      <c r="E3687" s="1347" t="s">
        <v>1110</v>
      </c>
    </row>
    <row r="3688" spans="2:5" x14ac:dyDescent="0.45">
      <c r="B3688" s="1347" t="s">
        <v>1108</v>
      </c>
      <c r="D3688" s="1347" t="s">
        <v>1109</v>
      </c>
      <c r="E3688" s="1347" t="s">
        <v>1110</v>
      </c>
    </row>
    <row r="3689" spans="2:5" x14ac:dyDescent="0.45">
      <c r="B3689" s="1347" t="s">
        <v>1108</v>
      </c>
      <c r="D3689" s="1347" t="s">
        <v>1109</v>
      </c>
      <c r="E3689" s="1347" t="s">
        <v>1110</v>
      </c>
    </row>
    <row r="3690" spans="2:5" x14ac:dyDescent="0.45">
      <c r="B3690" s="1347" t="s">
        <v>1108</v>
      </c>
      <c r="D3690" s="1347" t="s">
        <v>1109</v>
      </c>
      <c r="E3690" s="1347" t="s">
        <v>1110</v>
      </c>
    </row>
    <row r="3691" spans="2:5" x14ac:dyDescent="0.45">
      <c r="B3691" s="1347" t="s">
        <v>1108</v>
      </c>
      <c r="D3691" s="1347" t="s">
        <v>1109</v>
      </c>
      <c r="E3691" s="1347" t="s">
        <v>1110</v>
      </c>
    </row>
    <row r="3692" spans="2:5" x14ac:dyDescent="0.45">
      <c r="B3692" s="1347" t="s">
        <v>1108</v>
      </c>
      <c r="D3692" s="1347" t="s">
        <v>1109</v>
      </c>
      <c r="E3692" s="1347" t="s">
        <v>1110</v>
      </c>
    </row>
    <row r="3693" spans="2:5" x14ac:dyDescent="0.45">
      <c r="B3693" s="1347" t="s">
        <v>1108</v>
      </c>
      <c r="D3693" s="1347" t="s">
        <v>1109</v>
      </c>
      <c r="E3693" s="1347" t="s">
        <v>1110</v>
      </c>
    </row>
    <row r="3694" spans="2:5" x14ac:dyDescent="0.45">
      <c r="B3694" s="1347" t="s">
        <v>1108</v>
      </c>
      <c r="D3694" s="1347" t="s">
        <v>1109</v>
      </c>
      <c r="E3694" s="1347" t="s">
        <v>1110</v>
      </c>
    </row>
    <row r="3695" spans="2:5" x14ac:dyDescent="0.45">
      <c r="B3695" s="1347" t="s">
        <v>1108</v>
      </c>
      <c r="D3695" s="1347" t="s">
        <v>1109</v>
      </c>
      <c r="E3695" s="1347" t="s">
        <v>1110</v>
      </c>
    </row>
    <row r="3696" spans="2:5" x14ac:dyDescent="0.45">
      <c r="B3696" s="1347" t="s">
        <v>1108</v>
      </c>
      <c r="D3696" s="1347" t="s">
        <v>1109</v>
      </c>
      <c r="E3696" s="1347" t="s">
        <v>1110</v>
      </c>
    </row>
    <row r="3697" spans="2:5" x14ac:dyDescent="0.45">
      <c r="B3697" s="1347" t="s">
        <v>1108</v>
      </c>
      <c r="D3697" s="1347" t="s">
        <v>1109</v>
      </c>
      <c r="E3697" s="1347" t="s">
        <v>1110</v>
      </c>
    </row>
    <row r="3698" spans="2:5" x14ac:dyDescent="0.45">
      <c r="B3698" s="1347" t="s">
        <v>1108</v>
      </c>
      <c r="D3698" s="1347" t="s">
        <v>1109</v>
      </c>
      <c r="E3698" s="1347" t="s">
        <v>1110</v>
      </c>
    </row>
    <row r="3699" spans="2:5" x14ac:dyDescent="0.45">
      <c r="B3699" s="1347" t="s">
        <v>1108</v>
      </c>
      <c r="D3699" s="1347" t="s">
        <v>1109</v>
      </c>
      <c r="E3699" s="1347" t="s">
        <v>1110</v>
      </c>
    </row>
    <row r="3700" spans="2:5" x14ac:dyDescent="0.45">
      <c r="B3700" s="1347" t="s">
        <v>1108</v>
      </c>
      <c r="D3700" s="1347" t="s">
        <v>1109</v>
      </c>
      <c r="E3700" s="1347" t="s">
        <v>1110</v>
      </c>
    </row>
    <row r="3701" spans="2:5" x14ac:dyDescent="0.45">
      <c r="B3701" s="1347" t="s">
        <v>1108</v>
      </c>
      <c r="D3701" s="1347" t="s">
        <v>1109</v>
      </c>
      <c r="E3701" s="1347" t="s">
        <v>1110</v>
      </c>
    </row>
    <row r="3702" spans="2:5" x14ac:dyDescent="0.45">
      <c r="B3702" s="1347" t="s">
        <v>1108</v>
      </c>
      <c r="D3702" s="1347" t="s">
        <v>1109</v>
      </c>
      <c r="E3702" s="1347" t="s">
        <v>1110</v>
      </c>
    </row>
    <row r="3703" spans="2:5" x14ac:dyDescent="0.45">
      <c r="B3703" s="1347" t="s">
        <v>1108</v>
      </c>
      <c r="D3703" s="1347" t="s">
        <v>1109</v>
      </c>
      <c r="E3703" s="1347" t="s">
        <v>1110</v>
      </c>
    </row>
    <row r="3704" spans="2:5" x14ac:dyDescent="0.45">
      <c r="B3704" s="1347" t="s">
        <v>1108</v>
      </c>
      <c r="D3704" s="1347" t="s">
        <v>1109</v>
      </c>
      <c r="E3704" s="1347" t="s">
        <v>1110</v>
      </c>
    </row>
    <row r="3705" spans="2:5" x14ac:dyDescent="0.45">
      <c r="B3705" s="1347" t="s">
        <v>1108</v>
      </c>
      <c r="D3705" s="1347" t="s">
        <v>1109</v>
      </c>
      <c r="E3705" s="1347" t="s">
        <v>1110</v>
      </c>
    </row>
    <row r="3706" spans="2:5" x14ac:dyDescent="0.45">
      <c r="B3706" s="1347" t="s">
        <v>1108</v>
      </c>
      <c r="D3706" s="1347" t="s">
        <v>1109</v>
      </c>
      <c r="E3706" s="1347" t="s">
        <v>1110</v>
      </c>
    </row>
    <row r="3707" spans="2:5" x14ac:dyDescent="0.45">
      <c r="B3707" s="1347" t="s">
        <v>1108</v>
      </c>
      <c r="D3707" s="1347" t="s">
        <v>1109</v>
      </c>
      <c r="E3707" s="1347" t="s">
        <v>1110</v>
      </c>
    </row>
    <row r="3708" spans="2:5" x14ac:dyDescent="0.45">
      <c r="B3708" s="1347" t="s">
        <v>1108</v>
      </c>
      <c r="D3708" s="1347" t="s">
        <v>1109</v>
      </c>
      <c r="E3708" s="1347" t="s">
        <v>1110</v>
      </c>
    </row>
    <row r="3709" spans="2:5" x14ac:dyDescent="0.45">
      <c r="B3709" s="1347" t="s">
        <v>1108</v>
      </c>
      <c r="D3709" s="1347" t="s">
        <v>1109</v>
      </c>
      <c r="E3709" s="1347" t="s">
        <v>1110</v>
      </c>
    </row>
    <row r="3710" spans="2:5" x14ac:dyDescent="0.45">
      <c r="B3710" s="1347" t="s">
        <v>1108</v>
      </c>
      <c r="D3710" s="1347" t="s">
        <v>1109</v>
      </c>
      <c r="E3710" s="1347" t="s">
        <v>1110</v>
      </c>
    </row>
    <row r="3711" spans="2:5" x14ac:dyDescent="0.45">
      <c r="B3711" s="1347" t="s">
        <v>1108</v>
      </c>
      <c r="D3711" s="1347" t="s">
        <v>1109</v>
      </c>
      <c r="E3711" s="1347" t="s">
        <v>1110</v>
      </c>
    </row>
    <row r="3712" spans="2:5" x14ac:dyDescent="0.45">
      <c r="B3712" s="1347" t="s">
        <v>1108</v>
      </c>
      <c r="D3712" s="1347" t="s">
        <v>1109</v>
      </c>
      <c r="E3712" s="1347" t="s">
        <v>1110</v>
      </c>
    </row>
    <row r="3713" spans="2:5" x14ac:dyDescent="0.45">
      <c r="B3713" s="1347" t="s">
        <v>1108</v>
      </c>
      <c r="D3713" s="1347" t="s">
        <v>1109</v>
      </c>
      <c r="E3713" s="1347" t="s">
        <v>1110</v>
      </c>
    </row>
    <row r="3714" spans="2:5" x14ac:dyDescent="0.45">
      <c r="B3714" s="1347" t="s">
        <v>1108</v>
      </c>
      <c r="D3714" s="1347" t="s">
        <v>1109</v>
      </c>
      <c r="E3714" s="1347" t="s">
        <v>1110</v>
      </c>
    </row>
    <row r="3715" spans="2:5" x14ac:dyDescent="0.45">
      <c r="B3715" s="1347" t="s">
        <v>1108</v>
      </c>
      <c r="D3715" s="1347" t="s">
        <v>1109</v>
      </c>
      <c r="E3715" s="1347" t="s">
        <v>1110</v>
      </c>
    </row>
    <row r="3716" spans="2:5" x14ac:dyDescent="0.45">
      <c r="B3716" s="1347" t="s">
        <v>1108</v>
      </c>
      <c r="D3716" s="1347" t="s">
        <v>1109</v>
      </c>
      <c r="E3716" s="1347" t="s">
        <v>1110</v>
      </c>
    </row>
    <row r="3717" spans="2:5" x14ac:dyDescent="0.45">
      <c r="B3717" s="1347" t="s">
        <v>1108</v>
      </c>
      <c r="D3717" s="1347" t="s">
        <v>1109</v>
      </c>
      <c r="E3717" s="1347" t="s">
        <v>1110</v>
      </c>
    </row>
    <row r="3718" spans="2:5" x14ac:dyDescent="0.45">
      <c r="B3718" s="1347" t="s">
        <v>1108</v>
      </c>
      <c r="D3718" s="1347" t="s">
        <v>1109</v>
      </c>
      <c r="E3718" s="1347" t="s">
        <v>1110</v>
      </c>
    </row>
    <row r="3719" spans="2:5" x14ac:dyDescent="0.45">
      <c r="B3719" s="1347" t="s">
        <v>1108</v>
      </c>
      <c r="D3719" s="1347" t="s">
        <v>1109</v>
      </c>
      <c r="E3719" s="1347" t="s">
        <v>1110</v>
      </c>
    </row>
    <row r="3720" spans="2:5" x14ac:dyDescent="0.45">
      <c r="B3720" s="1347" t="s">
        <v>1108</v>
      </c>
      <c r="D3720" s="1347" t="s">
        <v>1109</v>
      </c>
      <c r="E3720" s="1347" t="s">
        <v>1110</v>
      </c>
    </row>
    <row r="3721" spans="2:5" x14ac:dyDescent="0.45">
      <c r="B3721" s="1347" t="s">
        <v>1108</v>
      </c>
      <c r="D3721" s="1347" t="s">
        <v>1109</v>
      </c>
      <c r="E3721" s="1347" t="s">
        <v>1110</v>
      </c>
    </row>
    <row r="3722" spans="2:5" x14ac:dyDescent="0.45">
      <c r="B3722" s="1347" t="s">
        <v>1108</v>
      </c>
      <c r="D3722" s="1347" t="s">
        <v>1109</v>
      </c>
      <c r="E3722" s="1347" t="s">
        <v>1110</v>
      </c>
    </row>
    <row r="3723" spans="2:5" x14ac:dyDescent="0.45">
      <c r="B3723" s="1347" t="s">
        <v>1108</v>
      </c>
      <c r="D3723" s="1347" t="s">
        <v>1109</v>
      </c>
      <c r="E3723" s="1347" t="s">
        <v>1110</v>
      </c>
    </row>
    <row r="3724" spans="2:5" x14ac:dyDescent="0.45">
      <c r="B3724" s="1347" t="s">
        <v>1108</v>
      </c>
      <c r="D3724" s="1347" t="s">
        <v>1109</v>
      </c>
      <c r="E3724" s="1347" t="s">
        <v>1110</v>
      </c>
    </row>
    <row r="3725" spans="2:5" x14ac:dyDescent="0.45">
      <c r="B3725" s="1347" t="s">
        <v>1108</v>
      </c>
      <c r="D3725" s="1347" t="s">
        <v>1109</v>
      </c>
      <c r="E3725" s="1347" t="s">
        <v>1110</v>
      </c>
    </row>
    <row r="3726" spans="2:5" x14ac:dyDescent="0.45">
      <c r="B3726" s="1347" t="s">
        <v>1108</v>
      </c>
      <c r="D3726" s="1347" t="s">
        <v>1109</v>
      </c>
      <c r="E3726" s="1347" t="s">
        <v>1110</v>
      </c>
    </row>
    <row r="3727" spans="2:5" x14ac:dyDescent="0.45">
      <c r="B3727" s="1347" t="s">
        <v>1108</v>
      </c>
      <c r="D3727" s="1347" t="s">
        <v>1109</v>
      </c>
      <c r="E3727" s="1347" t="s">
        <v>1110</v>
      </c>
    </row>
    <row r="3728" spans="2:5" x14ac:dyDescent="0.45">
      <c r="B3728" s="1347" t="s">
        <v>1108</v>
      </c>
      <c r="D3728" s="1347" t="s">
        <v>1109</v>
      </c>
      <c r="E3728" s="1347" t="s">
        <v>1110</v>
      </c>
    </row>
    <row r="3729" spans="2:5" x14ac:dyDescent="0.45">
      <c r="B3729" s="1347" t="s">
        <v>1108</v>
      </c>
      <c r="D3729" s="1347" t="s">
        <v>1109</v>
      </c>
      <c r="E3729" s="1347" t="s">
        <v>1110</v>
      </c>
    </row>
    <row r="3730" spans="2:5" x14ac:dyDescent="0.45">
      <c r="B3730" s="1347" t="s">
        <v>1108</v>
      </c>
      <c r="D3730" s="1347" t="s">
        <v>1109</v>
      </c>
      <c r="E3730" s="1347" t="s">
        <v>1110</v>
      </c>
    </row>
    <row r="3731" spans="2:5" x14ac:dyDescent="0.45">
      <c r="B3731" s="1347" t="s">
        <v>1108</v>
      </c>
      <c r="D3731" s="1347" t="s">
        <v>1109</v>
      </c>
      <c r="E3731" s="1347" t="s">
        <v>1110</v>
      </c>
    </row>
    <row r="3732" spans="2:5" x14ac:dyDescent="0.45">
      <c r="B3732" s="1347" t="s">
        <v>1108</v>
      </c>
      <c r="D3732" s="1347" t="s">
        <v>1109</v>
      </c>
      <c r="E3732" s="1347" t="s">
        <v>1110</v>
      </c>
    </row>
    <row r="3733" spans="2:5" x14ac:dyDescent="0.45">
      <c r="B3733" s="1347" t="s">
        <v>1108</v>
      </c>
      <c r="D3733" s="1347" t="s">
        <v>1109</v>
      </c>
      <c r="E3733" s="1347" t="s">
        <v>1110</v>
      </c>
    </row>
    <row r="3734" spans="2:5" x14ac:dyDescent="0.45">
      <c r="B3734" s="1347" t="s">
        <v>1108</v>
      </c>
      <c r="D3734" s="1347" t="s">
        <v>1109</v>
      </c>
      <c r="E3734" s="1347" t="s">
        <v>1110</v>
      </c>
    </row>
    <row r="3735" spans="2:5" x14ac:dyDescent="0.45">
      <c r="B3735" s="1347" t="s">
        <v>1108</v>
      </c>
      <c r="D3735" s="1347" t="s">
        <v>1109</v>
      </c>
      <c r="E3735" s="1347" t="s">
        <v>1110</v>
      </c>
    </row>
    <row r="3736" spans="2:5" x14ac:dyDescent="0.45">
      <c r="B3736" s="1347" t="s">
        <v>1108</v>
      </c>
      <c r="D3736" s="1347" t="s">
        <v>1109</v>
      </c>
      <c r="E3736" s="1347" t="s">
        <v>1110</v>
      </c>
    </row>
    <row r="3737" spans="2:5" x14ac:dyDescent="0.45">
      <c r="B3737" s="1347" t="s">
        <v>1108</v>
      </c>
      <c r="D3737" s="1347" t="s">
        <v>1109</v>
      </c>
      <c r="E3737" s="1347" t="s">
        <v>1110</v>
      </c>
    </row>
    <row r="3738" spans="2:5" x14ac:dyDescent="0.45">
      <c r="B3738" s="1347" t="s">
        <v>1108</v>
      </c>
      <c r="D3738" s="1347" t="s">
        <v>1109</v>
      </c>
      <c r="E3738" s="1347" t="s">
        <v>1110</v>
      </c>
    </row>
    <row r="3739" spans="2:5" x14ac:dyDescent="0.45">
      <c r="B3739" s="1347" t="s">
        <v>1108</v>
      </c>
      <c r="D3739" s="1347" t="s">
        <v>1109</v>
      </c>
      <c r="E3739" s="1347" t="s">
        <v>1110</v>
      </c>
    </row>
    <row r="3740" spans="2:5" x14ac:dyDescent="0.45">
      <c r="B3740" s="1347" t="s">
        <v>1108</v>
      </c>
      <c r="D3740" s="1347" t="s">
        <v>1109</v>
      </c>
      <c r="E3740" s="1347" t="s">
        <v>1110</v>
      </c>
    </row>
    <row r="3741" spans="2:5" x14ac:dyDescent="0.45">
      <c r="B3741" s="1347" t="s">
        <v>1108</v>
      </c>
      <c r="D3741" s="1347" t="s">
        <v>1109</v>
      </c>
      <c r="E3741" s="1347" t="s">
        <v>1110</v>
      </c>
    </row>
    <row r="3742" spans="2:5" x14ac:dyDescent="0.45">
      <c r="B3742" s="1347" t="s">
        <v>1108</v>
      </c>
      <c r="D3742" s="1347" t="s">
        <v>1109</v>
      </c>
      <c r="E3742" s="1347" t="s">
        <v>1110</v>
      </c>
    </row>
    <row r="3743" spans="2:5" x14ac:dyDescent="0.45">
      <c r="B3743" s="1347" t="s">
        <v>1108</v>
      </c>
      <c r="D3743" s="1347" t="s">
        <v>1109</v>
      </c>
      <c r="E3743" s="1347" t="s">
        <v>1110</v>
      </c>
    </row>
    <row r="3744" spans="2:5" x14ac:dyDescent="0.45">
      <c r="B3744" s="1347" t="s">
        <v>1108</v>
      </c>
      <c r="D3744" s="1347" t="s">
        <v>1109</v>
      </c>
      <c r="E3744" s="1347" t="s">
        <v>1110</v>
      </c>
    </row>
    <row r="3745" spans="2:5" x14ac:dyDescent="0.45">
      <c r="B3745" s="1347" t="s">
        <v>1108</v>
      </c>
      <c r="D3745" s="1347" t="s">
        <v>1109</v>
      </c>
      <c r="E3745" s="1347" t="s">
        <v>1110</v>
      </c>
    </row>
    <row r="3746" spans="2:5" x14ac:dyDescent="0.45">
      <c r="B3746" s="1347" t="s">
        <v>1108</v>
      </c>
      <c r="D3746" s="1347" t="s">
        <v>1109</v>
      </c>
      <c r="E3746" s="1347" t="s">
        <v>1110</v>
      </c>
    </row>
    <row r="3747" spans="2:5" x14ac:dyDescent="0.45">
      <c r="B3747" s="1347" t="s">
        <v>1108</v>
      </c>
      <c r="D3747" s="1347" t="s">
        <v>1109</v>
      </c>
      <c r="E3747" s="1347" t="s">
        <v>1110</v>
      </c>
    </row>
    <row r="3748" spans="2:5" x14ac:dyDescent="0.45">
      <c r="B3748" s="1347" t="s">
        <v>1108</v>
      </c>
      <c r="D3748" s="1347" t="s">
        <v>1109</v>
      </c>
      <c r="E3748" s="1347" t="s">
        <v>1110</v>
      </c>
    </row>
    <row r="3749" spans="2:5" x14ac:dyDescent="0.45">
      <c r="B3749" s="1347" t="s">
        <v>1108</v>
      </c>
      <c r="D3749" s="1347" t="s">
        <v>1109</v>
      </c>
      <c r="E3749" s="1347" t="s">
        <v>1110</v>
      </c>
    </row>
    <row r="3750" spans="2:5" x14ac:dyDescent="0.45">
      <c r="B3750" s="1347" t="s">
        <v>1108</v>
      </c>
      <c r="D3750" s="1347" t="s">
        <v>1109</v>
      </c>
      <c r="E3750" s="1347" t="s">
        <v>1110</v>
      </c>
    </row>
    <row r="3751" spans="2:5" x14ac:dyDescent="0.45">
      <c r="B3751" s="1347" t="s">
        <v>1108</v>
      </c>
      <c r="D3751" s="1347" t="s">
        <v>1109</v>
      </c>
      <c r="E3751" s="1347" t="s">
        <v>1110</v>
      </c>
    </row>
    <row r="3752" spans="2:5" x14ac:dyDescent="0.45">
      <c r="B3752" s="1347" t="s">
        <v>1108</v>
      </c>
      <c r="D3752" s="1347" t="s">
        <v>1109</v>
      </c>
      <c r="E3752" s="1347" t="s">
        <v>1110</v>
      </c>
    </row>
    <row r="3753" spans="2:5" x14ac:dyDescent="0.45">
      <c r="B3753" s="1347" t="s">
        <v>1108</v>
      </c>
      <c r="D3753" s="1347" t="s">
        <v>1109</v>
      </c>
      <c r="E3753" s="1347" t="s">
        <v>1110</v>
      </c>
    </row>
    <row r="3754" spans="2:5" x14ac:dyDescent="0.45">
      <c r="B3754" s="1347" t="s">
        <v>1108</v>
      </c>
      <c r="D3754" s="1347" t="s">
        <v>1109</v>
      </c>
      <c r="E3754" s="1347" t="s">
        <v>1110</v>
      </c>
    </row>
    <row r="3755" spans="2:5" x14ac:dyDescent="0.45">
      <c r="B3755" s="1347" t="s">
        <v>1108</v>
      </c>
      <c r="D3755" s="1347" t="s">
        <v>1109</v>
      </c>
      <c r="E3755" s="1347" t="s">
        <v>1110</v>
      </c>
    </row>
    <row r="3756" spans="2:5" x14ac:dyDescent="0.45">
      <c r="B3756" s="1347" t="s">
        <v>1108</v>
      </c>
      <c r="D3756" s="1347" t="s">
        <v>1109</v>
      </c>
      <c r="E3756" s="1347" t="s">
        <v>1110</v>
      </c>
    </row>
    <row r="3757" spans="2:5" x14ac:dyDescent="0.45">
      <c r="B3757" s="1347" t="s">
        <v>1108</v>
      </c>
      <c r="D3757" s="1347" t="s">
        <v>1109</v>
      </c>
      <c r="E3757" s="1347" t="s">
        <v>1110</v>
      </c>
    </row>
    <row r="3758" spans="2:5" x14ac:dyDescent="0.45">
      <c r="B3758" s="1347" t="s">
        <v>1108</v>
      </c>
      <c r="D3758" s="1347" t="s">
        <v>1109</v>
      </c>
      <c r="E3758" s="1347" t="s">
        <v>1110</v>
      </c>
    </row>
    <row r="3759" spans="2:5" x14ac:dyDescent="0.45">
      <c r="B3759" s="1347" t="s">
        <v>1108</v>
      </c>
      <c r="D3759" s="1347" t="s">
        <v>1109</v>
      </c>
      <c r="E3759" s="1347" t="s">
        <v>1110</v>
      </c>
    </row>
    <row r="3760" spans="2:5" x14ac:dyDescent="0.45">
      <c r="B3760" s="1347" t="s">
        <v>1108</v>
      </c>
      <c r="D3760" s="1347" t="s">
        <v>1109</v>
      </c>
      <c r="E3760" s="1347" t="s">
        <v>1110</v>
      </c>
    </row>
    <row r="3761" spans="1:5" x14ac:dyDescent="0.45">
      <c r="B3761" s="1347" t="s">
        <v>1108</v>
      </c>
      <c r="D3761" s="1347" t="s">
        <v>1109</v>
      </c>
      <c r="E3761" s="1347" t="s">
        <v>1110</v>
      </c>
    </row>
    <row r="3762" spans="1:5" x14ac:dyDescent="0.45">
      <c r="B3762" s="1347" t="s">
        <v>1108</v>
      </c>
      <c r="D3762" s="1347" t="s">
        <v>1109</v>
      </c>
      <c r="E3762" s="1347" t="s">
        <v>1110</v>
      </c>
    </row>
    <row r="3763" spans="1:5" x14ac:dyDescent="0.45">
      <c r="A3763" s="1347" t="s">
        <v>1105</v>
      </c>
      <c r="B3763" s="1347" t="s">
        <v>5357</v>
      </c>
      <c r="C3763" s="1347" t="s">
        <v>1105</v>
      </c>
      <c r="D3763" s="1347" t="s">
        <v>5358</v>
      </c>
      <c r="E3763" s="1347" t="s">
        <v>5359</v>
      </c>
    </row>
    <row r="3764" spans="1:5" x14ac:dyDescent="0.45">
      <c r="B3764" s="1347" t="s">
        <v>5360</v>
      </c>
      <c r="C3764" s="1347" t="s">
        <v>1105</v>
      </c>
      <c r="D3764" s="1347" t="s">
        <v>5361</v>
      </c>
      <c r="E3764" s="1347" t="s">
        <v>5362</v>
      </c>
    </row>
    <row r="3765" spans="1:5" x14ac:dyDescent="0.45">
      <c r="B3765" s="1347" t="s">
        <v>1108</v>
      </c>
      <c r="D3765" s="1347" t="s">
        <v>5363</v>
      </c>
      <c r="E3765" s="1347" t="s">
        <v>5364</v>
      </c>
    </row>
    <row r="3766" spans="1:5" x14ac:dyDescent="0.45">
      <c r="B3766" s="1347" t="s">
        <v>5365</v>
      </c>
      <c r="D3766" s="1347">
        <f>-424   -932   -757   -37</f>
        <v>-2150</v>
      </c>
      <c r="E3766" s="1347" t="s">
        <v>5366</v>
      </c>
    </row>
    <row r="3767" spans="1:5" x14ac:dyDescent="0.45">
      <c r="B3767" s="1347" t="s">
        <v>1108</v>
      </c>
      <c r="D3767" s="1347" t="s">
        <v>5367</v>
      </c>
      <c r="E3767" s="1347" t="s">
        <v>5368</v>
      </c>
    </row>
    <row r="3768" spans="1:5" x14ac:dyDescent="0.45">
      <c r="B3768" s="1347" t="s">
        <v>1108</v>
      </c>
      <c r="D3768" s="1347" t="s">
        <v>5369</v>
      </c>
      <c r="E3768" s="1347" t="s">
        <v>5370</v>
      </c>
    </row>
    <row r="3769" spans="1:5" x14ac:dyDescent="0.45">
      <c r="B3769" s="1347" t="s">
        <v>5371</v>
      </c>
      <c r="C3769" s="1347" t="s">
        <v>1105</v>
      </c>
      <c r="D3769" s="1347" t="s">
        <v>5372</v>
      </c>
      <c r="E3769" s="1347" t="s">
        <v>5373</v>
      </c>
    </row>
    <row r="3770" spans="1:5" x14ac:dyDescent="0.45">
      <c r="A3770" s="1347">
        <v>-1</v>
      </c>
      <c r="B3770" s="1347" t="s">
        <v>5374</v>
      </c>
      <c r="D3770" s="1347" t="s">
        <v>5375</v>
      </c>
      <c r="E3770" s="1347" t="s">
        <v>5376</v>
      </c>
    </row>
    <row r="3771" spans="1:5" x14ac:dyDescent="0.45">
      <c r="B3771" s="1347" t="s">
        <v>5377</v>
      </c>
      <c r="D3771" s="1347" t="s">
        <v>5378</v>
      </c>
      <c r="E3771" s="1347" t="s">
        <v>4071</v>
      </c>
    </row>
    <row r="3772" spans="1:5" x14ac:dyDescent="0.45">
      <c r="B3772" s="1347" t="s">
        <v>5379</v>
      </c>
      <c r="D3772" s="1347" t="s">
        <v>5380</v>
      </c>
      <c r="E3772" s="1347" t="s">
        <v>5381</v>
      </c>
    </row>
    <row r="3773" spans="1:5" x14ac:dyDescent="0.45">
      <c r="B3773" s="1347" t="s">
        <v>5382</v>
      </c>
      <c r="C3773" s="1347" t="s">
        <v>1105</v>
      </c>
      <c r="D3773" s="1347" t="s">
        <v>5383</v>
      </c>
      <c r="E3773" s="1347" t="s">
        <v>5384</v>
      </c>
    </row>
    <row r="3774" spans="1:5" x14ac:dyDescent="0.45">
      <c r="B3774" s="1347" t="s">
        <v>2325</v>
      </c>
      <c r="D3774" s="1347" t="s">
        <v>5385</v>
      </c>
      <c r="E3774" s="1347" t="s">
        <v>5386</v>
      </c>
    </row>
    <row r="3775" spans="1:5" x14ac:dyDescent="0.45">
      <c r="B3775" s="1347" t="s">
        <v>1108</v>
      </c>
      <c r="D3775" s="1347" t="s">
        <v>5387</v>
      </c>
      <c r="E3775" s="1347" t="s">
        <v>5388</v>
      </c>
    </row>
    <row r="3776" spans="1:5" x14ac:dyDescent="0.45">
      <c r="B3776" s="1347">
        <f>-98   -451</f>
        <v>-549</v>
      </c>
      <c r="D3776" s="1347" t="s">
        <v>5389</v>
      </c>
      <c r="E3776" s="1347" t="s">
        <v>5390</v>
      </c>
    </row>
    <row r="3777" spans="1:5" x14ac:dyDescent="0.45">
      <c r="B3777" s="1347" t="s">
        <v>5391</v>
      </c>
      <c r="D3777" s="1347" t="s">
        <v>5392</v>
      </c>
      <c r="E3777" s="1347" t="s">
        <v>5393</v>
      </c>
    </row>
    <row r="3778" spans="1:5" x14ac:dyDescent="0.45">
      <c r="A3778" s="1347" t="s">
        <v>1105</v>
      </c>
      <c r="B3778" s="1347" t="s">
        <v>5394</v>
      </c>
      <c r="D3778" s="1347" t="s">
        <v>1109</v>
      </c>
      <c r="E3778" s="1347" t="s">
        <v>5395</v>
      </c>
    </row>
    <row r="3779" spans="1:5" x14ac:dyDescent="0.45">
      <c r="B3779" s="1347" t="s">
        <v>5396</v>
      </c>
      <c r="D3779" s="1347" t="s">
        <v>5397</v>
      </c>
      <c r="E3779" s="1347" t="s">
        <v>5398</v>
      </c>
    </row>
    <row r="3780" spans="1:5" x14ac:dyDescent="0.45">
      <c r="A3780" s="1347" t="s">
        <v>1105</v>
      </c>
      <c r="B3780" s="1347" t="s">
        <v>5399</v>
      </c>
      <c r="D3780" s="1347" t="s">
        <v>5400</v>
      </c>
      <c r="E3780" s="1347" t="s">
        <v>5401</v>
      </c>
    </row>
    <row r="3781" spans="1:5" x14ac:dyDescent="0.45">
      <c r="A3781" s="1347">
        <v>-5</v>
      </c>
      <c r="B3781" s="1347" t="s">
        <v>2422</v>
      </c>
      <c r="D3781" s="1347" t="s">
        <v>4455</v>
      </c>
      <c r="E3781" s="1347" t="s">
        <v>1110</v>
      </c>
    </row>
    <row r="3782" spans="1:5" x14ac:dyDescent="0.45">
      <c r="B3782" s="1347" t="s">
        <v>3701</v>
      </c>
      <c r="D3782" s="1347" t="s">
        <v>5402</v>
      </c>
      <c r="E3782" s="1347" t="s">
        <v>5403</v>
      </c>
    </row>
    <row r="3783" spans="1:5" x14ac:dyDescent="0.45">
      <c r="B3783" s="1347" t="s">
        <v>1108</v>
      </c>
      <c r="D3783" s="1347" t="s">
        <v>5404</v>
      </c>
      <c r="E3783" s="1347" t="s">
        <v>5405</v>
      </c>
    </row>
    <row r="3784" spans="1:5" x14ac:dyDescent="0.45">
      <c r="B3784" s="1347" t="s">
        <v>1108</v>
      </c>
      <c r="D3784" s="1347" t="s">
        <v>5406</v>
      </c>
      <c r="E3784" s="1347" t="s">
        <v>5407</v>
      </c>
    </row>
    <row r="3785" spans="1:5" x14ac:dyDescent="0.45">
      <c r="A3785" s="1347" t="s">
        <v>1105</v>
      </c>
      <c r="B3785" s="1347" t="s">
        <v>5408</v>
      </c>
      <c r="D3785" s="1347" t="s">
        <v>5409</v>
      </c>
      <c r="E3785" s="1347" t="s">
        <v>5410</v>
      </c>
    </row>
    <row r="3786" spans="1:5" x14ac:dyDescent="0.45">
      <c r="A3786" s="1347">
        <v>11</v>
      </c>
      <c r="B3786" s="1347" t="s">
        <v>5411</v>
      </c>
      <c r="C3786" s="1347" t="s">
        <v>1105</v>
      </c>
      <c r="D3786" s="1347" t="s">
        <v>5412</v>
      </c>
      <c r="E3786" s="1347" t="s">
        <v>5413</v>
      </c>
    </row>
    <row r="3787" spans="1:5" x14ac:dyDescent="0.45">
      <c r="B3787" s="1347" t="s">
        <v>1108</v>
      </c>
      <c r="D3787" s="1347" t="s">
        <v>5414</v>
      </c>
      <c r="E3787" s="1347" t="s">
        <v>5415</v>
      </c>
    </row>
    <row r="3788" spans="1:5" x14ac:dyDescent="0.45">
      <c r="B3788" s="1347" t="s">
        <v>1108</v>
      </c>
      <c r="D3788" s="1347" t="s">
        <v>5416</v>
      </c>
      <c r="E3788" s="1347" t="s">
        <v>1220</v>
      </c>
    </row>
    <row r="3789" spans="1:5" x14ac:dyDescent="0.45">
      <c r="B3789" s="1347" t="s">
        <v>1108</v>
      </c>
      <c r="D3789" s="1347" t="s">
        <v>1109</v>
      </c>
      <c r="E3789" s="1347" t="s">
        <v>1110</v>
      </c>
    </row>
    <row r="3790" spans="1:5" x14ac:dyDescent="0.45">
      <c r="B3790" s="1347" t="s">
        <v>1108</v>
      </c>
      <c r="D3790" s="1347" t="s">
        <v>1109</v>
      </c>
      <c r="E3790" s="1347" t="s">
        <v>1110</v>
      </c>
    </row>
    <row r="3791" spans="1:5" x14ac:dyDescent="0.45">
      <c r="B3791" s="1347" t="s">
        <v>1108</v>
      </c>
      <c r="D3791" s="1347" t="s">
        <v>1109</v>
      </c>
      <c r="E3791" s="1347" t="s">
        <v>1110</v>
      </c>
    </row>
    <row r="3792" spans="1:5" x14ac:dyDescent="0.45">
      <c r="B3792" s="1347" t="s">
        <v>1108</v>
      </c>
      <c r="D3792" s="1347" t="s">
        <v>1109</v>
      </c>
      <c r="E3792" s="1347" t="s">
        <v>1110</v>
      </c>
    </row>
    <row r="3793" spans="2:5" x14ac:dyDescent="0.45">
      <c r="B3793" s="1347" t="s">
        <v>1108</v>
      </c>
      <c r="D3793" s="1347" t="s">
        <v>1109</v>
      </c>
      <c r="E3793" s="1347" t="s">
        <v>1110</v>
      </c>
    </row>
    <row r="3794" spans="2:5" x14ac:dyDescent="0.45">
      <c r="B3794" s="1347" t="s">
        <v>1108</v>
      </c>
      <c r="D3794" s="1347" t="s">
        <v>1109</v>
      </c>
      <c r="E3794" s="1347" t="s">
        <v>1110</v>
      </c>
    </row>
    <row r="3795" spans="2:5" x14ac:dyDescent="0.45">
      <c r="B3795" s="1347" t="s">
        <v>1108</v>
      </c>
      <c r="D3795" s="1347" t="s">
        <v>1109</v>
      </c>
      <c r="E3795" s="1347" t="s">
        <v>1110</v>
      </c>
    </row>
    <row r="3796" spans="2:5" x14ac:dyDescent="0.45">
      <c r="B3796" s="1347" t="s">
        <v>1108</v>
      </c>
      <c r="D3796" s="1347" t="s">
        <v>1109</v>
      </c>
      <c r="E3796" s="1347" t="s">
        <v>1110</v>
      </c>
    </row>
    <row r="3797" spans="2:5" x14ac:dyDescent="0.45">
      <c r="B3797" s="1347" t="s">
        <v>1108</v>
      </c>
      <c r="D3797" s="1347" t="s">
        <v>1109</v>
      </c>
      <c r="E3797" s="1347" t="s">
        <v>1110</v>
      </c>
    </row>
    <row r="3798" spans="2:5" x14ac:dyDescent="0.45">
      <c r="B3798" s="1347" t="s">
        <v>1108</v>
      </c>
      <c r="D3798" s="1347" t="s">
        <v>1109</v>
      </c>
      <c r="E3798" s="1347" t="s">
        <v>1110</v>
      </c>
    </row>
    <row r="3799" spans="2:5" x14ac:dyDescent="0.45">
      <c r="B3799" s="1347" t="s">
        <v>1108</v>
      </c>
      <c r="D3799" s="1347" t="s">
        <v>1109</v>
      </c>
      <c r="E3799" s="1347" t="s">
        <v>1110</v>
      </c>
    </row>
    <row r="3800" spans="2:5" x14ac:dyDescent="0.45">
      <c r="B3800" s="1347" t="s">
        <v>1108</v>
      </c>
      <c r="D3800" s="1347" t="s">
        <v>1109</v>
      </c>
      <c r="E3800" s="1347" t="s">
        <v>1110</v>
      </c>
    </row>
    <row r="3801" spans="2:5" x14ac:dyDescent="0.45">
      <c r="B3801" s="1347" t="s">
        <v>1108</v>
      </c>
      <c r="D3801" s="1347" t="s">
        <v>1109</v>
      </c>
      <c r="E3801" s="1347" t="s">
        <v>1110</v>
      </c>
    </row>
    <row r="3802" spans="2:5" x14ac:dyDescent="0.45">
      <c r="B3802" s="1347" t="s">
        <v>1108</v>
      </c>
      <c r="D3802" s="1347" t="s">
        <v>1109</v>
      </c>
      <c r="E3802" s="1347" t="s">
        <v>1110</v>
      </c>
    </row>
    <row r="3803" spans="2:5" x14ac:dyDescent="0.45">
      <c r="B3803" s="1347" t="s">
        <v>1108</v>
      </c>
      <c r="D3803" s="1347" t="s">
        <v>1109</v>
      </c>
      <c r="E3803" s="1347" t="s">
        <v>1110</v>
      </c>
    </row>
    <row r="3804" spans="2:5" x14ac:dyDescent="0.45">
      <c r="B3804" s="1347" t="s">
        <v>1108</v>
      </c>
      <c r="D3804" s="1347" t="s">
        <v>1109</v>
      </c>
      <c r="E3804" s="1347" t="s">
        <v>1110</v>
      </c>
    </row>
    <row r="3805" spans="2:5" x14ac:dyDescent="0.45">
      <c r="B3805" s="1347" t="s">
        <v>1108</v>
      </c>
      <c r="D3805" s="1347" t="s">
        <v>1109</v>
      </c>
      <c r="E3805" s="1347" t="s">
        <v>1110</v>
      </c>
    </row>
    <row r="3806" spans="2:5" x14ac:dyDescent="0.45">
      <c r="B3806" s="1347" t="s">
        <v>1108</v>
      </c>
      <c r="D3806" s="1347" t="s">
        <v>1109</v>
      </c>
      <c r="E3806" s="1347" t="s">
        <v>1110</v>
      </c>
    </row>
    <row r="3807" spans="2:5" x14ac:dyDescent="0.45">
      <c r="B3807" s="1347" t="s">
        <v>1108</v>
      </c>
      <c r="D3807" s="1347" t="s">
        <v>1109</v>
      </c>
      <c r="E3807" s="1347" t="s">
        <v>1110</v>
      </c>
    </row>
    <row r="3808" spans="2:5" x14ac:dyDescent="0.45">
      <c r="B3808" s="1347" t="s">
        <v>1108</v>
      </c>
      <c r="D3808" s="1347" t="s">
        <v>1109</v>
      </c>
      <c r="E3808" s="1347" t="s">
        <v>1110</v>
      </c>
    </row>
    <row r="3809" spans="1:5" x14ac:dyDescent="0.45">
      <c r="B3809" s="1347" t="s">
        <v>1108</v>
      </c>
      <c r="D3809" s="1347" t="s">
        <v>1109</v>
      </c>
      <c r="E3809" s="1347" t="s">
        <v>1110</v>
      </c>
    </row>
    <row r="3810" spans="1:5" x14ac:dyDescent="0.45">
      <c r="B3810" s="1347" t="s">
        <v>1108</v>
      </c>
      <c r="D3810" s="1347" t="s">
        <v>1109</v>
      </c>
      <c r="E3810" s="1347" t="s">
        <v>1110</v>
      </c>
    </row>
    <row r="3811" spans="1:5" x14ac:dyDescent="0.45">
      <c r="B3811" s="1347" t="s">
        <v>1108</v>
      </c>
      <c r="D3811" s="1347" t="s">
        <v>1109</v>
      </c>
      <c r="E3811" s="1347" t="s">
        <v>1110</v>
      </c>
    </row>
    <row r="3812" spans="1:5" x14ac:dyDescent="0.45">
      <c r="B3812" s="1347" t="s">
        <v>1108</v>
      </c>
      <c r="D3812" s="1347" t="s">
        <v>1109</v>
      </c>
      <c r="E3812" s="1347" t="s">
        <v>1110</v>
      </c>
    </row>
    <row r="3813" spans="1:5" x14ac:dyDescent="0.45">
      <c r="B3813" s="1347" t="s">
        <v>1108</v>
      </c>
      <c r="D3813" s="1347" t="s">
        <v>1109</v>
      </c>
      <c r="E3813" s="1347" t="s">
        <v>1110</v>
      </c>
    </row>
    <row r="3814" spans="1:5" x14ac:dyDescent="0.45">
      <c r="B3814" s="1347" t="s">
        <v>1108</v>
      </c>
      <c r="D3814" s="1347" t="s">
        <v>1109</v>
      </c>
      <c r="E3814" s="1347" t="s">
        <v>1110</v>
      </c>
    </row>
    <row r="3815" spans="1:5" x14ac:dyDescent="0.45">
      <c r="B3815" s="1347" t="s">
        <v>5417</v>
      </c>
      <c r="D3815" s="1347" t="s">
        <v>5418</v>
      </c>
      <c r="E3815" s="1347" t="s">
        <v>5419</v>
      </c>
    </row>
    <row r="3816" spans="1:5" x14ac:dyDescent="0.45">
      <c r="B3816" s="1347" t="s">
        <v>1108</v>
      </c>
      <c r="D3816" s="1347" t="s">
        <v>5420</v>
      </c>
      <c r="E3816" s="1347" t="s">
        <v>1110</v>
      </c>
    </row>
    <row r="3817" spans="1:5" x14ac:dyDescent="0.45">
      <c r="A3817" s="1347" t="s">
        <v>1105</v>
      </c>
      <c r="B3817" s="1347" t="s">
        <v>1659</v>
      </c>
      <c r="D3817" s="1347" t="s">
        <v>5421</v>
      </c>
      <c r="E3817" s="1347" t="s">
        <v>5422</v>
      </c>
    </row>
    <row r="3818" spans="1:5" x14ac:dyDescent="0.45">
      <c r="B3818" s="1347" t="s">
        <v>5423</v>
      </c>
      <c r="D3818" s="1347" t="s">
        <v>5424</v>
      </c>
      <c r="E3818" s="1347" t="s">
        <v>5425</v>
      </c>
    </row>
    <row r="3819" spans="1:5" x14ac:dyDescent="0.45">
      <c r="B3819" s="1347" t="s">
        <v>1108</v>
      </c>
      <c r="D3819" s="1347" t="s">
        <v>5426</v>
      </c>
      <c r="E3819" s="1347" t="s">
        <v>5427</v>
      </c>
    </row>
    <row r="3820" spans="1:5" x14ac:dyDescent="0.45">
      <c r="A3820" s="1347" t="s">
        <v>1105</v>
      </c>
      <c r="B3820" s="1347" t="s">
        <v>3514</v>
      </c>
      <c r="D3820" s="1347" t="s">
        <v>1109</v>
      </c>
      <c r="E3820" s="1347" t="s">
        <v>5428</v>
      </c>
    </row>
    <row r="3821" spans="1:5" x14ac:dyDescent="0.45">
      <c r="B3821" s="1347" t="s">
        <v>1108</v>
      </c>
      <c r="D3821" s="1347" t="s">
        <v>5429</v>
      </c>
      <c r="E3821" s="1347" t="s">
        <v>1275</v>
      </c>
    </row>
    <row r="3822" spans="1:5" x14ac:dyDescent="0.45">
      <c r="A3822" s="1347">
        <v>9</v>
      </c>
      <c r="B3822" s="1347" t="s">
        <v>5430</v>
      </c>
      <c r="D3822" s="1347" t="s">
        <v>5431</v>
      </c>
      <c r="E3822" s="1347" t="s">
        <v>5432</v>
      </c>
    </row>
    <row r="3823" spans="1:5" x14ac:dyDescent="0.45">
      <c r="B3823" s="1347" t="s">
        <v>5433</v>
      </c>
      <c r="D3823" s="1347" t="s">
        <v>5434</v>
      </c>
      <c r="E3823" s="1347" t="s">
        <v>1110</v>
      </c>
    </row>
    <row r="3824" spans="1:5" x14ac:dyDescent="0.45">
      <c r="A3824" s="1347">
        <v>-1</v>
      </c>
      <c r="B3824" s="1347" t="s">
        <v>5435</v>
      </c>
      <c r="D3824" s="1347" t="s">
        <v>5436</v>
      </c>
      <c r="E3824" s="1347" t="s">
        <v>5437</v>
      </c>
    </row>
    <row r="3825" spans="1:5" x14ac:dyDescent="0.45">
      <c r="A3825" s="1347">
        <v>-2</v>
      </c>
      <c r="B3825" s="1347" t="s">
        <v>5438</v>
      </c>
      <c r="C3825" s="1347">
        <v>-3</v>
      </c>
      <c r="D3825" s="1347" t="s">
        <v>5439</v>
      </c>
      <c r="E3825" s="1347" t="s">
        <v>5440</v>
      </c>
    </row>
    <row r="3826" spans="1:5" x14ac:dyDescent="0.45">
      <c r="B3826" s="1347" t="s">
        <v>1108</v>
      </c>
      <c r="D3826" s="1347" t="s">
        <v>5441</v>
      </c>
      <c r="E3826" s="1347" t="s">
        <v>5442</v>
      </c>
    </row>
    <row r="3827" spans="1:5" x14ac:dyDescent="0.45">
      <c r="B3827" s="1347" t="s">
        <v>1108</v>
      </c>
      <c r="D3827" s="1347" t="s">
        <v>5443</v>
      </c>
      <c r="E3827" s="1347" t="s">
        <v>5444</v>
      </c>
    </row>
    <row r="3828" spans="1:5" x14ac:dyDescent="0.45">
      <c r="A3828" s="1347" t="s">
        <v>1105</v>
      </c>
      <c r="B3828" s="1347" t="s">
        <v>5445</v>
      </c>
      <c r="D3828" s="1347" t="s">
        <v>5446</v>
      </c>
      <c r="E3828" s="1347" t="s">
        <v>5447</v>
      </c>
    </row>
    <row r="3829" spans="1:5" x14ac:dyDescent="0.45">
      <c r="B3829" s="1347" t="s">
        <v>1108</v>
      </c>
      <c r="C3829" s="1347" t="s">
        <v>1105</v>
      </c>
      <c r="D3829" s="1347" t="s">
        <v>5448</v>
      </c>
      <c r="E3829" s="1347" t="s">
        <v>5449</v>
      </c>
    </row>
    <row r="3830" spans="1:5" x14ac:dyDescent="0.45">
      <c r="B3830" s="1347" t="s">
        <v>5450</v>
      </c>
      <c r="D3830" s="1347" t="s">
        <v>5451</v>
      </c>
      <c r="E3830" s="1347" t="s">
        <v>5452</v>
      </c>
    </row>
    <row r="3831" spans="1:5" x14ac:dyDescent="0.45">
      <c r="B3831" s="1347" t="s">
        <v>5453</v>
      </c>
      <c r="D3831" s="1347" t="s">
        <v>5454</v>
      </c>
      <c r="E3831" s="1347" t="s">
        <v>5455</v>
      </c>
    </row>
    <row r="3832" spans="1:5" x14ac:dyDescent="0.45">
      <c r="A3832" s="1347">
        <v>-42</v>
      </c>
      <c r="B3832" s="1347" t="s">
        <v>5456</v>
      </c>
      <c r="D3832" s="1347" t="s">
        <v>5457</v>
      </c>
      <c r="E3832" s="1347" t="s">
        <v>5458</v>
      </c>
    </row>
    <row r="3833" spans="1:5" x14ac:dyDescent="0.45">
      <c r="B3833" s="1347" t="s">
        <v>5459</v>
      </c>
      <c r="D3833" s="1347" t="s">
        <v>5460</v>
      </c>
      <c r="E3833" s="1347" t="s">
        <v>1110</v>
      </c>
    </row>
    <row r="3834" spans="1:5" x14ac:dyDescent="0.45">
      <c r="B3834" s="1347" t="s">
        <v>1108</v>
      </c>
      <c r="D3834" s="1347" t="s">
        <v>5461</v>
      </c>
      <c r="E3834" s="1347" t="s">
        <v>5462</v>
      </c>
    </row>
    <row r="3835" spans="1:5" x14ac:dyDescent="0.45">
      <c r="B3835" s="1347" t="s">
        <v>1108</v>
      </c>
      <c r="D3835" s="1347" t="s">
        <v>5463</v>
      </c>
      <c r="E3835" s="1347" t="s">
        <v>5464</v>
      </c>
    </row>
    <row r="3836" spans="1:5" x14ac:dyDescent="0.45">
      <c r="A3836" s="1347">
        <v>1</v>
      </c>
      <c r="B3836" s="1347" t="s">
        <v>1946</v>
      </c>
      <c r="D3836" s="1347" t="s">
        <v>5465</v>
      </c>
      <c r="E3836" s="1347" t="s">
        <v>5466</v>
      </c>
    </row>
    <row r="3837" spans="1:5" x14ac:dyDescent="0.45">
      <c r="A3837" s="1347">
        <v>3</v>
      </c>
      <c r="B3837" s="1347" t="s">
        <v>5467</v>
      </c>
      <c r="D3837" s="1347" t="s">
        <v>1109</v>
      </c>
      <c r="E3837" s="1347" t="s">
        <v>5468</v>
      </c>
    </row>
    <row r="3838" spans="1:5" x14ac:dyDescent="0.45">
      <c r="A3838" s="1347">
        <v>-6</v>
      </c>
      <c r="B3838" s="1347" t="s">
        <v>5469</v>
      </c>
      <c r="D3838" s="1347" t="s">
        <v>5470</v>
      </c>
      <c r="E3838" s="1347" t="s">
        <v>5471</v>
      </c>
    </row>
    <row r="3839" spans="1:5" x14ac:dyDescent="0.45">
      <c r="B3839" s="1347" t="s">
        <v>1108</v>
      </c>
      <c r="D3839" s="1347" t="s">
        <v>5472</v>
      </c>
      <c r="E3839" s="1347" t="s">
        <v>5473</v>
      </c>
    </row>
    <row r="3840" spans="1:5" x14ac:dyDescent="0.45">
      <c r="A3840" s="1347" t="s">
        <v>1105</v>
      </c>
      <c r="B3840" s="1347" t="s">
        <v>5474</v>
      </c>
      <c r="D3840" s="1347" t="s">
        <v>5475</v>
      </c>
      <c r="E3840" s="1347" t="s">
        <v>5476</v>
      </c>
    </row>
    <row r="3841" spans="1:5" x14ac:dyDescent="0.45">
      <c r="B3841" s="1347" t="s">
        <v>5477</v>
      </c>
      <c r="D3841" s="1347" t="s">
        <v>5478</v>
      </c>
      <c r="E3841" s="1347" t="s">
        <v>5479</v>
      </c>
    </row>
    <row r="3842" spans="1:5" x14ac:dyDescent="0.45">
      <c r="B3842" s="1347" t="s">
        <v>5480</v>
      </c>
      <c r="D3842" s="1347" t="s">
        <v>5481</v>
      </c>
      <c r="E3842" s="1347" t="s">
        <v>1435</v>
      </c>
    </row>
    <row r="3843" spans="1:5" x14ac:dyDescent="0.45">
      <c r="B3843" s="1347" t="s">
        <v>1108</v>
      </c>
      <c r="D3843" s="1347" t="s">
        <v>5482</v>
      </c>
      <c r="E3843" s="1347" t="s">
        <v>5483</v>
      </c>
    </row>
    <row r="3844" spans="1:5" x14ac:dyDescent="0.45">
      <c r="A3844" s="1347" t="s">
        <v>1105</v>
      </c>
      <c r="B3844" s="1347" t="s">
        <v>5484</v>
      </c>
      <c r="D3844" s="1347" t="s">
        <v>5485</v>
      </c>
      <c r="E3844" s="1347" t="s">
        <v>5486</v>
      </c>
    </row>
    <row r="3845" spans="1:5" x14ac:dyDescent="0.45">
      <c r="B3845" s="1347" t="s">
        <v>5487</v>
      </c>
      <c r="D3845" s="1347" t="s">
        <v>1109</v>
      </c>
      <c r="E3845" s="1347" t="s">
        <v>5488</v>
      </c>
    </row>
    <row r="3846" spans="1:5" x14ac:dyDescent="0.45">
      <c r="A3846" s="1347" t="s">
        <v>1105</v>
      </c>
      <c r="B3846" s="1347" t="s">
        <v>5489</v>
      </c>
      <c r="D3846" s="1347" t="s">
        <v>5490</v>
      </c>
      <c r="E3846" s="1347" t="s">
        <v>5491</v>
      </c>
    </row>
    <row r="3847" spans="1:5" x14ac:dyDescent="0.45">
      <c r="A3847" s="1347">
        <v>8</v>
      </c>
      <c r="B3847" s="1347" t="s">
        <v>5492</v>
      </c>
      <c r="D3847" s="1347" t="s">
        <v>5493</v>
      </c>
      <c r="E3847" s="1347" t="s">
        <v>5494</v>
      </c>
    </row>
    <row r="3848" spans="1:5" x14ac:dyDescent="0.45">
      <c r="B3848" s="1347" t="s">
        <v>1108</v>
      </c>
      <c r="C3848" s="1347">
        <v>2</v>
      </c>
      <c r="D3848" s="1347" t="s">
        <v>5495</v>
      </c>
      <c r="E3848" s="1347" t="s">
        <v>5496</v>
      </c>
    </row>
    <row r="3849" spans="1:5" x14ac:dyDescent="0.45">
      <c r="B3849" s="1347" t="s">
        <v>5497</v>
      </c>
      <c r="D3849" s="1347" t="s">
        <v>5498</v>
      </c>
      <c r="E3849" s="1347" t="s">
        <v>5499</v>
      </c>
    </row>
    <row r="3850" spans="1:5" x14ac:dyDescent="0.45">
      <c r="B3850" s="1347" t="s">
        <v>1108</v>
      </c>
      <c r="C3850" s="1347">
        <v>-1</v>
      </c>
      <c r="D3850" s="1347" t="s">
        <v>5500</v>
      </c>
      <c r="E3850" s="1347" t="s">
        <v>5501</v>
      </c>
    </row>
    <row r="3851" spans="1:5" x14ac:dyDescent="0.45">
      <c r="A3851" s="1347" t="s">
        <v>1105</v>
      </c>
      <c r="B3851" s="1347" t="s">
        <v>5502</v>
      </c>
      <c r="C3851" s="1347" t="s">
        <v>1105</v>
      </c>
      <c r="D3851" s="1347" t="s">
        <v>5503</v>
      </c>
      <c r="E3851" s="1347" t="s">
        <v>5504</v>
      </c>
    </row>
    <row r="3852" spans="1:5" x14ac:dyDescent="0.45">
      <c r="A3852" s="1347">
        <v>2</v>
      </c>
      <c r="B3852" s="1347" t="s">
        <v>5505</v>
      </c>
      <c r="D3852" s="1347" t="s">
        <v>5506</v>
      </c>
      <c r="E3852" s="1347" t="s">
        <v>5507</v>
      </c>
    </row>
    <row r="3853" spans="1:5" x14ac:dyDescent="0.45">
      <c r="A3853" s="1347" t="s">
        <v>1105</v>
      </c>
      <c r="B3853" s="1347" t="s">
        <v>5508</v>
      </c>
      <c r="D3853" s="1347" t="s">
        <v>1109</v>
      </c>
      <c r="E3853" s="1347" t="s">
        <v>5509</v>
      </c>
    </row>
    <row r="3854" spans="1:5" x14ac:dyDescent="0.45">
      <c r="B3854" s="1347" t="s">
        <v>5510</v>
      </c>
      <c r="D3854" s="1347" t="s">
        <v>5511</v>
      </c>
      <c r="E3854" s="1347" t="s">
        <v>5512</v>
      </c>
    </row>
    <row r="3855" spans="1:5" x14ac:dyDescent="0.45">
      <c r="B3855" s="1347" t="s">
        <v>5513</v>
      </c>
      <c r="D3855" s="1347" t="s">
        <v>5514</v>
      </c>
      <c r="E3855" s="1347" t="s">
        <v>5515</v>
      </c>
    </row>
    <row r="3856" spans="1:5" x14ac:dyDescent="0.45">
      <c r="A3856" s="1347" t="s">
        <v>1105</v>
      </c>
      <c r="B3856" s="1347" t="s">
        <v>1845</v>
      </c>
      <c r="D3856" s="1347">
        <f>-80   -451   -743</f>
        <v>-1274</v>
      </c>
      <c r="E3856" s="1347" t="s">
        <v>1110</v>
      </c>
    </row>
    <row r="3857" spans="1:5" x14ac:dyDescent="0.45">
      <c r="A3857" s="1347">
        <v>-3</v>
      </c>
      <c r="B3857" s="1347" t="s">
        <v>2264</v>
      </c>
      <c r="D3857" s="1347" t="s">
        <v>5516</v>
      </c>
      <c r="E3857" s="1347" t="s">
        <v>5517</v>
      </c>
    </row>
    <row r="3858" spans="1:5" x14ac:dyDescent="0.45">
      <c r="B3858" s="1347" t="s">
        <v>1108</v>
      </c>
      <c r="C3858" s="1347" t="s">
        <v>1105</v>
      </c>
      <c r="D3858" s="1347" t="s">
        <v>5518</v>
      </c>
      <c r="E3858" s="1347" t="s">
        <v>5519</v>
      </c>
    </row>
    <row r="3859" spans="1:5" x14ac:dyDescent="0.45">
      <c r="B3859" s="1347" t="s">
        <v>5520</v>
      </c>
      <c r="D3859" s="1347" t="s">
        <v>5521</v>
      </c>
      <c r="E3859" s="1347" t="s">
        <v>1220</v>
      </c>
    </row>
    <row r="3860" spans="1:5" x14ac:dyDescent="0.45">
      <c r="B3860" s="1347" t="s">
        <v>1108</v>
      </c>
      <c r="D3860" s="1347" t="s">
        <v>5522</v>
      </c>
      <c r="E3860" s="1347" t="s">
        <v>5523</v>
      </c>
    </row>
    <row r="3861" spans="1:5" x14ac:dyDescent="0.45">
      <c r="A3861" s="1347">
        <v>7</v>
      </c>
      <c r="B3861" s="1347" t="s">
        <v>5524</v>
      </c>
      <c r="D3861" s="1347" t="s">
        <v>1109</v>
      </c>
      <c r="E3861" s="1347" t="s">
        <v>5525</v>
      </c>
    </row>
    <row r="3862" spans="1:5" x14ac:dyDescent="0.45">
      <c r="B3862" s="1347" t="s">
        <v>5526</v>
      </c>
      <c r="D3862" s="1347" t="s">
        <v>5527</v>
      </c>
      <c r="E3862" s="1347" t="s">
        <v>5528</v>
      </c>
    </row>
    <row r="3863" spans="1:5" x14ac:dyDescent="0.45">
      <c r="B3863" s="1347" t="s">
        <v>1108</v>
      </c>
      <c r="D3863" s="1347" t="s">
        <v>5529</v>
      </c>
      <c r="E3863" s="1347" t="s">
        <v>5530</v>
      </c>
    </row>
    <row r="3864" spans="1:5" x14ac:dyDescent="0.45">
      <c r="A3864" s="1347">
        <v>10</v>
      </c>
      <c r="B3864" s="1347" t="s">
        <v>5531</v>
      </c>
      <c r="C3864" s="1347" t="s">
        <v>1105</v>
      </c>
      <c r="D3864" s="1347" t="s">
        <v>5532</v>
      </c>
      <c r="E3864" s="1347" t="s">
        <v>5533</v>
      </c>
    </row>
    <row r="3865" spans="1:5" x14ac:dyDescent="0.45">
      <c r="B3865" s="1347" t="s">
        <v>1108</v>
      </c>
      <c r="D3865" s="1347" t="s">
        <v>1109</v>
      </c>
      <c r="E3865" s="1347" t="s">
        <v>5534</v>
      </c>
    </row>
    <row r="3866" spans="1:5" x14ac:dyDescent="0.45">
      <c r="B3866" s="1347" t="s">
        <v>5535</v>
      </c>
      <c r="C3866" s="1347" t="s">
        <v>1105</v>
      </c>
      <c r="D3866" s="1347" t="s">
        <v>5536</v>
      </c>
      <c r="E3866" s="1347" t="s">
        <v>5537</v>
      </c>
    </row>
    <row r="3867" spans="1:5" x14ac:dyDescent="0.45">
      <c r="B3867" s="1347" t="s">
        <v>1108</v>
      </c>
      <c r="D3867" s="1347" t="s">
        <v>5538</v>
      </c>
      <c r="E3867" s="1347" t="s">
        <v>1220</v>
      </c>
    </row>
    <row r="3868" spans="1:5" x14ac:dyDescent="0.45">
      <c r="B3868" s="1347" t="s">
        <v>1108</v>
      </c>
      <c r="D3868" s="1347" t="s">
        <v>1109</v>
      </c>
      <c r="E3868" s="1347" t="s">
        <v>1110</v>
      </c>
    </row>
    <row r="3869" spans="1:5" x14ac:dyDescent="0.45">
      <c r="B3869" s="1347" t="s">
        <v>1108</v>
      </c>
      <c r="D3869" s="1347" t="s">
        <v>1109</v>
      </c>
      <c r="E3869" s="1347" t="s">
        <v>1110</v>
      </c>
    </row>
    <row r="3870" spans="1:5" x14ac:dyDescent="0.45">
      <c r="B3870" s="1347" t="s">
        <v>1108</v>
      </c>
      <c r="D3870" s="1347" t="s">
        <v>1109</v>
      </c>
      <c r="E3870" s="1347" t="s">
        <v>1110</v>
      </c>
    </row>
    <row r="3871" spans="1:5" x14ac:dyDescent="0.45">
      <c r="B3871" s="1347" t="s">
        <v>1108</v>
      </c>
      <c r="D3871" s="1347" t="s">
        <v>1109</v>
      </c>
      <c r="E3871" s="1347" t="s">
        <v>1110</v>
      </c>
    </row>
    <row r="3872" spans="1:5" x14ac:dyDescent="0.45">
      <c r="B3872" s="1347" t="s">
        <v>1108</v>
      </c>
      <c r="D3872" s="1347" t="s">
        <v>1109</v>
      </c>
      <c r="E3872" s="1347" t="s">
        <v>1110</v>
      </c>
    </row>
    <row r="3873" spans="2:5" x14ac:dyDescent="0.45">
      <c r="B3873" s="1347" t="s">
        <v>1108</v>
      </c>
      <c r="D3873" s="1347" t="s">
        <v>1109</v>
      </c>
      <c r="E3873" s="1347" t="s">
        <v>1110</v>
      </c>
    </row>
    <row r="3874" spans="2:5" x14ac:dyDescent="0.45">
      <c r="B3874" s="1347" t="s">
        <v>1108</v>
      </c>
      <c r="D3874" s="1347" t="s">
        <v>1109</v>
      </c>
      <c r="E3874" s="1347" t="s">
        <v>1110</v>
      </c>
    </row>
    <row r="3875" spans="2:5" x14ac:dyDescent="0.45">
      <c r="B3875" s="1347" t="s">
        <v>1108</v>
      </c>
      <c r="D3875" s="1347" t="s">
        <v>1109</v>
      </c>
      <c r="E3875" s="1347" t="s">
        <v>1110</v>
      </c>
    </row>
    <row r="3876" spans="2:5" x14ac:dyDescent="0.45">
      <c r="B3876" s="1347" t="s">
        <v>1108</v>
      </c>
      <c r="D3876" s="1347" t="s">
        <v>1109</v>
      </c>
      <c r="E3876" s="1347" t="s">
        <v>1110</v>
      </c>
    </row>
    <row r="3877" spans="2:5" x14ac:dyDescent="0.45">
      <c r="B3877" s="1347" t="s">
        <v>1108</v>
      </c>
      <c r="D3877" s="1347" t="s">
        <v>1109</v>
      </c>
      <c r="E3877" s="1347" t="s">
        <v>1110</v>
      </c>
    </row>
    <row r="3878" spans="2:5" x14ac:dyDescent="0.45">
      <c r="B3878" s="1347" t="s">
        <v>1108</v>
      </c>
      <c r="D3878" s="1347" t="s">
        <v>1109</v>
      </c>
      <c r="E3878" s="1347" t="s">
        <v>1110</v>
      </c>
    </row>
    <row r="3879" spans="2:5" x14ac:dyDescent="0.45">
      <c r="B3879" s="1347" t="s">
        <v>1108</v>
      </c>
      <c r="D3879" s="1347" t="s">
        <v>1109</v>
      </c>
      <c r="E3879" s="1347" t="s">
        <v>1110</v>
      </c>
    </row>
    <row r="3880" spans="2:5" x14ac:dyDescent="0.45">
      <c r="B3880" s="1347" t="s">
        <v>1108</v>
      </c>
      <c r="D3880" s="1347" t="s">
        <v>1109</v>
      </c>
      <c r="E3880" s="1347" t="s">
        <v>1110</v>
      </c>
    </row>
    <row r="3881" spans="2:5" x14ac:dyDescent="0.45">
      <c r="B3881" s="1347" t="s">
        <v>1108</v>
      </c>
      <c r="D3881" s="1347" t="s">
        <v>1109</v>
      </c>
      <c r="E3881" s="1347" t="s">
        <v>1110</v>
      </c>
    </row>
    <row r="3882" spans="2:5" x14ac:dyDescent="0.45">
      <c r="B3882" s="1347" t="s">
        <v>1108</v>
      </c>
      <c r="D3882" s="1347" t="s">
        <v>1109</v>
      </c>
      <c r="E3882" s="1347" t="s">
        <v>1110</v>
      </c>
    </row>
    <row r="3883" spans="2:5" x14ac:dyDescent="0.45">
      <c r="B3883" s="1347" t="s">
        <v>1108</v>
      </c>
      <c r="D3883" s="1347" t="s">
        <v>1109</v>
      </c>
      <c r="E3883" s="1347" t="s">
        <v>1110</v>
      </c>
    </row>
    <row r="3884" spans="2:5" x14ac:dyDescent="0.45">
      <c r="B3884" s="1347" t="s">
        <v>1108</v>
      </c>
      <c r="D3884" s="1347" t="s">
        <v>1109</v>
      </c>
      <c r="E3884" s="1347" t="s">
        <v>1110</v>
      </c>
    </row>
    <row r="3885" spans="2:5" x14ac:dyDescent="0.45">
      <c r="B3885" s="1347" t="s">
        <v>1108</v>
      </c>
      <c r="D3885" s="1347" t="s">
        <v>1109</v>
      </c>
      <c r="E3885" s="1347" t="s">
        <v>1110</v>
      </c>
    </row>
    <row r="3886" spans="2:5" x14ac:dyDescent="0.45">
      <c r="B3886" s="1347" t="s">
        <v>1108</v>
      </c>
      <c r="D3886" s="1347" t="s">
        <v>1109</v>
      </c>
      <c r="E3886" s="1347" t="s">
        <v>1110</v>
      </c>
    </row>
    <row r="3887" spans="2:5" x14ac:dyDescent="0.45">
      <c r="B3887" s="1347" t="s">
        <v>1108</v>
      </c>
      <c r="D3887" s="1347" t="s">
        <v>1109</v>
      </c>
      <c r="E3887" s="1347" t="s">
        <v>1110</v>
      </c>
    </row>
    <row r="3888" spans="2:5" x14ac:dyDescent="0.45">
      <c r="B3888" s="1347" t="s">
        <v>1108</v>
      </c>
      <c r="D3888" s="1347" t="s">
        <v>1109</v>
      </c>
      <c r="E3888" s="1347" t="s">
        <v>1110</v>
      </c>
    </row>
    <row r="3889" spans="2:5" x14ac:dyDescent="0.45">
      <c r="B3889" s="1347" t="s">
        <v>1108</v>
      </c>
      <c r="D3889" s="1347" t="s">
        <v>1109</v>
      </c>
      <c r="E3889" s="1347" t="s">
        <v>1110</v>
      </c>
    </row>
    <row r="3890" spans="2:5" x14ac:dyDescent="0.45">
      <c r="B3890" s="1347" t="s">
        <v>1108</v>
      </c>
      <c r="D3890" s="1347" t="s">
        <v>1109</v>
      </c>
      <c r="E3890" s="1347" t="s">
        <v>1110</v>
      </c>
    </row>
    <row r="3891" spans="2:5" x14ac:dyDescent="0.45">
      <c r="B3891" s="1347" t="s">
        <v>1108</v>
      </c>
      <c r="D3891" s="1347" t="s">
        <v>1109</v>
      </c>
      <c r="E3891" s="1347" t="s">
        <v>1110</v>
      </c>
    </row>
    <row r="3892" spans="2:5" x14ac:dyDescent="0.45">
      <c r="B3892" s="1347" t="s">
        <v>1108</v>
      </c>
      <c r="D3892" s="1347" t="s">
        <v>1109</v>
      </c>
      <c r="E3892" s="1347" t="s">
        <v>1110</v>
      </c>
    </row>
    <row r="3893" spans="2:5" x14ac:dyDescent="0.45">
      <c r="B3893" s="1347" t="s">
        <v>1108</v>
      </c>
      <c r="D3893" s="1347" t="s">
        <v>1109</v>
      </c>
      <c r="E3893" s="1347" t="s">
        <v>1110</v>
      </c>
    </row>
    <row r="3894" spans="2:5" x14ac:dyDescent="0.45">
      <c r="B3894" s="1347" t="s">
        <v>1108</v>
      </c>
      <c r="D3894" s="1347" t="s">
        <v>1109</v>
      </c>
      <c r="E3894" s="1347" t="s">
        <v>1110</v>
      </c>
    </row>
    <row r="3895" spans="2:5" x14ac:dyDescent="0.45">
      <c r="B3895" s="1347" t="s">
        <v>1108</v>
      </c>
      <c r="D3895" s="1347" t="s">
        <v>1109</v>
      </c>
      <c r="E3895" s="1347" t="s">
        <v>1110</v>
      </c>
    </row>
    <row r="3896" spans="2:5" x14ac:dyDescent="0.45">
      <c r="B3896" s="1347" t="s">
        <v>1108</v>
      </c>
      <c r="D3896" s="1347" t="s">
        <v>1109</v>
      </c>
      <c r="E3896" s="1347" t="s">
        <v>1110</v>
      </c>
    </row>
    <row r="3897" spans="2:5" x14ac:dyDescent="0.45">
      <c r="B3897" s="1347" t="s">
        <v>1108</v>
      </c>
      <c r="D3897" s="1347" t="s">
        <v>1109</v>
      </c>
      <c r="E3897" s="1347" t="s">
        <v>1110</v>
      </c>
    </row>
    <row r="3898" spans="2:5" x14ac:dyDescent="0.45">
      <c r="B3898" s="1347" t="s">
        <v>1108</v>
      </c>
      <c r="D3898" s="1347" t="s">
        <v>1109</v>
      </c>
      <c r="E3898" s="1347" t="s">
        <v>1110</v>
      </c>
    </row>
    <row r="3899" spans="2:5" x14ac:dyDescent="0.45">
      <c r="B3899" s="1347" t="s">
        <v>1108</v>
      </c>
      <c r="D3899" s="1347" t="s">
        <v>1109</v>
      </c>
      <c r="E3899" s="1347" t="s">
        <v>1110</v>
      </c>
    </row>
    <row r="3900" spans="2:5" x14ac:dyDescent="0.45">
      <c r="B3900" s="1347" t="s">
        <v>1108</v>
      </c>
      <c r="D3900" s="1347" t="s">
        <v>1109</v>
      </c>
      <c r="E3900" s="1347" t="s">
        <v>1110</v>
      </c>
    </row>
    <row r="3901" spans="2:5" x14ac:dyDescent="0.45">
      <c r="B3901" s="1347" t="s">
        <v>1108</v>
      </c>
      <c r="D3901" s="1347" t="s">
        <v>1109</v>
      </c>
      <c r="E3901" s="1347" t="s">
        <v>1110</v>
      </c>
    </row>
    <row r="3902" spans="2:5" x14ac:dyDescent="0.45">
      <c r="B3902" s="1347" t="s">
        <v>1108</v>
      </c>
      <c r="D3902" s="1347" t="s">
        <v>1109</v>
      </c>
      <c r="E3902" s="1347" t="s">
        <v>1110</v>
      </c>
    </row>
    <row r="3903" spans="2:5" x14ac:dyDescent="0.45">
      <c r="B3903" s="1347" t="s">
        <v>1108</v>
      </c>
      <c r="D3903" s="1347" t="s">
        <v>1109</v>
      </c>
      <c r="E3903" s="1347" t="s">
        <v>1110</v>
      </c>
    </row>
    <row r="3904" spans="2:5" x14ac:dyDescent="0.45">
      <c r="B3904" s="1347" t="s">
        <v>1108</v>
      </c>
      <c r="D3904" s="1347" t="s">
        <v>1109</v>
      </c>
      <c r="E3904" s="1347" t="s">
        <v>1110</v>
      </c>
    </row>
    <row r="3905" spans="2:5" x14ac:dyDescent="0.45">
      <c r="B3905" s="1347" t="s">
        <v>1108</v>
      </c>
      <c r="D3905" s="1347" t="s">
        <v>1109</v>
      </c>
      <c r="E3905" s="1347" t="s">
        <v>1110</v>
      </c>
    </row>
    <row r="3906" spans="2:5" x14ac:dyDescent="0.45">
      <c r="B3906" s="1347" t="s">
        <v>1108</v>
      </c>
      <c r="D3906" s="1347" t="s">
        <v>1109</v>
      </c>
      <c r="E3906" s="1347" t="s">
        <v>1110</v>
      </c>
    </row>
    <row r="3907" spans="2:5" x14ac:dyDescent="0.45">
      <c r="B3907" s="1347" t="s">
        <v>1108</v>
      </c>
      <c r="D3907" s="1347" t="s">
        <v>1109</v>
      </c>
      <c r="E3907" s="1347" t="s">
        <v>1110</v>
      </c>
    </row>
    <row r="3908" spans="2:5" x14ac:dyDescent="0.45">
      <c r="B3908" s="1347" t="s">
        <v>1108</v>
      </c>
      <c r="D3908" s="1347" t="s">
        <v>1109</v>
      </c>
      <c r="E3908" s="1347" t="s">
        <v>1110</v>
      </c>
    </row>
    <row r="3909" spans="2:5" x14ac:dyDescent="0.45">
      <c r="B3909" s="1347" t="s">
        <v>1108</v>
      </c>
      <c r="D3909" s="1347" t="s">
        <v>1109</v>
      </c>
      <c r="E3909" s="1347" t="s">
        <v>1110</v>
      </c>
    </row>
    <row r="3910" spans="2:5" x14ac:dyDescent="0.45">
      <c r="B3910" s="1347" t="s">
        <v>1108</v>
      </c>
      <c r="D3910" s="1347" t="s">
        <v>1109</v>
      </c>
      <c r="E3910" s="1347" t="s">
        <v>1110</v>
      </c>
    </row>
    <row r="3911" spans="2:5" x14ac:dyDescent="0.45">
      <c r="B3911" s="1347" t="s">
        <v>1108</v>
      </c>
      <c r="D3911" s="1347" t="s">
        <v>1109</v>
      </c>
      <c r="E3911" s="1347" t="s">
        <v>1110</v>
      </c>
    </row>
    <row r="3912" spans="2:5" x14ac:dyDescent="0.45">
      <c r="B3912" s="1347" t="s">
        <v>1108</v>
      </c>
      <c r="D3912" s="1347" t="s">
        <v>1109</v>
      </c>
      <c r="E3912" s="1347" t="s">
        <v>1110</v>
      </c>
    </row>
    <row r="3913" spans="2:5" x14ac:dyDescent="0.45">
      <c r="B3913" s="1347" t="s">
        <v>1108</v>
      </c>
      <c r="D3913" s="1347" t="s">
        <v>1109</v>
      </c>
      <c r="E3913" s="1347" t="s">
        <v>1110</v>
      </c>
    </row>
    <row r="3914" spans="2:5" x14ac:dyDescent="0.45">
      <c r="B3914" s="1347" t="s">
        <v>1108</v>
      </c>
      <c r="D3914" s="1347" t="s">
        <v>1109</v>
      </c>
      <c r="E3914" s="1347" t="s">
        <v>1110</v>
      </c>
    </row>
    <row r="3915" spans="2:5" x14ac:dyDescent="0.45">
      <c r="B3915" s="1347" t="s">
        <v>1108</v>
      </c>
      <c r="D3915" s="1347" t="s">
        <v>1109</v>
      </c>
      <c r="E3915" s="1347" t="s">
        <v>1110</v>
      </c>
    </row>
    <row r="3916" spans="2:5" x14ac:dyDescent="0.45">
      <c r="B3916" s="1347" t="s">
        <v>1108</v>
      </c>
      <c r="D3916" s="1347" t="s">
        <v>1109</v>
      </c>
      <c r="E3916" s="1347" t="s">
        <v>1110</v>
      </c>
    </row>
    <row r="3917" spans="2:5" x14ac:dyDescent="0.45">
      <c r="B3917" s="1347" t="s">
        <v>1108</v>
      </c>
      <c r="D3917" s="1347" t="s">
        <v>1109</v>
      </c>
      <c r="E3917" s="1347" t="s">
        <v>1110</v>
      </c>
    </row>
    <row r="3918" spans="2:5" x14ac:dyDescent="0.45">
      <c r="B3918" s="1347" t="s">
        <v>1108</v>
      </c>
      <c r="D3918" s="1347" t="s">
        <v>1109</v>
      </c>
      <c r="E3918" s="1347" t="s">
        <v>1110</v>
      </c>
    </row>
    <row r="3919" spans="2:5" x14ac:dyDescent="0.45">
      <c r="B3919" s="1347" t="s">
        <v>1108</v>
      </c>
      <c r="D3919" s="1347" t="s">
        <v>1109</v>
      </c>
      <c r="E3919" s="1347" t="s">
        <v>1110</v>
      </c>
    </row>
    <row r="3920" spans="2:5" x14ac:dyDescent="0.45">
      <c r="B3920" s="1347" t="s">
        <v>1108</v>
      </c>
      <c r="D3920" s="1347" t="s">
        <v>1109</v>
      </c>
      <c r="E3920" s="1347" t="s">
        <v>1110</v>
      </c>
    </row>
    <row r="3921" spans="2:5" x14ac:dyDescent="0.45">
      <c r="B3921" s="1347" t="s">
        <v>1108</v>
      </c>
      <c r="D3921" s="1347" t="s">
        <v>1109</v>
      </c>
      <c r="E3921" s="1347" t="s">
        <v>1110</v>
      </c>
    </row>
    <row r="3922" spans="2:5" x14ac:dyDescent="0.45">
      <c r="B3922" s="1347" t="s">
        <v>1108</v>
      </c>
      <c r="D3922" s="1347" t="s">
        <v>1109</v>
      </c>
      <c r="E3922" s="1347" t="s">
        <v>1110</v>
      </c>
    </row>
    <row r="3923" spans="2:5" x14ac:dyDescent="0.45">
      <c r="B3923" s="1347" t="s">
        <v>1108</v>
      </c>
      <c r="D3923" s="1347" t="s">
        <v>1109</v>
      </c>
      <c r="E3923" s="1347" t="s">
        <v>1110</v>
      </c>
    </row>
    <row r="3924" spans="2:5" x14ac:dyDescent="0.45">
      <c r="B3924" s="1347" t="s">
        <v>1108</v>
      </c>
      <c r="D3924" s="1347" t="s">
        <v>1109</v>
      </c>
      <c r="E3924" s="1347" t="s">
        <v>1110</v>
      </c>
    </row>
    <row r="3925" spans="2:5" x14ac:dyDescent="0.45">
      <c r="B3925" s="1347" t="s">
        <v>1108</v>
      </c>
      <c r="D3925" s="1347" t="s">
        <v>1109</v>
      </c>
      <c r="E3925" s="1347" t="s">
        <v>1110</v>
      </c>
    </row>
    <row r="3926" spans="2:5" x14ac:dyDescent="0.45">
      <c r="B3926" s="1347" t="s">
        <v>1108</v>
      </c>
      <c r="D3926" s="1347" t="s">
        <v>1109</v>
      </c>
      <c r="E3926" s="1347" t="s">
        <v>1110</v>
      </c>
    </row>
    <row r="3927" spans="2:5" x14ac:dyDescent="0.45">
      <c r="B3927" s="1347" t="s">
        <v>1108</v>
      </c>
      <c r="D3927" s="1347" t="s">
        <v>1109</v>
      </c>
      <c r="E3927" s="1347" t="s">
        <v>1110</v>
      </c>
    </row>
    <row r="3928" spans="2:5" x14ac:dyDescent="0.45">
      <c r="B3928" s="1347" t="s">
        <v>1108</v>
      </c>
      <c r="D3928" s="1347" t="s">
        <v>1109</v>
      </c>
      <c r="E3928" s="1347" t="s">
        <v>1110</v>
      </c>
    </row>
    <row r="3929" spans="2:5" x14ac:dyDescent="0.45">
      <c r="B3929" s="1347" t="s">
        <v>1108</v>
      </c>
      <c r="D3929" s="1347" t="s">
        <v>1109</v>
      </c>
      <c r="E3929" s="1347" t="s">
        <v>1110</v>
      </c>
    </row>
    <row r="3930" spans="2:5" x14ac:dyDescent="0.45">
      <c r="B3930" s="1347" t="s">
        <v>1108</v>
      </c>
      <c r="D3930" s="1347" t="s">
        <v>1109</v>
      </c>
      <c r="E3930" s="1347" t="s">
        <v>1110</v>
      </c>
    </row>
    <row r="3931" spans="2:5" x14ac:dyDescent="0.45">
      <c r="B3931" s="1347" t="s">
        <v>1108</v>
      </c>
      <c r="D3931" s="1347" t="s">
        <v>1109</v>
      </c>
      <c r="E3931" s="1347" t="s">
        <v>1110</v>
      </c>
    </row>
    <row r="3932" spans="2:5" x14ac:dyDescent="0.45">
      <c r="B3932" s="1347" t="s">
        <v>1108</v>
      </c>
      <c r="D3932" s="1347" t="s">
        <v>1109</v>
      </c>
      <c r="E3932" s="1347" t="s">
        <v>1110</v>
      </c>
    </row>
    <row r="3933" spans="2:5" x14ac:dyDescent="0.45">
      <c r="B3933" s="1347" t="s">
        <v>1108</v>
      </c>
      <c r="D3933" s="1347" t="s">
        <v>1109</v>
      </c>
      <c r="E3933" s="1347" t="s">
        <v>1110</v>
      </c>
    </row>
    <row r="3934" spans="2:5" x14ac:dyDescent="0.45">
      <c r="B3934" s="1347" t="s">
        <v>1108</v>
      </c>
      <c r="D3934" s="1347" t="s">
        <v>1109</v>
      </c>
      <c r="E3934" s="1347" t="s">
        <v>1110</v>
      </c>
    </row>
    <row r="3935" spans="2:5" x14ac:dyDescent="0.45">
      <c r="B3935" s="1347" t="s">
        <v>1108</v>
      </c>
      <c r="D3935" s="1347" t="s">
        <v>1109</v>
      </c>
      <c r="E3935" s="1347" t="s">
        <v>1110</v>
      </c>
    </row>
    <row r="3936" spans="2:5" x14ac:dyDescent="0.45">
      <c r="B3936" s="1347" t="s">
        <v>1108</v>
      </c>
      <c r="D3936" s="1347" t="s">
        <v>1109</v>
      </c>
      <c r="E3936" s="1347" t="s">
        <v>1110</v>
      </c>
    </row>
    <row r="3937" spans="2:5" x14ac:dyDescent="0.45">
      <c r="B3937" s="1347" t="s">
        <v>1108</v>
      </c>
      <c r="D3937" s="1347" t="s">
        <v>1109</v>
      </c>
      <c r="E3937" s="1347" t="s">
        <v>1110</v>
      </c>
    </row>
    <row r="3938" spans="2:5" x14ac:dyDescent="0.45">
      <c r="B3938" s="1347" t="s">
        <v>1108</v>
      </c>
      <c r="D3938" s="1347" t="s">
        <v>1109</v>
      </c>
      <c r="E3938" s="1347" t="s">
        <v>1110</v>
      </c>
    </row>
    <row r="3939" spans="2:5" x14ac:dyDescent="0.45">
      <c r="B3939" s="1347" t="s">
        <v>1108</v>
      </c>
      <c r="D3939" s="1347" t="s">
        <v>1109</v>
      </c>
      <c r="E3939" s="1347" t="s">
        <v>1110</v>
      </c>
    </row>
    <row r="3940" spans="2:5" x14ac:dyDescent="0.45">
      <c r="B3940" s="1347" t="s">
        <v>1108</v>
      </c>
      <c r="D3940" s="1347" t="s">
        <v>1109</v>
      </c>
      <c r="E3940" s="1347" t="s">
        <v>1110</v>
      </c>
    </row>
    <row r="3941" spans="2:5" x14ac:dyDescent="0.45">
      <c r="B3941" s="1347" t="s">
        <v>1108</v>
      </c>
      <c r="D3941" s="1347" t="s">
        <v>1109</v>
      </c>
      <c r="E3941" s="1347" t="s">
        <v>1110</v>
      </c>
    </row>
    <row r="3942" spans="2:5" x14ac:dyDescent="0.45">
      <c r="B3942" s="1347" t="s">
        <v>1108</v>
      </c>
      <c r="D3942" s="1347" t="s">
        <v>1109</v>
      </c>
      <c r="E3942" s="1347" t="s">
        <v>1110</v>
      </c>
    </row>
    <row r="3943" spans="2:5" x14ac:dyDescent="0.45">
      <c r="B3943" s="1347" t="s">
        <v>1108</v>
      </c>
      <c r="D3943" s="1347" t="s">
        <v>1109</v>
      </c>
      <c r="E3943" s="1347" t="s">
        <v>1110</v>
      </c>
    </row>
    <row r="3944" spans="2:5" x14ac:dyDescent="0.45">
      <c r="B3944" s="1347" t="s">
        <v>1108</v>
      </c>
      <c r="D3944" s="1347" t="s">
        <v>1109</v>
      </c>
      <c r="E3944" s="1347" t="s">
        <v>1110</v>
      </c>
    </row>
    <row r="3945" spans="2:5" x14ac:dyDescent="0.45">
      <c r="B3945" s="1347" t="s">
        <v>1108</v>
      </c>
      <c r="D3945" s="1347" t="s">
        <v>1109</v>
      </c>
      <c r="E3945" s="1347" t="s">
        <v>1110</v>
      </c>
    </row>
    <row r="3946" spans="2:5" x14ac:dyDescent="0.45">
      <c r="B3946" s="1347" t="s">
        <v>1108</v>
      </c>
      <c r="D3946" s="1347" t="s">
        <v>1109</v>
      </c>
      <c r="E3946" s="1347" t="s">
        <v>1110</v>
      </c>
    </row>
    <row r="3947" spans="2:5" x14ac:dyDescent="0.45">
      <c r="B3947" s="1347" t="s">
        <v>1108</v>
      </c>
      <c r="D3947" s="1347" t="s">
        <v>1109</v>
      </c>
      <c r="E3947" s="1347" t="s">
        <v>1110</v>
      </c>
    </row>
    <row r="3948" spans="2:5" x14ac:dyDescent="0.45">
      <c r="B3948" s="1347" t="s">
        <v>1108</v>
      </c>
      <c r="D3948" s="1347" t="s">
        <v>1109</v>
      </c>
      <c r="E3948" s="1347" t="s">
        <v>1110</v>
      </c>
    </row>
    <row r="3949" spans="2:5" x14ac:dyDescent="0.45">
      <c r="B3949" s="1347" t="s">
        <v>1108</v>
      </c>
      <c r="D3949" s="1347" t="s">
        <v>1109</v>
      </c>
      <c r="E3949" s="1347" t="s">
        <v>1110</v>
      </c>
    </row>
    <row r="3950" spans="2:5" x14ac:dyDescent="0.45">
      <c r="B3950" s="1347" t="s">
        <v>1108</v>
      </c>
      <c r="D3950" s="1347" t="s">
        <v>1109</v>
      </c>
      <c r="E3950" s="1347" t="s">
        <v>1110</v>
      </c>
    </row>
    <row r="3951" spans="2:5" x14ac:dyDescent="0.45">
      <c r="B3951" s="1347" t="s">
        <v>1108</v>
      </c>
      <c r="D3951" s="1347" t="s">
        <v>1109</v>
      </c>
      <c r="E3951" s="1347" t="s">
        <v>1110</v>
      </c>
    </row>
    <row r="3952" spans="2:5" x14ac:dyDescent="0.45">
      <c r="B3952" s="1347" t="s">
        <v>1108</v>
      </c>
      <c r="D3952" s="1347" t="s">
        <v>1109</v>
      </c>
      <c r="E3952" s="1347" t="s">
        <v>1110</v>
      </c>
    </row>
    <row r="3953" spans="2:5" x14ac:dyDescent="0.45">
      <c r="B3953" s="1347" t="s">
        <v>1108</v>
      </c>
      <c r="D3953" s="1347" t="s">
        <v>1109</v>
      </c>
      <c r="E3953" s="1347" t="s">
        <v>1110</v>
      </c>
    </row>
    <row r="3954" spans="2:5" x14ac:dyDescent="0.45">
      <c r="B3954" s="1347" t="s">
        <v>1108</v>
      </c>
      <c r="D3954" s="1347" t="s">
        <v>1109</v>
      </c>
      <c r="E3954" s="1347" t="s">
        <v>1110</v>
      </c>
    </row>
    <row r="3955" spans="2:5" x14ac:dyDescent="0.45">
      <c r="B3955" s="1347" t="s">
        <v>1108</v>
      </c>
      <c r="D3955" s="1347" t="s">
        <v>1109</v>
      </c>
      <c r="E3955" s="1347" t="s">
        <v>1110</v>
      </c>
    </row>
    <row r="3956" spans="2:5" x14ac:dyDescent="0.45">
      <c r="B3956" s="1347" t="s">
        <v>1108</v>
      </c>
      <c r="D3956" s="1347" t="s">
        <v>1109</v>
      </c>
      <c r="E3956" s="1347" t="s">
        <v>1110</v>
      </c>
    </row>
    <row r="3957" spans="2:5" x14ac:dyDescent="0.45">
      <c r="B3957" s="1347" t="s">
        <v>1108</v>
      </c>
      <c r="D3957" s="1347" t="s">
        <v>1109</v>
      </c>
      <c r="E3957" s="1347" t="s">
        <v>1110</v>
      </c>
    </row>
    <row r="3958" spans="2:5" x14ac:dyDescent="0.45">
      <c r="B3958" s="1347" t="s">
        <v>1108</v>
      </c>
      <c r="D3958" s="1347" t="s">
        <v>1109</v>
      </c>
      <c r="E3958" s="1347" t="s">
        <v>1110</v>
      </c>
    </row>
    <row r="3959" spans="2:5" x14ac:dyDescent="0.45">
      <c r="B3959" s="1347" t="s">
        <v>1108</v>
      </c>
      <c r="D3959" s="1347" t="s">
        <v>1109</v>
      </c>
      <c r="E3959" s="1347" t="s">
        <v>1110</v>
      </c>
    </row>
    <row r="3960" spans="2:5" x14ac:dyDescent="0.45">
      <c r="B3960" s="1347" t="s">
        <v>1108</v>
      </c>
      <c r="D3960" s="1347" t="s">
        <v>1109</v>
      </c>
      <c r="E3960" s="1347" t="s">
        <v>1110</v>
      </c>
    </row>
    <row r="3961" spans="2:5" x14ac:dyDescent="0.45">
      <c r="B3961" s="1347" t="s">
        <v>1108</v>
      </c>
      <c r="D3961" s="1347" t="s">
        <v>1109</v>
      </c>
      <c r="E3961" s="1347" t="s">
        <v>1110</v>
      </c>
    </row>
    <row r="3962" spans="2:5" x14ac:dyDescent="0.45">
      <c r="B3962" s="1347" t="s">
        <v>1108</v>
      </c>
      <c r="D3962" s="1347" t="s">
        <v>1109</v>
      </c>
      <c r="E3962" s="1347" t="s">
        <v>1110</v>
      </c>
    </row>
    <row r="3963" spans="2:5" x14ac:dyDescent="0.45">
      <c r="B3963" s="1347" t="s">
        <v>1108</v>
      </c>
      <c r="D3963" s="1347" t="s">
        <v>1109</v>
      </c>
      <c r="E3963" s="1347" t="s">
        <v>1110</v>
      </c>
    </row>
    <row r="3964" spans="2:5" x14ac:dyDescent="0.45">
      <c r="B3964" s="1347" t="s">
        <v>1108</v>
      </c>
      <c r="D3964" s="1347" t="s">
        <v>1109</v>
      </c>
      <c r="E3964" s="1347" t="s">
        <v>1110</v>
      </c>
    </row>
    <row r="3965" spans="2:5" x14ac:dyDescent="0.45">
      <c r="B3965" s="1347" t="s">
        <v>1108</v>
      </c>
      <c r="D3965" s="1347" t="s">
        <v>1109</v>
      </c>
      <c r="E3965" s="1347" t="s">
        <v>1110</v>
      </c>
    </row>
    <row r="3966" spans="2:5" x14ac:dyDescent="0.45">
      <c r="B3966" s="1347" t="s">
        <v>1108</v>
      </c>
      <c r="D3966" s="1347" t="s">
        <v>1109</v>
      </c>
      <c r="E3966" s="1347" t="s">
        <v>1110</v>
      </c>
    </row>
    <row r="3967" spans="2:5" x14ac:dyDescent="0.45">
      <c r="B3967" s="1347" t="s">
        <v>1108</v>
      </c>
      <c r="D3967" s="1347" t="s">
        <v>1109</v>
      </c>
      <c r="E3967" s="1347" t="s">
        <v>1110</v>
      </c>
    </row>
    <row r="3968" spans="2:5" x14ac:dyDescent="0.45">
      <c r="B3968" s="1347" t="s">
        <v>1108</v>
      </c>
      <c r="D3968" s="1347" t="s">
        <v>1109</v>
      </c>
      <c r="E3968" s="1347" t="s">
        <v>1110</v>
      </c>
    </row>
    <row r="3969" spans="2:5" x14ac:dyDescent="0.45">
      <c r="B3969" s="1347" t="s">
        <v>1108</v>
      </c>
      <c r="D3969" s="1347" t="s">
        <v>1109</v>
      </c>
      <c r="E3969" s="1347" t="s">
        <v>1110</v>
      </c>
    </row>
    <row r="3970" spans="2:5" x14ac:dyDescent="0.45">
      <c r="B3970" s="1347" t="s">
        <v>1108</v>
      </c>
      <c r="D3970" s="1347" t="s">
        <v>1109</v>
      </c>
      <c r="E3970" s="1347" t="s">
        <v>1110</v>
      </c>
    </row>
    <row r="3971" spans="2:5" x14ac:dyDescent="0.45">
      <c r="B3971" s="1347" t="s">
        <v>1108</v>
      </c>
      <c r="D3971" s="1347" t="s">
        <v>1109</v>
      </c>
      <c r="E3971" s="1347" t="s">
        <v>1110</v>
      </c>
    </row>
    <row r="3972" spans="2:5" x14ac:dyDescent="0.45">
      <c r="B3972" s="1347" t="s">
        <v>1108</v>
      </c>
      <c r="D3972" s="1347" t="s">
        <v>1109</v>
      </c>
      <c r="E3972" s="1347" t="s">
        <v>1110</v>
      </c>
    </row>
    <row r="3973" spans="2:5" x14ac:dyDescent="0.45">
      <c r="B3973" s="1347" t="s">
        <v>1108</v>
      </c>
      <c r="D3973" s="1347" t="s">
        <v>1109</v>
      </c>
      <c r="E3973" s="1347" t="s">
        <v>1110</v>
      </c>
    </row>
    <row r="3974" spans="2:5" x14ac:dyDescent="0.45">
      <c r="B3974" s="1347" t="s">
        <v>1108</v>
      </c>
      <c r="D3974" s="1347" t="s">
        <v>1109</v>
      </c>
      <c r="E3974" s="1347" t="s">
        <v>1110</v>
      </c>
    </row>
    <row r="3975" spans="2:5" x14ac:dyDescent="0.45">
      <c r="B3975" s="1347" t="s">
        <v>1108</v>
      </c>
      <c r="D3975" s="1347" t="s">
        <v>1109</v>
      </c>
      <c r="E3975" s="1347" t="s">
        <v>1110</v>
      </c>
    </row>
    <row r="3976" spans="2:5" x14ac:dyDescent="0.45">
      <c r="B3976" s="1347" t="s">
        <v>1108</v>
      </c>
      <c r="D3976" s="1347" t="s">
        <v>1109</v>
      </c>
      <c r="E3976" s="1347" t="s">
        <v>1110</v>
      </c>
    </row>
    <row r="3977" spans="2:5" x14ac:dyDescent="0.45">
      <c r="B3977" s="1347" t="s">
        <v>1108</v>
      </c>
      <c r="D3977" s="1347" t="s">
        <v>1109</v>
      </c>
      <c r="E3977" s="1347" t="s">
        <v>1110</v>
      </c>
    </row>
    <row r="3978" spans="2:5" x14ac:dyDescent="0.45">
      <c r="B3978" s="1347" t="s">
        <v>1108</v>
      </c>
      <c r="D3978" s="1347" t="s">
        <v>1109</v>
      </c>
      <c r="E3978" s="1347" t="s">
        <v>1110</v>
      </c>
    </row>
    <row r="3979" spans="2:5" x14ac:dyDescent="0.45">
      <c r="B3979" s="1347" t="s">
        <v>1108</v>
      </c>
      <c r="D3979" s="1347" t="s">
        <v>1109</v>
      </c>
      <c r="E3979" s="1347" t="s">
        <v>1110</v>
      </c>
    </row>
    <row r="3980" spans="2:5" x14ac:dyDescent="0.45">
      <c r="B3980" s="1347" t="s">
        <v>1108</v>
      </c>
      <c r="D3980" s="1347" t="s">
        <v>1109</v>
      </c>
      <c r="E3980" s="1347" t="s">
        <v>1110</v>
      </c>
    </row>
    <row r="3981" spans="2:5" x14ac:dyDescent="0.45">
      <c r="B3981" s="1347" t="s">
        <v>1108</v>
      </c>
      <c r="D3981" s="1347" t="s">
        <v>1109</v>
      </c>
      <c r="E3981" s="1347" t="s">
        <v>1110</v>
      </c>
    </row>
    <row r="3982" spans="2:5" x14ac:dyDescent="0.45">
      <c r="B3982" s="1347" t="s">
        <v>1108</v>
      </c>
      <c r="D3982" s="1347" t="s">
        <v>1109</v>
      </c>
      <c r="E3982" s="1347" t="s">
        <v>1110</v>
      </c>
    </row>
    <row r="3983" spans="2:5" x14ac:dyDescent="0.45">
      <c r="B3983" s="1347" t="s">
        <v>1108</v>
      </c>
      <c r="D3983" s="1347" t="s">
        <v>1109</v>
      </c>
      <c r="E3983" s="1347" t="s">
        <v>1110</v>
      </c>
    </row>
    <row r="3984" spans="2:5" x14ac:dyDescent="0.45">
      <c r="B3984" s="1347" t="s">
        <v>1108</v>
      </c>
      <c r="D3984" s="1347" t="s">
        <v>1109</v>
      </c>
      <c r="E3984" s="1347" t="s">
        <v>1110</v>
      </c>
    </row>
    <row r="3985" spans="2:5" x14ac:dyDescent="0.45">
      <c r="B3985" s="1347" t="s">
        <v>1108</v>
      </c>
      <c r="D3985" s="1347" t="s">
        <v>1109</v>
      </c>
      <c r="E3985" s="1347" t="s">
        <v>1110</v>
      </c>
    </row>
    <row r="3986" spans="2:5" x14ac:dyDescent="0.45">
      <c r="B3986" s="1347" t="s">
        <v>1108</v>
      </c>
      <c r="D3986" s="1347" t="s">
        <v>1109</v>
      </c>
      <c r="E3986" s="1347" t="s">
        <v>1110</v>
      </c>
    </row>
    <row r="3987" spans="2:5" x14ac:dyDescent="0.45">
      <c r="B3987" s="1347" t="s">
        <v>1108</v>
      </c>
      <c r="D3987" s="1347" t="s">
        <v>1109</v>
      </c>
      <c r="E3987" s="1347" t="s">
        <v>1110</v>
      </c>
    </row>
    <row r="3988" spans="2:5" x14ac:dyDescent="0.45">
      <c r="B3988" s="1347" t="s">
        <v>1108</v>
      </c>
      <c r="D3988" s="1347" t="s">
        <v>1109</v>
      </c>
      <c r="E3988" s="1347" t="s">
        <v>1110</v>
      </c>
    </row>
    <row r="3989" spans="2:5" x14ac:dyDescent="0.45">
      <c r="B3989" s="1347" t="s">
        <v>1108</v>
      </c>
      <c r="D3989" s="1347" t="s">
        <v>1109</v>
      </c>
      <c r="E3989" s="1347" t="s">
        <v>1110</v>
      </c>
    </row>
    <row r="3990" spans="2:5" x14ac:dyDescent="0.45">
      <c r="B3990" s="1347" t="s">
        <v>1108</v>
      </c>
      <c r="D3990" s="1347" t="s">
        <v>1109</v>
      </c>
      <c r="E3990" s="1347" t="s">
        <v>1110</v>
      </c>
    </row>
    <row r="3991" spans="2:5" x14ac:dyDescent="0.45">
      <c r="B3991" s="1347" t="s">
        <v>1108</v>
      </c>
      <c r="D3991" s="1347" t="s">
        <v>1109</v>
      </c>
      <c r="E3991" s="1347" t="s">
        <v>1110</v>
      </c>
    </row>
    <row r="3992" spans="2:5" x14ac:dyDescent="0.45">
      <c r="B3992" s="1347" t="s">
        <v>1108</v>
      </c>
      <c r="D3992" s="1347" t="s">
        <v>1109</v>
      </c>
      <c r="E3992" s="1347" t="s">
        <v>1110</v>
      </c>
    </row>
    <row r="3993" spans="2:5" x14ac:dyDescent="0.45">
      <c r="B3993" s="1347" t="s">
        <v>1108</v>
      </c>
      <c r="D3993" s="1347" t="s">
        <v>1109</v>
      </c>
      <c r="E3993" s="1347" t="s">
        <v>1110</v>
      </c>
    </row>
    <row r="3994" spans="2:5" x14ac:dyDescent="0.45">
      <c r="B3994" s="1347" t="s">
        <v>1108</v>
      </c>
      <c r="D3994" s="1347" t="s">
        <v>1109</v>
      </c>
      <c r="E3994" s="1347" t="s">
        <v>1110</v>
      </c>
    </row>
    <row r="3995" spans="2:5" x14ac:dyDescent="0.45">
      <c r="B3995" s="1347" t="s">
        <v>1108</v>
      </c>
      <c r="D3995" s="1347" t="s">
        <v>1109</v>
      </c>
      <c r="E3995" s="1347" t="s">
        <v>1110</v>
      </c>
    </row>
    <row r="3996" spans="2:5" x14ac:dyDescent="0.45">
      <c r="B3996" s="1347" t="s">
        <v>1108</v>
      </c>
      <c r="D3996" s="1347" t="s">
        <v>1109</v>
      </c>
      <c r="E3996" s="1347" t="s">
        <v>1110</v>
      </c>
    </row>
    <row r="3997" spans="2:5" x14ac:dyDescent="0.45">
      <c r="B3997" s="1347" t="s">
        <v>1108</v>
      </c>
      <c r="D3997" s="1347" t="s">
        <v>1109</v>
      </c>
      <c r="E3997" s="1347" t="s">
        <v>1110</v>
      </c>
    </row>
    <row r="3998" spans="2:5" x14ac:dyDescent="0.45">
      <c r="B3998" s="1347" t="s">
        <v>1108</v>
      </c>
      <c r="D3998" s="1347" t="s">
        <v>1109</v>
      </c>
      <c r="E3998" s="1347" t="s">
        <v>1110</v>
      </c>
    </row>
    <row r="3999" spans="2:5" x14ac:dyDescent="0.45">
      <c r="B3999" s="1347" t="s">
        <v>1108</v>
      </c>
      <c r="D3999" s="1347" t="s">
        <v>1109</v>
      </c>
      <c r="E3999" s="1347" t="s">
        <v>1110</v>
      </c>
    </row>
    <row r="4000" spans="2:5" x14ac:dyDescent="0.45">
      <c r="B4000" s="1347" t="s">
        <v>1108</v>
      </c>
      <c r="D4000" s="1347" t="s">
        <v>1109</v>
      </c>
      <c r="E4000" s="1347" t="s">
        <v>1110</v>
      </c>
    </row>
    <row r="4001" spans="2:5" x14ac:dyDescent="0.45">
      <c r="B4001" s="1347" t="s">
        <v>1108</v>
      </c>
      <c r="D4001" s="1347" t="s">
        <v>1109</v>
      </c>
      <c r="E4001" s="1347" t="s">
        <v>1110</v>
      </c>
    </row>
    <row r="4002" spans="2:5" x14ac:dyDescent="0.45">
      <c r="B4002" s="1347" t="s">
        <v>1108</v>
      </c>
      <c r="D4002" s="1347" t="s">
        <v>1109</v>
      </c>
      <c r="E4002" s="1347" t="s">
        <v>1110</v>
      </c>
    </row>
    <row r="4003" spans="2:5" x14ac:dyDescent="0.45">
      <c r="B4003" s="1347" t="s">
        <v>1108</v>
      </c>
      <c r="D4003" s="1347" t="s">
        <v>1109</v>
      </c>
      <c r="E4003" s="1347" t="s">
        <v>1110</v>
      </c>
    </row>
    <row r="4004" spans="2:5" x14ac:dyDescent="0.45">
      <c r="B4004" s="1347" t="s">
        <v>1108</v>
      </c>
      <c r="D4004" s="1347" t="s">
        <v>1109</v>
      </c>
      <c r="E4004" s="1347" t="s">
        <v>1110</v>
      </c>
    </row>
    <row r="4005" spans="2:5" x14ac:dyDescent="0.45">
      <c r="B4005" s="1347" t="s">
        <v>1108</v>
      </c>
      <c r="D4005" s="1347" t="s">
        <v>1109</v>
      </c>
      <c r="E4005" s="1347" t="s">
        <v>1110</v>
      </c>
    </row>
    <row r="4006" spans="2:5" x14ac:dyDescent="0.45">
      <c r="B4006" s="1347" t="s">
        <v>1108</v>
      </c>
      <c r="D4006" s="1347" t="s">
        <v>1109</v>
      </c>
      <c r="E4006" s="1347" t="s">
        <v>1110</v>
      </c>
    </row>
    <row r="4007" spans="2:5" x14ac:dyDescent="0.45">
      <c r="B4007" s="1347" t="s">
        <v>1108</v>
      </c>
      <c r="D4007" s="1347" t="s">
        <v>1109</v>
      </c>
      <c r="E4007" s="1347" t="s">
        <v>1110</v>
      </c>
    </row>
    <row r="4008" spans="2:5" x14ac:dyDescent="0.45">
      <c r="B4008" s="1347" t="s">
        <v>1108</v>
      </c>
      <c r="D4008" s="1347" t="s">
        <v>1109</v>
      </c>
      <c r="E4008" s="1347" t="s">
        <v>1110</v>
      </c>
    </row>
    <row r="4009" spans="2:5" x14ac:dyDescent="0.45">
      <c r="B4009" s="1347" t="s">
        <v>1108</v>
      </c>
      <c r="D4009" s="1347" t="s">
        <v>1109</v>
      </c>
      <c r="E4009" s="1347" t="s">
        <v>1110</v>
      </c>
    </row>
    <row r="4010" spans="2:5" x14ac:dyDescent="0.45">
      <c r="B4010" s="1347" t="s">
        <v>1108</v>
      </c>
      <c r="D4010" s="1347" t="s">
        <v>1109</v>
      </c>
      <c r="E4010" s="1347" t="s">
        <v>1110</v>
      </c>
    </row>
    <row r="4011" spans="2:5" x14ac:dyDescent="0.45">
      <c r="B4011" s="1347" t="s">
        <v>1108</v>
      </c>
      <c r="D4011" s="1347" t="s">
        <v>1109</v>
      </c>
      <c r="E4011" s="1347" t="s">
        <v>1110</v>
      </c>
    </row>
    <row r="4012" spans="2:5" x14ac:dyDescent="0.45">
      <c r="B4012" s="1347" t="s">
        <v>1108</v>
      </c>
      <c r="D4012" s="1347" t="s">
        <v>1109</v>
      </c>
      <c r="E4012" s="1347" t="s">
        <v>1110</v>
      </c>
    </row>
    <row r="4013" spans="2:5" x14ac:dyDescent="0.45">
      <c r="B4013" s="1347" t="s">
        <v>1108</v>
      </c>
      <c r="D4013" s="1347" t="s">
        <v>1109</v>
      </c>
      <c r="E4013" s="1347" t="s">
        <v>1110</v>
      </c>
    </row>
    <row r="4014" spans="2:5" x14ac:dyDescent="0.45">
      <c r="B4014" s="1347" t="s">
        <v>1108</v>
      </c>
      <c r="D4014" s="1347" t="s">
        <v>1109</v>
      </c>
      <c r="E4014" s="1347" t="s">
        <v>1110</v>
      </c>
    </row>
    <row r="4015" spans="2:5" x14ac:dyDescent="0.45">
      <c r="B4015" s="1347" t="s">
        <v>1108</v>
      </c>
      <c r="D4015" s="1347" t="s">
        <v>1109</v>
      </c>
      <c r="E4015" s="1347" t="s">
        <v>1110</v>
      </c>
    </row>
    <row r="4016" spans="2:5" x14ac:dyDescent="0.45">
      <c r="B4016" s="1347" t="s">
        <v>1108</v>
      </c>
      <c r="D4016" s="1347" t="s">
        <v>1109</v>
      </c>
      <c r="E4016" s="1347" t="s">
        <v>1110</v>
      </c>
    </row>
    <row r="4017" spans="2:5" x14ac:dyDescent="0.45">
      <c r="B4017" s="1347" t="s">
        <v>1108</v>
      </c>
      <c r="D4017" s="1347" t="s">
        <v>1109</v>
      </c>
      <c r="E4017" s="1347" t="s">
        <v>1110</v>
      </c>
    </row>
    <row r="4018" spans="2:5" x14ac:dyDescent="0.45">
      <c r="B4018" s="1347" t="s">
        <v>1108</v>
      </c>
      <c r="D4018" s="1347" t="s">
        <v>1109</v>
      </c>
      <c r="E4018" s="1347" t="s">
        <v>1110</v>
      </c>
    </row>
    <row r="4019" spans="2:5" x14ac:dyDescent="0.45">
      <c r="B4019" s="1347" t="s">
        <v>1108</v>
      </c>
      <c r="D4019" s="1347" t="s">
        <v>1109</v>
      </c>
      <c r="E4019" s="1347" t="s">
        <v>1110</v>
      </c>
    </row>
    <row r="4020" spans="2:5" x14ac:dyDescent="0.45">
      <c r="B4020" s="1347" t="s">
        <v>1108</v>
      </c>
      <c r="D4020" s="1347" t="s">
        <v>1109</v>
      </c>
      <c r="E4020" s="1347" t="s">
        <v>1110</v>
      </c>
    </row>
    <row r="4021" spans="2:5" x14ac:dyDescent="0.45">
      <c r="B4021" s="1347" t="s">
        <v>1108</v>
      </c>
      <c r="D4021" s="1347" t="s">
        <v>1109</v>
      </c>
      <c r="E4021" s="1347" t="s">
        <v>1110</v>
      </c>
    </row>
    <row r="4022" spans="2:5" x14ac:dyDescent="0.45">
      <c r="B4022" s="1347" t="s">
        <v>1108</v>
      </c>
      <c r="D4022" s="1347" t="s">
        <v>1109</v>
      </c>
      <c r="E4022" s="1347" t="s">
        <v>1110</v>
      </c>
    </row>
    <row r="4023" spans="2:5" x14ac:dyDescent="0.45">
      <c r="B4023" s="1347" t="s">
        <v>1108</v>
      </c>
      <c r="D4023" s="1347" t="s">
        <v>1109</v>
      </c>
      <c r="E4023" s="1347" t="s">
        <v>1110</v>
      </c>
    </row>
    <row r="4024" spans="2:5" x14ac:dyDescent="0.45">
      <c r="B4024" s="1347" t="s">
        <v>1108</v>
      </c>
      <c r="D4024" s="1347" t="s">
        <v>1109</v>
      </c>
      <c r="E4024" s="1347" t="s">
        <v>1110</v>
      </c>
    </row>
    <row r="4025" spans="2:5" x14ac:dyDescent="0.45">
      <c r="B4025" s="1347" t="s">
        <v>1108</v>
      </c>
      <c r="D4025" s="1347" t="s">
        <v>1109</v>
      </c>
      <c r="E4025" s="1347" t="s">
        <v>1110</v>
      </c>
    </row>
    <row r="4026" spans="2:5" x14ac:dyDescent="0.45">
      <c r="B4026" s="1347" t="s">
        <v>1108</v>
      </c>
      <c r="D4026" s="1347" t="s">
        <v>1109</v>
      </c>
      <c r="E4026" s="1347" t="s">
        <v>1110</v>
      </c>
    </row>
    <row r="4027" spans="2:5" x14ac:dyDescent="0.45">
      <c r="B4027" s="1347" t="s">
        <v>1108</v>
      </c>
      <c r="D4027" s="1347" t="s">
        <v>1109</v>
      </c>
      <c r="E4027" s="1347" t="s">
        <v>1110</v>
      </c>
    </row>
    <row r="4028" spans="2:5" x14ac:dyDescent="0.45">
      <c r="B4028" s="1347" t="s">
        <v>1108</v>
      </c>
      <c r="D4028" s="1347" t="s">
        <v>1109</v>
      </c>
      <c r="E4028" s="1347" t="s">
        <v>1110</v>
      </c>
    </row>
    <row r="4029" spans="2:5" x14ac:dyDescent="0.45">
      <c r="B4029" s="1347" t="s">
        <v>1108</v>
      </c>
      <c r="D4029" s="1347" t="s">
        <v>1109</v>
      </c>
      <c r="E4029" s="1347" t="s">
        <v>1110</v>
      </c>
    </row>
    <row r="4030" spans="2:5" x14ac:dyDescent="0.45">
      <c r="B4030" s="1347" t="s">
        <v>1108</v>
      </c>
      <c r="D4030" s="1347" t="s">
        <v>1109</v>
      </c>
      <c r="E4030" s="1347" t="s">
        <v>1110</v>
      </c>
    </row>
    <row r="4031" spans="2:5" x14ac:dyDescent="0.45">
      <c r="B4031" s="1347" t="s">
        <v>1108</v>
      </c>
      <c r="D4031" s="1347" t="s">
        <v>1109</v>
      </c>
      <c r="E4031" s="1347" t="s">
        <v>1110</v>
      </c>
    </row>
    <row r="4032" spans="2:5" x14ac:dyDescent="0.45">
      <c r="B4032" s="1347" t="s">
        <v>1108</v>
      </c>
      <c r="D4032" s="1347" t="s">
        <v>1109</v>
      </c>
      <c r="E4032" s="1347" t="s">
        <v>1110</v>
      </c>
    </row>
    <row r="4033" spans="2:5" x14ac:dyDescent="0.45">
      <c r="B4033" s="1347" t="s">
        <v>1108</v>
      </c>
      <c r="D4033" s="1347" t="s">
        <v>1109</v>
      </c>
      <c r="E4033" s="1347" t="s">
        <v>1110</v>
      </c>
    </row>
    <row r="4034" spans="2:5" x14ac:dyDescent="0.45">
      <c r="B4034" s="1347" t="s">
        <v>1108</v>
      </c>
      <c r="D4034" s="1347" t="s">
        <v>1109</v>
      </c>
      <c r="E4034" s="1347" t="s">
        <v>1110</v>
      </c>
    </row>
    <row r="4035" spans="2:5" x14ac:dyDescent="0.45">
      <c r="B4035" s="1347" t="s">
        <v>1108</v>
      </c>
      <c r="D4035" s="1347" t="s">
        <v>1109</v>
      </c>
      <c r="E4035" s="1347" t="s">
        <v>1110</v>
      </c>
    </row>
    <row r="4036" spans="2:5" x14ac:dyDescent="0.45">
      <c r="B4036" s="1347" t="s">
        <v>1108</v>
      </c>
      <c r="D4036" s="1347" t="s">
        <v>1109</v>
      </c>
      <c r="E4036" s="1347" t="s">
        <v>1110</v>
      </c>
    </row>
    <row r="4037" spans="2:5" x14ac:dyDescent="0.45">
      <c r="B4037" s="1347" t="s">
        <v>1108</v>
      </c>
      <c r="D4037" s="1347" t="s">
        <v>1109</v>
      </c>
      <c r="E4037" s="1347" t="s">
        <v>1110</v>
      </c>
    </row>
    <row r="4038" spans="2:5" x14ac:dyDescent="0.45">
      <c r="B4038" s="1347" t="s">
        <v>1108</v>
      </c>
      <c r="D4038" s="1347" t="s">
        <v>1109</v>
      </c>
      <c r="E4038" s="1347" t="s">
        <v>1110</v>
      </c>
    </row>
    <row r="4039" spans="2:5" x14ac:dyDescent="0.45">
      <c r="B4039" s="1347" t="s">
        <v>1108</v>
      </c>
      <c r="D4039" s="1347" t="s">
        <v>1109</v>
      </c>
      <c r="E4039" s="1347" t="s">
        <v>1110</v>
      </c>
    </row>
    <row r="4040" spans="2:5" x14ac:dyDescent="0.45">
      <c r="B4040" s="1347" t="s">
        <v>1108</v>
      </c>
      <c r="D4040" s="1347" t="s">
        <v>1109</v>
      </c>
      <c r="E4040" s="1347" t="s">
        <v>1110</v>
      </c>
    </row>
    <row r="4041" spans="2:5" x14ac:dyDescent="0.45">
      <c r="B4041" s="1347" t="s">
        <v>1108</v>
      </c>
      <c r="D4041" s="1347" t="s">
        <v>1109</v>
      </c>
      <c r="E4041" s="1347" t="s">
        <v>1110</v>
      </c>
    </row>
    <row r="4042" spans="2:5" x14ac:dyDescent="0.45">
      <c r="B4042" s="1347" t="s">
        <v>1108</v>
      </c>
      <c r="D4042" s="1347" t="s">
        <v>1109</v>
      </c>
      <c r="E4042" s="1347" t="s">
        <v>1110</v>
      </c>
    </row>
    <row r="4043" spans="2:5" x14ac:dyDescent="0.45">
      <c r="B4043" s="1347" t="s">
        <v>1108</v>
      </c>
      <c r="D4043" s="1347" t="s">
        <v>1109</v>
      </c>
      <c r="E4043" s="1347" t="s">
        <v>1110</v>
      </c>
    </row>
    <row r="4044" spans="2:5" x14ac:dyDescent="0.45">
      <c r="B4044" s="1347" t="s">
        <v>1108</v>
      </c>
      <c r="D4044" s="1347" t="s">
        <v>1109</v>
      </c>
      <c r="E4044" s="1347" t="s">
        <v>1110</v>
      </c>
    </row>
    <row r="4045" spans="2:5" x14ac:dyDescent="0.45">
      <c r="B4045" s="1347" t="s">
        <v>1108</v>
      </c>
      <c r="D4045" s="1347" t="s">
        <v>1109</v>
      </c>
      <c r="E4045" s="1347" t="s">
        <v>1110</v>
      </c>
    </row>
    <row r="4046" spans="2:5" x14ac:dyDescent="0.45">
      <c r="B4046" s="1347" t="s">
        <v>1108</v>
      </c>
      <c r="D4046" s="1347" t="s">
        <v>1109</v>
      </c>
      <c r="E4046" s="1347" t="s">
        <v>1110</v>
      </c>
    </row>
    <row r="4047" spans="2:5" x14ac:dyDescent="0.45">
      <c r="B4047" s="1347" t="s">
        <v>1108</v>
      </c>
      <c r="D4047" s="1347" t="s">
        <v>1109</v>
      </c>
      <c r="E4047" s="1347" t="s">
        <v>1110</v>
      </c>
    </row>
    <row r="4048" spans="2:5" x14ac:dyDescent="0.45">
      <c r="B4048" s="1347" t="s">
        <v>1108</v>
      </c>
      <c r="D4048" s="1347" t="s">
        <v>1109</v>
      </c>
      <c r="E4048" s="1347" t="s">
        <v>1110</v>
      </c>
    </row>
    <row r="4049" spans="2:5" x14ac:dyDescent="0.45">
      <c r="B4049" s="1347" t="s">
        <v>1108</v>
      </c>
      <c r="D4049" s="1347" t="s">
        <v>1109</v>
      </c>
      <c r="E4049" s="1347" t="s">
        <v>1110</v>
      </c>
    </row>
    <row r="4050" spans="2:5" x14ac:dyDescent="0.45">
      <c r="B4050" s="1347" t="s">
        <v>1108</v>
      </c>
      <c r="D4050" s="1347" t="s">
        <v>1109</v>
      </c>
      <c r="E4050" s="1347" t="s">
        <v>1110</v>
      </c>
    </row>
    <row r="4051" spans="2:5" x14ac:dyDescent="0.45">
      <c r="B4051" s="1347" t="s">
        <v>1108</v>
      </c>
      <c r="D4051" s="1347" t="s">
        <v>1109</v>
      </c>
      <c r="E4051" s="1347" t="s">
        <v>1110</v>
      </c>
    </row>
    <row r="4052" spans="2:5" x14ac:dyDescent="0.45">
      <c r="B4052" s="1347" t="s">
        <v>1108</v>
      </c>
      <c r="D4052" s="1347" t="s">
        <v>1109</v>
      </c>
      <c r="E4052" s="1347" t="s">
        <v>1110</v>
      </c>
    </row>
    <row r="4053" spans="2:5" x14ac:dyDescent="0.45">
      <c r="B4053" s="1347" t="s">
        <v>1108</v>
      </c>
      <c r="D4053" s="1347" t="s">
        <v>1109</v>
      </c>
      <c r="E4053" s="1347" t="s">
        <v>1110</v>
      </c>
    </row>
    <row r="4054" spans="2:5" x14ac:dyDescent="0.45">
      <c r="B4054" s="1347" t="s">
        <v>1108</v>
      </c>
      <c r="D4054" s="1347" t="s">
        <v>1109</v>
      </c>
      <c r="E4054" s="1347" t="s">
        <v>1110</v>
      </c>
    </row>
    <row r="4055" spans="2:5" x14ac:dyDescent="0.45">
      <c r="B4055" s="1347" t="s">
        <v>1108</v>
      </c>
      <c r="D4055" s="1347" t="s">
        <v>1109</v>
      </c>
      <c r="E4055" s="1347" t="s">
        <v>1110</v>
      </c>
    </row>
    <row r="4056" spans="2:5" x14ac:dyDescent="0.45">
      <c r="B4056" s="1347" t="s">
        <v>1108</v>
      </c>
      <c r="D4056" s="1347" t="s">
        <v>1109</v>
      </c>
      <c r="E4056" s="1347" t="s">
        <v>1110</v>
      </c>
    </row>
    <row r="4057" spans="2:5" x14ac:dyDescent="0.45">
      <c r="B4057" s="1347" t="s">
        <v>1108</v>
      </c>
      <c r="D4057" s="1347" t="s">
        <v>1109</v>
      </c>
      <c r="E4057" s="1347" t="s">
        <v>1110</v>
      </c>
    </row>
    <row r="4058" spans="2:5" x14ac:dyDescent="0.45">
      <c r="B4058" s="1347" t="s">
        <v>1108</v>
      </c>
      <c r="D4058" s="1347" t="s">
        <v>1109</v>
      </c>
      <c r="E4058" s="1347" t="s">
        <v>1110</v>
      </c>
    </row>
    <row r="4059" spans="2:5" x14ac:dyDescent="0.45">
      <c r="B4059" s="1347" t="s">
        <v>1108</v>
      </c>
      <c r="D4059" s="1347" t="s">
        <v>1109</v>
      </c>
      <c r="E4059" s="1347" t="s">
        <v>1110</v>
      </c>
    </row>
    <row r="4060" spans="2:5" x14ac:dyDescent="0.45">
      <c r="B4060" s="1347" t="s">
        <v>1108</v>
      </c>
      <c r="D4060" s="1347" t="s">
        <v>1109</v>
      </c>
      <c r="E4060" s="1347" t="s">
        <v>1110</v>
      </c>
    </row>
    <row r="4061" spans="2:5" x14ac:dyDescent="0.45">
      <c r="B4061" s="1347" t="s">
        <v>1108</v>
      </c>
      <c r="D4061" s="1347" t="s">
        <v>1109</v>
      </c>
      <c r="E4061" s="1347" t="s">
        <v>1110</v>
      </c>
    </row>
    <row r="4062" spans="2:5" x14ac:dyDescent="0.45">
      <c r="B4062" s="1347" t="s">
        <v>1108</v>
      </c>
      <c r="D4062" s="1347" t="s">
        <v>1109</v>
      </c>
      <c r="E4062" s="1347" t="s">
        <v>1110</v>
      </c>
    </row>
    <row r="4063" spans="2:5" x14ac:dyDescent="0.45">
      <c r="B4063" s="1347" t="s">
        <v>1108</v>
      </c>
      <c r="D4063" s="1347" t="s">
        <v>1109</v>
      </c>
      <c r="E4063" s="1347" t="s">
        <v>1110</v>
      </c>
    </row>
    <row r="4064" spans="2:5" x14ac:dyDescent="0.45">
      <c r="B4064" s="1347" t="s">
        <v>1108</v>
      </c>
      <c r="D4064" s="1347" t="s">
        <v>1109</v>
      </c>
      <c r="E4064" s="1347" t="s">
        <v>1110</v>
      </c>
    </row>
    <row r="4065" spans="2:5" x14ac:dyDescent="0.45">
      <c r="B4065" s="1347" t="s">
        <v>1108</v>
      </c>
      <c r="D4065" s="1347" t="s">
        <v>1109</v>
      </c>
      <c r="E4065" s="1347" t="s">
        <v>1110</v>
      </c>
    </row>
    <row r="4066" spans="2:5" x14ac:dyDescent="0.45">
      <c r="B4066" s="1347" t="s">
        <v>1108</v>
      </c>
      <c r="D4066" s="1347" t="s">
        <v>1109</v>
      </c>
      <c r="E4066" s="1347" t="s">
        <v>1110</v>
      </c>
    </row>
    <row r="4067" spans="2:5" x14ac:dyDescent="0.45">
      <c r="B4067" s="1347" t="s">
        <v>1108</v>
      </c>
      <c r="D4067" s="1347" t="s">
        <v>1109</v>
      </c>
      <c r="E4067" s="1347" t="s">
        <v>1110</v>
      </c>
    </row>
    <row r="4068" spans="2:5" x14ac:dyDescent="0.45">
      <c r="B4068" s="1347" t="s">
        <v>1108</v>
      </c>
      <c r="D4068" s="1347" t="s">
        <v>1109</v>
      </c>
      <c r="E4068" s="1347" t="s">
        <v>1110</v>
      </c>
    </row>
    <row r="4069" spans="2:5" x14ac:dyDescent="0.45">
      <c r="B4069" s="1347" t="s">
        <v>1108</v>
      </c>
      <c r="D4069" s="1347" t="s">
        <v>1109</v>
      </c>
      <c r="E4069" s="1347" t="s">
        <v>1110</v>
      </c>
    </row>
    <row r="4070" spans="2:5" x14ac:dyDescent="0.45">
      <c r="B4070" s="1347" t="s">
        <v>1108</v>
      </c>
      <c r="D4070" s="1347" t="s">
        <v>1109</v>
      </c>
      <c r="E4070" s="1347" t="s">
        <v>1110</v>
      </c>
    </row>
    <row r="4071" spans="2:5" x14ac:dyDescent="0.45">
      <c r="B4071" s="1347" t="s">
        <v>1108</v>
      </c>
      <c r="D4071" s="1347" t="s">
        <v>1109</v>
      </c>
      <c r="E4071" s="1347" t="s">
        <v>1110</v>
      </c>
    </row>
    <row r="4072" spans="2:5" x14ac:dyDescent="0.45">
      <c r="B4072" s="1347" t="s">
        <v>1108</v>
      </c>
      <c r="D4072" s="1347" t="s">
        <v>1109</v>
      </c>
      <c r="E4072" s="1347" t="s">
        <v>1110</v>
      </c>
    </row>
    <row r="4073" spans="2:5" x14ac:dyDescent="0.45">
      <c r="B4073" s="1347" t="s">
        <v>1108</v>
      </c>
      <c r="D4073" s="1347" t="s">
        <v>1109</v>
      </c>
      <c r="E4073" s="1347" t="s">
        <v>1110</v>
      </c>
    </row>
    <row r="4074" spans="2:5" x14ac:dyDescent="0.45">
      <c r="B4074" s="1347" t="s">
        <v>1108</v>
      </c>
      <c r="D4074" s="1347" t="s">
        <v>1109</v>
      </c>
      <c r="E4074" s="1347" t="s">
        <v>1110</v>
      </c>
    </row>
    <row r="4075" spans="2:5" x14ac:dyDescent="0.45">
      <c r="B4075" s="1347" t="s">
        <v>1108</v>
      </c>
      <c r="D4075" s="1347" t="s">
        <v>1109</v>
      </c>
      <c r="E4075" s="1347" t="s">
        <v>1110</v>
      </c>
    </row>
    <row r="4076" spans="2:5" x14ac:dyDescent="0.45">
      <c r="B4076" s="1347" t="s">
        <v>1108</v>
      </c>
      <c r="D4076" s="1347" t="s">
        <v>1109</v>
      </c>
      <c r="E4076" s="1347" t="s">
        <v>1110</v>
      </c>
    </row>
    <row r="4077" spans="2:5" x14ac:dyDescent="0.45">
      <c r="B4077" s="1347" t="s">
        <v>1108</v>
      </c>
      <c r="D4077" s="1347" t="s">
        <v>1109</v>
      </c>
      <c r="E4077" s="1347" t="s">
        <v>1110</v>
      </c>
    </row>
    <row r="4078" spans="2:5" x14ac:dyDescent="0.45">
      <c r="B4078" s="1347" t="s">
        <v>1108</v>
      </c>
      <c r="D4078" s="1347" t="s">
        <v>1109</v>
      </c>
      <c r="E4078" s="1347" t="s">
        <v>1110</v>
      </c>
    </row>
    <row r="4079" spans="2:5" x14ac:dyDescent="0.45">
      <c r="B4079" s="1347" t="s">
        <v>1108</v>
      </c>
      <c r="D4079" s="1347" t="s">
        <v>1109</v>
      </c>
      <c r="E4079" s="1347" t="s">
        <v>1110</v>
      </c>
    </row>
    <row r="4080" spans="2:5" x14ac:dyDescent="0.45">
      <c r="B4080" s="1347" t="s">
        <v>1108</v>
      </c>
      <c r="D4080" s="1347" t="s">
        <v>1109</v>
      </c>
      <c r="E4080" s="1347" t="s">
        <v>1110</v>
      </c>
    </row>
    <row r="4081" spans="2:5" x14ac:dyDescent="0.45">
      <c r="B4081" s="1347" t="s">
        <v>1108</v>
      </c>
      <c r="D4081" s="1347" t="s">
        <v>1109</v>
      </c>
      <c r="E4081" s="1347" t="s">
        <v>1110</v>
      </c>
    </row>
    <row r="4082" spans="2:5" x14ac:dyDescent="0.45">
      <c r="B4082" s="1347" t="s">
        <v>1108</v>
      </c>
      <c r="D4082" s="1347" t="s">
        <v>1109</v>
      </c>
      <c r="E4082" s="1347" t="s">
        <v>1110</v>
      </c>
    </row>
    <row r="4083" spans="2:5" x14ac:dyDescent="0.45">
      <c r="B4083" s="1347" t="s">
        <v>1108</v>
      </c>
      <c r="D4083" s="1347" t="s">
        <v>1109</v>
      </c>
      <c r="E4083" s="1347" t="s">
        <v>1110</v>
      </c>
    </row>
    <row r="4084" spans="2:5" x14ac:dyDescent="0.45">
      <c r="B4084" s="1347" t="s">
        <v>1108</v>
      </c>
      <c r="D4084" s="1347" t="s">
        <v>1109</v>
      </c>
      <c r="E4084" s="1347" t="s">
        <v>1110</v>
      </c>
    </row>
    <row r="4085" spans="2:5" x14ac:dyDescent="0.45">
      <c r="B4085" s="1347" t="s">
        <v>1108</v>
      </c>
      <c r="D4085" s="1347" t="s">
        <v>1109</v>
      </c>
      <c r="E4085" s="1347" t="s">
        <v>1110</v>
      </c>
    </row>
    <row r="4086" spans="2:5" x14ac:dyDescent="0.45">
      <c r="B4086" s="1347" t="s">
        <v>1108</v>
      </c>
      <c r="D4086" s="1347" t="s">
        <v>1109</v>
      </c>
      <c r="E4086" s="1347" t="s">
        <v>1110</v>
      </c>
    </row>
    <row r="4087" spans="2:5" x14ac:dyDescent="0.45">
      <c r="B4087" s="1347" t="s">
        <v>1108</v>
      </c>
      <c r="D4087" s="1347" t="s">
        <v>1109</v>
      </c>
      <c r="E4087" s="1347" t="s">
        <v>1110</v>
      </c>
    </row>
    <row r="4088" spans="2:5" x14ac:dyDescent="0.45">
      <c r="B4088" s="1347" t="s">
        <v>1108</v>
      </c>
      <c r="D4088" s="1347" t="s">
        <v>1109</v>
      </c>
      <c r="E4088" s="1347" t="s">
        <v>1110</v>
      </c>
    </row>
    <row r="4089" spans="2:5" x14ac:dyDescent="0.45">
      <c r="B4089" s="1347" t="s">
        <v>1108</v>
      </c>
      <c r="D4089" s="1347" t="s">
        <v>1109</v>
      </c>
      <c r="E4089" s="1347" t="s">
        <v>1110</v>
      </c>
    </row>
    <row r="4090" spans="2:5" x14ac:dyDescent="0.45">
      <c r="B4090" s="1347" t="s">
        <v>1108</v>
      </c>
      <c r="D4090" s="1347" t="s">
        <v>1109</v>
      </c>
      <c r="E4090" s="1347" t="s">
        <v>1110</v>
      </c>
    </row>
    <row r="4091" spans="2:5" x14ac:dyDescent="0.45">
      <c r="B4091" s="1347" t="s">
        <v>1108</v>
      </c>
      <c r="D4091" s="1347" t="s">
        <v>1109</v>
      </c>
      <c r="E4091" s="1347" t="s">
        <v>1110</v>
      </c>
    </row>
    <row r="4092" spans="2:5" x14ac:dyDescent="0.45">
      <c r="B4092" s="1347" t="s">
        <v>1108</v>
      </c>
      <c r="D4092" s="1347" t="s">
        <v>1109</v>
      </c>
      <c r="E4092" s="1347" t="s">
        <v>1110</v>
      </c>
    </row>
    <row r="4093" spans="2:5" x14ac:dyDescent="0.45">
      <c r="B4093" s="1347" t="s">
        <v>1108</v>
      </c>
      <c r="D4093" s="1347" t="s">
        <v>1109</v>
      </c>
      <c r="E4093" s="1347" t="s">
        <v>1110</v>
      </c>
    </row>
    <row r="4094" spans="2:5" x14ac:dyDescent="0.45">
      <c r="B4094" s="1347" t="s">
        <v>1108</v>
      </c>
      <c r="D4094" s="1347" t="s">
        <v>1109</v>
      </c>
      <c r="E4094" s="1347" t="s">
        <v>1110</v>
      </c>
    </row>
    <row r="4095" spans="2:5" x14ac:dyDescent="0.45">
      <c r="B4095" s="1347" t="s">
        <v>1108</v>
      </c>
      <c r="D4095" s="1347" t="s">
        <v>1109</v>
      </c>
      <c r="E4095" s="1347" t="s">
        <v>1110</v>
      </c>
    </row>
    <row r="4096" spans="2:5" x14ac:dyDescent="0.45">
      <c r="B4096" s="1347" t="s">
        <v>1108</v>
      </c>
      <c r="D4096" s="1347" t="s">
        <v>1109</v>
      </c>
      <c r="E4096" s="1347" t="s">
        <v>1110</v>
      </c>
    </row>
    <row r="4097" spans="2:5" x14ac:dyDescent="0.45">
      <c r="B4097" s="1347" t="s">
        <v>1108</v>
      </c>
      <c r="D4097" s="1347" t="s">
        <v>1109</v>
      </c>
      <c r="E4097" s="1347" t="s">
        <v>1110</v>
      </c>
    </row>
    <row r="4098" spans="2:5" x14ac:dyDescent="0.45">
      <c r="B4098" s="1347" t="s">
        <v>1108</v>
      </c>
      <c r="D4098" s="1347" t="s">
        <v>1109</v>
      </c>
      <c r="E4098" s="1347" t="s">
        <v>1110</v>
      </c>
    </row>
    <row r="4099" spans="2:5" x14ac:dyDescent="0.45">
      <c r="B4099" s="1347" t="s">
        <v>1108</v>
      </c>
      <c r="D4099" s="1347" t="s">
        <v>1109</v>
      </c>
      <c r="E4099" s="1347" t="s">
        <v>1110</v>
      </c>
    </row>
    <row r="4100" spans="2:5" x14ac:dyDescent="0.45">
      <c r="B4100" s="1347" t="s">
        <v>1108</v>
      </c>
      <c r="D4100" s="1347" t="s">
        <v>1109</v>
      </c>
      <c r="E4100" s="1347" t="s">
        <v>1110</v>
      </c>
    </row>
    <row r="4101" spans="2:5" x14ac:dyDescent="0.45">
      <c r="B4101" s="1347" t="s">
        <v>1108</v>
      </c>
      <c r="D4101" s="1347" t="s">
        <v>1109</v>
      </c>
      <c r="E4101" s="1347" t="s">
        <v>1110</v>
      </c>
    </row>
    <row r="4102" spans="2:5" x14ac:dyDescent="0.45">
      <c r="B4102" s="1347" t="s">
        <v>1108</v>
      </c>
      <c r="D4102" s="1347" t="s">
        <v>1109</v>
      </c>
      <c r="E4102" s="1347" t="s">
        <v>1110</v>
      </c>
    </row>
    <row r="4103" spans="2:5" x14ac:dyDescent="0.45">
      <c r="B4103" s="1347" t="s">
        <v>1108</v>
      </c>
      <c r="D4103" s="1347" t="s">
        <v>1109</v>
      </c>
      <c r="E4103" s="1347" t="s">
        <v>1110</v>
      </c>
    </row>
    <row r="4104" spans="2:5" x14ac:dyDescent="0.45">
      <c r="B4104" s="1347" t="s">
        <v>1108</v>
      </c>
      <c r="D4104" s="1347" t="s">
        <v>1109</v>
      </c>
      <c r="E4104" s="1347" t="s">
        <v>1110</v>
      </c>
    </row>
    <row r="4105" spans="2:5" x14ac:dyDescent="0.45">
      <c r="B4105" s="1347" t="s">
        <v>1108</v>
      </c>
      <c r="D4105" s="1347" t="s">
        <v>1109</v>
      </c>
      <c r="E4105" s="1347" t="s">
        <v>1110</v>
      </c>
    </row>
    <row r="4106" spans="2:5" x14ac:dyDescent="0.45">
      <c r="B4106" s="1347" t="s">
        <v>1108</v>
      </c>
      <c r="D4106" s="1347" t="s">
        <v>1109</v>
      </c>
      <c r="E4106" s="1347" t="s">
        <v>1110</v>
      </c>
    </row>
    <row r="4107" spans="2:5" x14ac:dyDescent="0.45">
      <c r="B4107" s="1347" t="s">
        <v>1108</v>
      </c>
      <c r="D4107" s="1347" t="s">
        <v>1109</v>
      </c>
      <c r="E4107" s="1347" t="s">
        <v>1110</v>
      </c>
    </row>
    <row r="4108" spans="2:5" x14ac:dyDescent="0.45">
      <c r="B4108" s="1347" t="s">
        <v>1108</v>
      </c>
      <c r="D4108" s="1347" t="s">
        <v>1109</v>
      </c>
      <c r="E4108" s="1347" t="s">
        <v>1110</v>
      </c>
    </row>
    <row r="4109" spans="2:5" x14ac:dyDescent="0.45">
      <c r="B4109" s="1347" t="s">
        <v>1108</v>
      </c>
      <c r="D4109" s="1347" t="s">
        <v>1109</v>
      </c>
      <c r="E4109" s="1347" t="s">
        <v>1110</v>
      </c>
    </row>
    <row r="4110" spans="2:5" x14ac:dyDescent="0.45">
      <c r="B4110" s="1347" t="s">
        <v>1108</v>
      </c>
      <c r="D4110" s="1347" t="s">
        <v>1109</v>
      </c>
      <c r="E4110" s="1347" t="s">
        <v>1110</v>
      </c>
    </row>
    <row r="4111" spans="2:5" x14ac:dyDescent="0.45">
      <c r="B4111" s="1347" t="s">
        <v>1108</v>
      </c>
      <c r="D4111" s="1347" t="s">
        <v>1109</v>
      </c>
      <c r="E4111" s="1347" t="s">
        <v>1110</v>
      </c>
    </row>
    <row r="4112" spans="2:5" x14ac:dyDescent="0.45">
      <c r="B4112" s="1347" t="s">
        <v>1108</v>
      </c>
      <c r="D4112" s="1347" t="s">
        <v>1109</v>
      </c>
      <c r="E4112" s="1347" t="s">
        <v>1110</v>
      </c>
    </row>
    <row r="4113" spans="2:5" x14ac:dyDescent="0.45">
      <c r="B4113" s="1347" t="s">
        <v>1108</v>
      </c>
      <c r="D4113" s="1347" t="s">
        <v>1109</v>
      </c>
      <c r="E4113" s="1347" t="s">
        <v>1110</v>
      </c>
    </row>
    <row r="4114" spans="2:5" x14ac:dyDescent="0.45">
      <c r="B4114" s="1347" t="s">
        <v>1108</v>
      </c>
      <c r="D4114" s="1347" t="s">
        <v>1109</v>
      </c>
      <c r="E4114" s="1347" t="s">
        <v>1110</v>
      </c>
    </row>
    <row r="4115" spans="2:5" x14ac:dyDescent="0.45">
      <c r="B4115" s="1347" t="s">
        <v>1108</v>
      </c>
      <c r="D4115" s="1347" t="s">
        <v>1109</v>
      </c>
      <c r="E4115" s="1347" t="s">
        <v>1110</v>
      </c>
    </row>
    <row r="4116" spans="2:5" x14ac:dyDescent="0.45">
      <c r="B4116" s="1347" t="s">
        <v>1108</v>
      </c>
      <c r="D4116" s="1347" t="s">
        <v>1109</v>
      </c>
      <c r="E4116" s="1347" t="s">
        <v>1110</v>
      </c>
    </row>
    <row r="4117" spans="2:5" x14ac:dyDescent="0.45">
      <c r="B4117" s="1347" t="s">
        <v>1108</v>
      </c>
      <c r="D4117" s="1347" t="s">
        <v>1109</v>
      </c>
      <c r="E4117" s="1347" t="s">
        <v>1110</v>
      </c>
    </row>
    <row r="4118" spans="2:5" x14ac:dyDescent="0.45">
      <c r="B4118" s="1347" t="s">
        <v>1108</v>
      </c>
      <c r="D4118" s="1347" t="s">
        <v>1109</v>
      </c>
      <c r="E4118" s="1347" t="s">
        <v>1110</v>
      </c>
    </row>
    <row r="4119" spans="2:5" x14ac:dyDescent="0.45">
      <c r="B4119" s="1347" t="s">
        <v>1108</v>
      </c>
      <c r="D4119" s="1347" t="s">
        <v>1109</v>
      </c>
      <c r="E4119" s="1347" t="s">
        <v>1110</v>
      </c>
    </row>
    <row r="4120" spans="2:5" x14ac:dyDescent="0.45">
      <c r="B4120" s="1347" t="s">
        <v>1108</v>
      </c>
      <c r="D4120" s="1347" t="s">
        <v>1109</v>
      </c>
      <c r="E4120" s="1347" t="s">
        <v>1110</v>
      </c>
    </row>
    <row r="4121" spans="2:5" x14ac:dyDescent="0.45">
      <c r="B4121" s="1347" t="s">
        <v>1108</v>
      </c>
      <c r="D4121" s="1347" t="s">
        <v>1109</v>
      </c>
      <c r="E4121" s="1347" t="s">
        <v>1110</v>
      </c>
    </row>
    <row r="4122" spans="2:5" x14ac:dyDescent="0.45">
      <c r="B4122" s="1347" t="s">
        <v>1108</v>
      </c>
      <c r="D4122" s="1347" t="s">
        <v>1109</v>
      </c>
      <c r="E4122" s="1347" t="s">
        <v>1110</v>
      </c>
    </row>
    <row r="4123" spans="2:5" x14ac:dyDescent="0.45">
      <c r="B4123" s="1347" t="s">
        <v>1108</v>
      </c>
      <c r="D4123" s="1347" t="s">
        <v>1109</v>
      </c>
      <c r="E4123" s="1347" t="s">
        <v>1110</v>
      </c>
    </row>
    <row r="4124" spans="2:5" x14ac:dyDescent="0.45">
      <c r="B4124" s="1347" t="s">
        <v>1108</v>
      </c>
      <c r="D4124" s="1347" t="s">
        <v>1109</v>
      </c>
      <c r="E4124" s="1347" t="s">
        <v>1110</v>
      </c>
    </row>
    <row r="4125" spans="2:5" x14ac:dyDescent="0.45">
      <c r="B4125" s="1347" t="s">
        <v>1108</v>
      </c>
      <c r="D4125" s="1347" t="s">
        <v>1109</v>
      </c>
      <c r="E4125" s="1347" t="s">
        <v>1110</v>
      </c>
    </row>
    <row r="4126" spans="2:5" x14ac:dyDescent="0.45">
      <c r="B4126" s="1347" t="s">
        <v>1108</v>
      </c>
      <c r="D4126" s="1347" t="s">
        <v>1109</v>
      </c>
      <c r="E4126" s="1347" t="s">
        <v>1110</v>
      </c>
    </row>
    <row r="4127" spans="2:5" x14ac:dyDescent="0.45">
      <c r="B4127" s="1347" t="s">
        <v>1108</v>
      </c>
      <c r="D4127" s="1347" t="s">
        <v>1109</v>
      </c>
      <c r="E4127" s="1347" t="s">
        <v>1110</v>
      </c>
    </row>
    <row r="4128" spans="2:5" x14ac:dyDescent="0.45">
      <c r="B4128" s="1347" t="s">
        <v>1108</v>
      </c>
      <c r="D4128" s="1347" t="s">
        <v>1109</v>
      </c>
      <c r="E4128" s="1347" t="s">
        <v>1110</v>
      </c>
    </row>
    <row r="4129" spans="2:5" x14ac:dyDescent="0.45">
      <c r="B4129" s="1347" t="s">
        <v>1108</v>
      </c>
      <c r="D4129" s="1347" t="s">
        <v>1109</v>
      </c>
      <c r="E4129" s="1347" t="s">
        <v>1110</v>
      </c>
    </row>
    <row r="4130" spans="2:5" x14ac:dyDescent="0.45">
      <c r="B4130" s="1347" t="s">
        <v>1108</v>
      </c>
      <c r="D4130" s="1347" t="s">
        <v>1109</v>
      </c>
      <c r="E4130" s="1347" t="s">
        <v>1110</v>
      </c>
    </row>
    <row r="4131" spans="2:5" x14ac:dyDescent="0.45">
      <c r="B4131" s="1347" t="s">
        <v>1108</v>
      </c>
      <c r="D4131" s="1347" t="s">
        <v>1109</v>
      </c>
      <c r="E4131" s="1347" t="s">
        <v>1110</v>
      </c>
    </row>
    <row r="4132" spans="2:5" x14ac:dyDescent="0.45">
      <c r="B4132" s="1347" t="s">
        <v>1108</v>
      </c>
      <c r="D4132" s="1347" t="s">
        <v>1109</v>
      </c>
      <c r="E4132" s="1347" t="s">
        <v>1110</v>
      </c>
    </row>
    <row r="4133" spans="2:5" x14ac:dyDescent="0.45">
      <c r="B4133" s="1347" t="s">
        <v>1108</v>
      </c>
      <c r="D4133" s="1347" t="s">
        <v>1109</v>
      </c>
      <c r="E4133" s="1347" t="s">
        <v>1110</v>
      </c>
    </row>
    <row r="4134" spans="2:5" x14ac:dyDescent="0.45">
      <c r="B4134" s="1347" t="s">
        <v>1108</v>
      </c>
      <c r="D4134" s="1347" t="s">
        <v>1109</v>
      </c>
      <c r="E4134" s="1347" t="s">
        <v>1110</v>
      </c>
    </row>
    <row r="4135" spans="2:5" x14ac:dyDescent="0.45">
      <c r="B4135" s="1347" t="s">
        <v>1108</v>
      </c>
      <c r="D4135" s="1347" t="s">
        <v>1109</v>
      </c>
      <c r="E4135" s="1347" t="s">
        <v>1110</v>
      </c>
    </row>
    <row r="4136" spans="2:5" x14ac:dyDescent="0.45">
      <c r="B4136" s="1347" t="s">
        <v>1108</v>
      </c>
      <c r="D4136" s="1347" t="s">
        <v>1109</v>
      </c>
      <c r="E4136" s="1347" t="s">
        <v>1110</v>
      </c>
    </row>
    <row r="4137" spans="2:5" x14ac:dyDescent="0.45">
      <c r="B4137" s="1347" t="s">
        <v>1108</v>
      </c>
      <c r="D4137" s="1347" t="s">
        <v>1109</v>
      </c>
      <c r="E4137" s="1347" t="s">
        <v>1110</v>
      </c>
    </row>
    <row r="4138" spans="2:5" x14ac:dyDescent="0.45">
      <c r="B4138" s="1347" t="s">
        <v>1108</v>
      </c>
      <c r="D4138" s="1347" t="s">
        <v>1109</v>
      </c>
      <c r="E4138" s="1347" t="s">
        <v>1110</v>
      </c>
    </row>
    <row r="4139" spans="2:5" x14ac:dyDescent="0.45">
      <c r="B4139" s="1347" t="s">
        <v>1108</v>
      </c>
      <c r="D4139" s="1347" t="s">
        <v>1109</v>
      </c>
      <c r="E4139" s="1347" t="s">
        <v>1110</v>
      </c>
    </row>
    <row r="4140" spans="2:5" x14ac:dyDescent="0.45">
      <c r="B4140" s="1347" t="s">
        <v>1108</v>
      </c>
      <c r="D4140" s="1347" t="s">
        <v>1109</v>
      </c>
      <c r="E4140" s="1347" t="s">
        <v>1110</v>
      </c>
    </row>
    <row r="4141" spans="2:5" x14ac:dyDescent="0.45">
      <c r="B4141" s="1347" t="s">
        <v>1108</v>
      </c>
      <c r="D4141" s="1347" t="s">
        <v>1109</v>
      </c>
      <c r="E4141" s="1347" t="s">
        <v>1110</v>
      </c>
    </row>
    <row r="4142" spans="2:5" x14ac:dyDescent="0.45">
      <c r="B4142" s="1347" t="s">
        <v>1108</v>
      </c>
      <c r="D4142" s="1347" t="s">
        <v>1109</v>
      </c>
      <c r="E4142" s="1347" t="s">
        <v>1110</v>
      </c>
    </row>
    <row r="4143" spans="2:5" x14ac:dyDescent="0.45">
      <c r="B4143" s="1347" t="s">
        <v>1108</v>
      </c>
      <c r="D4143" s="1347" t="s">
        <v>1109</v>
      </c>
      <c r="E4143" s="1347" t="s">
        <v>1110</v>
      </c>
    </row>
    <row r="4144" spans="2:5" x14ac:dyDescent="0.45">
      <c r="B4144" s="1347" t="s">
        <v>1108</v>
      </c>
      <c r="D4144" s="1347" t="s">
        <v>1109</v>
      </c>
      <c r="E4144" s="1347" t="s">
        <v>1110</v>
      </c>
    </row>
    <row r="4145" spans="2:5" x14ac:dyDescent="0.45">
      <c r="B4145" s="1347" t="s">
        <v>1108</v>
      </c>
      <c r="D4145" s="1347" t="s">
        <v>1109</v>
      </c>
      <c r="E4145" s="1347" t="s">
        <v>1110</v>
      </c>
    </row>
    <row r="4146" spans="2:5" x14ac:dyDescent="0.45">
      <c r="B4146" s="1347" t="s">
        <v>1108</v>
      </c>
      <c r="D4146" s="1347" t="s">
        <v>1109</v>
      </c>
      <c r="E4146" s="1347" t="s">
        <v>1110</v>
      </c>
    </row>
    <row r="4147" spans="2:5" x14ac:dyDescent="0.45">
      <c r="B4147" s="1347" t="s">
        <v>1108</v>
      </c>
      <c r="D4147" s="1347" t="s">
        <v>1109</v>
      </c>
      <c r="E4147" s="1347" t="s">
        <v>1110</v>
      </c>
    </row>
    <row r="4148" spans="2:5" x14ac:dyDescent="0.45">
      <c r="B4148" s="1347" t="s">
        <v>1108</v>
      </c>
      <c r="D4148" s="1347" t="s">
        <v>1109</v>
      </c>
      <c r="E4148" s="1347" t="s">
        <v>1110</v>
      </c>
    </row>
    <row r="4149" spans="2:5" x14ac:dyDescent="0.45">
      <c r="B4149" s="1347" t="s">
        <v>1108</v>
      </c>
      <c r="D4149" s="1347" t="s">
        <v>1109</v>
      </c>
      <c r="E4149" s="1347" t="s">
        <v>1110</v>
      </c>
    </row>
    <row r="4150" spans="2:5" x14ac:dyDescent="0.45">
      <c r="B4150" s="1347" t="s">
        <v>1108</v>
      </c>
      <c r="D4150" s="1347" t="s">
        <v>1109</v>
      </c>
      <c r="E4150" s="1347" t="s">
        <v>1110</v>
      </c>
    </row>
    <row r="4151" spans="2:5" x14ac:dyDescent="0.45">
      <c r="B4151" s="1347" t="s">
        <v>1108</v>
      </c>
      <c r="D4151" s="1347" t="s">
        <v>1109</v>
      </c>
      <c r="E4151" s="1347" t="s">
        <v>1110</v>
      </c>
    </row>
    <row r="4152" spans="2:5" x14ac:dyDescent="0.45">
      <c r="B4152" s="1347" t="s">
        <v>1108</v>
      </c>
      <c r="D4152" s="1347" t="s">
        <v>1109</v>
      </c>
      <c r="E4152" s="1347" t="s">
        <v>1110</v>
      </c>
    </row>
    <row r="4153" spans="2:5" x14ac:dyDescent="0.45">
      <c r="B4153" s="1347" t="s">
        <v>1108</v>
      </c>
      <c r="D4153" s="1347" t="s">
        <v>1109</v>
      </c>
      <c r="E4153" s="1347" t="s">
        <v>1110</v>
      </c>
    </row>
    <row r="4154" spans="2:5" x14ac:dyDescent="0.45">
      <c r="B4154" s="1347" t="s">
        <v>1108</v>
      </c>
      <c r="D4154" s="1347" t="s">
        <v>1109</v>
      </c>
      <c r="E4154" s="1347" t="s">
        <v>1110</v>
      </c>
    </row>
    <row r="4155" spans="2:5" x14ac:dyDescent="0.45">
      <c r="B4155" s="1347" t="s">
        <v>1108</v>
      </c>
      <c r="D4155" s="1347" t="s">
        <v>1109</v>
      </c>
      <c r="E4155" s="1347" t="s">
        <v>1110</v>
      </c>
    </row>
    <row r="4156" spans="2:5" x14ac:dyDescent="0.45">
      <c r="B4156" s="1347" t="s">
        <v>1108</v>
      </c>
      <c r="D4156" s="1347" t="s">
        <v>1109</v>
      </c>
      <c r="E4156" s="1347" t="s">
        <v>1110</v>
      </c>
    </row>
    <row r="4157" spans="2:5" x14ac:dyDescent="0.45">
      <c r="B4157" s="1347" t="s">
        <v>1108</v>
      </c>
      <c r="D4157" s="1347" t="s">
        <v>1109</v>
      </c>
      <c r="E4157" s="1347" t="s">
        <v>1110</v>
      </c>
    </row>
    <row r="4158" spans="2:5" x14ac:dyDescent="0.45">
      <c r="B4158" s="1347" t="s">
        <v>1108</v>
      </c>
      <c r="D4158" s="1347" t="s">
        <v>1109</v>
      </c>
      <c r="E4158" s="1347" t="s">
        <v>1110</v>
      </c>
    </row>
    <row r="4159" spans="2:5" x14ac:dyDescent="0.45">
      <c r="B4159" s="1347" t="s">
        <v>1108</v>
      </c>
      <c r="D4159" s="1347" t="s">
        <v>1109</v>
      </c>
      <c r="E4159" s="1347" t="s">
        <v>1110</v>
      </c>
    </row>
    <row r="4160" spans="2:5" x14ac:dyDescent="0.45">
      <c r="B4160" s="1347" t="s">
        <v>1108</v>
      </c>
      <c r="D4160" s="1347" t="s">
        <v>1109</v>
      </c>
      <c r="E4160" s="1347" t="s">
        <v>1110</v>
      </c>
    </row>
    <row r="4161" spans="2:5" x14ac:dyDescent="0.45">
      <c r="B4161" s="1347" t="s">
        <v>1108</v>
      </c>
      <c r="D4161" s="1347" t="s">
        <v>1109</v>
      </c>
      <c r="E4161" s="1347" t="s">
        <v>1110</v>
      </c>
    </row>
    <row r="4162" spans="2:5" x14ac:dyDescent="0.45">
      <c r="B4162" s="1347" t="s">
        <v>1108</v>
      </c>
      <c r="D4162" s="1347" t="s">
        <v>1109</v>
      </c>
      <c r="E4162" s="1347" t="s">
        <v>1110</v>
      </c>
    </row>
    <row r="4163" spans="2:5" x14ac:dyDescent="0.45">
      <c r="B4163" s="1347" t="s">
        <v>1108</v>
      </c>
      <c r="D4163" s="1347" t="s">
        <v>1109</v>
      </c>
      <c r="E4163" s="1347" t="s">
        <v>1110</v>
      </c>
    </row>
    <row r="4164" spans="2:5" x14ac:dyDescent="0.45">
      <c r="B4164" s="1347" t="s">
        <v>1108</v>
      </c>
      <c r="D4164" s="1347" t="s">
        <v>1109</v>
      </c>
      <c r="E4164" s="1347" t="s">
        <v>1110</v>
      </c>
    </row>
    <row r="4165" spans="2:5" x14ac:dyDescent="0.45">
      <c r="B4165" s="1347" t="s">
        <v>1108</v>
      </c>
      <c r="D4165" s="1347" t="s">
        <v>1109</v>
      </c>
      <c r="E4165" s="1347" t="s">
        <v>1110</v>
      </c>
    </row>
    <row r="4166" spans="2:5" x14ac:dyDescent="0.45">
      <c r="B4166" s="1347" t="s">
        <v>1108</v>
      </c>
      <c r="D4166" s="1347" t="s">
        <v>1109</v>
      </c>
      <c r="E4166" s="1347" t="s">
        <v>1110</v>
      </c>
    </row>
    <row r="4167" spans="2:5" x14ac:dyDescent="0.45">
      <c r="B4167" s="1347" t="s">
        <v>1108</v>
      </c>
      <c r="D4167" s="1347" t="s">
        <v>1109</v>
      </c>
      <c r="E4167" s="1347" t="s">
        <v>1110</v>
      </c>
    </row>
    <row r="4168" spans="2:5" x14ac:dyDescent="0.45">
      <c r="B4168" s="1347" t="s">
        <v>1108</v>
      </c>
      <c r="D4168" s="1347" t="s">
        <v>1109</v>
      </c>
      <c r="E4168" s="1347" t="s">
        <v>1110</v>
      </c>
    </row>
    <row r="4169" spans="2:5" x14ac:dyDescent="0.45">
      <c r="B4169" s="1347" t="s">
        <v>1108</v>
      </c>
      <c r="D4169" s="1347" t="s">
        <v>1109</v>
      </c>
      <c r="E4169" s="1347" t="s">
        <v>1110</v>
      </c>
    </row>
    <row r="4170" spans="2:5" x14ac:dyDescent="0.45">
      <c r="B4170" s="1347" t="s">
        <v>1108</v>
      </c>
      <c r="D4170" s="1347" t="s">
        <v>1109</v>
      </c>
      <c r="E4170" s="1347" t="s">
        <v>1110</v>
      </c>
    </row>
    <row r="4171" spans="2:5" x14ac:dyDescent="0.45">
      <c r="B4171" s="1347" t="s">
        <v>1108</v>
      </c>
      <c r="D4171" s="1347" t="s">
        <v>1109</v>
      </c>
      <c r="E4171" s="1347" t="s">
        <v>1110</v>
      </c>
    </row>
    <row r="4172" spans="2:5" x14ac:dyDescent="0.45">
      <c r="B4172" s="1347" t="s">
        <v>1108</v>
      </c>
      <c r="D4172" s="1347" t="s">
        <v>1109</v>
      </c>
      <c r="E4172" s="1347" t="s">
        <v>1110</v>
      </c>
    </row>
    <row r="4173" spans="2:5" x14ac:dyDescent="0.45">
      <c r="B4173" s="1347" t="s">
        <v>1108</v>
      </c>
      <c r="D4173" s="1347" t="s">
        <v>1109</v>
      </c>
      <c r="E4173" s="1347" t="s">
        <v>1110</v>
      </c>
    </row>
    <row r="4174" spans="2:5" x14ac:dyDescent="0.45">
      <c r="B4174" s="1347" t="s">
        <v>1108</v>
      </c>
      <c r="D4174" s="1347" t="s">
        <v>1109</v>
      </c>
      <c r="E4174" s="1347" t="s">
        <v>1110</v>
      </c>
    </row>
    <row r="4175" spans="2:5" x14ac:dyDescent="0.45">
      <c r="B4175" s="1347" t="s">
        <v>1108</v>
      </c>
      <c r="D4175" s="1347" t="s">
        <v>1109</v>
      </c>
      <c r="E4175" s="1347" t="s">
        <v>1110</v>
      </c>
    </row>
    <row r="4176" spans="2:5" x14ac:dyDescent="0.45">
      <c r="B4176" s="1347" t="s">
        <v>1108</v>
      </c>
      <c r="D4176" s="1347" t="s">
        <v>1109</v>
      </c>
      <c r="E4176" s="1347" t="s">
        <v>1110</v>
      </c>
    </row>
    <row r="4177" spans="2:5" x14ac:dyDescent="0.45">
      <c r="B4177" s="1347" t="s">
        <v>1108</v>
      </c>
      <c r="D4177" s="1347" t="s">
        <v>1109</v>
      </c>
      <c r="E4177" s="1347" t="s">
        <v>1110</v>
      </c>
    </row>
    <row r="4178" spans="2:5" x14ac:dyDescent="0.45">
      <c r="B4178" s="1347" t="s">
        <v>1108</v>
      </c>
      <c r="D4178" s="1347" t="s">
        <v>1109</v>
      </c>
      <c r="E4178" s="1347" t="s">
        <v>1110</v>
      </c>
    </row>
    <row r="4179" spans="2:5" x14ac:dyDescent="0.45">
      <c r="B4179" s="1347" t="s">
        <v>1108</v>
      </c>
      <c r="D4179" s="1347" t="s">
        <v>1109</v>
      </c>
      <c r="E4179" s="1347" t="s">
        <v>1110</v>
      </c>
    </row>
    <row r="4180" spans="2:5" x14ac:dyDescent="0.45">
      <c r="B4180" s="1347" t="s">
        <v>1108</v>
      </c>
      <c r="D4180" s="1347" t="s">
        <v>1109</v>
      </c>
      <c r="E4180" s="1347" t="s">
        <v>1110</v>
      </c>
    </row>
    <row r="4181" spans="2:5" x14ac:dyDescent="0.45">
      <c r="B4181" s="1347" t="s">
        <v>1108</v>
      </c>
      <c r="D4181" s="1347" t="s">
        <v>1109</v>
      </c>
      <c r="E4181" s="1347" t="s">
        <v>1110</v>
      </c>
    </row>
    <row r="4182" spans="2:5" x14ac:dyDescent="0.45">
      <c r="B4182" s="1347" t="s">
        <v>1108</v>
      </c>
      <c r="D4182" s="1347" t="s">
        <v>1109</v>
      </c>
      <c r="E4182" s="1347" t="s">
        <v>1110</v>
      </c>
    </row>
    <row r="4183" spans="2:5" x14ac:dyDescent="0.45">
      <c r="B4183" s="1347" t="s">
        <v>1108</v>
      </c>
      <c r="D4183" s="1347" t="s">
        <v>1109</v>
      </c>
      <c r="E4183" s="1347" t="s">
        <v>1110</v>
      </c>
    </row>
    <row r="4184" spans="2:5" x14ac:dyDescent="0.45">
      <c r="B4184" s="1347" t="s">
        <v>1108</v>
      </c>
      <c r="D4184" s="1347" t="s">
        <v>1109</v>
      </c>
      <c r="E4184" s="1347" t="s">
        <v>1110</v>
      </c>
    </row>
    <row r="4185" spans="2:5" x14ac:dyDescent="0.45">
      <c r="B4185" s="1347" t="s">
        <v>1108</v>
      </c>
      <c r="D4185" s="1347" t="s">
        <v>1109</v>
      </c>
      <c r="E4185" s="1347" t="s">
        <v>1110</v>
      </c>
    </row>
    <row r="4186" spans="2:5" x14ac:dyDescent="0.45">
      <c r="B4186" s="1347" t="s">
        <v>1108</v>
      </c>
      <c r="D4186" s="1347" t="s">
        <v>1109</v>
      </c>
      <c r="E4186" s="1347" t="s">
        <v>1110</v>
      </c>
    </row>
    <row r="4187" spans="2:5" x14ac:dyDescent="0.45">
      <c r="B4187" s="1347" t="s">
        <v>1108</v>
      </c>
      <c r="D4187" s="1347" t="s">
        <v>1109</v>
      </c>
      <c r="E4187" s="1347" t="s">
        <v>1110</v>
      </c>
    </row>
    <row r="4188" spans="2:5" x14ac:dyDescent="0.45">
      <c r="B4188" s="1347" t="s">
        <v>1108</v>
      </c>
      <c r="D4188" s="1347" t="s">
        <v>1109</v>
      </c>
      <c r="E4188" s="1347" t="s">
        <v>1110</v>
      </c>
    </row>
    <row r="4189" spans="2:5" x14ac:dyDescent="0.45">
      <c r="B4189" s="1347" t="s">
        <v>1108</v>
      </c>
      <c r="D4189" s="1347" t="s">
        <v>1109</v>
      </c>
      <c r="E4189" s="1347" t="s">
        <v>1110</v>
      </c>
    </row>
    <row r="4190" spans="2:5" x14ac:dyDescent="0.45">
      <c r="B4190" s="1347" t="s">
        <v>1108</v>
      </c>
      <c r="D4190" s="1347" t="s">
        <v>1109</v>
      </c>
      <c r="E4190" s="1347" t="s">
        <v>1110</v>
      </c>
    </row>
    <row r="4191" spans="2:5" x14ac:dyDescent="0.45">
      <c r="B4191" s="1347" t="s">
        <v>1108</v>
      </c>
      <c r="D4191" s="1347" t="s">
        <v>1109</v>
      </c>
      <c r="E4191" s="1347" t="s">
        <v>1110</v>
      </c>
    </row>
    <row r="4192" spans="2:5" x14ac:dyDescent="0.45">
      <c r="B4192" s="1347" t="s">
        <v>1108</v>
      </c>
      <c r="D4192" s="1347" t="s">
        <v>1109</v>
      </c>
      <c r="E4192" s="1347" t="s">
        <v>1110</v>
      </c>
    </row>
    <row r="4193" spans="2:5" x14ac:dyDescent="0.45">
      <c r="B4193" s="1347" t="s">
        <v>1108</v>
      </c>
      <c r="D4193" s="1347" t="s">
        <v>1109</v>
      </c>
      <c r="E4193" s="1347" t="s">
        <v>1110</v>
      </c>
    </row>
    <row r="4194" spans="2:5" x14ac:dyDescent="0.45">
      <c r="B4194" s="1347" t="s">
        <v>1108</v>
      </c>
      <c r="D4194" s="1347" t="s">
        <v>1109</v>
      </c>
      <c r="E4194" s="1347" t="s">
        <v>1110</v>
      </c>
    </row>
    <row r="4195" spans="2:5" x14ac:dyDescent="0.45">
      <c r="B4195" s="1347" t="s">
        <v>1108</v>
      </c>
      <c r="D4195" s="1347" t="s">
        <v>1109</v>
      </c>
      <c r="E4195" s="1347" t="s">
        <v>1110</v>
      </c>
    </row>
    <row r="4196" spans="2:5" x14ac:dyDescent="0.45">
      <c r="B4196" s="1347" t="s">
        <v>1108</v>
      </c>
      <c r="D4196" s="1347" t="s">
        <v>1109</v>
      </c>
      <c r="E4196" s="1347" t="s">
        <v>1110</v>
      </c>
    </row>
    <row r="4197" spans="2:5" x14ac:dyDescent="0.45">
      <c r="B4197" s="1347" t="s">
        <v>1108</v>
      </c>
      <c r="D4197" s="1347" t="s">
        <v>1109</v>
      </c>
      <c r="E4197" s="1347" t="s">
        <v>1110</v>
      </c>
    </row>
    <row r="4198" spans="2:5" x14ac:dyDescent="0.45">
      <c r="B4198" s="1347" t="s">
        <v>1108</v>
      </c>
      <c r="D4198" s="1347" t="s">
        <v>1109</v>
      </c>
      <c r="E4198" s="1347" t="s">
        <v>1110</v>
      </c>
    </row>
    <row r="4199" spans="2:5" x14ac:dyDescent="0.45">
      <c r="B4199" s="1347" t="s">
        <v>1108</v>
      </c>
      <c r="D4199" s="1347" t="s">
        <v>1109</v>
      </c>
      <c r="E4199" s="1347" t="s">
        <v>1110</v>
      </c>
    </row>
    <row r="4200" spans="2:5" x14ac:dyDescent="0.45">
      <c r="B4200" s="1347" t="s">
        <v>1108</v>
      </c>
      <c r="D4200" s="1347" t="s">
        <v>1109</v>
      </c>
      <c r="E4200" s="1347" t="s">
        <v>1110</v>
      </c>
    </row>
    <row r="4201" spans="2:5" x14ac:dyDescent="0.45">
      <c r="B4201" s="1347" t="s">
        <v>1108</v>
      </c>
      <c r="D4201" s="1347" t="s">
        <v>1109</v>
      </c>
      <c r="E4201" s="1347" t="s">
        <v>1110</v>
      </c>
    </row>
    <row r="4202" spans="2:5" x14ac:dyDescent="0.45">
      <c r="B4202" s="1347" t="s">
        <v>1108</v>
      </c>
      <c r="D4202" s="1347" t="s">
        <v>1109</v>
      </c>
      <c r="E4202" s="1347" t="s">
        <v>1110</v>
      </c>
    </row>
    <row r="4203" spans="2:5" x14ac:dyDescent="0.45">
      <c r="B4203" s="1347" t="s">
        <v>1108</v>
      </c>
      <c r="D4203" s="1347" t="s">
        <v>1109</v>
      </c>
      <c r="E4203" s="1347" t="s">
        <v>1110</v>
      </c>
    </row>
    <row r="4204" spans="2:5" x14ac:dyDescent="0.45">
      <c r="B4204" s="1347" t="s">
        <v>1108</v>
      </c>
      <c r="D4204" s="1347" t="s">
        <v>1109</v>
      </c>
      <c r="E4204" s="1347" t="s">
        <v>1110</v>
      </c>
    </row>
    <row r="4205" spans="2:5" x14ac:dyDescent="0.45">
      <c r="B4205" s="1347" t="s">
        <v>1108</v>
      </c>
      <c r="D4205" s="1347" t="s">
        <v>1109</v>
      </c>
      <c r="E4205" s="1347" t="s">
        <v>1110</v>
      </c>
    </row>
    <row r="4206" spans="2:5" x14ac:dyDescent="0.45">
      <c r="B4206" s="1347" t="s">
        <v>1108</v>
      </c>
      <c r="D4206" s="1347" t="s">
        <v>1109</v>
      </c>
      <c r="E4206" s="1347" t="s">
        <v>1110</v>
      </c>
    </row>
    <row r="4207" spans="2:5" x14ac:dyDescent="0.45">
      <c r="B4207" s="1347" t="s">
        <v>1108</v>
      </c>
      <c r="D4207" s="1347" t="s">
        <v>1109</v>
      </c>
      <c r="E4207" s="1347" t="s">
        <v>1110</v>
      </c>
    </row>
    <row r="4208" spans="2:5" x14ac:dyDescent="0.45">
      <c r="B4208" s="1347" t="s">
        <v>1108</v>
      </c>
      <c r="D4208" s="1347" t="s">
        <v>1109</v>
      </c>
      <c r="E4208" s="1347" t="s">
        <v>1110</v>
      </c>
    </row>
    <row r="4209" spans="2:5" x14ac:dyDescent="0.45">
      <c r="B4209" s="1347" t="s">
        <v>1108</v>
      </c>
      <c r="D4209" s="1347" t="s">
        <v>1109</v>
      </c>
      <c r="E4209" s="1347" t="s">
        <v>1110</v>
      </c>
    </row>
    <row r="4210" spans="2:5" x14ac:dyDescent="0.45">
      <c r="B4210" s="1347" t="s">
        <v>1108</v>
      </c>
      <c r="D4210" s="1347" t="s">
        <v>1109</v>
      </c>
      <c r="E4210" s="1347" t="s">
        <v>1110</v>
      </c>
    </row>
    <row r="4211" spans="2:5" x14ac:dyDescent="0.45">
      <c r="B4211" s="1347" t="s">
        <v>1108</v>
      </c>
      <c r="D4211" s="1347" t="s">
        <v>1109</v>
      </c>
      <c r="E4211" s="1347" t="s">
        <v>1110</v>
      </c>
    </row>
    <row r="4212" spans="2:5" x14ac:dyDescent="0.45">
      <c r="B4212" s="1347" t="s">
        <v>1108</v>
      </c>
      <c r="D4212" s="1347" t="s">
        <v>1109</v>
      </c>
      <c r="E4212" s="1347" t="s">
        <v>1110</v>
      </c>
    </row>
    <row r="4213" spans="2:5" x14ac:dyDescent="0.45">
      <c r="B4213" s="1347" t="s">
        <v>1108</v>
      </c>
      <c r="D4213" s="1347" t="s">
        <v>1109</v>
      </c>
      <c r="E4213" s="1347" t="s">
        <v>1110</v>
      </c>
    </row>
    <row r="4214" spans="2:5" x14ac:dyDescent="0.45">
      <c r="B4214" s="1347" t="s">
        <v>1108</v>
      </c>
      <c r="D4214" s="1347" t="s">
        <v>1109</v>
      </c>
      <c r="E4214" s="1347" t="s">
        <v>1110</v>
      </c>
    </row>
    <row r="4215" spans="2:5" x14ac:dyDescent="0.45">
      <c r="B4215" s="1347" t="s">
        <v>1108</v>
      </c>
      <c r="D4215" s="1347" t="s">
        <v>1109</v>
      </c>
      <c r="E4215" s="1347" t="s">
        <v>1110</v>
      </c>
    </row>
    <row r="4216" spans="2:5" x14ac:dyDescent="0.45">
      <c r="B4216" s="1347" t="s">
        <v>1108</v>
      </c>
      <c r="D4216" s="1347" t="s">
        <v>1109</v>
      </c>
      <c r="E4216" s="1347" t="s">
        <v>1110</v>
      </c>
    </row>
    <row r="4217" spans="2:5" x14ac:dyDescent="0.45">
      <c r="B4217" s="1347" t="s">
        <v>1108</v>
      </c>
      <c r="D4217" s="1347" t="s">
        <v>1109</v>
      </c>
      <c r="E4217" s="1347" t="s">
        <v>1110</v>
      </c>
    </row>
    <row r="4218" spans="2:5" x14ac:dyDescent="0.45">
      <c r="B4218" s="1347" t="s">
        <v>1108</v>
      </c>
      <c r="D4218" s="1347" t="s">
        <v>1109</v>
      </c>
      <c r="E4218" s="1347" t="s">
        <v>1110</v>
      </c>
    </row>
    <row r="4219" spans="2:5" x14ac:dyDescent="0.45">
      <c r="B4219" s="1347" t="s">
        <v>1108</v>
      </c>
      <c r="D4219" s="1347" t="s">
        <v>1109</v>
      </c>
      <c r="E4219" s="1347" t="s">
        <v>1110</v>
      </c>
    </row>
    <row r="4220" spans="2:5" x14ac:dyDescent="0.45">
      <c r="B4220" s="1347" t="s">
        <v>1108</v>
      </c>
      <c r="D4220" s="1347" t="s">
        <v>1109</v>
      </c>
      <c r="E4220" s="1347" t="s">
        <v>1110</v>
      </c>
    </row>
    <row r="4221" spans="2:5" x14ac:dyDescent="0.45">
      <c r="B4221" s="1347" t="s">
        <v>1108</v>
      </c>
      <c r="D4221" s="1347" t="s">
        <v>1109</v>
      </c>
      <c r="E4221" s="1347" t="s">
        <v>1110</v>
      </c>
    </row>
    <row r="4222" spans="2:5" x14ac:dyDescent="0.45">
      <c r="B4222" s="1347" t="s">
        <v>1108</v>
      </c>
      <c r="D4222" s="1347" t="s">
        <v>1109</v>
      </c>
      <c r="E4222" s="1347" t="s">
        <v>1110</v>
      </c>
    </row>
    <row r="4223" spans="2:5" x14ac:dyDescent="0.45">
      <c r="B4223" s="1347" t="s">
        <v>1108</v>
      </c>
      <c r="D4223" s="1347" t="s">
        <v>1109</v>
      </c>
      <c r="E4223" s="1347" t="s">
        <v>1110</v>
      </c>
    </row>
    <row r="4224" spans="2:5" x14ac:dyDescent="0.45">
      <c r="B4224" s="1347" t="s">
        <v>1108</v>
      </c>
      <c r="D4224" s="1347" t="s">
        <v>1109</v>
      </c>
      <c r="E4224" s="1347" t="s">
        <v>1110</v>
      </c>
    </row>
    <row r="4225" spans="2:5" x14ac:dyDescent="0.45">
      <c r="B4225" s="1347" t="s">
        <v>1108</v>
      </c>
      <c r="D4225" s="1347" t="s">
        <v>1109</v>
      </c>
      <c r="E4225" s="1347" t="s">
        <v>1110</v>
      </c>
    </row>
    <row r="4226" spans="2:5" x14ac:dyDescent="0.45">
      <c r="B4226" s="1347" t="s">
        <v>1108</v>
      </c>
      <c r="D4226" s="1347" t="s">
        <v>1109</v>
      </c>
      <c r="E4226" s="1347" t="s">
        <v>1110</v>
      </c>
    </row>
    <row r="4227" spans="2:5" x14ac:dyDescent="0.45">
      <c r="B4227" s="1347" t="s">
        <v>1108</v>
      </c>
      <c r="D4227" s="1347" t="s">
        <v>1109</v>
      </c>
      <c r="E4227" s="1347" t="s">
        <v>1110</v>
      </c>
    </row>
    <row r="4228" spans="2:5" x14ac:dyDescent="0.45">
      <c r="B4228" s="1347" t="s">
        <v>1108</v>
      </c>
      <c r="D4228" s="1347" t="s">
        <v>1109</v>
      </c>
      <c r="E4228" s="1347" t="s">
        <v>1110</v>
      </c>
    </row>
    <row r="4229" spans="2:5" x14ac:dyDescent="0.45">
      <c r="B4229" s="1347" t="s">
        <v>1108</v>
      </c>
      <c r="D4229" s="1347" t="s">
        <v>1109</v>
      </c>
      <c r="E4229" s="1347" t="s">
        <v>1110</v>
      </c>
    </row>
    <row r="4230" spans="2:5" x14ac:dyDescent="0.45">
      <c r="B4230" s="1347" t="s">
        <v>1108</v>
      </c>
      <c r="D4230" s="1347" t="s">
        <v>1109</v>
      </c>
      <c r="E4230" s="1347" t="s">
        <v>1110</v>
      </c>
    </row>
    <row r="4231" spans="2:5" x14ac:dyDescent="0.45">
      <c r="B4231" s="1347" t="s">
        <v>1108</v>
      </c>
      <c r="D4231" s="1347" t="s">
        <v>1109</v>
      </c>
      <c r="E4231" s="1347" t="s">
        <v>1110</v>
      </c>
    </row>
    <row r="4232" spans="2:5" x14ac:dyDescent="0.45">
      <c r="B4232" s="1347" t="s">
        <v>1108</v>
      </c>
      <c r="D4232" s="1347" t="s">
        <v>1109</v>
      </c>
      <c r="E4232" s="1347" t="s">
        <v>1110</v>
      </c>
    </row>
    <row r="4233" spans="2:5" x14ac:dyDescent="0.45">
      <c r="B4233" s="1347" t="s">
        <v>1108</v>
      </c>
      <c r="D4233" s="1347" t="s">
        <v>1109</v>
      </c>
      <c r="E4233" s="1347" t="s">
        <v>1110</v>
      </c>
    </row>
    <row r="4234" spans="2:5" x14ac:dyDescent="0.45">
      <c r="B4234" s="1347" t="s">
        <v>1108</v>
      </c>
      <c r="D4234" s="1347" t="s">
        <v>1109</v>
      </c>
      <c r="E4234" s="1347" t="s">
        <v>1110</v>
      </c>
    </row>
    <row r="4235" spans="2:5" x14ac:dyDescent="0.45">
      <c r="B4235" s="1347" t="s">
        <v>1108</v>
      </c>
      <c r="D4235" s="1347" t="s">
        <v>1109</v>
      </c>
      <c r="E4235" s="1347" t="s">
        <v>1110</v>
      </c>
    </row>
    <row r="4236" spans="2:5" x14ac:dyDescent="0.45">
      <c r="B4236" s="1347" t="s">
        <v>1108</v>
      </c>
      <c r="D4236" s="1347" t="s">
        <v>1109</v>
      </c>
      <c r="E4236" s="1347" t="s">
        <v>1110</v>
      </c>
    </row>
    <row r="4237" spans="2:5" x14ac:dyDescent="0.45">
      <c r="B4237" s="1347" t="s">
        <v>1108</v>
      </c>
      <c r="D4237" s="1347" t="s">
        <v>1109</v>
      </c>
      <c r="E4237" s="1347" t="s">
        <v>1110</v>
      </c>
    </row>
    <row r="4238" spans="2:5" x14ac:dyDescent="0.45">
      <c r="B4238" s="1347" t="s">
        <v>1108</v>
      </c>
      <c r="D4238" s="1347" t="s">
        <v>1109</v>
      </c>
      <c r="E4238" s="1347" t="s">
        <v>1110</v>
      </c>
    </row>
    <row r="4239" spans="2:5" x14ac:dyDescent="0.45">
      <c r="B4239" s="1347" t="s">
        <v>1108</v>
      </c>
      <c r="D4239" s="1347" t="s">
        <v>1109</v>
      </c>
      <c r="E4239" s="1347" t="s">
        <v>1110</v>
      </c>
    </row>
    <row r="4240" spans="2:5" x14ac:dyDescent="0.45">
      <c r="B4240" s="1347" t="s">
        <v>1108</v>
      </c>
      <c r="D4240" s="1347" t="s">
        <v>1109</v>
      </c>
      <c r="E4240" s="1347" t="s">
        <v>1110</v>
      </c>
    </row>
    <row r="4241" spans="2:5" x14ac:dyDescent="0.45">
      <c r="B4241" s="1347" t="s">
        <v>1108</v>
      </c>
      <c r="D4241" s="1347" t="s">
        <v>1109</v>
      </c>
      <c r="E4241" s="1347" t="s">
        <v>1110</v>
      </c>
    </row>
    <row r="4242" spans="2:5" x14ac:dyDescent="0.45">
      <c r="B4242" s="1347" t="s">
        <v>1108</v>
      </c>
      <c r="D4242" s="1347" t="s">
        <v>1109</v>
      </c>
      <c r="E4242" s="1347" t="s">
        <v>1110</v>
      </c>
    </row>
    <row r="4243" spans="2:5" x14ac:dyDescent="0.45">
      <c r="B4243" s="1347" t="s">
        <v>1108</v>
      </c>
      <c r="D4243" s="1347" t="s">
        <v>1109</v>
      </c>
      <c r="E4243" s="1347" t="s">
        <v>1110</v>
      </c>
    </row>
    <row r="4244" spans="2:5" x14ac:dyDescent="0.45">
      <c r="B4244" s="1347" t="s">
        <v>1108</v>
      </c>
      <c r="D4244" s="1347" t="s">
        <v>1109</v>
      </c>
      <c r="E4244" s="1347" t="s">
        <v>1110</v>
      </c>
    </row>
    <row r="4245" spans="2:5" x14ac:dyDescent="0.45">
      <c r="B4245" s="1347" t="s">
        <v>1108</v>
      </c>
      <c r="D4245" s="1347" t="s">
        <v>1109</v>
      </c>
      <c r="E4245" s="1347" t="s">
        <v>1110</v>
      </c>
    </row>
    <row r="4246" spans="2:5" x14ac:dyDescent="0.45">
      <c r="B4246" s="1347" t="s">
        <v>1108</v>
      </c>
      <c r="D4246" s="1347" t="s">
        <v>1109</v>
      </c>
      <c r="E4246" s="1347" t="s">
        <v>1110</v>
      </c>
    </row>
    <row r="4247" spans="2:5" x14ac:dyDescent="0.45">
      <c r="B4247" s="1347" t="s">
        <v>1108</v>
      </c>
      <c r="D4247" s="1347" t="s">
        <v>1109</v>
      </c>
      <c r="E4247" s="1347" t="s">
        <v>1110</v>
      </c>
    </row>
    <row r="4248" spans="2:5" x14ac:dyDescent="0.45">
      <c r="B4248" s="1347" t="s">
        <v>1108</v>
      </c>
      <c r="D4248" s="1347" t="s">
        <v>1109</v>
      </c>
      <c r="E4248" s="1347" t="s">
        <v>1110</v>
      </c>
    </row>
    <row r="4249" spans="2:5" x14ac:dyDescent="0.45">
      <c r="B4249" s="1347" t="s">
        <v>1108</v>
      </c>
      <c r="D4249" s="1347" t="s">
        <v>1109</v>
      </c>
      <c r="E4249" s="1347" t="s">
        <v>1110</v>
      </c>
    </row>
    <row r="4250" spans="2:5" x14ac:dyDescent="0.45">
      <c r="B4250" s="1347" t="s">
        <v>1108</v>
      </c>
      <c r="D4250" s="1347" t="s">
        <v>1109</v>
      </c>
      <c r="E4250" s="1347" t="s">
        <v>1110</v>
      </c>
    </row>
    <row r="4251" spans="2:5" x14ac:dyDescent="0.45">
      <c r="B4251" s="1347" t="s">
        <v>1108</v>
      </c>
      <c r="D4251" s="1347" t="s">
        <v>1109</v>
      </c>
      <c r="E4251" s="1347" t="s">
        <v>1110</v>
      </c>
    </row>
    <row r="4252" spans="2:5" x14ac:dyDescent="0.45">
      <c r="B4252" s="1347" t="s">
        <v>1108</v>
      </c>
      <c r="D4252" s="1347" t="s">
        <v>1109</v>
      </c>
      <c r="E4252" s="1347" t="s">
        <v>1110</v>
      </c>
    </row>
    <row r="4253" spans="2:5" x14ac:dyDescent="0.45">
      <c r="B4253" s="1347" t="s">
        <v>1108</v>
      </c>
      <c r="D4253" s="1347" t="s">
        <v>1109</v>
      </c>
      <c r="E4253" s="1347" t="s">
        <v>1110</v>
      </c>
    </row>
    <row r="4254" spans="2:5" x14ac:dyDescent="0.45">
      <c r="B4254" s="1347" t="s">
        <v>1108</v>
      </c>
      <c r="D4254" s="1347" t="s">
        <v>1109</v>
      </c>
      <c r="E4254" s="1347" t="s">
        <v>1110</v>
      </c>
    </row>
    <row r="4255" spans="2:5" x14ac:dyDescent="0.45">
      <c r="B4255" s="1347" t="s">
        <v>1108</v>
      </c>
      <c r="D4255" s="1347" t="s">
        <v>1109</v>
      </c>
      <c r="E4255" s="1347" t="s">
        <v>1110</v>
      </c>
    </row>
    <row r="4256" spans="2:5" x14ac:dyDescent="0.45">
      <c r="B4256" s="1347" t="s">
        <v>1108</v>
      </c>
      <c r="D4256" s="1347" t="s">
        <v>1109</v>
      </c>
      <c r="E4256" s="1347" t="s">
        <v>1110</v>
      </c>
    </row>
    <row r="4257" spans="2:5" x14ac:dyDescent="0.45">
      <c r="B4257" s="1347" t="s">
        <v>1108</v>
      </c>
      <c r="D4257" s="1347" t="s">
        <v>1109</v>
      </c>
      <c r="E4257" s="1347" t="s">
        <v>1110</v>
      </c>
    </row>
    <row r="4258" spans="2:5" x14ac:dyDescent="0.45">
      <c r="B4258" s="1347" t="s">
        <v>1108</v>
      </c>
      <c r="D4258" s="1347" t="s">
        <v>1109</v>
      </c>
      <c r="E4258" s="1347" t="s">
        <v>1110</v>
      </c>
    </row>
    <row r="4259" spans="2:5" x14ac:dyDescent="0.45">
      <c r="B4259" s="1347" t="s">
        <v>1108</v>
      </c>
      <c r="D4259" s="1347" t="s">
        <v>1109</v>
      </c>
      <c r="E4259" s="1347" t="s">
        <v>1110</v>
      </c>
    </row>
    <row r="4260" spans="2:5" x14ac:dyDescent="0.45">
      <c r="B4260" s="1347" t="s">
        <v>1108</v>
      </c>
      <c r="D4260" s="1347" t="s">
        <v>1109</v>
      </c>
      <c r="E4260" s="1347" t="s">
        <v>1110</v>
      </c>
    </row>
    <row r="4261" spans="2:5" x14ac:dyDescent="0.45">
      <c r="B4261" s="1347" t="s">
        <v>1108</v>
      </c>
      <c r="D4261" s="1347" t="s">
        <v>1109</v>
      </c>
      <c r="E4261" s="1347" t="s">
        <v>1110</v>
      </c>
    </row>
    <row r="4262" spans="2:5" x14ac:dyDescent="0.45">
      <c r="B4262" s="1347" t="s">
        <v>1108</v>
      </c>
      <c r="D4262" s="1347" t="s">
        <v>1109</v>
      </c>
      <c r="E4262" s="1347" t="s">
        <v>1110</v>
      </c>
    </row>
    <row r="4263" spans="2:5" x14ac:dyDescent="0.45">
      <c r="B4263" s="1347" t="s">
        <v>1108</v>
      </c>
      <c r="D4263" s="1347" t="s">
        <v>1109</v>
      </c>
      <c r="E4263" s="1347" t="s">
        <v>1110</v>
      </c>
    </row>
    <row r="4264" spans="2:5" x14ac:dyDescent="0.45">
      <c r="B4264" s="1347" t="s">
        <v>1108</v>
      </c>
      <c r="D4264" s="1347" t="s">
        <v>1109</v>
      </c>
      <c r="E4264" s="1347" t="s">
        <v>1110</v>
      </c>
    </row>
    <row r="4265" spans="2:5" x14ac:dyDescent="0.45">
      <c r="B4265" s="1347" t="s">
        <v>1108</v>
      </c>
      <c r="D4265" s="1347" t="s">
        <v>1109</v>
      </c>
      <c r="E4265" s="1347" t="s">
        <v>1110</v>
      </c>
    </row>
    <row r="4266" spans="2:5" x14ac:dyDescent="0.45">
      <c r="B4266" s="1347" t="s">
        <v>1108</v>
      </c>
      <c r="D4266" s="1347" t="s">
        <v>1109</v>
      </c>
      <c r="E4266" s="1347" t="s">
        <v>1110</v>
      </c>
    </row>
    <row r="4267" spans="2:5" x14ac:dyDescent="0.45">
      <c r="B4267" s="1347" t="s">
        <v>1108</v>
      </c>
      <c r="D4267" s="1347" t="s">
        <v>1109</v>
      </c>
      <c r="E4267" s="1347" t="s">
        <v>1110</v>
      </c>
    </row>
    <row r="4268" spans="2:5" x14ac:dyDescent="0.45">
      <c r="B4268" s="1347" t="s">
        <v>1108</v>
      </c>
      <c r="D4268" s="1347" t="s">
        <v>1109</v>
      </c>
      <c r="E4268" s="1347" t="s">
        <v>1110</v>
      </c>
    </row>
    <row r="4269" spans="2:5" x14ac:dyDescent="0.45">
      <c r="B4269" s="1347" t="s">
        <v>1108</v>
      </c>
      <c r="D4269" s="1347" t="s">
        <v>1109</v>
      </c>
      <c r="E4269" s="1347" t="s">
        <v>1110</v>
      </c>
    </row>
    <row r="4270" spans="2:5" x14ac:dyDescent="0.45">
      <c r="B4270" s="1347" t="s">
        <v>1108</v>
      </c>
      <c r="D4270" s="1347" t="s">
        <v>1109</v>
      </c>
      <c r="E4270" s="1347" t="s">
        <v>1110</v>
      </c>
    </row>
    <row r="4271" spans="2:5" x14ac:dyDescent="0.45">
      <c r="B4271" s="1347" t="s">
        <v>1108</v>
      </c>
      <c r="D4271" s="1347" t="s">
        <v>1109</v>
      </c>
      <c r="E4271" s="1347" t="s">
        <v>1110</v>
      </c>
    </row>
    <row r="4272" spans="2:5" x14ac:dyDescent="0.45">
      <c r="B4272" s="1347" t="s">
        <v>1108</v>
      </c>
      <c r="D4272" s="1347" t="s">
        <v>1109</v>
      </c>
      <c r="E4272" s="1347" t="s">
        <v>1110</v>
      </c>
    </row>
    <row r="4273" spans="1:5" x14ac:dyDescent="0.45">
      <c r="B4273" s="1347" t="s">
        <v>1108</v>
      </c>
      <c r="D4273" s="1347" t="s">
        <v>1109</v>
      </c>
      <c r="E4273" s="1347" t="s">
        <v>1110</v>
      </c>
    </row>
    <row r="4274" spans="1:5" x14ac:dyDescent="0.45">
      <c r="B4274" s="1347" t="s">
        <v>5539</v>
      </c>
      <c r="D4274" s="1347" t="s">
        <v>5540</v>
      </c>
      <c r="E4274" s="1347" t="s">
        <v>5541</v>
      </c>
    </row>
    <row r="4275" spans="1:5" x14ac:dyDescent="0.45">
      <c r="B4275" s="1347" t="s">
        <v>1108</v>
      </c>
      <c r="D4275" s="1347" t="s">
        <v>5542</v>
      </c>
      <c r="E4275" s="1347" t="s">
        <v>1110</v>
      </c>
    </row>
    <row r="4276" spans="1:5" x14ac:dyDescent="0.45">
      <c r="A4276" s="1347">
        <v>-4</v>
      </c>
      <c r="B4276" s="1347" t="s">
        <v>5543</v>
      </c>
      <c r="D4276" s="1347" t="s">
        <v>5544</v>
      </c>
      <c r="E4276" s="1347" t="s">
        <v>5545</v>
      </c>
    </row>
    <row r="4277" spans="1:5" x14ac:dyDescent="0.45">
      <c r="B4277" s="1347" t="s">
        <v>3392</v>
      </c>
      <c r="D4277" s="1347" t="s">
        <v>5546</v>
      </c>
      <c r="E4277" s="1347" t="s">
        <v>5547</v>
      </c>
    </row>
    <row r="4278" spans="1:5" x14ac:dyDescent="0.45">
      <c r="B4278" s="1347" t="s">
        <v>1108</v>
      </c>
      <c r="D4278" s="1347" t="s">
        <v>5548</v>
      </c>
      <c r="E4278" s="1347" t="s">
        <v>5549</v>
      </c>
    </row>
    <row r="4279" spans="1:5" x14ac:dyDescent="0.45">
      <c r="B4279" s="1347" t="s">
        <v>3951</v>
      </c>
      <c r="D4279" s="1347" t="s">
        <v>1109</v>
      </c>
      <c r="E4279" s="1347" t="s">
        <v>5550</v>
      </c>
    </row>
    <row r="4280" spans="1:5" x14ac:dyDescent="0.45">
      <c r="B4280" s="1347" t="s">
        <v>1108</v>
      </c>
      <c r="D4280" s="1347" t="s">
        <v>5551</v>
      </c>
      <c r="E4280" s="1347" t="s">
        <v>1402</v>
      </c>
    </row>
    <row r="4281" spans="1:5" x14ac:dyDescent="0.45">
      <c r="A4281" s="1347">
        <v>2</v>
      </c>
      <c r="B4281" s="1347" t="s">
        <v>5552</v>
      </c>
      <c r="D4281" s="1347" t="s">
        <v>5553</v>
      </c>
      <c r="E4281" s="1347" t="s">
        <v>5554</v>
      </c>
    </row>
    <row r="4282" spans="1:5" x14ac:dyDescent="0.45">
      <c r="B4282" s="1347" t="s">
        <v>5555</v>
      </c>
      <c r="D4282" s="1347" t="s">
        <v>5556</v>
      </c>
      <c r="E4282" s="1347" t="s">
        <v>1110</v>
      </c>
    </row>
    <row r="4283" spans="1:5" x14ac:dyDescent="0.45">
      <c r="A4283" s="1347" t="s">
        <v>1105</v>
      </c>
      <c r="B4283" s="1347" t="s">
        <v>5557</v>
      </c>
      <c r="D4283" s="1347" t="s">
        <v>5558</v>
      </c>
      <c r="E4283" s="1347" t="s">
        <v>5559</v>
      </c>
    </row>
    <row r="4284" spans="1:5" x14ac:dyDescent="0.45">
      <c r="B4284" s="1347" t="s">
        <v>1327</v>
      </c>
      <c r="D4284" s="1347" t="s">
        <v>5560</v>
      </c>
      <c r="E4284" s="1347" t="s">
        <v>5561</v>
      </c>
    </row>
    <row r="4285" spans="1:5" x14ac:dyDescent="0.45">
      <c r="B4285" s="1347" t="s">
        <v>1108</v>
      </c>
      <c r="D4285" s="1347" t="s">
        <v>5562</v>
      </c>
      <c r="E4285" s="1347" t="s">
        <v>5563</v>
      </c>
    </row>
    <row r="4286" spans="1:5" x14ac:dyDescent="0.45">
      <c r="B4286" s="1347" t="s">
        <v>1108</v>
      </c>
      <c r="D4286" s="1347" t="s">
        <v>5564</v>
      </c>
      <c r="E4286" s="1347" t="s">
        <v>5565</v>
      </c>
    </row>
    <row r="4287" spans="1:5" x14ac:dyDescent="0.45">
      <c r="B4287" s="1347" t="s">
        <v>5566</v>
      </c>
      <c r="C4287" s="1347" t="s">
        <v>1105</v>
      </c>
      <c r="D4287" s="1347" t="s">
        <v>5567</v>
      </c>
      <c r="E4287" s="1347" t="s">
        <v>5568</v>
      </c>
    </row>
    <row r="4288" spans="1:5" x14ac:dyDescent="0.45">
      <c r="B4288" s="1347" t="s">
        <v>1108</v>
      </c>
      <c r="D4288" s="1347" t="s">
        <v>5569</v>
      </c>
      <c r="E4288" s="1347" t="s">
        <v>2219</v>
      </c>
    </row>
    <row r="4289" spans="1:5" x14ac:dyDescent="0.45">
      <c r="B4289" s="1347" t="s">
        <v>5570</v>
      </c>
      <c r="D4289" s="1347" t="s">
        <v>5571</v>
      </c>
      <c r="E4289" s="1347" t="s">
        <v>5572</v>
      </c>
    </row>
    <row r="4290" spans="1:5" x14ac:dyDescent="0.45">
      <c r="A4290" s="1347">
        <v>-1</v>
      </c>
      <c r="B4290" s="1347" t="s">
        <v>5573</v>
      </c>
      <c r="D4290" s="1347" t="s">
        <v>5574</v>
      </c>
      <c r="E4290" s="1347" t="s">
        <v>5575</v>
      </c>
    </row>
    <row r="4291" spans="1:5" x14ac:dyDescent="0.45">
      <c r="A4291" s="1347" t="s">
        <v>1105</v>
      </c>
      <c r="B4291" s="1347" t="s">
        <v>5576</v>
      </c>
      <c r="D4291" s="1347" t="s">
        <v>5577</v>
      </c>
      <c r="E4291" s="1347" t="s">
        <v>5578</v>
      </c>
    </row>
    <row r="4292" spans="1:5" x14ac:dyDescent="0.45">
      <c r="B4292" s="1347" t="s">
        <v>1675</v>
      </c>
      <c r="D4292" s="1347" t="s">
        <v>5579</v>
      </c>
      <c r="E4292" s="1347" t="s">
        <v>1110</v>
      </c>
    </row>
    <row r="4293" spans="1:5" x14ac:dyDescent="0.45">
      <c r="B4293" s="1347" t="s">
        <v>1108</v>
      </c>
      <c r="D4293" s="1347" t="s">
        <v>5580</v>
      </c>
      <c r="E4293" s="1347" t="s">
        <v>5581</v>
      </c>
    </row>
    <row r="4294" spans="1:5" x14ac:dyDescent="0.45">
      <c r="B4294" s="1347" t="s">
        <v>1108</v>
      </c>
      <c r="D4294" s="1347" t="s">
        <v>5582</v>
      </c>
      <c r="E4294" s="1347" t="s">
        <v>5583</v>
      </c>
    </row>
    <row r="4295" spans="1:5" x14ac:dyDescent="0.45">
      <c r="B4295" s="1347" t="s">
        <v>5584</v>
      </c>
      <c r="D4295" s="1347" t="s">
        <v>5585</v>
      </c>
      <c r="E4295" s="1347" t="s">
        <v>5586</v>
      </c>
    </row>
    <row r="4296" spans="1:5" x14ac:dyDescent="0.45">
      <c r="A4296" s="1347" t="s">
        <v>1105</v>
      </c>
      <c r="B4296" s="1347" t="s">
        <v>5587</v>
      </c>
      <c r="D4296" s="1347" t="s">
        <v>1109</v>
      </c>
      <c r="E4296" s="1347" t="s">
        <v>5588</v>
      </c>
    </row>
    <row r="4297" spans="1:5" x14ac:dyDescent="0.45">
      <c r="B4297" s="1347" t="s">
        <v>5589</v>
      </c>
      <c r="D4297" s="1347" t="s">
        <v>5590</v>
      </c>
      <c r="E4297" s="1347" t="s">
        <v>5591</v>
      </c>
    </row>
    <row r="4298" spans="1:5" x14ac:dyDescent="0.45">
      <c r="B4298" s="1347" t="s">
        <v>1108</v>
      </c>
      <c r="D4298" s="1347" t="s">
        <v>2971</v>
      </c>
      <c r="E4298" s="1347" t="s">
        <v>5592</v>
      </c>
    </row>
    <row r="4299" spans="1:5" x14ac:dyDescent="0.45">
      <c r="A4299" s="1347" t="s">
        <v>1105</v>
      </c>
      <c r="B4299" s="1347" t="s">
        <v>5593</v>
      </c>
      <c r="D4299" s="1347" t="s">
        <v>5594</v>
      </c>
      <c r="E4299" s="1347" t="s">
        <v>5595</v>
      </c>
    </row>
    <row r="4300" spans="1:5" x14ac:dyDescent="0.45">
      <c r="B4300" s="1347" t="s">
        <v>5596</v>
      </c>
      <c r="D4300" s="1347" t="s">
        <v>5597</v>
      </c>
      <c r="E4300" s="1347" t="s">
        <v>1110</v>
      </c>
    </row>
    <row r="4301" spans="1:5" x14ac:dyDescent="0.45">
      <c r="B4301" s="1347" t="s">
        <v>1108</v>
      </c>
      <c r="D4301" s="1347" t="s">
        <v>1109</v>
      </c>
      <c r="E4301" s="1347" t="s">
        <v>1110</v>
      </c>
    </row>
    <row r="4302" spans="1:5" x14ac:dyDescent="0.45">
      <c r="B4302" s="1347" t="s">
        <v>1108</v>
      </c>
      <c r="D4302" s="1347" t="s">
        <v>1109</v>
      </c>
      <c r="E4302" s="1347" t="s">
        <v>1110</v>
      </c>
    </row>
    <row r="4303" spans="1:5" x14ac:dyDescent="0.45">
      <c r="B4303" s="1347" t="s">
        <v>1108</v>
      </c>
      <c r="D4303" s="1347" t="s">
        <v>1109</v>
      </c>
      <c r="E4303" s="1347" t="s">
        <v>1110</v>
      </c>
    </row>
    <row r="4304" spans="1:5" x14ac:dyDescent="0.45">
      <c r="B4304" s="1347" t="s">
        <v>1108</v>
      </c>
      <c r="D4304" s="1347" t="s">
        <v>1109</v>
      </c>
      <c r="E4304" s="1347" t="s">
        <v>1110</v>
      </c>
    </row>
    <row r="4305" spans="2:5" x14ac:dyDescent="0.45">
      <c r="B4305" s="1347" t="s">
        <v>1108</v>
      </c>
      <c r="D4305" s="1347" t="s">
        <v>1109</v>
      </c>
      <c r="E4305" s="1347" t="s">
        <v>1110</v>
      </c>
    </row>
    <row r="4306" spans="2:5" x14ac:dyDescent="0.45">
      <c r="B4306" s="1347" t="s">
        <v>1108</v>
      </c>
      <c r="D4306" s="1347" t="s">
        <v>1109</v>
      </c>
      <c r="E4306" s="1347" t="s">
        <v>1110</v>
      </c>
    </row>
    <row r="4307" spans="2:5" x14ac:dyDescent="0.45">
      <c r="B4307" s="1347" t="s">
        <v>1108</v>
      </c>
      <c r="D4307" s="1347" t="s">
        <v>1109</v>
      </c>
      <c r="E4307" s="1347" t="s">
        <v>1110</v>
      </c>
    </row>
    <row r="4308" spans="2:5" x14ac:dyDescent="0.45">
      <c r="B4308" s="1347" t="s">
        <v>1108</v>
      </c>
      <c r="D4308" s="1347" t="s">
        <v>1109</v>
      </c>
      <c r="E4308" s="1347" t="s">
        <v>1110</v>
      </c>
    </row>
    <row r="4309" spans="2:5" x14ac:dyDescent="0.45">
      <c r="B4309" s="1347" t="s">
        <v>1108</v>
      </c>
      <c r="D4309" s="1347" t="s">
        <v>1109</v>
      </c>
      <c r="E4309" s="1347" t="s">
        <v>1110</v>
      </c>
    </row>
    <row r="4310" spans="2:5" x14ac:dyDescent="0.45">
      <c r="B4310" s="1347" t="s">
        <v>1108</v>
      </c>
      <c r="D4310" s="1347" t="s">
        <v>1109</v>
      </c>
      <c r="E4310" s="1347" t="s">
        <v>1110</v>
      </c>
    </row>
    <row r="4311" spans="2:5" x14ac:dyDescent="0.45">
      <c r="B4311" s="1347" t="s">
        <v>1108</v>
      </c>
      <c r="D4311" s="1347" t="s">
        <v>1109</v>
      </c>
      <c r="E4311" s="1347" t="s">
        <v>1110</v>
      </c>
    </row>
    <row r="4312" spans="2:5" x14ac:dyDescent="0.45">
      <c r="B4312" s="1347" t="s">
        <v>1108</v>
      </c>
      <c r="D4312" s="1347" t="s">
        <v>1109</v>
      </c>
      <c r="E4312" s="1347" t="s">
        <v>1110</v>
      </c>
    </row>
    <row r="4313" spans="2:5" x14ac:dyDescent="0.45">
      <c r="B4313" s="1347" t="s">
        <v>1108</v>
      </c>
      <c r="D4313" s="1347" t="s">
        <v>1109</v>
      </c>
      <c r="E4313" s="1347" t="s">
        <v>1110</v>
      </c>
    </row>
    <row r="4314" spans="2:5" x14ac:dyDescent="0.45">
      <c r="B4314" s="1347" t="s">
        <v>1108</v>
      </c>
      <c r="D4314" s="1347" t="s">
        <v>1109</v>
      </c>
      <c r="E4314" s="1347" t="s">
        <v>1110</v>
      </c>
    </row>
    <row r="4315" spans="2:5" x14ac:dyDescent="0.45">
      <c r="B4315" s="1347" t="s">
        <v>1108</v>
      </c>
      <c r="D4315" s="1347" t="s">
        <v>1109</v>
      </c>
      <c r="E4315" s="1347" t="s">
        <v>1110</v>
      </c>
    </row>
    <row r="4316" spans="2:5" x14ac:dyDescent="0.45">
      <c r="B4316" s="1347" t="s">
        <v>1108</v>
      </c>
      <c r="D4316" s="1347" t="s">
        <v>1109</v>
      </c>
      <c r="E4316" s="1347" t="s">
        <v>1110</v>
      </c>
    </row>
    <row r="4317" spans="2:5" x14ac:dyDescent="0.45">
      <c r="B4317" s="1347" t="s">
        <v>1108</v>
      </c>
      <c r="D4317" s="1347" t="s">
        <v>1109</v>
      </c>
      <c r="E4317" s="1347" t="s">
        <v>1110</v>
      </c>
    </row>
    <row r="4318" spans="2:5" x14ac:dyDescent="0.45">
      <c r="B4318" s="1347" t="s">
        <v>1108</v>
      </c>
      <c r="D4318" s="1347" t="s">
        <v>1109</v>
      </c>
      <c r="E4318" s="1347" t="s">
        <v>1110</v>
      </c>
    </row>
    <row r="4319" spans="2:5" x14ac:dyDescent="0.45">
      <c r="B4319" s="1347" t="s">
        <v>1108</v>
      </c>
      <c r="D4319" s="1347" t="s">
        <v>1109</v>
      </c>
      <c r="E4319" s="1347" t="s">
        <v>1110</v>
      </c>
    </row>
    <row r="4320" spans="2:5" x14ac:dyDescent="0.45">
      <c r="B4320" s="1347" t="s">
        <v>1108</v>
      </c>
      <c r="D4320" s="1347" t="s">
        <v>1109</v>
      </c>
      <c r="E4320" s="1347" t="s">
        <v>1110</v>
      </c>
    </row>
    <row r="4321" spans="2:5" x14ac:dyDescent="0.45">
      <c r="B4321" s="1347" t="s">
        <v>1108</v>
      </c>
      <c r="D4321" s="1347" t="s">
        <v>1109</v>
      </c>
      <c r="E4321" s="1347" t="s">
        <v>1110</v>
      </c>
    </row>
    <row r="4322" spans="2:5" x14ac:dyDescent="0.45">
      <c r="B4322" s="1347" t="s">
        <v>1108</v>
      </c>
      <c r="D4322" s="1347" t="s">
        <v>1109</v>
      </c>
      <c r="E4322" s="1347" t="s">
        <v>1110</v>
      </c>
    </row>
    <row r="4323" spans="2:5" x14ac:dyDescent="0.45">
      <c r="B4323" s="1347" t="s">
        <v>1108</v>
      </c>
      <c r="D4323" s="1347" t="s">
        <v>1109</v>
      </c>
      <c r="E4323" s="1347" t="s">
        <v>1110</v>
      </c>
    </row>
    <row r="4324" spans="2:5" x14ac:dyDescent="0.45">
      <c r="B4324" s="1347" t="s">
        <v>1108</v>
      </c>
      <c r="D4324" s="1347" t="s">
        <v>1109</v>
      </c>
      <c r="E4324" s="1347" t="s">
        <v>1110</v>
      </c>
    </row>
    <row r="4325" spans="2:5" x14ac:dyDescent="0.45">
      <c r="B4325" s="1347" t="s">
        <v>1108</v>
      </c>
      <c r="D4325" s="1347" t="s">
        <v>1109</v>
      </c>
      <c r="E4325" s="1347" t="s">
        <v>1110</v>
      </c>
    </row>
    <row r="4326" spans="2:5" x14ac:dyDescent="0.45">
      <c r="B4326" s="1347" t="s">
        <v>1108</v>
      </c>
      <c r="D4326" s="1347" t="s">
        <v>1109</v>
      </c>
      <c r="E4326" s="1347" t="s">
        <v>1110</v>
      </c>
    </row>
    <row r="4327" spans="2:5" x14ac:dyDescent="0.45">
      <c r="B4327" s="1347" t="s">
        <v>1108</v>
      </c>
      <c r="D4327" s="1347" t="s">
        <v>1109</v>
      </c>
      <c r="E4327" s="1347" t="s">
        <v>1110</v>
      </c>
    </row>
    <row r="4328" spans="2:5" x14ac:dyDescent="0.45">
      <c r="B4328" s="1347" t="s">
        <v>1108</v>
      </c>
      <c r="D4328" s="1347" t="s">
        <v>1109</v>
      </c>
      <c r="E4328" s="1347" t="s">
        <v>1110</v>
      </c>
    </row>
    <row r="4329" spans="2:5" x14ac:dyDescent="0.45">
      <c r="B4329" s="1347" t="s">
        <v>1108</v>
      </c>
      <c r="D4329" s="1347" t="s">
        <v>1109</v>
      </c>
      <c r="E4329" s="1347" t="s">
        <v>1110</v>
      </c>
    </row>
    <row r="4330" spans="2:5" x14ac:dyDescent="0.45">
      <c r="B4330" s="1347" t="s">
        <v>1108</v>
      </c>
      <c r="D4330" s="1347" t="s">
        <v>1109</v>
      </c>
      <c r="E4330" s="1347" t="s">
        <v>1110</v>
      </c>
    </row>
    <row r="4331" spans="2:5" x14ac:dyDescent="0.45">
      <c r="B4331" s="1347" t="s">
        <v>1108</v>
      </c>
      <c r="D4331" s="1347" t="s">
        <v>1109</v>
      </c>
      <c r="E4331" s="1347" t="s">
        <v>1110</v>
      </c>
    </row>
    <row r="4332" spans="2:5" x14ac:dyDescent="0.45">
      <c r="B4332" s="1347" t="s">
        <v>1108</v>
      </c>
      <c r="D4332" s="1347" t="s">
        <v>1109</v>
      </c>
      <c r="E4332" s="1347" t="s">
        <v>1110</v>
      </c>
    </row>
    <row r="4333" spans="2:5" x14ac:dyDescent="0.45">
      <c r="B4333" s="1347" t="s">
        <v>1108</v>
      </c>
      <c r="D4333" s="1347" t="s">
        <v>1109</v>
      </c>
      <c r="E4333" s="1347" t="s">
        <v>1110</v>
      </c>
    </row>
    <row r="4334" spans="2:5" x14ac:dyDescent="0.45">
      <c r="B4334" s="1347" t="s">
        <v>1108</v>
      </c>
      <c r="D4334" s="1347" t="s">
        <v>1109</v>
      </c>
      <c r="E4334" s="1347" t="s">
        <v>1110</v>
      </c>
    </row>
    <row r="4335" spans="2:5" x14ac:dyDescent="0.45">
      <c r="B4335" s="1347" t="s">
        <v>1108</v>
      </c>
      <c r="D4335" s="1347" t="s">
        <v>1109</v>
      </c>
      <c r="E4335" s="1347" t="s">
        <v>1110</v>
      </c>
    </row>
    <row r="4336" spans="2:5" x14ac:dyDescent="0.45">
      <c r="B4336" s="1347" t="s">
        <v>1108</v>
      </c>
      <c r="D4336" s="1347" t="s">
        <v>1109</v>
      </c>
      <c r="E4336" s="1347" t="s">
        <v>1110</v>
      </c>
    </row>
    <row r="4337" spans="2:5" x14ac:dyDescent="0.45">
      <c r="B4337" s="1347" t="s">
        <v>1108</v>
      </c>
      <c r="D4337" s="1347" t="s">
        <v>1109</v>
      </c>
      <c r="E4337" s="1347" t="s">
        <v>1110</v>
      </c>
    </row>
    <row r="4338" spans="2:5" x14ac:dyDescent="0.45">
      <c r="B4338" s="1347" t="s">
        <v>1108</v>
      </c>
      <c r="D4338" s="1347" t="s">
        <v>1109</v>
      </c>
      <c r="E4338" s="1347" t="s">
        <v>1110</v>
      </c>
    </row>
    <row r="4339" spans="2:5" x14ac:dyDescent="0.45">
      <c r="B4339" s="1347" t="s">
        <v>1108</v>
      </c>
      <c r="D4339" s="1347" t="s">
        <v>1109</v>
      </c>
      <c r="E4339" s="1347" t="s">
        <v>1110</v>
      </c>
    </row>
    <row r="4340" spans="2:5" x14ac:dyDescent="0.45">
      <c r="B4340" s="1347" t="s">
        <v>1108</v>
      </c>
      <c r="D4340" s="1347" t="s">
        <v>1109</v>
      </c>
      <c r="E4340" s="1347" t="s">
        <v>1110</v>
      </c>
    </row>
    <row r="4341" spans="2:5" x14ac:dyDescent="0.45">
      <c r="B4341" s="1347" t="s">
        <v>1108</v>
      </c>
      <c r="D4341" s="1347" t="s">
        <v>1109</v>
      </c>
      <c r="E4341" s="1347" t="s">
        <v>1110</v>
      </c>
    </row>
    <row r="4342" spans="2:5" x14ac:dyDescent="0.45">
      <c r="B4342" s="1347" t="s">
        <v>1108</v>
      </c>
      <c r="D4342" s="1347" t="s">
        <v>1109</v>
      </c>
      <c r="E4342" s="1347" t="s">
        <v>1110</v>
      </c>
    </row>
    <row r="4343" spans="2:5" x14ac:dyDescent="0.45">
      <c r="B4343" s="1347" t="s">
        <v>1108</v>
      </c>
      <c r="D4343" s="1347" t="s">
        <v>1109</v>
      </c>
      <c r="E4343" s="1347" t="s">
        <v>1110</v>
      </c>
    </row>
    <row r="4344" spans="2:5" x14ac:dyDescent="0.45">
      <c r="B4344" s="1347" t="s">
        <v>1108</v>
      </c>
      <c r="D4344" s="1347" t="s">
        <v>1109</v>
      </c>
      <c r="E4344" s="1347" t="s">
        <v>1110</v>
      </c>
    </row>
    <row r="4345" spans="2:5" x14ac:dyDescent="0.45">
      <c r="B4345" s="1347" t="s">
        <v>1108</v>
      </c>
      <c r="D4345" s="1347" t="s">
        <v>1109</v>
      </c>
      <c r="E4345" s="1347" t="s">
        <v>1110</v>
      </c>
    </row>
    <row r="4346" spans="2:5" x14ac:dyDescent="0.45">
      <c r="B4346" s="1347" t="s">
        <v>1108</v>
      </c>
      <c r="D4346" s="1347" t="s">
        <v>1109</v>
      </c>
      <c r="E4346" s="1347" t="s">
        <v>1110</v>
      </c>
    </row>
    <row r="4347" spans="2:5" x14ac:dyDescent="0.45">
      <c r="B4347" s="1347" t="s">
        <v>1108</v>
      </c>
      <c r="D4347" s="1347" t="s">
        <v>1109</v>
      </c>
      <c r="E4347" s="1347" t="s">
        <v>1110</v>
      </c>
    </row>
    <row r="4348" spans="2:5" x14ac:dyDescent="0.45">
      <c r="B4348" s="1347" t="s">
        <v>1108</v>
      </c>
      <c r="D4348" s="1347" t="s">
        <v>1109</v>
      </c>
      <c r="E4348" s="1347" t="s">
        <v>1110</v>
      </c>
    </row>
    <row r="4349" spans="2:5" x14ac:dyDescent="0.45">
      <c r="B4349" s="1347" t="s">
        <v>1108</v>
      </c>
      <c r="D4349" s="1347" t="s">
        <v>1109</v>
      </c>
      <c r="E4349" s="1347" t="s">
        <v>1110</v>
      </c>
    </row>
    <row r="4350" spans="2:5" x14ac:dyDescent="0.45">
      <c r="B4350" s="1347" t="s">
        <v>1108</v>
      </c>
      <c r="D4350" s="1347" t="s">
        <v>1109</v>
      </c>
      <c r="E4350" s="1347" t="s">
        <v>1110</v>
      </c>
    </row>
    <row r="4351" spans="2:5" x14ac:dyDescent="0.45">
      <c r="B4351" s="1347" t="s">
        <v>1108</v>
      </c>
      <c r="D4351" s="1347" t="s">
        <v>1109</v>
      </c>
      <c r="E4351" s="1347" t="s">
        <v>1110</v>
      </c>
    </row>
    <row r="4352" spans="2:5" x14ac:dyDescent="0.45">
      <c r="B4352" s="1347" t="s">
        <v>1108</v>
      </c>
      <c r="D4352" s="1347" t="s">
        <v>1109</v>
      </c>
      <c r="E4352" s="1347" t="s">
        <v>1110</v>
      </c>
    </row>
    <row r="4353" spans="2:5" x14ac:dyDescent="0.45">
      <c r="B4353" s="1347" t="s">
        <v>1108</v>
      </c>
      <c r="D4353" s="1347" t="s">
        <v>1109</v>
      </c>
      <c r="E4353" s="1347" t="s">
        <v>1110</v>
      </c>
    </row>
    <row r="4354" spans="2:5" x14ac:dyDescent="0.45">
      <c r="B4354" s="1347" t="s">
        <v>1108</v>
      </c>
      <c r="D4354" s="1347" t="s">
        <v>1109</v>
      </c>
      <c r="E4354" s="1347" t="s">
        <v>1110</v>
      </c>
    </row>
    <row r="4355" spans="2:5" x14ac:dyDescent="0.45">
      <c r="B4355" s="1347" t="s">
        <v>1108</v>
      </c>
      <c r="D4355" s="1347" t="s">
        <v>1109</v>
      </c>
      <c r="E4355" s="1347" t="s">
        <v>1110</v>
      </c>
    </row>
    <row r="4356" spans="2:5" x14ac:dyDescent="0.45">
      <c r="B4356" s="1347" t="s">
        <v>1108</v>
      </c>
      <c r="D4356" s="1347" t="s">
        <v>1109</v>
      </c>
      <c r="E4356" s="1347" t="s">
        <v>1110</v>
      </c>
    </row>
    <row r="4357" spans="2:5" x14ac:dyDescent="0.45">
      <c r="B4357" s="1347" t="s">
        <v>1108</v>
      </c>
      <c r="D4357" s="1347" t="s">
        <v>1109</v>
      </c>
      <c r="E4357" s="1347" t="s">
        <v>1110</v>
      </c>
    </row>
    <row r="4358" spans="2:5" x14ac:dyDescent="0.45">
      <c r="B4358" s="1347" t="s">
        <v>1108</v>
      </c>
      <c r="D4358" s="1347" t="s">
        <v>1109</v>
      </c>
      <c r="E4358" s="1347" t="s">
        <v>1110</v>
      </c>
    </row>
    <row r="4359" spans="2:5" x14ac:dyDescent="0.45">
      <c r="B4359" s="1347" t="s">
        <v>1108</v>
      </c>
      <c r="D4359" s="1347" t="s">
        <v>1109</v>
      </c>
      <c r="E4359" s="1347" t="s">
        <v>1110</v>
      </c>
    </row>
    <row r="4360" spans="2:5" x14ac:dyDescent="0.45">
      <c r="B4360" s="1347" t="s">
        <v>1108</v>
      </c>
      <c r="D4360" s="1347" t="s">
        <v>1109</v>
      </c>
      <c r="E4360" s="1347" t="s">
        <v>1110</v>
      </c>
    </row>
    <row r="4361" spans="2:5" x14ac:dyDescent="0.45">
      <c r="B4361" s="1347" t="s">
        <v>1108</v>
      </c>
      <c r="D4361" s="1347" t="s">
        <v>1109</v>
      </c>
      <c r="E4361" s="1347" t="s">
        <v>1110</v>
      </c>
    </row>
    <row r="4362" spans="2:5" x14ac:dyDescent="0.45">
      <c r="B4362" s="1347" t="s">
        <v>1108</v>
      </c>
      <c r="D4362" s="1347" t="s">
        <v>1109</v>
      </c>
      <c r="E4362" s="1347" t="s">
        <v>1110</v>
      </c>
    </row>
    <row r="4363" spans="2:5" x14ac:dyDescent="0.45">
      <c r="B4363" s="1347" t="s">
        <v>1108</v>
      </c>
      <c r="D4363" s="1347" t="s">
        <v>1109</v>
      </c>
      <c r="E4363" s="1347" t="s">
        <v>1110</v>
      </c>
    </row>
    <row r="4364" spans="2:5" x14ac:dyDescent="0.45">
      <c r="B4364" s="1347" t="s">
        <v>1108</v>
      </c>
      <c r="D4364" s="1347" t="s">
        <v>1109</v>
      </c>
      <c r="E4364" s="1347" t="s">
        <v>1110</v>
      </c>
    </row>
    <row r="4365" spans="2:5" x14ac:dyDescent="0.45">
      <c r="B4365" s="1347" t="s">
        <v>1108</v>
      </c>
      <c r="D4365" s="1347" t="s">
        <v>1109</v>
      </c>
      <c r="E4365" s="1347" t="s">
        <v>1110</v>
      </c>
    </row>
    <row r="4366" spans="2:5" x14ac:dyDescent="0.45">
      <c r="B4366" s="1347" t="s">
        <v>1108</v>
      </c>
      <c r="D4366" s="1347" t="s">
        <v>1109</v>
      </c>
      <c r="E4366" s="1347" t="s">
        <v>1110</v>
      </c>
    </row>
    <row r="4367" spans="2:5" x14ac:dyDescent="0.45">
      <c r="B4367" s="1347" t="s">
        <v>1108</v>
      </c>
      <c r="D4367" s="1347" t="s">
        <v>1109</v>
      </c>
      <c r="E4367" s="1347" t="s">
        <v>1110</v>
      </c>
    </row>
    <row r="4368" spans="2:5" x14ac:dyDescent="0.45">
      <c r="B4368" s="1347" t="s">
        <v>1108</v>
      </c>
      <c r="D4368" s="1347" t="s">
        <v>1109</v>
      </c>
      <c r="E4368" s="1347" t="s">
        <v>1110</v>
      </c>
    </row>
    <row r="4369" spans="2:5" x14ac:dyDescent="0.45">
      <c r="B4369" s="1347" t="s">
        <v>1108</v>
      </c>
      <c r="D4369" s="1347" t="s">
        <v>1109</v>
      </c>
      <c r="E4369" s="1347" t="s">
        <v>1110</v>
      </c>
    </row>
    <row r="4370" spans="2:5" x14ac:dyDescent="0.45">
      <c r="B4370" s="1347" t="s">
        <v>1108</v>
      </c>
      <c r="D4370" s="1347" t="s">
        <v>1109</v>
      </c>
      <c r="E4370" s="1347" t="s">
        <v>1110</v>
      </c>
    </row>
    <row r="4371" spans="2:5" x14ac:dyDescent="0.45">
      <c r="B4371" s="1347" t="s">
        <v>1108</v>
      </c>
      <c r="D4371" s="1347" t="s">
        <v>1109</v>
      </c>
      <c r="E4371" s="1347" t="s">
        <v>1110</v>
      </c>
    </row>
    <row r="4372" spans="2:5" x14ac:dyDescent="0.45">
      <c r="B4372" s="1347" t="s">
        <v>1108</v>
      </c>
      <c r="D4372" s="1347" t="s">
        <v>1109</v>
      </c>
      <c r="E4372" s="1347" t="s">
        <v>1110</v>
      </c>
    </row>
    <row r="4373" spans="2:5" x14ac:dyDescent="0.45">
      <c r="B4373" s="1347" t="s">
        <v>1108</v>
      </c>
      <c r="D4373" s="1347" t="s">
        <v>1109</v>
      </c>
      <c r="E4373" s="1347" t="s">
        <v>1110</v>
      </c>
    </row>
    <row r="4374" spans="2:5" x14ac:dyDescent="0.45">
      <c r="B4374" s="1347" t="s">
        <v>1108</v>
      </c>
      <c r="D4374" s="1347" t="s">
        <v>1109</v>
      </c>
      <c r="E4374" s="1347" t="s">
        <v>1110</v>
      </c>
    </row>
    <row r="4375" spans="2:5" x14ac:dyDescent="0.45">
      <c r="B4375" s="1347" t="s">
        <v>1108</v>
      </c>
      <c r="D4375" s="1347" t="s">
        <v>1109</v>
      </c>
      <c r="E4375" s="1347" t="s">
        <v>1110</v>
      </c>
    </row>
    <row r="4376" spans="2:5" x14ac:dyDescent="0.45">
      <c r="B4376" s="1347" t="s">
        <v>1108</v>
      </c>
      <c r="D4376" s="1347" t="s">
        <v>1109</v>
      </c>
      <c r="E4376" s="1347" t="s">
        <v>1110</v>
      </c>
    </row>
    <row r="4377" spans="2:5" x14ac:dyDescent="0.45">
      <c r="B4377" s="1347" t="s">
        <v>1108</v>
      </c>
      <c r="D4377" s="1347" t="s">
        <v>1109</v>
      </c>
      <c r="E4377" s="1347" t="s">
        <v>1110</v>
      </c>
    </row>
    <row r="4378" spans="2:5" x14ac:dyDescent="0.45">
      <c r="B4378" s="1347" t="s">
        <v>1108</v>
      </c>
      <c r="D4378" s="1347" t="s">
        <v>1109</v>
      </c>
      <c r="E4378" s="1347" t="s">
        <v>1110</v>
      </c>
    </row>
    <row r="4379" spans="2:5" x14ac:dyDescent="0.45">
      <c r="B4379" s="1347" t="s">
        <v>1108</v>
      </c>
      <c r="D4379" s="1347" t="s">
        <v>1109</v>
      </c>
      <c r="E4379" s="1347" t="s">
        <v>1110</v>
      </c>
    </row>
    <row r="4380" spans="2:5" x14ac:dyDescent="0.45">
      <c r="B4380" s="1347" t="s">
        <v>1108</v>
      </c>
      <c r="D4380" s="1347" t="s">
        <v>1109</v>
      </c>
      <c r="E4380" s="1347" t="s">
        <v>1110</v>
      </c>
    </row>
    <row r="4381" spans="2:5" x14ac:dyDescent="0.45">
      <c r="B4381" s="1347" t="s">
        <v>1108</v>
      </c>
      <c r="D4381" s="1347" t="s">
        <v>1109</v>
      </c>
      <c r="E4381" s="1347" t="s">
        <v>1110</v>
      </c>
    </row>
    <row r="4382" spans="2:5" x14ac:dyDescent="0.45">
      <c r="B4382" s="1347" t="s">
        <v>1108</v>
      </c>
      <c r="D4382" s="1347" t="s">
        <v>1109</v>
      </c>
      <c r="E4382" s="1347" t="s">
        <v>1110</v>
      </c>
    </row>
    <row r="4383" spans="2:5" x14ac:dyDescent="0.45">
      <c r="B4383" s="1347" t="s">
        <v>1108</v>
      </c>
      <c r="D4383" s="1347" t="s">
        <v>1109</v>
      </c>
      <c r="E4383" s="1347" t="s">
        <v>1110</v>
      </c>
    </row>
    <row r="4384" spans="2:5" x14ac:dyDescent="0.45">
      <c r="B4384" s="1347" t="s">
        <v>1108</v>
      </c>
      <c r="D4384" s="1347" t="s">
        <v>1109</v>
      </c>
      <c r="E4384" s="1347" t="s">
        <v>1110</v>
      </c>
    </row>
    <row r="4385" spans="2:5" x14ac:dyDescent="0.45">
      <c r="B4385" s="1347" t="s">
        <v>1108</v>
      </c>
      <c r="D4385" s="1347" t="s">
        <v>1109</v>
      </c>
      <c r="E4385" s="1347" t="s">
        <v>1110</v>
      </c>
    </row>
    <row r="4386" spans="2:5" x14ac:dyDescent="0.45">
      <c r="B4386" s="1347" t="s">
        <v>1108</v>
      </c>
      <c r="D4386" s="1347" t="s">
        <v>1109</v>
      </c>
      <c r="E4386" s="1347" t="s">
        <v>1110</v>
      </c>
    </row>
    <row r="4387" spans="2:5" x14ac:dyDescent="0.45">
      <c r="B4387" s="1347" t="s">
        <v>1108</v>
      </c>
      <c r="D4387" s="1347" t="s">
        <v>1109</v>
      </c>
      <c r="E4387" s="1347" t="s">
        <v>1110</v>
      </c>
    </row>
    <row r="4388" spans="2:5" x14ac:dyDescent="0.45">
      <c r="B4388" s="1347" t="s">
        <v>1108</v>
      </c>
      <c r="D4388" s="1347" t="s">
        <v>1109</v>
      </c>
      <c r="E4388" s="1347" t="s">
        <v>1110</v>
      </c>
    </row>
    <row r="4389" spans="2:5" x14ac:dyDescent="0.45">
      <c r="B4389" s="1347" t="s">
        <v>1108</v>
      </c>
      <c r="D4389" s="1347" t="s">
        <v>1109</v>
      </c>
      <c r="E4389" s="1347" t="s">
        <v>1110</v>
      </c>
    </row>
    <row r="4390" spans="2:5" x14ac:dyDescent="0.45">
      <c r="B4390" s="1347" t="s">
        <v>1108</v>
      </c>
      <c r="D4390" s="1347" t="s">
        <v>1109</v>
      </c>
      <c r="E4390" s="1347" t="s">
        <v>1110</v>
      </c>
    </row>
    <row r="4391" spans="2:5" x14ac:dyDescent="0.45">
      <c r="B4391" s="1347" t="s">
        <v>1108</v>
      </c>
      <c r="D4391" s="1347" t="s">
        <v>1109</v>
      </c>
      <c r="E4391" s="1347" t="s">
        <v>1110</v>
      </c>
    </row>
    <row r="4392" spans="2:5" x14ac:dyDescent="0.45">
      <c r="B4392" s="1347" t="s">
        <v>1108</v>
      </c>
      <c r="D4392" s="1347" t="s">
        <v>1109</v>
      </c>
      <c r="E4392" s="1347" t="s">
        <v>1110</v>
      </c>
    </row>
    <row r="4393" spans="2:5" x14ac:dyDescent="0.45">
      <c r="B4393" s="1347" t="s">
        <v>1108</v>
      </c>
      <c r="D4393" s="1347" t="s">
        <v>1109</v>
      </c>
      <c r="E4393" s="1347" t="s">
        <v>1110</v>
      </c>
    </row>
    <row r="4394" spans="2:5" x14ac:dyDescent="0.45">
      <c r="B4394" s="1347" t="s">
        <v>1108</v>
      </c>
      <c r="D4394" s="1347" t="s">
        <v>1109</v>
      </c>
      <c r="E4394" s="1347" t="s">
        <v>1110</v>
      </c>
    </row>
    <row r="4395" spans="2:5" x14ac:dyDescent="0.45">
      <c r="B4395" s="1347" t="s">
        <v>1108</v>
      </c>
      <c r="D4395" s="1347" t="s">
        <v>1109</v>
      </c>
      <c r="E4395" s="1347" t="s">
        <v>1110</v>
      </c>
    </row>
    <row r="4396" spans="2:5" x14ac:dyDescent="0.45">
      <c r="B4396" s="1347" t="s">
        <v>1108</v>
      </c>
      <c r="D4396" s="1347" t="s">
        <v>1109</v>
      </c>
      <c r="E4396" s="1347" t="s">
        <v>1110</v>
      </c>
    </row>
    <row r="4397" spans="2:5" x14ac:dyDescent="0.45">
      <c r="B4397" s="1347" t="s">
        <v>1108</v>
      </c>
      <c r="D4397" s="1347" t="s">
        <v>1109</v>
      </c>
      <c r="E4397" s="1347" t="s">
        <v>1110</v>
      </c>
    </row>
    <row r="4398" spans="2:5" x14ac:dyDescent="0.45">
      <c r="B4398" s="1347" t="s">
        <v>1108</v>
      </c>
      <c r="D4398" s="1347" t="s">
        <v>1109</v>
      </c>
      <c r="E4398" s="1347" t="s">
        <v>1110</v>
      </c>
    </row>
    <row r="4399" spans="2:5" x14ac:dyDescent="0.45">
      <c r="B4399" s="1347" t="s">
        <v>1108</v>
      </c>
      <c r="D4399" s="1347" t="s">
        <v>1109</v>
      </c>
      <c r="E4399" s="1347" t="s">
        <v>1110</v>
      </c>
    </row>
    <row r="4400" spans="2:5" x14ac:dyDescent="0.45">
      <c r="B4400" s="1347" t="s">
        <v>1108</v>
      </c>
      <c r="D4400" s="1347" t="s">
        <v>1109</v>
      </c>
      <c r="E4400" s="1347" t="s">
        <v>1110</v>
      </c>
    </row>
    <row r="4401" spans="2:5" x14ac:dyDescent="0.45">
      <c r="B4401" s="1347" t="s">
        <v>1108</v>
      </c>
      <c r="D4401" s="1347" t="s">
        <v>1109</v>
      </c>
      <c r="E4401" s="1347" t="s">
        <v>1110</v>
      </c>
    </row>
    <row r="4402" spans="2:5" x14ac:dyDescent="0.45">
      <c r="B4402" s="1347" t="s">
        <v>1108</v>
      </c>
      <c r="D4402" s="1347" t="s">
        <v>1109</v>
      </c>
      <c r="E4402" s="1347" t="s">
        <v>1110</v>
      </c>
    </row>
    <row r="4403" spans="2:5" x14ac:dyDescent="0.45">
      <c r="B4403" s="1347" t="s">
        <v>1108</v>
      </c>
      <c r="D4403" s="1347" t="s">
        <v>1109</v>
      </c>
      <c r="E4403" s="1347" t="s">
        <v>1110</v>
      </c>
    </row>
    <row r="4404" spans="2:5" x14ac:dyDescent="0.45">
      <c r="B4404" s="1347" t="s">
        <v>1108</v>
      </c>
      <c r="D4404" s="1347" t="s">
        <v>1109</v>
      </c>
      <c r="E4404" s="1347" t="s">
        <v>1110</v>
      </c>
    </row>
    <row r="4405" spans="2:5" x14ac:dyDescent="0.45">
      <c r="B4405" s="1347" t="s">
        <v>1108</v>
      </c>
      <c r="D4405" s="1347" t="s">
        <v>1109</v>
      </c>
      <c r="E4405" s="1347" t="s">
        <v>1110</v>
      </c>
    </row>
    <row r="4406" spans="2:5" x14ac:dyDescent="0.45">
      <c r="B4406" s="1347" t="s">
        <v>1108</v>
      </c>
      <c r="D4406" s="1347" t="s">
        <v>1109</v>
      </c>
      <c r="E4406" s="1347" t="s">
        <v>1110</v>
      </c>
    </row>
    <row r="4407" spans="2:5" x14ac:dyDescent="0.45">
      <c r="B4407" s="1347" t="s">
        <v>1108</v>
      </c>
      <c r="D4407" s="1347" t="s">
        <v>1109</v>
      </c>
      <c r="E4407" s="1347" t="s">
        <v>1110</v>
      </c>
    </row>
    <row r="4408" spans="2:5" x14ac:dyDescent="0.45">
      <c r="B4408" s="1347" t="s">
        <v>1108</v>
      </c>
      <c r="D4408" s="1347" t="s">
        <v>1109</v>
      </c>
      <c r="E4408" s="1347" t="s">
        <v>1110</v>
      </c>
    </row>
    <row r="4409" spans="2:5" x14ac:dyDescent="0.45">
      <c r="B4409" s="1347" t="s">
        <v>1108</v>
      </c>
      <c r="D4409" s="1347" t="s">
        <v>1109</v>
      </c>
      <c r="E4409" s="1347" t="s">
        <v>1110</v>
      </c>
    </row>
    <row r="4410" spans="2:5" x14ac:dyDescent="0.45">
      <c r="B4410" s="1347" t="s">
        <v>1108</v>
      </c>
      <c r="D4410" s="1347" t="s">
        <v>1109</v>
      </c>
      <c r="E4410" s="1347" t="s">
        <v>1110</v>
      </c>
    </row>
    <row r="4411" spans="2:5" x14ac:dyDescent="0.45">
      <c r="B4411" s="1347" t="s">
        <v>1108</v>
      </c>
      <c r="D4411" s="1347" t="s">
        <v>1109</v>
      </c>
      <c r="E4411" s="1347" t="s">
        <v>1110</v>
      </c>
    </row>
    <row r="4412" spans="2:5" x14ac:dyDescent="0.45">
      <c r="B4412" s="1347" t="s">
        <v>1108</v>
      </c>
      <c r="D4412" s="1347" t="s">
        <v>1109</v>
      </c>
      <c r="E4412" s="1347" t="s">
        <v>1110</v>
      </c>
    </row>
    <row r="4413" spans="2:5" x14ac:dyDescent="0.45">
      <c r="B4413" s="1347" t="s">
        <v>1108</v>
      </c>
      <c r="D4413" s="1347" t="s">
        <v>1109</v>
      </c>
      <c r="E4413" s="1347" t="s">
        <v>1110</v>
      </c>
    </row>
    <row r="4414" spans="2:5" x14ac:dyDescent="0.45">
      <c r="B4414" s="1347" t="s">
        <v>1108</v>
      </c>
      <c r="D4414" s="1347" t="s">
        <v>1109</v>
      </c>
      <c r="E4414" s="1347" t="s">
        <v>1110</v>
      </c>
    </row>
    <row r="4415" spans="2:5" x14ac:dyDescent="0.45">
      <c r="B4415" s="1347" t="s">
        <v>1108</v>
      </c>
      <c r="D4415" s="1347" t="s">
        <v>1109</v>
      </c>
      <c r="E4415" s="1347" t="s">
        <v>1110</v>
      </c>
    </row>
    <row r="4416" spans="2:5" x14ac:dyDescent="0.45">
      <c r="B4416" s="1347" t="s">
        <v>1108</v>
      </c>
      <c r="D4416" s="1347" t="s">
        <v>1109</v>
      </c>
      <c r="E4416" s="1347" t="s">
        <v>1110</v>
      </c>
    </row>
    <row r="4417" spans="2:5" x14ac:dyDescent="0.45">
      <c r="B4417" s="1347" t="s">
        <v>1108</v>
      </c>
      <c r="D4417" s="1347" t="s">
        <v>1109</v>
      </c>
      <c r="E4417" s="1347" t="s">
        <v>1110</v>
      </c>
    </row>
    <row r="4418" spans="2:5" x14ac:dyDescent="0.45">
      <c r="B4418" s="1347" t="s">
        <v>1108</v>
      </c>
      <c r="D4418" s="1347" t="s">
        <v>1109</v>
      </c>
      <c r="E4418" s="1347" t="s">
        <v>1110</v>
      </c>
    </row>
    <row r="4419" spans="2:5" x14ac:dyDescent="0.45">
      <c r="B4419" s="1347" t="s">
        <v>1108</v>
      </c>
      <c r="D4419" s="1347" t="s">
        <v>1109</v>
      </c>
      <c r="E4419" s="1347" t="s">
        <v>1110</v>
      </c>
    </row>
    <row r="4420" spans="2:5" x14ac:dyDescent="0.45">
      <c r="B4420" s="1347" t="s">
        <v>1108</v>
      </c>
      <c r="D4420" s="1347" t="s">
        <v>1109</v>
      </c>
      <c r="E4420" s="1347" t="s">
        <v>1110</v>
      </c>
    </row>
    <row r="4421" spans="2:5" x14ac:dyDescent="0.45">
      <c r="B4421" s="1347" t="s">
        <v>1108</v>
      </c>
      <c r="D4421" s="1347" t="s">
        <v>1109</v>
      </c>
      <c r="E4421" s="1347" t="s">
        <v>1110</v>
      </c>
    </row>
    <row r="4422" spans="2:5" x14ac:dyDescent="0.45">
      <c r="B4422" s="1347" t="s">
        <v>1108</v>
      </c>
      <c r="D4422" s="1347" t="s">
        <v>1109</v>
      </c>
      <c r="E4422" s="1347" t="s">
        <v>1110</v>
      </c>
    </row>
    <row r="4423" spans="2:5" x14ac:dyDescent="0.45">
      <c r="B4423" s="1347" t="s">
        <v>1108</v>
      </c>
      <c r="D4423" s="1347" t="s">
        <v>1109</v>
      </c>
      <c r="E4423" s="1347" t="s">
        <v>1110</v>
      </c>
    </row>
    <row r="4424" spans="2:5" x14ac:dyDescent="0.45">
      <c r="B4424" s="1347" t="s">
        <v>1108</v>
      </c>
      <c r="D4424" s="1347" t="s">
        <v>1109</v>
      </c>
      <c r="E4424" s="1347" t="s">
        <v>1110</v>
      </c>
    </row>
    <row r="4425" spans="2:5" x14ac:dyDescent="0.45">
      <c r="B4425" s="1347" t="s">
        <v>1108</v>
      </c>
      <c r="D4425" s="1347" t="s">
        <v>1109</v>
      </c>
      <c r="E4425" s="1347" t="s">
        <v>1110</v>
      </c>
    </row>
    <row r="4426" spans="2:5" x14ac:dyDescent="0.45">
      <c r="B4426" s="1347" t="s">
        <v>1108</v>
      </c>
      <c r="D4426" s="1347" t="s">
        <v>1109</v>
      </c>
      <c r="E4426" s="1347" t="s">
        <v>1110</v>
      </c>
    </row>
    <row r="4427" spans="2:5" x14ac:dyDescent="0.45">
      <c r="B4427" s="1347" t="s">
        <v>1108</v>
      </c>
      <c r="D4427" s="1347" t="s">
        <v>1109</v>
      </c>
      <c r="E4427" s="1347" t="s">
        <v>1110</v>
      </c>
    </row>
    <row r="4428" spans="2:5" x14ac:dyDescent="0.45">
      <c r="B4428" s="1347" t="s">
        <v>1108</v>
      </c>
      <c r="D4428" s="1347" t="s">
        <v>1109</v>
      </c>
      <c r="E4428" s="1347" t="s">
        <v>1110</v>
      </c>
    </row>
    <row r="4429" spans="2:5" x14ac:dyDescent="0.45">
      <c r="B4429" s="1347" t="s">
        <v>1108</v>
      </c>
      <c r="D4429" s="1347" t="s">
        <v>1109</v>
      </c>
      <c r="E4429" s="1347" t="s">
        <v>1110</v>
      </c>
    </row>
    <row r="4430" spans="2:5" x14ac:dyDescent="0.45">
      <c r="B4430" s="1347" t="s">
        <v>1108</v>
      </c>
      <c r="D4430" s="1347" t="s">
        <v>1109</v>
      </c>
      <c r="E4430" s="1347" t="s">
        <v>1110</v>
      </c>
    </row>
    <row r="4431" spans="2:5" x14ac:dyDescent="0.45">
      <c r="B4431" s="1347" t="s">
        <v>1108</v>
      </c>
      <c r="D4431" s="1347" t="s">
        <v>1109</v>
      </c>
      <c r="E4431" s="1347" t="s">
        <v>1110</v>
      </c>
    </row>
    <row r="4432" spans="2:5" x14ac:dyDescent="0.45">
      <c r="B4432" s="1347" t="s">
        <v>1108</v>
      </c>
      <c r="D4432" s="1347" t="s">
        <v>1109</v>
      </c>
      <c r="E4432" s="1347" t="s">
        <v>1110</v>
      </c>
    </row>
    <row r="4433" spans="1:5" x14ac:dyDescent="0.45">
      <c r="B4433" s="1347" t="s">
        <v>1108</v>
      </c>
      <c r="D4433" s="1347" t="s">
        <v>1109</v>
      </c>
      <c r="E4433" s="1347" t="s">
        <v>1110</v>
      </c>
    </row>
    <row r="4434" spans="1:5" x14ac:dyDescent="0.45">
      <c r="B4434" s="1347" t="s">
        <v>1108</v>
      </c>
      <c r="D4434" s="1347" t="s">
        <v>1109</v>
      </c>
      <c r="E4434" s="1347" t="s">
        <v>1110</v>
      </c>
    </row>
    <row r="4435" spans="1:5" x14ac:dyDescent="0.45">
      <c r="B4435" s="1347" t="s">
        <v>1108</v>
      </c>
      <c r="D4435" s="1347" t="s">
        <v>1109</v>
      </c>
      <c r="E4435" s="1347" t="s">
        <v>1110</v>
      </c>
    </row>
    <row r="4436" spans="1:5" x14ac:dyDescent="0.45">
      <c r="B4436" s="1347" t="s">
        <v>1108</v>
      </c>
      <c r="D4436" s="1347" t="s">
        <v>1109</v>
      </c>
      <c r="E4436" s="1347" t="s">
        <v>1110</v>
      </c>
    </row>
    <row r="4437" spans="1:5" x14ac:dyDescent="0.45">
      <c r="B4437" s="1347" t="s">
        <v>1108</v>
      </c>
      <c r="D4437" s="1347" t="s">
        <v>1109</v>
      </c>
      <c r="E4437" s="1347" t="s">
        <v>1110</v>
      </c>
    </row>
    <row r="4438" spans="1:5" x14ac:dyDescent="0.45">
      <c r="B4438" s="1347" t="s">
        <v>1108</v>
      </c>
      <c r="D4438" s="1347" t="s">
        <v>1109</v>
      </c>
      <c r="E4438" s="1347" t="s">
        <v>1110</v>
      </c>
    </row>
    <row r="4439" spans="1:5" x14ac:dyDescent="0.45">
      <c r="B4439" s="1347" t="s">
        <v>1108</v>
      </c>
      <c r="D4439" s="1347" t="s">
        <v>1109</v>
      </c>
      <c r="E4439" s="1347" t="s">
        <v>1110</v>
      </c>
    </row>
    <row r="4440" spans="1:5" x14ac:dyDescent="0.45">
      <c r="B4440" s="1347" t="s">
        <v>1108</v>
      </c>
      <c r="D4440" s="1347" t="s">
        <v>1109</v>
      </c>
      <c r="E4440" s="1347" t="s">
        <v>1110</v>
      </c>
    </row>
    <row r="4441" spans="1:5" x14ac:dyDescent="0.45">
      <c r="B4441" s="1347" t="s">
        <v>1108</v>
      </c>
      <c r="D4441" s="1347" t="s">
        <v>1109</v>
      </c>
      <c r="E4441" s="1347" t="s">
        <v>1110</v>
      </c>
    </row>
    <row r="4442" spans="1:5" x14ac:dyDescent="0.45">
      <c r="B4442" s="1347" t="s">
        <v>1108</v>
      </c>
      <c r="D4442" s="1347" t="s">
        <v>1109</v>
      </c>
      <c r="E4442" s="1347" t="s">
        <v>1110</v>
      </c>
    </row>
    <row r="4443" spans="1:5" x14ac:dyDescent="0.45">
      <c r="A4443" s="1347">
        <v>25</v>
      </c>
      <c r="B4443" s="1347" t="s">
        <v>5598</v>
      </c>
      <c r="C4443" s="1347" t="s">
        <v>1105</v>
      </c>
      <c r="D4443" s="1347" t="s">
        <v>5599</v>
      </c>
      <c r="E4443" s="1347" t="s">
        <v>5600</v>
      </c>
    </row>
    <row r="4444" spans="1:5" x14ac:dyDescent="0.45">
      <c r="B4444" s="1347" t="s">
        <v>5601</v>
      </c>
      <c r="C4444" s="1347" t="s">
        <v>1105</v>
      </c>
      <c r="D4444" s="1347" t="s">
        <v>5602</v>
      </c>
      <c r="E4444" s="1347" t="s">
        <v>5603</v>
      </c>
    </row>
    <row r="4445" spans="1:5" x14ac:dyDescent="0.45">
      <c r="B4445" s="1347" t="s">
        <v>1108</v>
      </c>
      <c r="C4445" s="1347">
        <v>1</v>
      </c>
      <c r="D4445" s="1347" t="s">
        <v>5604</v>
      </c>
      <c r="E4445" s="1347" t="s">
        <v>5605</v>
      </c>
    </row>
    <row r="4446" spans="1:5" x14ac:dyDescent="0.45">
      <c r="B4446" s="1347" t="s">
        <v>5606</v>
      </c>
      <c r="D4446" s="1347">
        <f>-259   -222   -188    -3</f>
        <v>-672</v>
      </c>
      <c r="E4446" s="1347" t="s">
        <v>5607</v>
      </c>
    </row>
    <row r="4447" spans="1:5" x14ac:dyDescent="0.45">
      <c r="B4447" s="1347" t="s">
        <v>1108</v>
      </c>
      <c r="D4447" s="1347" t="s">
        <v>5608</v>
      </c>
      <c r="E4447" s="1347" t="s">
        <v>5609</v>
      </c>
    </row>
    <row r="4448" spans="1:5" x14ac:dyDescent="0.45">
      <c r="B4448" s="1347" t="s">
        <v>1108</v>
      </c>
      <c r="D4448" s="1347" t="s">
        <v>5610</v>
      </c>
      <c r="E4448" s="1347" t="s">
        <v>5611</v>
      </c>
    </row>
    <row r="4449" spans="1:5" x14ac:dyDescent="0.45">
      <c r="B4449" s="1347" t="s">
        <v>5612</v>
      </c>
      <c r="D4449" s="1347" t="s">
        <v>5613</v>
      </c>
      <c r="E4449" s="1347" t="s">
        <v>5614</v>
      </c>
    </row>
    <row r="4450" spans="1:5" x14ac:dyDescent="0.45">
      <c r="B4450" s="1347" t="s">
        <v>5615</v>
      </c>
      <c r="D4450" s="1347" t="s">
        <v>5616</v>
      </c>
      <c r="E4450" s="1347" t="s">
        <v>5617</v>
      </c>
    </row>
    <row r="4451" spans="1:5" x14ac:dyDescent="0.45">
      <c r="A4451" s="1347">
        <v>-1</v>
      </c>
      <c r="B4451" s="1347" t="s">
        <v>5618</v>
      </c>
      <c r="D4451" s="1347" t="s">
        <v>5619</v>
      </c>
      <c r="E4451" s="1347" t="s">
        <v>5620</v>
      </c>
    </row>
    <row r="4452" spans="1:5" x14ac:dyDescent="0.45">
      <c r="B4452" s="1347" t="s">
        <v>5621</v>
      </c>
      <c r="D4452" s="1347" t="s">
        <v>5622</v>
      </c>
      <c r="E4452" s="1347" t="s">
        <v>5623</v>
      </c>
    </row>
    <row r="4453" spans="1:5" x14ac:dyDescent="0.45">
      <c r="B4453" s="1347" t="s">
        <v>5624</v>
      </c>
      <c r="D4453" s="1347" t="s">
        <v>5625</v>
      </c>
      <c r="E4453" s="1347" t="s">
        <v>5626</v>
      </c>
    </row>
    <row r="4454" spans="1:5" x14ac:dyDescent="0.45">
      <c r="B4454" s="1347" t="s">
        <v>5627</v>
      </c>
      <c r="C4454" s="1347" t="s">
        <v>1105</v>
      </c>
      <c r="D4454" s="1347" t="s">
        <v>5628</v>
      </c>
      <c r="E4454" s="1347" t="s">
        <v>5629</v>
      </c>
    </row>
    <row r="4455" spans="1:5" x14ac:dyDescent="0.45">
      <c r="B4455" s="1347" t="s">
        <v>1108</v>
      </c>
      <c r="D4455" s="1347" t="s">
        <v>5630</v>
      </c>
      <c r="E4455" s="1347" t="s">
        <v>5631</v>
      </c>
    </row>
    <row r="4456" spans="1:5" x14ac:dyDescent="0.45">
      <c r="B4456" s="1347" t="s">
        <v>5632</v>
      </c>
      <c r="D4456" s="1347">
        <f>-293   -579  -1247   -31</f>
        <v>-2150</v>
      </c>
      <c r="E4456" s="1347" t="s">
        <v>5633</v>
      </c>
    </row>
    <row r="4457" spans="1:5" x14ac:dyDescent="0.45">
      <c r="B4457" s="1347" t="s">
        <v>5634</v>
      </c>
      <c r="D4457" s="1347" t="s">
        <v>5635</v>
      </c>
      <c r="E4457" s="1347" t="s">
        <v>5636</v>
      </c>
    </row>
    <row r="4458" spans="1:5" x14ac:dyDescent="0.45">
      <c r="B4458" s="1347" t="s">
        <v>5637</v>
      </c>
      <c r="D4458" s="1347" t="s">
        <v>1109</v>
      </c>
      <c r="E4458" s="1347" t="s">
        <v>5638</v>
      </c>
    </row>
    <row r="4459" spans="1:5" x14ac:dyDescent="0.45">
      <c r="A4459" s="1347" t="s">
        <v>1105</v>
      </c>
      <c r="B4459" s="1347" t="s">
        <v>5639</v>
      </c>
      <c r="D4459" s="1347" t="s">
        <v>5640</v>
      </c>
      <c r="E4459" s="1347" t="s">
        <v>5641</v>
      </c>
    </row>
    <row r="4460" spans="1:5" x14ac:dyDescent="0.45">
      <c r="A4460" s="1347" t="s">
        <v>1105</v>
      </c>
      <c r="B4460" s="1347" t="s">
        <v>5642</v>
      </c>
      <c r="D4460" s="1347" t="s">
        <v>5643</v>
      </c>
      <c r="E4460" s="1347" t="s">
        <v>5644</v>
      </c>
    </row>
    <row r="4461" spans="1:5" x14ac:dyDescent="0.45">
      <c r="A4461" s="1347">
        <v>-2</v>
      </c>
      <c r="B4461" s="1347" t="s">
        <v>1532</v>
      </c>
      <c r="C4461" s="1347" t="s">
        <v>1105</v>
      </c>
      <c r="D4461" s="1347" t="s">
        <v>5645</v>
      </c>
      <c r="E4461" s="1347" t="s">
        <v>1110</v>
      </c>
    </row>
    <row r="4462" spans="1:5" x14ac:dyDescent="0.45">
      <c r="B4462" s="1347" t="s">
        <v>5646</v>
      </c>
      <c r="D4462" s="1347" t="s">
        <v>5647</v>
      </c>
      <c r="E4462" s="1347" t="s">
        <v>5648</v>
      </c>
    </row>
    <row r="4463" spans="1:5" x14ac:dyDescent="0.45">
      <c r="B4463" s="1347" t="s">
        <v>1108</v>
      </c>
      <c r="D4463" s="1347" t="s">
        <v>5649</v>
      </c>
      <c r="E4463" s="1347" t="s">
        <v>5650</v>
      </c>
    </row>
    <row r="4464" spans="1:5" x14ac:dyDescent="0.45">
      <c r="B4464" s="1347" t="s">
        <v>1108</v>
      </c>
      <c r="D4464" s="1347" t="s">
        <v>5651</v>
      </c>
      <c r="E4464" s="1347" t="s">
        <v>5652</v>
      </c>
    </row>
    <row r="4465" spans="1:5" x14ac:dyDescent="0.45">
      <c r="B4465" s="1347" t="s">
        <v>3918</v>
      </c>
      <c r="D4465" s="1347" t="s">
        <v>2668</v>
      </c>
      <c r="E4465" s="1347" t="s">
        <v>5653</v>
      </c>
    </row>
    <row r="4466" spans="1:5" x14ac:dyDescent="0.45">
      <c r="A4466" s="1347">
        <v>1</v>
      </c>
      <c r="B4466" s="1347" t="s">
        <v>5654</v>
      </c>
      <c r="D4466" s="1347" t="s">
        <v>5655</v>
      </c>
      <c r="E4466" s="1347" t="s">
        <v>5656</v>
      </c>
    </row>
    <row r="4467" spans="1:5" x14ac:dyDescent="0.45">
      <c r="B4467" s="1347" t="s">
        <v>1108</v>
      </c>
      <c r="D4467" s="1347" t="s">
        <v>5657</v>
      </c>
      <c r="E4467" s="1347" t="s">
        <v>5658</v>
      </c>
    </row>
    <row r="4468" spans="1:5" x14ac:dyDescent="0.45">
      <c r="B4468" s="1347" t="s">
        <v>1108</v>
      </c>
      <c r="D4468" s="1347" t="s">
        <v>5659</v>
      </c>
      <c r="E4468" s="1347" t="s">
        <v>1402</v>
      </c>
    </row>
    <row r="4469" spans="1:5" x14ac:dyDescent="0.45">
      <c r="B4469" s="1347" t="s">
        <v>5660</v>
      </c>
      <c r="D4469" s="1347" t="s">
        <v>5661</v>
      </c>
      <c r="E4469" s="1347" t="s">
        <v>1110</v>
      </c>
    </row>
    <row r="4470" spans="1:5" x14ac:dyDescent="0.45">
      <c r="B4470" s="1347" t="s">
        <v>1108</v>
      </c>
      <c r="D4470" s="1347" t="s">
        <v>1109</v>
      </c>
      <c r="E4470" s="1347" t="s">
        <v>5662</v>
      </c>
    </row>
    <row r="4471" spans="1:5" x14ac:dyDescent="0.45">
      <c r="B4471" s="1347" t="s">
        <v>1108</v>
      </c>
      <c r="D4471" s="1347" t="s">
        <v>5663</v>
      </c>
      <c r="E4471" s="1347" t="s">
        <v>5664</v>
      </c>
    </row>
    <row r="4472" spans="1:5" x14ac:dyDescent="0.45">
      <c r="B4472" s="1347" t="s">
        <v>1108</v>
      </c>
      <c r="D4472" s="1347" t="s">
        <v>5665</v>
      </c>
      <c r="E4472" s="1347" t="s">
        <v>5666</v>
      </c>
    </row>
    <row r="4473" spans="1:5" x14ac:dyDescent="0.45">
      <c r="B4473" s="1347" t="s">
        <v>1108</v>
      </c>
      <c r="D4473" s="1347" t="s">
        <v>5667</v>
      </c>
      <c r="E4473" s="1347" t="s">
        <v>5668</v>
      </c>
    </row>
    <row r="4474" spans="1:5" x14ac:dyDescent="0.45">
      <c r="B4474" s="1347" t="s">
        <v>5669</v>
      </c>
      <c r="D4474" s="1347" t="s">
        <v>5670</v>
      </c>
      <c r="E4474" s="1347" t="s">
        <v>5671</v>
      </c>
    </row>
    <row r="4475" spans="1:5" x14ac:dyDescent="0.45">
      <c r="A4475" s="1347">
        <v>-13</v>
      </c>
      <c r="B4475" s="1347" t="s">
        <v>5672</v>
      </c>
      <c r="D4475" s="1347" t="s">
        <v>5673</v>
      </c>
      <c r="E4475" s="1347" t="s">
        <v>5674</v>
      </c>
    </row>
    <row r="4476" spans="1:5" x14ac:dyDescent="0.45">
      <c r="B4476" s="1347" t="s">
        <v>1108</v>
      </c>
      <c r="D4476" s="1347" t="s">
        <v>5675</v>
      </c>
      <c r="E4476" s="1347" t="s">
        <v>1110</v>
      </c>
    </row>
    <row r="4477" spans="1:5" x14ac:dyDescent="0.45">
      <c r="A4477" s="1347" t="s">
        <v>1105</v>
      </c>
      <c r="B4477" s="1347" t="s">
        <v>5676</v>
      </c>
      <c r="D4477" s="1347" t="s">
        <v>5677</v>
      </c>
      <c r="E4477" s="1347" t="s">
        <v>5678</v>
      </c>
    </row>
    <row r="4478" spans="1:5" x14ac:dyDescent="0.45">
      <c r="B4478" s="1347" t="s">
        <v>1108</v>
      </c>
      <c r="D4478" s="1347" t="s">
        <v>5679</v>
      </c>
      <c r="E4478" s="1347" t="s">
        <v>5680</v>
      </c>
    </row>
    <row r="4479" spans="1:5" x14ac:dyDescent="0.45">
      <c r="A4479" s="1347" t="s">
        <v>1105</v>
      </c>
      <c r="B4479" s="1347" t="s">
        <v>5681</v>
      </c>
      <c r="D4479" s="1347">
        <f>-342   -306   -192   -22</f>
        <v>-862</v>
      </c>
      <c r="E4479" s="1347" t="s">
        <v>5682</v>
      </c>
    </row>
    <row r="4480" spans="1:5" x14ac:dyDescent="0.45">
      <c r="B4480" s="1347" t="s">
        <v>1108</v>
      </c>
      <c r="D4480" s="1347" t="s">
        <v>5683</v>
      </c>
      <c r="E4480" s="1347" t="s">
        <v>5684</v>
      </c>
    </row>
    <row r="4481" spans="1:5" x14ac:dyDescent="0.45">
      <c r="B4481" s="1347" t="s">
        <v>5685</v>
      </c>
      <c r="D4481" s="1347" t="s">
        <v>5686</v>
      </c>
      <c r="E4481" s="1347" t="s">
        <v>5687</v>
      </c>
    </row>
    <row r="4482" spans="1:5" x14ac:dyDescent="0.45">
      <c r="B4482" s="1347" t="s">
        <v>5688</v>
      </c>
      <c r="D4482" s="1347" t="s">
        <v>5689</v>
      </c>
      <c r="E4482" s="1347" t="s">
        <v>5690</v>
      </c>
    </row>
    <row r="4483" spans="1:5" x14ac:dyDescent="0.45">
      <c r="B4483" s="1347" t="s">
        <v>5691</v>
      </c>
      <c r="D4483" s="1347" t="s">
        <v>5692</v>
      </c>
      <c r="E4483" s="1347" t="s">
        <v>5572</v>
      </c>
    </row>
    <row r="4484" spans="1:5" x14ac:dyDescent="0.45">
      <c r="B4484" s="1347" t="s">
        <v>5693</v>
      </c>
      <c r="D4484" s="1347" t="s">
        <v>5694</v>
      </c>
      <c r="E4484" s="1347" t="s">
        <v>5695</v>
      </c>
    </row>
    <row r="4485" spans="1:5" x14ac:dyDescent="0.45">
      <c r="B4485" s="1347" t="s">
        <v>5696</v>
      </c>
      <c r="D4485" s="1347" t="s">
        <v>1955</v>
      </c>
      <c r="E4485" s="1347" t="s">
        <v>5697</v>
      </c>
    </row>
    <row r="4486" spans="1:5" x14ac:dyDescent="0.45">
      <c r="B4486" s="1347" t="s">
        <v>1108</v>
      </c>
      <c r="D4486" s="1347" t="s">
        <v>5698</v>
      </c>
      <c r="E4486" s="1347" t="s">
        <v>5699</v>
      </c>
    </row>
    <row r="4487" spans="1:5" x14ac:dyDescent="0.45">
      <c r="B4487" s="1347" t="s">
        <v>1108</v>
      </c>
      <c r="D4487" s="1347" t="s">
        <v>5700</v>
      </c>
      <c r="E4487" s="1347" t="s">
        <v>5701</v>
      </c>
    </row>
    <row r="4488" spans="1:5" x14ac:dyDescent="0.45">
      <c r="B4488" s="1347" t="s">
        <v>5702</v>
      </c>
      <c r="D4488" s="1347" t="s">
        <v>5703</v>
      </c>
      <c r="E4488" s="1347" t="s">
        <v>5704</v>
      </c>
    </row>
    <row r="4489" spans="1:5" x14ac:dyDescent="0.45">
      <c r="A4489" s="1347" t="s">
        <v>1105</v>
      </c>
      <c r="B4489" s="1347" t="s">
        <v>2482</v>
      </c>
      <c r="D4489" s="1347" t="s">
        <v>5705</v>
      </c>
      <c r="E4489" s="1347" t="s">
        <v>5706</v>
      </c>
    </row>
    <row r="4490" spans="1:5" x14ac:dyDescent="0.45">
      <c r="B4490" s="1347" t="s">
        <v>1108</v>
      </c>
      <c r="D4490" s="1347" t="s">
        <v>1109</v>
      </c>
      <c r="E4490" s="1347" t="s">
        <v>5707</v>
      </c>
    </row>
    <row r="4491" spans="1:5" x14ac:dyDescent="0.45">
      <c r="A4491" s="1347" t="s">
        <v>1105</v>
      </c>
      <c r="B4491" s="1347" t="s">
        <v>5708</v>
      </c>
      <c r="D4491" s="1347" t="s">
        <v>5709</v>
      </c>
      <c r="E4491" s="1347" t="s">
        <v>5710</v>
      </c>
    </row>
    <row r="4492" spans="1:5" x14ac:dyDescent="0.45">
      <c r="A4492" s="1347" t="s">
        <v>1105</v>
      </c>
      <c r="B4492" s="1347" t="s">
        <v>5711</v>
      </c>
      <c r="D4492" s="1347">
        <f>-373    -54   -748</f>
        <v>-1175</v>
      </c>
      <c r="E4492" s="1347" t="s">
        <v>5712</v>
      </c>
    </row>
    <row r="4493" spans="1:5" x14ac:dyDescent="0.45">
      <c r="B4493" s="1347" t="s">
        <v>5713</v>
      </c>
      <c r="D4493" s="1347" t="s">
        <v>5714</v>
      </c>
      <c r="E4493" s="1347" t="s">
        <v>1220</v>
      </c>
    </row>
    <row r="4494" spans="1:5" x14ac:dyDescent="0.45">
      <c r="A4494" s="1347" t="s">
        <v>1105</v>
      </c>
      <c r="B4494" s="1347" t="s">
        <v>5715</v>
      </c>
      <c r="D4494" s="1347" t="s">
        <v>5716</v>
      </c>
      <c r="E4494" s="1347" t="s">
        <v>5717</v>
      </c>
    </row>
    <row r="4495" spans="1:5" x14ac:dyDescent="0.45">
      <c r="B4495" s="1347" t="s">
        <v>5718</v>
      </c>
      <c r="D4495" s="1347" t="s">
        <v>1109</v>
      </c>
      <c r="E4495" s="1347" t="s">
        <v>5719</v>
      </c>
    </row>
    <row r="4496" spans="1:5" x14ac:dyDescent="0.45">
      <c r="B4496" s="1347" t="s">
        <v>5720</v>
      </c>
      <c r="D4496" s="1347" t="s">
        <v>5721</v>
      </c>
      <c r="E4496" s="1347" t="s">
        <v>5722</v>
      </c>
    </row>
    <row r="4497" spans="1:5" x14ac:dyDescent="0.45">
      <c r="A4497" s="1347">
        <v>1</v>
      </c>
      <c r="B4497" s="1347" t="s">
        <v>5723</v>
      </c>
      <c r="D4497" s="1347" t="s">
        <v>2987</v>
      </c>
      <c r="E4497" s="1347" t="s">
        <v>5724</v>
      </c>
    </row>
    <row r="4498" spans="1:5" x14ac:dyDescent="0.45">
      <c r="B4498" s="1347" t="s">
        <v>1108</v>
      </c>
      <c r="D4498" s="1347" t="s">
        <v>1109</v>
      </c>
      <c r="E4498" s="1347" t="s">
        <v>1110</v>
      </c>
    </row>
    <row r="4499" spans="1:5" x14ac:dyDescent="0.45">
      <c r="B4499" s="1347" t="s">
        <v>1108</v>
      </c>
      <c r="D4499" s="1347" t="s">
        <v>5725</v>
      </c>
      <c r="E4499" s="1347" t="s">
        <v>1110</v>
      </c>
    </row>
    <row r="4500" spans="1:5" x14ac:dyDescent="0.45">
      <c r="A4500" s="1347">
        <v>6</v>
      </c>
      <c r="B4500" s="1347" t="s">
        <v>5726</v>
      </c>
      <c r="C4500" s="1347" t="s">
        <v>1105</v>
      </c>
      <c r="D4500" s="1347" t="s">
        <v>5727</v>
      </c>
      <c r="E4500" s="1347" t="s">
        <v>5728</v>
      </c>
    </row>
    <row r="4501" spans="1:5" x14ac:dyDescent="0.45">
      <c r="B4501" s="1347" t="s">
        <v>1108</v>
      </c>
      <c r="D4501" s="1347" t="s">
        <v>5729</v>
      </c>
      <c r="E4501" s="1347" t="s">
        <v>1110</v>
      </c>
    </row>
    <row r="4502" spans="1:5" x14ac:dyDescent="0.45">
      <c r="A4502" s="1347" t="s">
        <v>1105</v>
      </c>
      <c r="B4502" s="1347" t="s">
        <v>5730</v>
      </c>
      <c r="D4502" s="1347" t="s">
        <v>5731</v>
      </c>
      <c r="E4502" s="1347" t="s">
        <v>5732</v>
      </c>
    </row>
    <row r="4503" spans="1:5" x14ac:dyDescent="0.45">
      <c r="B4503" s="1347" t="s">
        <v>5733</v>
      </c>
      <c r="C4503" s="1347">
        <v>-7</v>
      </c>
      <c r="D4503" s="1347" t="s">
        <v>5734</v>
      </c>
      <c r="E4503" s="1347" t="s">
        <v>5735</v>
      </c>
    </row>
    <row r="4504" spans="1:5" x14ac:dyDescent="0.45">
      <c r="B4504" s="1347" t="s">
        <v>1108</v>
      </c>
      <c r="D4504" s="1347" t="s">
        <v>5736</v>
      </c>
      <c r="E4504" s="1347" t="s">
        <v>5737</v>
      </c>
    </row>
    <row r="4505" spans="1:5" x14ac:dyDescent="0.45">
      <c r="B4505" s="1347" t="s">
        <v>5738</v>
      </c>
      <c r="D4505" s="1347" t="s">
        <v>1109</v>
      </c>
      <c r="E4505" s="1347" t="s">
        <v>5739</v>
      </c>
    </row>
    <row r="4506" spans="1:5" x14ac:dyDescent="0.45">
      <c r="B4506" s="1347" t="s">
        <v>1108</v>
      </c>
      <c r="D4506" s="1347" t="s">
        <v>5740</v>
      </c>
      <c r="E4506" s="1347" t="s">
        <v>1476</v>
      </c>
    </row>
    <row r="4507" spans="1:5" x14ac:dyDescent="0.45">
      <c r="A4507" s="1347">
        <v>1</v>
      </c>
      <c r="B4507" s="1347" t="s">
        <v>5741</v>
      </c>
      <c r="D4507" s="1347" t="s">
        <v>5742</v>
      </c>
      <c r="E4507" s="1347" t="s">
        <v>5743</v>
      </c>
    </row>
    <row r="4508" spans="1:5" x14ac:dyDescent="0.45">
      <c r="B4508" s="1347" t="s">
        <v>5744</v>
      </c>
      <c r="D4508" s="1347" t="s">
        <v>5745</v>
      </c>
      <c r="E4508" s="1347" t="s">
        <v>1110</v>
      </c>
    </row>
    <row r="4509" spans="1:5" x14ac:dyDescent="0.45">
      <c r="A4509" s="1347" t="s">
        <v>1105</v>
      </c>
      <c r="B4509" s="1347" t="s">
        <v>5746</v>
      </c>
      <c r="C4509" s="1347" t="s">
        <v>1105</v>
      </c>
      <c r="D4509" s="1347" t="s">
        <v>5747</v>
      </c>
      <c r="E4509" s="1347" t="s">
        <v>5748</v>
      </c>
    </row>
    <row r="4510" spans="1:5" x14ac:dyDescent="0.45">
      <c r="A4510" s="1347" t="s">
        <v>1105</v>
      </c>
      <c r="B4510" s="1347" t="s">
        <v>5749</v>
      </c>
      <c r="D4510" s="1347" t="s">
        <v>5750</v>
      </c>
      <c r="E4510" s="1347" t="s">
        <v>5751</v>
      </c>
    </row>
    <row r="4511" spans="1:5" x14ac:dyDescent="0.45">
      <c r="B4511" s="1347" t="s">
        <v>1108</v>
      </c>
      <c r="D4511" s="1347" t="s">
        <v>5752</v>
      </c>
      <c r="E4511" s="1347" t="s">
        <v>5753</v>
      </c>
    </row>
    <row r="4512" spans="1:5" x14ac:dyDescent="0.45">
      <c r="B4512" s="1347" t="s">
        <v>1108</v>
      </c>
      <c r="D4512" s="1347" t="s">
        <v>5754</v>
      </c>
      <c r="E4512" s="1347" t="s">
        <v>5755</v>
      </c>
    </row>
    <row r="4513" spans="1:5" x14ac:dyDescent="0.45">
      <c r="B4513" s="1347" t="s">
        <v>5756</v>
      </c>
      <c r="D4513" s="1347" t="s">
        <v>5757</v>
      </c>
      <c r="E4513" s="1347" t="s">
        <v>5758</v>
      </c>
    </row>
    <row r="4514" spans="1:5" x14ac:dyDescent="0.45">
      <c r="B4514" s="1347" t="s">
        <v>1108</v>
      </c>
      <c r="D4514" s="1347" t="s">
        <v>5759</v>
      </c>
      <c r="E4514" s="1347" t="s">
        <v>5760</v>
      </c>
    </row>
    <row r="4515" spans="1:5" x14ac:dyDescent="0.45">
      <c r="B4515" s="1347" t="s">
        <v>5761</v>
      </c>
      <c r="D4515" s="1347" t="s">
        <v>4315</v>
      </c>
      <c r="E4515" s="1347" t="s">
        <v>5762</v>
      </c>
    </row>
    <row r="4516" spans="1:5" x14ac:dyDescent="0.45">
      <c r="B4516" s="1347" t="s">
        <v>5763</v>
      </c>
      <c r="D4516" s="1347" t="s">
        <v>5764</v>
      </c>
      <c r="E4516" s="1347" t="s">
        <v>5765</v>
      </c>
    </row>
    <row r="4517" spans="1:5" x14ac:dyDescent="0.45">
      <c r="B4517" s="1347" t="s">
        <v>5766</v>
      </c>
      <c r="D4517" s="1347" t="s">
        <v>5767</v>
      </c>
      <c r="E4517" s="1347" t="s">
        <v>5768</v>
      </c>
    </row>
    <row r="4518" spans="1:5" x14ac:dyDescent="0.45">
      <c r="B4518" s="1347" t="s">
        <v>3349</v>
      </c>
      <c r="D4518" s="1347" t="s">
        <v>5769</v>
      </c>
      <c r="E4518" s="1347" t="s">
        <v>1110</v>
      </c>
    </row>
    <row r="4519" spans="1:5" x14ac:dyDescent="0.45">
      <c r="B4519" s="1347" t="s">
        <v>1108</v>
      </c>
      <c r="D4519" s="1347" t="s">
        <v>5770</v>
      </c>
      <c r="E4519" s="1347" t="s">
        <v>5771</v>
      </c>
    </row>
    <row r="4520" spans="1:5" x14ac:dyDescent="0.45">
      <c r="B4520" s="1347" t="s">
        <v>1108</v>
      </c>
      <c r="D4520" s="1347" t="s">
        <v>5772</v>
      </c>
      <c r="E4520" s="1347" t="s">
        <v>5773</v>
      </c>
    </row>
    <row r="4521" spans="1:5" x14ac:dyDescent="0.45">
      <c r="A4521" s="1347" t="s">
        <v>1105</v>
      </c>
      <c r="B4521" s="1347" t="s">
        <v>5774</v>
      </c>
      <c r="D4521" s="1347" t="s">
        <v>1305</v>
      </c>
      <c r="E4521" s="1347" t="s">
        <v>5775</v>
      </c>
    </row>
    <row r="4522" spans="1:5" x14ac:dyDescent="0.45">
      <c r="A4522" s="1347" t="s">
        <v>1105</v>
      </c>
      <c r="B4522" s="1347" t="s">
        <v>5776</v>
      </c>
      <c r="D4522" s="1347" t="s">
        <v>1109</v>
      </c>
      <c r="E4522" s="1347" t="s">
        <v>5777</v>
      </c>
    </row>
    <row r="4523" spans="1:5" x14ac:dyDescent="0.45">
      <c r="A4523" s="1347" t="s">
        <v>1105</v>
      </c>
      <c r="B4523" s="1347" t="s">
        <v>5778</v>
      </c>
      <c r="D4523" s="1347" t="s">
        <v>5779</v>
      </c>
      <c r="E4523" s="1347" t="s">
        <v>5780</v>
      </c>
    </row>
    <row r="4524" spans="1:5" x14ac:dyDescent="0.45">
      <c r="B4524" s="1347" t="s">
        <v>1108</v>
      </c>
      <c r="D4524" s="1347" t="s">
        <v>5781</v>
      </c>
      <c r="E4524" s="1347" t="s">
        <v>5782</v>
      </c>
    </row>
    <row r="4525" spans="1:5" x14ac:dyDescent="0.45">
      <c r="B4525" s="1347" t="s">
        <v>4030</v>
      </c>
      <c r="D4525" s="1347" t="s">
        <v>5783</v>
      </c>
      <c r="E4525" s="1347" t="s">
        <v>5784</v>
      </c>
    </row>
    <row r="4526" spans="1:5" x14ac:dyDescent="0.45">
      <c r="B4526" s="1347" t="s">
        <v>5785</v>
      </c>
      <c r="D4526" s="1347" t="s">
        <v>5786</v>
      </c>
      <c r="E4526" s="1347" t="s">
        <v>1110</v>
      </c>
    </row>
    <row r="4527" spans="1:5" x14ac:dyDescent="0.45">
      <c r="B4527" s="1347" t="s">
        <v>1108</v>
      </c>
      <c r="D4527" s="1347" t="s">
        <v>1109</v>
      </c>
      <c r="E4527" s="1347" t="s">
        <v>1110</v>
      </c>
    </row>
    <row r="4528" spans="1:5" x14ac:dyDescent="0.45">
      <c r="B4528" s="1347" t="s">
        <v>5787</v>
      </c>
      <c r="D4528" s="1347" t="s">
        <v>1109</v>
      </c>
      <c r="E4528" s="1347" t="s">
        <v>5788</v>
      </c>
    </row>
    <row r="4529" spans="1:5" x14ac:dyDescent="0.45">
      <c r="A4529" s="1347" t="s">
        <v>1105</v>
      </c>
      <c r="B4529" s="1347" t="s">
        <v>5789</v>
      </c>
      <c r="D4529" s="1347" t="s">
        <v>5790</v>
      </c>
      <c r="E4529" s="1347" t="s">
        <v>5791</v>
      </c>
    </row>
    <row r="4530" spans="1:5" x14ac:dyDescent="0.45">
      <c r="A4530" s="1347">
        <v>-1</v>
      </c>
      <c r="B4530" s="1347" t="s">
        <v>5792</v>
      </c>
      <c r="D4530" s="1347" t="s">
        <v>1109</v>
      </c>
      <c r="E4530" s="1347" t="s">
        <v>5793</v>
      </c>
    </row>
    <row r="4531" spans="1:5" x14ac:dyDescent="0.45">
      <c r="A4531" s="1347" t="s">
        <v>1105</v>
      </c>
      <c r="B4531" s="1347" t="s">
        <v>1750</v>
      </c>
      <c r="D4531" s="1347" t="s">
        <v>5794</v>
      </c>
      <c r="E4531" s="1347" t="s">
        <v>5795</v>
      </c>
    </row>
    <row r="4532" spans="1:5" x14ac:dyDescent="0.45">
      <c r="B4532" s="1347" t="s">
        <v>5796</v>
      </c>
      <c r="D4532" s="1347" t="s">
        <v>5797</v>
      </c>
      <c r="E4532" s="1347" t="s">
        <v>1275</v>
      </c>
    </row>
    <row r="4533" spans="1:5" x14ac:dyDescent="0.45">
      <c r="B4533" s="1347" t="s">
        <v>3826</v>
      </c>
      <c r="D4533" s="1347" t="s">
        <v>1266</v>
      </c>
      <c r="E4533" s="1347" t="s">
        <v>5798</v>
      </c>
    </row>
    <row r="4534" spans="1:5" x14ac:dyDescent="0.45">
      <c r="B4534" s="1347" t="s">
        <v>1108</v>
      </c>
      <c r="D4534" s="1347" t="s">
        <v>5799</v>
      </c>
      <c r="E4534" s="1347" t="s">
        <v>5800</v>
      </c>
    </row>
    <row r="4535" spans="1:5" x14ac:dyDescent="0.45">
      <c r="A4535" s="1347">
        <v>-33</v>
      </c>
      <c r="B4535" s="1347" t="s">
        <v>5801</v>
      </c>
      <c r="D4535" s="1347" t="s">
        <v>5802</v>
      </c>
      <c r="E4535" s="1347" t="s">
        <v>5803</v>
      </c>
    </row>
    <row r="4536" spans="1:5" x14ac:dyDescent="0.45">
      <c r="B4536" s="1347" t="s">
        <v>1108</v>
      </c>
      <c r="D4536" s="1347" t="s">
        <v>5804</v>
      </c>
      <c r="E4536" s="1347" t="s">
        <v>5805</v>
      </c>
    </row>
    <row r="4537" spans="1:5" x14ac:dyDescent="0.45">
      <c r="A4537" s="1347">
        <v>-1</v>
      </c>
      <c r="B4537" s="1347" t="s">
        <v>5806</v>
      </c>
      <c r="D4537" s="1347" t="s">
        <v>1109</v>
      </c>
      <c r="E4537" s="1347" t="s">
        <v>5807</v>
      </c>
    </row>
    <row r="4538" spans="1:5" x14ac:dyDescent="0.45">
      <c r="A4538" s="1347">
        <v>2</v>
      </c>
      <c r="B4538" s="1347" t="s">
        <v>5808</v>
      </c>
      <c r="D4538" s="1347" t="s">
        <v>5809</v>
      </c>
      <c r="E4538" s="1347" t="s">
        <v>5810</v>
      </c>
    </row>
    <row r="4539" spans="1:5" x14ac:dyDescent="0.45">
      <c r="A4539" s="1347">
        <v>-3</v>
      </c>
      <c r="B4539" s="1347" t="s">
        <v>5811</v>
      </c>
      <c r="D4539" s="1347" t="s">
        <v>5812</v>
      </c>
      <c r="E4539" s="1347" t="s">
        <v>5813</v>
      </c>
    </row>
    <row r="4540" spans="1:5" x14ac:dyDescent="0.45">
      <c r="B4540" s="1347" t="s">
        <v>1935</v>
      </c>
      <c r="D4540" s="1347" t="s">
        <v>5814</v>
      </c>
      <c r="E4540" s="1347" t="s">
        <v>1350</v>
      </c>
    </row>
    <row r="4541" spans="1:5" x14ac:dyDescent="0.45">
      <c r="B4541" s="1347" t="s">
        <v>5815</v>
      </c>
      <c r="D4541" s="1347" t="s">
        <v>5816</v>
      </c>
      <c r="E4541" s="1347" t="s">
        <v>5817</v>
      </c>
    </row>
    <row r="4542" spans="1:5" x14ac:dyDescent="0.45">
      <c r="B4542" s="1347" t="s">
        <v>5818</v>
      </c>
      <c r="D4542" s="1347" t="s">
        <v>5819</v>
      </c>
      <c r="E4542" s="1347" t="s">
        <v>5820</v>
      </c>
    </row>
    <row r="4543" spans="1:5" x14ac:dyDescent="0.45">
      <c r="B4543" s="1347" t="s">
        <v>5821</v>
      </c>
      <c r="D4543" s="1347" t="s">
        <v>5822</v>
      </c>
      <c r="E4543" s="1347" t="s">
        <v>5823</v>
      </c>
    </row>
    <row r="4544" spans="1:5" x14ac:dyDescent="0.45">
      <c r="B4544" s="1347" t="s">
        <v>1108</v>
      </c>
      <c r="D4544" s="1347" t="s">
        <v>2357</v>
      </c>
      <c r="E4544" s="1347" t="s">
        <v>5824</v>
      </c>
    </row>
    <row r="4545" spans="1:5" x14ac:dyDescent="0.45">
      <c r="B4545" s="1347" t="s">
        <v>5825</v>
      </c>
      <c r="C4545" s="1347" t="s">
        <v>1105</v>
      </c>
      <c r="D4545" s="1347" t="s">
        <v>5826</v>
      </c>
      <c r="E4545" s="1347" t="s">
        <v>5827</v>
      </c>
    </row>
    <row r="4546" spans="1:5" x14ac:dyDescent="0.45">
      <c r="B4546" s="1347" t="s">
        <v>5828</v>
      </c>
      <c r="D4546" s="1347" t="s">
        <v>5829</v>
      </c>
      <c r="E4546" s="1347" t="s">
        <v>5830</v>
      </c>
    </row>
    <row r="4547" spans="1:5" x14ac:dyDescent="0.45">
      <c r="B4547" s="1347" t="s">
        <v>5831</v>
      </c>
      <c r="D4547" s="1347" t="s">
        <v>1109</v>
      </c>
      <c r="E4547" s="1347" t="s">
        <v>5832</v>
      </c>
    </row>
    <row r="4548" spans="1:5" x14ac:dyDescent="0.45">
      <c r="B4548" s="1347" t="s">
        <v>5833</v>
      </c>
      <c r="D4548" s="1347" t="s">
        <v>5834</v>
      </c>
      <c r="E4548" s="1347" t="s">
        <v>5835</v>
      </c>
    </row>
    <row r="4549" spans="1:5" x14ac:dyDescent="0.45">
      <c r="B4549" s="1347" t="s">
        <v>1108</v>
      </c>
      <c r="C4549" s="1347" t="s">
        <v>1105</v>
      </c>
      <c r="D4549" s="1347" t="s">
        <v>5836</v>
      </c>
      <c r="E4549" s="1347" t="s">
        <v>5837</v>
      </c>
    </row>
    <row r="4550" spans="1:5" x14ac:dyDescent="0.45">
      <c r="B4550" s="1347" t="s">
        <v>1108</v>
      </c>
      <c r="D4550" s="1347" t="s">
        <v>5838</v>
      </c>
      <c r="E4550" s="1347" t="s">
        <v>5839</v>
      </c>
    </row>
    <row r="4551" spans="1:5" x14ac:dyDescent="0.45">
      <c r="B4551" s="1347" t="s">
        <v>1108</v>
      </c>
      <c r="D4551" s="1347" t="s">
        <v>5840</v>
      </c>
      <c r="E4551" s="1347" t="s">
        <v>5841</v>
      </c>
    </row>
    <row r="4552" spans="1:5" x14ac:dyDescent="0.45">
      <c r="A4552" s="1347">
        <v>-2</v>
      </c>
      <c r="B4552" s="1347" t="s">
        <v>5842</v>
      </c>
      <c r="D4552" s="1347" t="s">
        <v>5843</v>
      </c>
      <c r="E4552" s="1347" t="s">
        <v>1110</v>
      </c>
    </row>
    <row r="4553" spans="1:5" x14ac:dyDescent="0.45">
      <c r="B4553" s="1347" t="s">
        <v>1108</v>
      </c>
      <c r="D4553" s="1347" t="s">
        <v>5844</v>
      </c>
      <c r="E4553" s="1347" t="s">
        <v>5845</v>
      </c>
    </row>
    <row r="4554" spans="1:5" x14ac:dyDescent="0.45">
      <c r="A4554" s="1347" t="s">
        <v>1105</v>
      </c>
      <c r="B4554" s="1347" t="s">
        <v>2981</v>
      </c>
      <c r="D4554" s="1347" t="s">
        <v>5846</v>
      </c>
      <c r="E4554" s="1347" t="s">
        <v>5847</v>
      </c>
    </row>
    <row r="4555" spans="1:5" x14ac:dyDescent="0.45">
      <c r="A4555" s="1347">
        <v>3</v>
      </c>
      <c r="B4555" s="1347" t="s">
        <v>5848</v>
      </c>
      <c r="D4555" s="1347" t="s">
        <v>1109</v>
      </c>
      <c r="E4555" s="1347" t="s">
        <v>1110</v>
      </c>
    </row>
    <row r="4556" spans="1:5" x14ac:dyDescent="0.45">
      <c r="B4556" s="1347" t="s">
        <v>1108</v>
      </c>
      <c r="D4556" s="1347" t="s">
        <v>1109</v>
      </c>
      <c r="E4556" s="1347" t="s">
        <v>5849</v>
      </c>
    </row>
    <row r="4557" spans="1:5" x14ac:dyDescent="0.45">
      <c r="B4557" s="1347" t="s">
        <v>1108</v>
      </c>
      <c r="D4557" s="1347" t="s">
        <v>5850</v>
      </c>
      <c r="E4557" s="1347" t="s">
        <v>5851</v>
      </c>
    </row>
    <row r="4558" spans="1:5" x14ac:dyDescent="0.45">
      <c r="A4558" s="1347" t="s">
        <v>1105</v>
      </c>
      <c r="B4558" s="1347" t="s">
        <v>5852</v>
      </c>
      <c r="D4558" s="1347" t="s">
        <v>5853</v>
      </c>
      <c r="E4558" s="1347" t="s">
        <v>5854</v>
      </c>
    </row>
    <row r="4559" spans="1:5" x14ac:dyDescent="0.45">
      <c r="B4559" s="1347" t="s">
        <v>1108</v>
      </c>
      <c r="D4559" s="1347" t="s">
        <v>2971</v>
      </c>
      <c r="E4559" s="1347" t="s">
        <v>5855</v>
      </c>
    </row>
    <row r="4560" spans="1:5" x14ac:dyDescent="0.45">
      <c r="B4560" s="1347" t="s">
        <v>5856</v>
      </c>
      <c r="D4560" s="1347" t="s">
        <v>5857</v>
      </c>
      <c r="E4560" s="1347" t="s">
        <v>5858</v>
      </c>
    </row>
    <row r="4561" spans="1:5" x14ac:dyDescent="0.45">
      <c r="A4561" s="1347">
        <v>1</v>
      </c>
      <c r="B4561" s="1347" t="s">
        <v>5859</v>
      </c>
      <c r="D4561" s="1347" t="s">
        <v>5860</v>
      </c>
      <c r="E4561" s="1347" t="s">
        <v>2323</v>
      </c>
    </row>
    <row r="4562" spans="1:5" x14ac:dyDescent="0.45">
      <c r="B4562" s="1347" t="s">
        <v>1108</v>
      </c>
      <c r="D4562" s="1347" t="s">
        <v>5861</v>
      </c>
      <c r="E4562" s="1347" t="s">
        <v>1958</v>
      </c>
    </row>
    <row r="4563" spans="1:5" x14ac:dyDescent="0.45">
      <c r="B4563" s="1347" t="s">
        <v>4876</v>
      </c>
      <c r="D4563" s="1347" t="s">
        <v>5862</v>
      </c>
      <c r="E4563" s="1347" t="s">
        <v>5863</v>
      </c>
    </row>
    <row r="4564" spans="1:5" x14ac:dyDescent="0.45">
      <c r="A4564" s="1347">
        <v>2</v>
      </c>
      <c r="B4564" s="1347" t="s">
        <v>1242</v>
      </c>
      <c r="D4564" s="1347" t="s">
        <v>5864</v>
      </c>
      <c r="E4564" s="1347" t="s">
        <v>5865</v>
      </c>
    </row>
    <row r="4565" spans="1:5" x14ac:dyDescent="0.45">
      <c r="B4565" s="1347" t="s">
        <v>5866</v>
      </c>
      <c r="D4565" s="1347" t="s">
        <v>5867</v>
      </c>
      <c r="E4565" s="1347" t="s">
        <v>5868</v>
      </c>
    </row>
    <row r="4566" spans="1:5" x14ac:dyDescent="0.45">
      <c r="B4566" s="1347" t="s">
        <v>1108</v>
      </c>
      <c r="D4566" s="1347" t="s">
        <v>2527</v>
      </c>
      <c r="E4566" s="1347" t="s">
        <v>5869</v>
      </c>
    </row>
    <row r="4567" spans="1:5" x14ac:dyDescent="0.45">
      <c r="B4567" s="1347" t="s">
        <v>5870</v>
      </c>
      <c r="C4567" s="1347">
        <v>-1</v>
      </c>
      <c r="D4567" s="1347" t="s">
        <v>5871</v>
      </c>
      <c r="E4567" s="1347" t="s">
        <v>5872</v>
      </c>
    </row>
    <row r="4568" spans="1:5" x14ac:dyDescent="0.45">
      <c r="A4568" s="1347">
        <v>1</v>
      </c>
      <c r="B4568" s="1347" t="s">
        <v>5873</v>
      </c>
      <c r="C4568" s="1347" t="s">
        <v>1105</v>
      </c>
      <c r="D4568" s="1347" t="s">
        <v>5874</v>
      </c>
      <c r="E4568" s="1347" t="s">
        <v>5875</v>
      </c>
    </row>
    <row r="4569" spans="1:5" x14ac:dyDescent="0.45">
      <c r="A4569" s="1347">
        <v>-3</v>
      </c>
      <c r="B4569" s="1347" t="s">
        <v>5876</v>
      </c>
      <c r="D4569" s="1347" t="s">
        <v>5877</v>
      </c>
      <c r="E4569" s="1347" t="s">
        <v>5878</v>
      </c>
    </row>
    <row r="4570" spans="1:5" x14ac:dyDescent="0.45">
      <c r="B4570" s="1347" t="s">
        <v>5879</v>
      </c>
      <c r="D4570" s="1347" t="s">
        <v>5880</v>
      </c>
      <c r="E4570" s="1347" t="s">
        <v>5881</v>
      </c>
    </row>
    <row r="4571" spans="1:5" x14ac:dyDescent="0.45">
      <c r="A4571" s="1347" t="s">
        <v>1105</v>
      </c>
      <c r="B4571" s="1347" t="s">
        <v>5882</v>
      </c>
      <c r="C4571" s="1347" t="s">
        <v>1105</v>
      </c>
      <c r="D4571" s="1347" t="s">
        <v>5883</v>
      </c>
      <c r="E4571" s="1347" t="s">
        <v>5884</v>
      </c>
    </row>
    <row r="4572" spans="1:5" x14ac:dyDescent="0.45">
      <c r="B4572" s="1347" t="s">
        <v>5885</v>
      </c>
      <c r="D4572" s="1347" t="s">
        <v>5886</v>
      </c>
      <c r="E4572" s="1347" t="s">
        <v>5887</v>
      </c>
    </row>
    <row r="4573" spans="1:5" x14ac:dyDescent="0.45">
      <c r="B4573" s="1347" t="s">
        <v>1108</v>
      </c>
      <c r="D4573" s="1347" t="s">
        <v>5888</v>
      </c>
      <c r="E4573" s="1347" t="s">
        <v>5889</v>
      </c>
    </row>
    <row r="4574" spans="1:5" x14ac:dyDescent="0.45">
      <c r="A4574" s="1347">
        <v>-10</v>
      </c>
      <c r="B4574" s="1347" t="s">
        <v>5890</v>
      </c>
      <c r="D4574" s="1347" t="s">
        <v>5891</v>
      </c>
      <c r="E4574" s="1347" t="s">
        <v>5892</v>
      </c>
    </row>
    <row r="4575" spans="1:5" x14ac:dyDescent="0.45">
      <c r="B4575" s="1347" t="s">
        <v>5893</v>
      </c>
      <c r="D4575" s="1347" t="s">
        <v>5894</v>
      </c>
      <c r="E4575" s="1347" t="s">
        <v>5895</v>
      </c>
    </row>
    <row r="4576" spans="1:5" x14ac:dyDescent="0.45">
      <c r="B4576" s="1347" t="s">
        <v>1108</v>
      </c>
      <c r="D4576" s="1347" t="s">
        <v>1109</v>
      </c>
      <c r="E4576" s="1347" t="s">
        <v>5896</v>
      </c>
    </row>
    <row r="4577" spans="1:5" x14ac:dyDescent="0.45">
      <c r="A4577" s="1347" t="s">
        <v>1105</v>
      </c>
      <c r="B4577" s="1347" t="s">
        <v>5897</v>
      </c>
      <c r="D4577" s="1347" t="s">
        <v>5898</v>
      </c>
      <c r="E4577" s="1347" t="s">
        <v>1110</v>
      </c>
    </row>
    <row r="4578" spans="1:5" x14ac:dyDescent="0.45">
      <c r="A4578" s="1347">
        <v>-3</v>
      </c>
      <c r="B4578" s="1347" t="s">
        <v>5899</v>
      </c>
      <c r="C4578" s="1347" t="s">
        <v>1105</v>
      </c>
      <c r="D4578" s="1347" t="s">
        <v>5900</v>
      </c>
      <c r="E4578" s="1347" t="s">
        <v>1275</v>
      </c>
    </row>
    <row r="4579" spans="1:5" x14ac:dyDescent="0.45">
      <c r="A4579" s="1347" t="s">
        <v>1105</v>
      </c>
      <c r="B4579" s="1347" t="s">
        <v>5901</v>
      </c>
      <c r="D4579" s="1347" t="s">
        <v>5902</v>
      </c>
      <c r="E4579" s="1347" t="s">
        <v>5903</v>
      </c>
    </row>
    <row r="4580" spans="1:5" x14ac:dyDescent="0.45">
      <c r="B4580" s="1347" t="s">
        <v>5904</v>
      </c>
      <c r="D4580" s="1347" t="s">
        <v>5905</v>
      </c>
      <c r="E4580" s="1347" t="s">
        <v>5906</v>
      </c>
    </row>
    <row r="4581" spans="1:5" x14ac:dyDescent="0.45">
      <c r="A4581" s="1347">
        <v>1</v>
      </c>
      <c r="B4581" s="1347" t="s">
        <v>5907</v>
      </c>
      <c r="C4581" s="1347" t="s">
        <v>1105</v>
      </c>
      <c r="D4581" s="1347" t="s">
        <v>5908</v>
      </c>
      <c r="E4581" s="1347" t="s">
        <v>1110</v>
      </c>
    </row>
    <row r="4582" spans="1:5" x14ac:dyDescent="0.45">
      <c r="B4582" s="1347" t="s">
        <v>5909</v>
      </c>
      <c r="D4582" s="1347" t="s">
        <v>5910</v>
      </c>
      <c r="E4582" s="1347" t="s">
        <v>5911</v>
      </c>
    </row>
    <row r="4583" spans="1:5" x14ac:dyDescent="0.45">
      <c r="B4583" s="1347" t="s">
        <v>5912</v>
      </c>
      <c r="D4583" s="1347" t="s">
        <v>1109</v>
      </c>
      <c r="E4583" s="1347" t="s">
        <v>5913</v>
      </c>
    </row>
    <row r="4584" spans="1:5" x14ac:dyDescent="0.45">
      <c r="B4584" s="1347" t="s">
        <v>1108</v>
      </c>
      <c r="D4584" s="1347" t="s">
        <v>1109</v>
      </c>
      <c r="E4584" s="1347" t="s">
        <v>1110</v>
      </c>
    </row>
    <row r="4585" spans="1:5" x14ac:dyDescent="0.45">
      <c r="B4585" s="1347" t="s">
        <v>1108</v>
      </c>
      <c r="D4585" s="1347" t="s">
        <v>5914</v>
      </c>
      <c r="E4585" s="1347" t="s">
        <v>1156</v>
      </c>
    </row>
    <row r="4586" spans="1:5" x14ac:dyDescent="0.45">
      <c r="B4586" s="1347" t="s">
        <v>5915</v>
      </c>
      <c r="D4586" s="1347" t="s">
        <v>5916</v>
      </c>
      <c r="E4586" s="1347" t="s">
        <v>5917</v>
      </c>
    </row>
    <row r="4587" spans="1:5" x14ac:dyDescent="0.45">
      <c r="B4587" s="1347" t="s">
        <v>1108</v>
      </c>
      <c r="D4587" s="1347" t="s">
        <v>5918</v>
      </c>
      <c r="E4587" s="1347" t="s">
        <v>5919</v>
      </c>
    </row>
    <row r="4588" spans="1:5" x14ac:dyDescent="0.45">
      <c r="B4588" s="1347" t="s">
        <v>1108</v>
      </c>
      <c r="D4588" s="1347" t="s">
        <v>5920</v>
      </c>
      <c r="E4588" s="1347" t="s">
        <v>5921</v>
      </c>
    </row>
    <row r="4589" spans="1:5" x14ac:dyDescent="0.45">
      <c r="B4589" s="1347" t="s">
        <v>5922</v>
      </c>
      <c r="D4589" s="1347" t="s">
        <v>5923</v>
      </c>
      <c r="E4589" s="1347" t="s">
        <v>5924</v>
      </c>
    </row>
    <row r="4590" spans="1:5" x14ac:dyDescent="0.45">
      <c r="B4590" s="1347" t="s">
        <v>5925</v>
      </c>
      <c r="D4590" s="1347" t="s">
        <v>5926</v>
      </c>
      <c r="E4590" s="1347" t="s">
        <v>5927</v>
      </c>
    </row>
    <row r="4591" spans="1:5" x14ac:dyDescent="0.45">
      <c r="B4591" s="1347" t="s">
        <v>1108</v>
      </c>
      <c r="D4591" s="1347" t="s">
        <v>5928</v>
      </c>
      <c r="E4591" s="1347" t="s">
        <v>1110</v>
      </c>
    </row>
    <row r="4592" spans="1:5" x14ac:dyDescent="0.45">
      <c r="B4592" s="1347" t="s">
        <v>5929</v>
      </c>
      <c r="D4592" s="1347" t="s">
        <v>5930</v>
      </c>
      <c r="E4592" s="1347" t="s">
        <v>5931</v>
      </c>
    </row>
    <row r="4593" spans="1:5" x14ac:dyDescent="0.45">
      <c r="B4593" s="1347" t="s">
        <v>1108</v>
      </c>
      <c r="D4593" s="1347" t="s">
        <v>5932</v>
      </c>
      <c r="E4593" s="1347" t="s">
        <v>5933</v>
      </c>
    </row>
    <row r="4594" spans="1:5" x14ac:dyDescent="0.45">
      <c r="B4594" s="1347" t="s">
        <v>5934</v>
      </c>
      <c r="D4594" s="1347" t="s">
        <v>5935</v>
      </c>
      <c r="E4594" s="1347" t="s">
        <v>5936</v>
      </c>
    </row>
    <row r="4595" spans="1:5" x14ac:dyDescent="0.45">
      <c r="B4595" s="1347" t="s">
        <v>1108</v>
      </c>
      <c r="D4595" s="1347" t="s">
        <v>5937</v>
      </c>
      <c r="E4595" s="1347" t="s">
        <v>5938</v>
      </c>
    </row>
    <row r="4596" spans="1:5" x14ac:dyDescent="0.45">
      <c r="A4596" s="1347">
        <v>2</v>
      </c>
      <c r="B4596" s="1347" t="s">
        <v>5939</v>
      </c>
      <c r="D4596" s="1347">
        <f>-401  -1608  -3950</f>
        <v>-5959</v>
      </c>
      <c r="E4596" s="1347" t="s">
        <v>5940</v>
      </c>
    </row>
    <row r="4597" spans="1:5" x14ac:dyDescent="0.45">
      <c r="B4597" s="1347" t="s">
        <v>5941</v>
      </c>
      <c r="C4597" s="1347" t="s">
        <v>1105</v>
      </c>
      <c r="D4597" s="1347" t="s">
        <v>5942</v>
      </c>
      <c r="E4597" s="1347" t="s">
        <v>5943</v>
      </c>
    </row>
    <row r="4598" spans="1:5" x14ac:dyDescent="0.45">
      <c r="B4598" s="1347" t="s">
        <v>5944</v>
      </c>
      <c r="D4598" s="1347" t="s">
        <v>5945</v>
      </c>
      <c r="E4598" s="1347" t="s">
        <v>5946</v>
      </c>
    </row>
    <row r="4599" spans="1:5" x14ac:dyDescent="0.45">
      <c r="A4599" s="1347">
        <v>2</v>
      </c>
      <c r="B4599" s="1347" t="s">
        <v>5947</v>
      </c>
      <c r="D4599" s="1347" t="s">
        <v>5948</v>
      </c>
      <c r="E4599" s="1347" t="s">
        <v>5949</v>
      </c>
    </row>
    <row r="4600" spans="1:5" x14ac:dyDescent="0.45">
      <c r="A4600" s="1347">
        <v>5</v>
      </c>
      <c r="B4600" s="1347" t="s">
        <v>5950</v>
      </c>
      <c r="D4600" s="1347" t="s">
        <v>5951</v>
      </c>
      <c r="E4600" s="1347" t="s">
        <v>5952</v>
      </c>
    </row>
    <row r="4601" spans="1:5" x14ac:dyDescent="0.45">
      <c r="B4601" s="1347" t="s">
        <v>1108</v>
      </c>
      <c r="C4601" s="1347" t="s">
        <v>1105</v>
      </c>
      <c r="D4601" s="1347" t="s">
        <v>5953</v>
      </c>
      <c r="E4601" s="1347" t="s">
        <v>5954</v>
      </c>
    </row>
    <row r="4602" spans="1:5" x14ac:dyDescent="0.45">
      <c r="B4602" s="1347" t="s">
        <v>1108</v>
      </c>
      <c r="D4602" s="1347" t="s">
        <v>5955</v>
      </c>
      <c r="E4602" s="1347" t="s">
        <v>5956</v>
      </c>
    </row>
    <row r="4603" spans="1:5" x14ac:dyDescent="0.45">
      <c r="A4603" s="1347" t="s">
        <v>1105</v>
      </c>
      <c r="B4603" s="1347" t="s">
        <v>5957</v>
      </c>
      <c r="D4603" s="1347" t="s">
        <v>5958</v>
      </c>
      <c r="E4603" s="1347" t="s">
        <v>5959</v>
      </c>
    </row>
    <row r="4604" spans="1:5" x14ac:dyDescent="0.45">
      <c r="A4604" s="1347" t="s">
        <v>1105</v>
      </c>
      <c r="B4604" s="1347" t="s">
        <v>5960</v>
      </c>
      <c r="D4604" s="1347" t="s">
        <v>5961</v>
      </c>
      <c r="E4604" s="1347" t="s">
        <v>5962</v>
      </c>
    </row>
    <row r="4605" spans="1:5" x14ac:dyDescent="0.45">
      <c r="B4605" s="1347" t="s">
        <v>1108</v>
      </c>
      <c r="D4605" s="1347" t="s">
        <v>1109</v>
      </c>
      <c r="E4605" s="1347" t="s">
        <v>5963</v>
      </c>
    </row>
    <row r="4606" spans="1:5" x14ac:dyDescent="0.45">
      <c r="B4606" s="1347" t="s">
        <v>5964</v>
      </c>
      <c r="D4606" s="1347" t="s">
        <v>5965</v>
      </c>
      <c r="E4606" s="1347" t="s">
        <v>5966</v>
      </c>
    </row>
    <row r="4607" spans="1:5" x14ac:dyDescent="0.45">
      <c r="A4607" s="1347">
        <v>-1</v>
      </c>
      <c r="B4607" s="1347" t="s">
        <v>5967</v>
      </c>
      <c r="C4607" s="1347" t="s">
        <v>1105</v>
      </c>
      <c r="D4607" s="1347" t="s">
        <v>5968</v>
      </c>
      <c r="E4607" s="1347" t="s">
        <v>5969</v>
      </c>
    </row>
    <row r="4608" spans="1:5" x14ac:dyDescent="0.45">
      <c r="B4608" s="1347" t="s">
        <v>5970</v>
      </c>
      <c r="D4608" s="1347" t="s">
        <v>5971</v>
      </c>
      <c r="E4608" s="1347" t="s">
        <v>1476</v>
      </c>
    </row>
    <row r="4609" spans="1:5" x14ac:dyDescent="0.45">
      <c r="A4609" s="1347" t="s">
        <v>1105</v>
      </c>
      <c r="B4609" s="1347" t="s">
        <v>5972</v>
      </c>
      <c r="D4609" s="1347" t="s">
        <v>5973</v>
      </c>
      <c r="E4609" s="1347" t="s">
        <v>5974</v>
      </c>
    </row>
    <row r="4610" spans="1:5" x14ac:dyDescent="0.45">
      <c r="A4610" s="1347" t="s">
        <v>1105</v>
      </c>
      <c r="B4610" s="1347" t="s">
        <v>5975</v>
      </c>
      <c r="D4610" s="1347" t="s">
        <v>1109</v>
      </c>
      <c r="E4610" s="1347" t="s">
        <v>5976</v>
      </c>
    </row>
    <row r="4611" spans="1:5" x14ac:dyDescent="0.45">
      <c r="B4611" s="1347" t="s">
        <v>5977</v>
      </c>
      <c r="D4611" s="1347" t="s">
        <v>5978</v>
      </c>
      <c r="E4611" s="1347" t="s">
        <v>5979</v>
      </c>
    </row>
    <row r="4612" spans="1:5" x14ac:dyDescent="0.45">
      <c r="A4612" s="1347">
        <v>1</v>
      </c>
      <c r="B4612" s="1347" t="s">
        <v>5980</v>
      </c>
      <c r="D4612" s="1347" t="s">
        <v>5981</v>
      </c>
      <c r="E4612" s="1347" t="s">
        <v>5982</v>
      </c>
    </row>
    <row r="4613" spans="1:5" x14ac:dyDescent="0.45">
      <c r="B4613" s="1347" t="s">
        <v>1108</v>
      </c>
      <c r="D4613" s="1347" t="s">
        <v>1109</v>
      </c>
      <c r="E4613" s="1347" t="s">
        <v>1110</v>
      </c>
    </row>
    <row r="4614" spans="1:5" x14ac:dyDescent="0.45">
      <c r="B4614" s="1347" t="s">
        <v>1108</v>
      </c>
      <c r="D4614" s="1347" t="s">
        <v>5983</v>
      </c>
      <c r="E4614" s="1347" t="s">
        <v>1110</v>
      </c>
    </row>
    <row r="4615" spans="1:5" x14ac:dyDescent="0.45">
      <c r="A4615" s="1347">
        <v>1</v>
      </c>
      <c r="B4615" s="1347" t="s">
        <v>5984</v>
      </c>
      <c r="D4615" s="1347" t="s">
        <v>5985</v>
      </c>
      <c r="E4615" s="1347" t="s">
        <v>5986</v>
      </c>
    </row>
    <row r="4616" spans="1:5" x14ac:dyDescent="0.45">
      <c r="B4616" s="1347" t="s">
        <v>1108</v>
      </c>
      <c r="D4616" s="1347" t="s">
        <v>5987</v>
      </c>
      <c r="E4616" s="1347" t="s">
        <v>5988</v>
      </c>
    </row>
    <row r="4617" spans="1:5" x14ac:dyDescent="0.45">
      <c r="B4617" s="1347" t="s">
        <v>1108</v>
      </c>
      <c r="D4617" s="1347" t="s">
        <v>5989</v>
      </c>
      <c r="E4617" s="1347" t="s">
        <v>5990</v>
      </c>
    </row>
    <row r="4618" spans="1:5" x14ac:dyDescent="0.45">
      <c r="B4618" s="1347" t="s">
        <v>5991</v>
      </c>
      <c r="D4618" s="1347" t="s">
        <v>5992</v>
      </c>
      <c r="E4618" s="1347" t="s">
        <v>5993</v>
      </c>
    </row>
    <row r="4619" spans="1:5" x14ac:dyDescent="0.45">
      <c r="B4619" s="1347" t="s">
        <v>5994</v>
      </c>
      <c r="D4619" s="1347" t="s">
        <v>5995</v>
      </c>
      <c r="E4619" s="1347" t="s">
        <v>5996</v>
      </c>
    </row>
    <row r="4620" spans="1:5" x14ac:dyDescent="0.45">
      <c r="B4620" s="1347" t="s">
        <v>1108</v>
      </c>
      <c r="D4620" s="1347" t="s">
        <v>5997</v>
      </c>
      <c r="E4620" s="1347" t="s">
        <v>1110</v>
      </c>
    </row>
    <row r="4621" spans="1:5" x14ac:dyDescent="0.45">
      <c r="B4621" s="1347" t="s">
        <v>4414</v>
      </c>
      <c r="D4621" s="1347" t="s">
        <v>5998</v>
      </c>
      <c r="E4621" s="1347" t="s">
        <v>5999</v>
      </c>
    </row>
    <row r="4622" spans="1:5" x14ac:dyDescent="0.45">
      <c r="B4622" s="1347" t="s">
        <v>1108</v>
      </c>
      <c r="D4622" s="1347" t="s">
        <v>6000</v>
      </c>
      <c r="E4622" s="1347" t="s">
        <v>6001</v>
      </c>
    </row>
    <row r="4623" spans="1:5" x14ac:dyDescent="0.45">
      <c r="B4623" s="1347" t="s">
        <v>6002</v>
      </c>
      <c r="D4623" s="1347" t="s">
        <v>6003</v>
      </c>
      <c r="E4623" s="1347" t="s">
        <v>6004</v>
      </c>
    </row>
    <row r="4624" spans="1:5" x14ac:dyDescent="0.45">
      <c r="B4624" s="1347" t="s">
        <v>1108</v>
      </c>
      <c r="D4624" s="1347" t="s">
        <v>6005</v>
      </c>
      <c r="E4624" s="1347" t="s">
        <v>6006</v>
      </c>
    </row>
    <row r="4625" spans="1:5" x14ac:dyDescent="0.45">
      <c r="A4625" s="1347">
        <v>1</v>
      </c>
      <c r="B4625" s="1347" t="s">
        <v>6007</v>
      </c>
      <c r="D4625" s="1347" t="s">
        <v>6008</v>
      </c>
      <c r="E4625" s="1347" t="s">
        <v>6009</v>
      </c>
    </row>
    <row r="4626" spans="1:5" x14ac:dyDescent="0.45">
      <c r="B4626" s="1347" t="s">
        <v>6010</v>
      </c>
      <c r="C4626" s="1347" t="s">
        <v>1105</v>
      </c>
      <c r="D4626" s="1347" t="s">
        <v>6011</v>
      </c>
      <c r="E4626" s="1347" t="s">
        <v>6012</v>
      </c>
    </row>
    <row r="4627" spans="1:5" x14ac:dyDescent="0.45">
      <c r="B4627" s="1347" t="s">
        <v>6013</v>
      </c>
      <c r="D4627" s="1347" t="s">
        <v>6014</v>
      </c>
      <c r="E4627" s="1347" t="s">
        <v>6015</v>
      </c>
    </row>
    <row r="4628" spans="1:5" x14ac:dyDescent="0.45">
      <c r="B4628" s="1347" t="s">
        <v>6016</v>
      </c>
      <c r="D4628" s="1347" t="s">
        <v>6017</v>
      </c>
      <c r="E4628" s="1347" t="s">
        <v>6018</v>
      </c>
    </row>
    <row r="4629" spans="1:5" x14ac:dyDescent="0.45">
      <c r="A4629" s="1347" t="s">
        <v>1105</v>
      </c>
      <c r="B4629" s="1347" t="s">
        <v>6019</v>
      </c>
      <c r="D4629" s="1347" t="s">
        <v>6020</v>
      </c>
      <c r="E4629" s="1347" t="s">
        <v>6021</v>
      </c>
    </row>
    <row r="4630" spans="1:5" x14ac:dyDescent="0.45">
      <c r="B4630" s="1347" t="s">
        <v>1108</v>
      </c>
      <c r="D4630" s="1347" t="s">
        <v>6022</v>
      </c>
      <c r="E4630" s="1347" t="s">
        <v>6023</v>
      </c>
    </row>
    <row r="4631" spans="1:5" x14ac:dyDescent="0.45">
      <c r="B4631" s="1347" t="s">
        <v>1108</v>
      </c>
      <c r="C4631" s="1347" t="s">
        <v>1105</v>
      </c>
      <c r="D4631" s="1347" t="s">
        <v>6024</v>
      </c>
      <c r="E4631" s="1347" t="s">
        <v>6025</v>
      </c>
    </row>
    <row r="4632" spans="1:5" x14ac:dyDescent="0.45">
      <c r="A4632" s="1347">
        <v>-9</v>
      </c>
      <c r="B4632" s="1347" t="s">
        <v>6026</v>
      </c>
      <c r="D4632" s="1347" t="s">
        <v>6027</v>
      </c>
      <c r="E4632" s="1347" t="s">
        <v>6028</v>
      </c>
    </row>
    <row r="4633" spans="1:5" x14ac:dyDescent="0.45">
      <c r="A4633" s="1347">
        <v>-3</v>
      </c>
      <c r="B4633" s="1347" t="s">
        <v>6029</v>
      </c>
      <c r="D4633" s="1347" t="s">
        <v>6030</v>
      </c>
      <c r="E4633" s="1347" t="s">
        <v>6031</v>
      </c>
    </row>
    <row r="4634" spans="1:5" x14ac:dyDescent="0.45">
      <c r="B4634" s="1347" t="s">
        <v>1108</v>
      </c>
      <c r="D4634" s="1347" t="s">
        <v>1109</v>
      </c>
      <c r="E4634" s="1347" t="s">
        <v>6032</v>
      </c>
    </row>
    <row r="4635" spans="1:5" x14ac:dyDescent="0.45">
      <c r="A4635" s="1347" t="s">
        <v>1105</v>
      </c>
      <c r="B4635" s="1347" t="s">
        <v>6033</v>
      </c>
      <c r="D4635" s="1347" t="s">
        <v>6034</v>
      </c>
      <c r="E4635" s="1347" t="s">
        <v>6035</v>
      </c>
    </row>
    <row r="4636" spans="1:5" x14ac:dyDescent="0.45">
      <c r="A4636" s="1347">
        <v>-1</v>
      </c>
      <c r="B4636" s="1347" t="s">
        <v>6036</v>
      </c>
      <c r="C4636" s="1347" t="s">
        <v>1105</v>
      </c>
      <c r="D4636" s="1347" t="s">
        <v>6037</v>
      </c>
      <c r="E4636" s="1347" t="s">
        <v>6038</v>
      </c>
    </row>
    <row r="4637" spans="1:5" x14ac:dyDescent="0.45">
      <c r="B4637" s="1347" t="s">
        <v>6039</v>
      </c>
      <c r="D4637" s="1347" t="s">
        <v>6040</v>
      </c>
      <c r="E4637" s="1347" t="s">
        <v>1402</v>
      </c>
    </row>
    <row r="4638" spans="1:5" x14ac:dyDescent="0.45">
      <c r="A4638" s="1347" t="s">
        <v>1105</v>
      </c>
      <c r="B4638" s="1347" t="s">
        <v>6041</v>
      </c>
      <c r="D4638" s="1347" t="s">
        <v>6042</v>
      </c>
      <c r="E4638" s="1347" t="s">
        <v>6043</v>
      </c>
    </row>
    <row r="4639" spans="1:5" x14ac:dyDescent="0.45">
      <c r="B4639" s="1347" t="s">
        <v>6044</v>
      </c>
      <c r="D4639" s="1347" t="s">
        <v>1109</v>
      </c>
      <c r="E4639" s="1347" t="s">
        <v>6045</v>
      </c>
    </row>
    <row r="4640" spans="1:5" x14ac:dyDescent="0.45">
      <c r="A4640" s="1347" t="s">
        <v>1105</v>
      </c>
      <c r="B4640" s="1347" t="s">
        <v>6046</v>
      </c>
      <c r="D4640" s="1347" t="s">
        <v>6047</v>
      </c>
      <c r="E4640" s="1347" t="s">
        <v>6048</v>
      </c>
    </row>
    <row r="4641" spans="1:5" x14ac:dyDescent="0.45">
      <c r="A4641" s="1347">
        <v>-1</v>
      </c>
      <c r="B4641" s="1347" t="s">
        <v>1926</v>
      </c>
      <c r="D4641" s="1347" t="s">
        <v>6049</v>
      </c>
      <c r="E4641" s="1347" t="s">
        <v>6050</v>
      </c>
    </row>
    <row r="4642" spans="1:5" x14ac:dyDescent="0.45">
      <c r="B4642" s="1347" t="s">
        <v>1108</v>
      </c>
      <c r="D4642" s="1347" t="s">
        <v>1109</v>
      </c>
      <c r="E4642" s="1347" t="s">
        <v>1110</v>
      </c>
    </row>
    <row r="4643" spans="1:5" x14ac:dyDescent="0.45">
      <c r="B4643" s="1347" t="s">
        <v>1108</v>
      </c>
      <c r="D4643" s="1347" t="s">
        <v>6051</v>
      </c>
      <c r="E4643" s="1347" t="s">
        <v>1110</v>
      </c>
    </row>
    <row r="4644" spans="1:5" x14ac:dyDescent="0.45">
      <c r="A4644" s="1347">
        <v>1</v>
      </c>
      <c r="B4644" s="1347" t="s">
        <v>6052</v>
      </c>
      <c r="D4644" s="1347" t="s">
        <v>6053</v>
      </c>
      <c r="E4644" s="1347" t="s">
        <v>6054</v>
      </c>
    </row>
    <row r="4645" spans="1:5" x14ac:dyDescent="0.45">
      <c r="B4645" s="1347" t="s">
        <v>6055</v>
      </c>
      <c r="D4645" s="1347" t="s">
        <v>6056</v>
      </c>
      <c r="E4645" s="1347" t="s">
        <v>6057</v>
      </c>
    </row>
    <row r="4646" spans="1:5" x14ac:dyDescent="0.45">
      <c r="B4646" s="1347" t="s">
        <v>1108</v>
      </c>
      <c r="D4646" s="1347" t="s">
        <v>6058</v>
      </c>
      <c r="E4646" s="1347" t="s">
        <v>6059</v>
      </c>
    </row>
    <row r="4647" spans="1:5" x14ac:dyDescent="0.45">
      <c r="A4647" s="1347">
        <v>8</v>
      </c>
      <c r="B4647" s="1347" t="s">
        <v>5131</v>
      </c>
      <c r="C4647" s="1347">
        <v>1</v>
      </c>
      <c r="D4647" s="1347" t="s">
        <v>6060</v>
      </c>
      <c r="E4647" s="1347" t="s">
        <v>6061</v>
      </c>
    </row>
    <row r="4648" spans="1:5" x14ac:dyDescent="0.45">
      <c r="B4648" s="1347" t="s">
        <v>6062</v>
      </c>
      <c r="D4648" s="1347" t="s">
        <v>6063</v>
      </c>
      <c r="E4648" s="1347" t="s">
        <v>6064</v>
      </c>
    </row>
    <row r="4649" spans="1:5" x14ac:dyDescent="0.45">
      <c r="B4649" s="1347" t="s">
        <v>1108</v>
      </c>
      <c r="D4649" s="1347" t="s">
        <v>6065</v>
      </c>
      <c r="E4649" s="1347" t="s">
        <v>1220</v>
      </c>
    </row>
    <row r="4650" spans="1:5" x14ac:dyDescent="0.45">
      <c r="B4650" s="1347" t="s">
        <v>2434</v>
      </c>
      <c r="D4650" s="1347" t="s">
        <v>6066</v>
      </c>
      <c r="E4650" s="1347" t="s">
        <v>6067</v>
      </c>
    </row>
    <row r="4651" spans="1:5" x14ac:dyDescent="0.45">
      <c r="A4651" s="1347">
        <v>-2</v>
      </c>
      <c r="B4651" s="1347" t="s">
        <v>6068</v>
      </c>
      <c r="D4651" s="1347" t="s">
        <v>6069</v>
      </c>
      <c r="E4651" s="1347" t="s">
        <v>6070</v>
      </c>
    </row>
    <row r="4652" spans="1:5" x14ac:dyDescent="0.45">
      <c r="B4652" s="1347">
        <f>-32    -19</f>
        <v>-51</v>
      </c>
      <c r="D4652" s="1347" t="s">
        <v>6071</v>
      </c>
      <c r="E4652" s="1347" t="s">
        <v>6072</v>
      </c>
    </row>
    <row r="4653" spans="1:5" x14ac:dyDescent="0.45">
      <c r="B4653" s="1347" t="s">
        <v>1108</v>
      </c>
      <c r="D4653" s="1347" t="s">
        <v>6073</v>
      </c>
      <c r="E4653" s="1347" t="s">
        <v>6074</v>
      </c>
    </row>
    <row r="4654" spans="1:5" x14ac:dyDescent="0.45">
      <c r="B4654" s="1347" t="s">
        <v>6075</v>
      </c>
      <c r="D4654" s="1347" t="s">
        <v>6076</v>
      </c>
      <c r="E4654" s="1347" t="s">
        <v>6077</v>
      </c>
    </row>
    <row r="4655" spans="1:5" x14ac:dyDescent="0.45">
      <c r="B4655" s="1347" t="s">
        <v>6078</v>
      </c>
      <c r="D4655" s="1347" t="s">
        <v>6079</v>
      </c>
      <c r="E4655" s="1347" t="s">
        <v>6080</v>
      </c>
    </row>
    <row r="4656" spans="1:5" x14ac:dyDescent="0.45">
      <c r="A4656" s="1347">
        <v>1</v>
      </c>
      <c r="B4656" s="1347" t="s">
        <v>6081</v>
      </c>
      <c r="C4656" s="1347" t="s">
        <v>1105</v>
      </c>
      <c r="D4656" s="1347" t="s">
        <v>6082</v>
      </c>
      <c r="E4656" s="1347" t="s">
        <v>6083</v>
      </c>
    </row>
    <row r="4657" spans="1:5" x14ac:dyDescent="0.45">
      <c r="B4657" s="1347" t="s">
        <v>6084</v>
      </c>
      <c r="C4657" s="1347" t="s">
        <v>1105</v>
      </c>
      <c r="D4657" s="1347" t="s">
        <v>6085</v>
      </c>
      <c r="E4657" s="1347" t="s">
        <v>6086</v>
      </c>
    </row>
    <row r="4658" spans="1:5" x14ac:dyDescent="0.45">
      <c r="B4658" s="1347" t="s">
        <v>6087</v>
      </c>
      <c r="D4658" s="1347" t="s">
        <v>6088</v>
      </c>
      <c r="E4658" s="1347" t="s">
        <v>6089</v>
      </c>
    </row>
    <row r="4659" spans="1:5" x14ac:dyDescent="0.45">
      <c r="A4659" s="1347" t="s">
        <v>1105</v>
      </c>
      <c r="B4659" s="1347" t="s">
        <v>6090</v>
      </c>
      <c r="D4659" s="1347" t="s">
        <v>6091</v>
      </c>
      <c r="E4659" s="1347" t="s">
        <v>6092</v>
      </c>
    </row>
    <row r="4660" spans="1:5" x14ac:dyDescent="0.45">
      <c r="B4660" s="1347" t="s">
        <v>1108</v>
      </c>
      <c r="D4660" s="1347" t="s">
        <v>6093</v>
      </c>
      <c r="E4660" s="1347" t="s">
        <v>6094</v>
      </c>
    </row>
    <row r="4661" spans="1:5" x14ac:dyDescent="0.45">
      <c r="A4661" s="1347">
        <v>2</v>
      </c>
      <c r="B4661" s="1347" t="s">
        <v>6095</v>
      </c>
      <c r="D4661" s="1347" t="s">
        <v>6096</v>
      </c>
      <c r="E4661" s="1347" t="s">
        <v>6097</v>
      </c>
    </row>
    <row r="4662" spans="1:5" x14ac:dyDescent="0.45">
      <c r="B4662" s="1347" t="s">
        <v>6098</v>
      </c>
      <c r="D4662" s="1347" t="s">
        <v>6099</v>
      </c>
      <c r="E4662" s="1347" t="s">
        <v>6100</v>
      </c>
    </row>
    <row r="4663" spans="1:5" x14ac:dyDescent="0.45">
      <c r="B4663" s="1347" t="s">
        <v>1108</v>
      </c>
      <c r="D4663" s="1347" t="s">
        <v>1109</v>
      </c>
      <c r="E4663" s="1347" t="s">
        <v>6101</v>
      </c>
    </row>
    <row r="4664" spans="1:5" x14ac:dyDescent="0.45">
      <c r="A4664" s="1347" t="s">
        <v>1105</v>
      </c>
      <c r="B4664" s="1347" t="s">
        <v>6102</v>
      </c>
      <c r="D4664" s="1347" t="s">
        <v>6103</v>
      </c>
      <c r="E4664" s="1347" t="s">
        <v>1110</v>
      </c>
    </row>
    <row r="4665" spans="1:5" x14ac:dyDescent="0.45">
      <c r="B4665" s="1347" t="s">
        <v>6104</v>
      </c>
      <c r="D4665" s="1347">
        <f>-728   -533   -345  -111</f>
        <v>-1717</v>
      </c>
      <c r="E4665" s="1347" t="s">
        <v>1220</v>
      </c>
    </row>
    <row r="4666" spans="1:5" x14ac:dyDescent="0.45">
      <c r="B4666" s="1347" t="s">
        <v>3446</v>
      </c>
      <c r="D4666" s="1347" t="s">
        <v>6105</v>
      </c>
      <c r="E4666" s="1347" t="s">
        <v>6106</v>
      </c>
    </row>
    <row r="4667" spans="1:5" x14ac:dyDescent="0.45">
      <c r="B4667" s="1347" t="s">
        <v>6107</v>
      </c>
      <c r="D4667" s="1347" t="s">
        <v>6108</v>
      </c>
      <c r="E4667" s="1347" t="s">
        <v>6109</v>
      </c>
    </row>
    <row r="4668" spans="1:5" x14ac:dyDescent="0.45">
      <c r="A4668" s="1347">
        <v>-1</v>
      </c>
      <c r="B4668" s="1347" t="s">
        <v>6110</v>
      </c>
      <c r="D4668" s="1347" t="s">
        <v>6111</v>
      </c>
      <c r="E4668" s="1347" t="s">
        <v>1110</v>
      </c>
    </row>
    <row r="4669" spans="1:5" x14ac:dyDescent="0.45">
      <c r="B4669" s="1347" t="s">
        <v>6112</v>
      </c>
      <c r="D4669" s="1347" t="s">
        <v>6113</v>
      </c>
      <c r="E4669" s="1347" t="s">
        <v>6114</v>
      </c>
    </row>
    <row r="4670" spans="1:5" x14ac:dyDescent="0.45">
      <c r="A4670" s="1347">
        <v>-1</v>
      </c>
      <c r="B4670" s="1347" t="s">
        <v>6115</v>
      </c>
      <c r="D4670" s="1347" t="s">
        <v>1109</v>
      </c>
      <c r="E4670" s="1347" t="s">
        <v>6116</v>
      </c>
    </row>
    <row r="4671" spans="1:5" x14ac:dyDescent="0.45">
      <c r="B4671" s="1347" t="s">
        <v>1108</v>
      </c>
      <c r="D4671" s="1347" t="s">
        <v>1109</v>
      </c>
      <c r="E4671" s="1347" t="s">
        <v>1110</v>
      </c>
    </row>
    <row r="4672" spans="1:5" x14ac:dyDescent="0.45">
      <c r="B4672" s="1347" t="s">
        <v>1108</v>
      </c>
      <c r="D4672" s="1347" t="s">
        <v>6117</v>
      </c>
      <c r="E4672" s="1347" t="s">
        <v>1350</v>
      </c>
    </row>
    <row r="4673" spans="1:5" x14ac:dyDescent="0.45">
      <c r="B4673" s="1347" t="s">
        <v>6118</v>
      </c>
      <c r="C4673" s="1347" t="s">
        <v>1105</v>
      </c>
      <c r="D4673" s="1347" t="s">
        <v>6119</v>
      </c>
      <c r="E4673" s="1347" t="s">
        <v>6120</v>
      </c>
    </row>
    <row r="4674" spans="1:5" x14ac:dyDescent="0.45">
      <c r="A4674" s="1347">
        <v>1</v>
      </c>
      <c r="B4674" s="1347" t="s">
        <v>6121</v>
      </c>
      <c r="D4674" s="1347" t="s">
        <v>6122</v>
      </c>
      <c r="E4674" s="1347" t="s">
        <v>6123</v>
      </c>
    </row>
    <row r="4675" spans="1:5" x14ac:dyDescent="0.45">
      <c r="A4675" s="1347">
        <v>1</v>
      </c>
      <c r="B4675" s="1347" t="s">
        <v>6124</v>
      </c>
      <c r="D4675" s="1347" t="s">
        <v>1109</v>
      </c>
      <c r="E4675" s="1347" t="s">
        <v>6125</v>
      </c>
    </row>
    <row r="4676" spans="1:5" x14ac:dyDescent="0.45">
      <c r="B4676" s="1347" t="s">
        <v>6126</v>
      </c>
      <c r="D4676" s="1347" t="s">
        <v>6127</v>
      </c>
      <c r="E4676" s="1347" t="s">
        <v>6128</v>
      </c>
    </row>
    <row r="4677" spans="1:5" x14ac:dyDescent="0.45">
      <c r="B4677" s="1347" t="s">
        <v>6129</v>
      </c>
      <c r="D4677" s="1347" t="s">
        <v>6130</v>
      </c>
      <c r="E4677" s="1347" t="s">
        <v>1958</v>
      </c>
    </row>
    <row r="4678" spans="1:5" x14ac:dyDescent="0.45">
      <c r="B4678" s="1347" t="s">
        <v>6131</v>
      </c>
      <c r="D4678" s="1347" t="s">
        <v>6132</v>
      </c>
      <c r="E4678" s="1347" t="s">
        <v>6133</v>
      </c>
    </row>
    <row r="4679" spans="1:5" x14ac:dyDescent="0.45">
      <c r="B4679" s="1347" t="s">
        <v>1108</v>
      </c>
      <c r="D4679" s="1347" t="s">
        <v>6134</v>
      </c>
      <c r="E4679" s="1347" t="s">
        <v>6135</v>
      </c>
    </row>
    <row r="4680" spans="1:5" x14ac:dyDescent="0.45">
      <c r="A4680" s="1347">
        <v>-1</v>
      </c>
      <c r="B4680" s="1347" t="s">
        <v>6136</v>
      </c>
      <c r="D4680" s="1347" t="s">
        <v>6137</v>
      </c>
      <c r="E4680" s="1347" t="s">
        <v>6138</v>
      </c>
    </row>
    <row r="4681" spans="1:5" x14ac:dyDescent="0.45">
      <c r="B4681" s="1347" t="s">
        <v>1108</v>
      </c>
      <c r="D4681" s="1347" t="s">
        <v>6139</v>
      </c>
      <c r="E4681" s="1347" t="s">
        <v>6140</v>
      </c>
    </row>
    <row r="4682" spans="1:5" x14ac:dyDescent="0.45">
      <c r="B4682" s="1347" t="s">
        <v>6141</v>
      </c>
      <c r="D4682" s="1347" t="s">
        <v>1109</v>
      </c>
      <c r="E4682" s="1347" t="s">
        <v>6142</v>
      </c>
    </row>
    <row r="4683" spans="1:5" x14ac:dyDescent="0.45">
      <c r="A4683" s="1347">
        <v>1</v>
      </c>
      <c r="B4683" s="1347" t="s">
        <v>6143</v>
      </c>
      <c r="D4683" s="1347" t="s">
        <v>6144</v>
      </c>
      <c r="E4683" s="1347" t="s">
        <v>6145</v>
      </c>
    </row>
    <row r="4684" spans="1:5" x14ac:dyDescent="0.45">
      <c r="A4684" s="1347">
        <v>1</v>
      </c>
      <c r="B4684" s="1347" t="s">
        <v>6146</v>
      </c>
      <c r="D4684" s="1347" t="s">
        <v>6147</v>
      </c>
      <c r="E4684" s="1347" t="s">
        <v>6148</v>
      </c>
    </row>
    <row r="4685" spans="1:5" x14ac:dyDescent="0.45">
      <c r="B4685" s="1347" t="s">
        <v>6149</v>
      </c>
      <c r="D4685" s="1347" t="s">
        <v>6150</v>
      </c>
      <c r="E4685" s="1347" t="s">
        <v>1113</v>
      </c>
    </row>
    <row r="4686" spans="1:5" x14ac:dyDescent="0.45">
      <c r="B4686" s="1347" t="s">
        <v>6151</v>
      </c>
      <c r="D4686" s="1347" t="s">
        <v>6152</v>
      </c>
      <c r="E4686" s="1347" t="s">
        <v>6153</v>
      </c>
    </row>
    <row r="4687" spans="1:5" x14ac:dyDescent="0.45">
      <c r="A4687" s="1347">
        <v>1</v>
      </c>
      <c r="B4687" s="1347" t="s">
        <v>6154</v>
      </c>
      <c r="D4687" s="1347" t="s">
        <v>6155</v>
      </c>
      <c r="E4687" s="1347" t="s">
        <v>6156</v>
      </c>
    </row>
    <row r="4688" spans="1:5" x14ac:dyDescent="0.45">
      <c r="A4688" s="1347" t="s">
        <v>1105</v>
      </c>
      <c r="B4688" s="1347" t="s">
        <v>6157</v>
      </c>
      <c r="D4688" s="1347" t="s">
        <v>6158</v>
      </c>
      <c r="E4688" s="1347" t="s">
        <v>6159</v>
      </c>
    </row>
    <row r="4689" spans="1:5" x14ac:dyDescent="0.45">
      <c r="B4689" s="1347" t="s">
        <v>1108</v>
      </c>
      <c r="D4689" s="1347" t="s">
        <v>6160</v>
      </c>
      <c r="E4689" s="1347" t="s">
        <v>6161</v>
      </c>
    </row>
    <row r="4690" spans="1:5" x14ac:dyDescent="0.45">
      <c r="B4690" s="1347" t="s">
        <v>6162</v>
      </c>
      <c r="C4690" s="1347" t="s">
        <v>1105</v>
      </c>
      <c r="D4690" s="1347" t="s">
        <v>6163</v>
      </c>
      <c r="E4690" s="1347" t="s">
        <v>6164</v>
      </c>
    </row>
    <row r="4691" spans="1:5" x14ac:dyDescent="0.45">
      <c r="B4691" s="1347" t="s">
        <v>6165</v>
      </c>
      <c r="D4691" s="1347" t="s">
        <v>6166</v>
      </c>
      <c r="E4691" s="1347" t="s">
        <v>6167</v>
      </c>
    </row>
    <row r="4692" spans="1:5" x14ac:dyDescent="0.45">
      <c r="B4692" s="1347" t="s">
        <v>6168</v>
      </c>
      <c r="D4692" s="1347" t="s">
        <v>1109</v>
      </c>
      <c r="E4692" s="1347" t="s">
        <v>6169</v>
      </c>
    </row>
    <row r="4693" spans="1:5" x14ac:dyDescent="0.45">
      <c r="B4693" s="1347" t="s">
        <v>6170</v>
      </c>
      <c r="D4693" s="1347" t="s">
        <v>6171</v>
      </c>
      <c r="E4693" s="1347" t="s">
        <v>6172</v>
      </c>
    </row>
    <row r="4694" spans="1:5" x14ac:dyDescent="0.45">
      <c r="B4694" s="1347" t="s">
        <v>1108</v>
      </c>
      <c r="D4694" s="1347" t="s">
        <v>6173</v>
      </c>
      <c r="E4694" s="1347" t="s">
        <v>6174</v>
      </c>
    </row>
    <row r="4695" spans="1:5" x14ac:dyDescent="0.45">
      <c r="B4695" s="1347" t="s">
        <v>1108</v>
      </c>
      <c r="D4695" s="1347" t="s">
        <v>6175</v>
      </c>
      <c r="E4695" s="1347" t="s">
        <v>6176</v>
      </c>
    </row>
    <row r="4696" spans="1:5" x14ac:dyDescent="0.45">
      <c r="B4696" s="1347" t="s">
        <v>1108</v>
      </c>
      <c r="D4696" s="1347" t="s">
        <v>6177</v>
      </c>
      <c r="E4696" s="1347" t="s">
        <v>6178</v>
      </c>
    </row>
    <row r="4697" spans="1:5" x14ac:dyDescent="0.45">
      <c r="A4697" s="1347" t="s">
        <v>1105</v>
      </c>
      <c r="B4697" s="1347" t="s">
        <v>6179</v>
      </c>
      <c r="D4697" s="1347" t="s">
        <v>6180</v>
      </c>
      <c r="E4697" s="1347" t="s">
        <v>1110</v>
      </c>
    </row>
    <row r="4698" spans="1:5" x14ac:dyDescent="0.45">
      <c r="B4698" s="1347" t="s">
        <v>1108</v>
      </c>
      <c r="D4698" s="1347" t="s">
        <v>6181</v>
      </c>
      <c r="E4698" s="1347" t="s">
        <v>6182</v>
      </c>
    </row>
    <row r="4699" spans="1:5" x14ac:dyDescent="0.45">
      <c r="A4699" s="1347">
        <v>1</v>
      </c>
      <c r="B4699" s="1347" t="s">
        <v>6183</v>
      </c>
      <c r="D4699" s="1347" t="s">
        <v>6184</v>
      </c>
      <c r="E4699" s="1347" t="s">
        <v>6185</v>
      </c>
    </row>
    <row r="4700" spans="1:5" x14ac:dyDescent="0.45">
      <c r="B4700" s="1347" t="s">
        <v>6186</v>
      </c>
      <c r="D4700" s="1347" t="s">
        <v>1109</v>
      </c>
      <c r="E4700" s="1347" t="s">
        <v>1110</v>
      </c>
    </row>
    <row r="4701" spans="1:5" x14ac:dyDescent="0.45">
      <c r="B4701" s="1347" t="s">
        <v>1108</v>
      </c>
      <c r="D4701" s="1347" t="s">
        <v>1109</v>
      </c>
      <c r="E4701" s="1347" t="s">
        <v>6187</v>
      </c>
    </row>
    <row r="4702" spans="1:5" x14ac:dyDescent="0.45">
      <c r="B4702" s="1347" t="s">
        <v>1108</v>
      </c>
      <c r="D4702" s="1347" t="s">
        <v>6188</v>
      </c>
      <c r="E4702" s="1347" t="s">
        <v>6189</v>
      </c>
    </row>
    <row r="4703" spans="1:5" x14ac:dyDescent="0.45">
      <c r="A4703" s="1347">
        <v>-64</v>
      </c>
      <c r="B4703" s="1347" t="s">
        <v>6190</v>
      </c>
      <c r="D4703" s="1347" t="s">
        <v>6191</v>
      </c>
      <c r="E4703" s="1347" t="s">
        <v>6192</v>
      </c>
    </row>
    <row r="4704" spans="1:5" x14ac:dyDescent="0.45">
      <c r="B4704" s="1347" t="s">
        <v>1108</v>
      </c>
      <c r="D4704" s="1347" t="s">
        <v>6193</v>
      </c>
      <c r="E4704" s="1347" t="s">
        <v>1110</v>
      </c>
    </row>
    <row r="4705" spans="1:5" x14ac:dyDescent="0.45">
      <c r="A4705" s="1347" t="s">
        <v>1105</v>
      </c>
      <c r="B4705" s="1347" t="s">
        <v>6194</v>
      </c>
      <c r="D4705" s="1347" t="s">
        <v>6195</v>
      </c>
      <c r="E4705" s="1347" t="s">
        <v>6196</v>
      </c>
    </row>
    <row r="4706" spans="1:5" x14ac:dyDescent="0.45">
      <c r="B4706" s="1347" t="s">
        <v>6197</v>
      </c>
      <c r="D4706" s="1347" t="s">
        <v>6198</v>
      </c>
      <c r="E4706" s="1347" t="s">
        <v>6199</v>
      </c>
    </row>
    <row r="4707" spans="1:5" x14ac:dyDescent="0.45">
      <c r="B4707" s="1347" t="s">
        <v>1108</v>
      </c>
      <c r="D4707" s="1347" t="s">
        <v>5894</v>
      </c>
      <c r="E4707" s="1347" t="s">
        <v>6200</v>
      </c>
    </row>
    <row r="4708" spans="1:5" x14ac:dyDescent="0.45">
      <c r="A4708" s="1347">
        <v>-3</v>
      </c>
      <c r="B4708" s="1347" t="s">
        <v>6201</v>
      </c>
      <c r="D4708" s="1347" t="s">
        <v>1109</v>
      </c>
      <c r="E4708" s="1347" t="s">
        <v>6202</v>
      </c>
    </row>
    <row r="4709" spans="1:5" x14ac:dyDescent="0.45">
      <c r="B4709" s="1347" t="s">
        <v>1108</v>
      </c>
      <c r="C4709" s="1347" t="s">
        <v>1105</v>
      </c>
      <c r="D4709" s="1347" t="s">
        <v>6203</v>
      </c>
      <c r="E4709" s="1347" t="s">
        <v>1113</v>
      </c>
    </row>
    <row r="4710" spans="1:5" x14ac:dyDescent="0.45">
      <c r="A4710" s="1347">
        <v>-7</v>
      </c>
      <c r="B4710" s="1347" t="s">
        <v>6204</v>
      </c>
      <c r="D4710" s="1347" t="s">
        <v>6205</v>
      </c>
      <c r="E4710" s="1347" t="s">
        <v>6206</v>
      </c>
    </row>
    <row r="4711" spans="1:5" x14ac:dyDescent="0.45">
      <c r="B4711" s="1347">
        <f>-57   -567</f>
        <v>-624</v>
      </c>
      <c r="C4711" s="1347" t="s">
        <v>1105</v>
      </c>
      <c r="D4711" s="1347" t="s">
        <v>6207</v>
      </c>
      <c r="E4711" s="1347" t="s">
        <v>1110</v>
      </c>
    </row>
    <row r="4712" spans="1:5" x14ac:dyDescent="0.45">
      <c r="A4712" s="1347">
        <v>1</v>
      </c>
      <c r="B4712" s="1347" t="s">
        <v>6208</v>
      </c>
      <c r="D4712" s="1347" t="s">
        <v>6209</v>
      </c>
      <c r="E4712" s="1347" t="s">
        <v>6210</v>
      </c>
    </row>
    <row r="4713" spans="1:5" x14ac:dyDescent="0.45">
      <c r="B4713" s="1347" t="s">
        <v>6211</v>
      </c>
      <c r="D4713" s="1347" t="s">
        <v>6212</v>
      </c>
      <c r="E4713" s="1347" t="s">
        <v>6213</v>
      </c>
    </row>
    <row r="4714" spans="1:5" x14ac:dyDescent="0.45">
      <c r="B4714" s="1347" t="s">
        <v>1108</v>
      </c>
      <c r="D4714" s="1347" t="s">
        <v>6214</v>
      </c>
      <c r="E4714" s="1347" t="s">
        <v>6215</v>
      </c>
    </row>
    <row r="4715" spans="1:5" x14ac:dyDescent="0.45">
      <c r="B4715" s="1347" t="s">
        <v>1108</v>
      </c>
      <c r="D4715" s="1347" t="s">
        <v>1985</v>
      </c>
      <c r="E4715" s="1347" t="s">
        <v>6216</v>
      </c>
    </row>
    <row r="4716" spans="1:5" x14ac:dyDescent="0.45">
      <c r="A4716" s="1347" t="s">
        <v>1105</v>
      </c>
      <c r="B4716" s="1347" t="s">
        <v>6217</v>
      </c>
      <c r="D4716" s="1347" t="s">
        <v>6218</v>
      </c>
      <c r="E4716" s="1347" t="s">
        <v>6219</v>
      </c>
    </row>
    <row r="4717" spans="1:5" x14ac:dyDescent="0.45">
      <c r="B4717" s="1347" t="s">
        <v>1108</v>
      </c>
      <c r="D4717" s="1347" t="s">
        <v>6220</v>
      </c>
      <c r="E4717" s="1347" t="s">
        <v>6221</v>
      </c>
    </row>
    <row r="4718" spans="1:5" x14ac:dyDescent="0.45">
      <c r="B4718" s="1347" t="s">
        <v>6222</v>
      </c>
      <c r="D4718" s="1347" t="s">
        <v>6223</v>
      </c>
      <c r="E4718" s="1347" t="s">
        <v>6224</v>
      </c>
    </row>
    <row r="4719" spans="1:5" x14ac:dyDescent="0.45">
      <c r="A4719" s="1347" t="s">
        <v>1105</v>
      </c>
      <c r="B4719" s="1347" t="s">
        <v>6225</v>
      </c>
      <c r="D4719" s="1347" t="s">
        <v>6226</v>
      </c>
      <c r="E4719" s="1347" t="s">
        <v>6227</v>
      </c>
    </row>
    <row r="4720" spans="1:5" x14ac:dyDescent="0.45">
      <c r="A4720" s="1347">
        <v>1</v>
      </c>
      <c r="B4720" s="1347" t="s">
        <v>6228</v>
      </c>
      <c r="C4720" s="1347" t="s">
        <v>1105</v>
      </c>
      <c r="D4720" s="1347" t="s">
        <v>6229</v>
      </c>
      <c r="E4720" s="1347" t="s">
        <v>6230</v>
      </c>
    </row>
    <row r="4721" spans="1:5" x14ac:dyDescent="0.45">
      <c r="B4721" s="1347" t="s">
        <v>6231</v>
      </c>
      <c r="D4721" s="1347" t="s">
        <v>6232</v>
      </c>
      <c r="E4721" s="1347" t="s">
        <v>1110</v>
      </c>
    </row>
    <row r="4722" spans="1:5" x14ac:dyDescent="0.45">
      <c r="B4722" s="1347" t="s">
        <v>1108</v>
      </c>
      <c r="D4722" s="1347" t="s">
        <v>6233</v>
      </c>
      <c r="E4722" s="1347" t="s">
        <v>6234</v>
      </c>
    </row>
    <row r="4723" spans="1:5" x14ac:dyDescent="0.45">
      <c r="B4723" s="1347" t="s">
        <v>1108</v>
      </c>
      <c r="D4723" s="1347" t="s">
        <v>6235</v>
      </c>
      <c r="E4723" s="1347" t="s">
        <v>6236</v>
      </c>
    </row>
    <row r="4724" spans="1:5" x14ac:dyDescent="0.45">
      <c r="A4724" s="1347" t="s">
        <v>1105</v>
      </c>
      <c r="B4724" s="1347" t="s">
        <v>6237</v>
      </c>
      <c r="D4724" s="1347" t="s">
        <v>2588</v>
      </c>
      <c r="E4724" s="1347" t="s">
        <v>6238</v>
      </c>
    </row>
    <row r="4725" spans="1:5" x14ac:dyDescent="0.45">
      <c r="B4725" s="1347">
        <f>-92    -15</f>
        <v>-107</v>
      </c>
      <c r="D4725" s="1347" t="s">
        <v>1109</v>
      </c>
      <c r="E4725" s="1347" t="s">
        <v>6239</v>
      </c>
    </row>
    <row r="4726" spans="1:5" x14ac:dyDescent="0.45">
      <c r="B4726" s="1347" t="s">
        <v>6240</v>
      </c>
      <c r="D4726" s="1347">
        <f>-312   -567   -668  -155</f>
        <v>-1702</v>
      </c>
      <c r="E4726" s="1347" t="s">
        <v>6241</v>
      </c>
    </row>
    <row r="4727" spans="1:5" x14ac:dyDescent="0.45">
      <c r="B4727" s="1347" t="s">
        <v>1108</v>
      </c>
      <c r="D4727" s="1347" t="s">
        <v>6242</v>
      </c>
      <c r="E4727" s="1347" t="s">
        <v>6243</v>
      </c>
    </row>
    <row r="4728" spans="1:5" x14ac:dyDescent="0.45">
      <c r="B4728" s="1347" t="s">
        <v>6244</v>
      </c>
      <c r="D4728" s="1347" t="s">
        <v>6245</v>
      </c>
      <c r="E4728" s="1347" t="s">
        <v>6246</v>
      </c>
    </row>
    <row r="4729" spans="1:5" x14ac:dyDescent="0.45">
      <c r="B4729" s="1347" t="s">
        <v>6247</v>
      </c>
      <c r="D4729" s="1347" t="s">
        <v>6248</v>
      </c>
      <c r="E4729" s="1347" t="s">
        <v>1110</v>
      </c>
    </row>
    <row r="4730" spans="1:5" x14ac:dyDescent="0.45">
      <c r="B4730" s="1347" t="s">
        <v>1108</v>
      </c>
      <c r="D4730" s="1347" t="s">
        <v>1109</v>
      </c>
      <c r="E4730" s="1347" t="s">
        <v>1110</v>
      </c>
    </row>
    <row r="4731" spans="1:5" x14ac:dyDescent="0.45">
      <c r="B4731" s="1347" t="s">
        <v>6249</v>
      </c>
      <c r="D4731" s="1347" t="s">
        <v>1109</v>
      </c>
      <c r="E4731" s="1347" t="s">
        <v>6250</v>
      </c>
    </row>
    <row r="4732" spans="1:5" x14ac:dyDescent="0.45">
      <c r="B4732" s="1347" t="s">
        <v>6251</v>
      </c>
      <c r="D4732" s="1347" t="s">
        <v>6252</v>
      </c>
      <c r="E4732" s="1347" t="s">
        <v>6253</v>
      </c>
    </row>
    <row r="4733" spans="1:5" x14ac:dyDescent="0.45">
      <c r="B4733" s="1347" t="s">
        <v>1108</v>
      </c>
      <c r="D4733" s="1347" t="s">
        <v>6254</v>
      </c>
      <c r="E4733" s="1347" t="s">
        <v>6255</v>
      </c>
    </row>
    <row r="4734" spans="1:5" x14ac:dyDescent="0.45">
      <c r="B4734" s="1347" t="s">
        <v>1108</v>
      </c>
      <c r="D4734" s="1347" t="s">
        <v>6256</v>
      </c>
      <c r="E4734" s="1347" t="s">
        <v>6257</v>
      </c>
    </row>
    <row r="4735" spans="1:5" x14ac:dyDescent="0.45">
      <c r="B4735" s="1347" t="s">
        <v>6258</v>
      </c>
      <c r="D4735" s="1347" t="s">
        <v>6259</v>
      </c>
      <c r="E4735" s="1347" t="s">
        <v>6260</v>
      </c>
    </row>
    <row r="4736" spans="1:5" x14ac:dyDescent="0.45">
      <c r="B4736" s="1347" t="s">
        <v>5033</v>
      </c>
      <c r="D4736" s="1347" t="s">
        <v>6261</v>
      </c>
      <c r="E4736" s="1347" t="s">
        <v>6262</v>
      </c>
    </row>
    <row r="4737" spans="1:5" x14ac:dyDescent="0.45">
      <c r="B4737" s="1347" t="s">
        <v>1108</v>
      </c>
      <c r="D4737" s="1347" t="s">
        <v>6263</v>
      </c>
      <c r="E4737" s="1347" t="s">
        <v>1110</v>
      </c>
    </row>
    <row r="4738" spans="1:5" x14ac:dyDescent="0.45">
      <c r="A4738" s="1347" t="s">
        <v>1105</v>
      </c>
      <c r="B4738" s="1347" t="s">
        <v>4671</v>
      </c>
      <c r="D4738" s="1347" t="s">
        <v>6264</v>
      </c>
      <c r="E4738" s="1347" t="s">
        <v>6265</v>
      </c>
    </row>
    <row r="4739" spans="1:5" x14ac:dyDescent="0.45">
      <c r="B4739" s="1347" t="s">
        <v>1108</v>
      </c>
      <c r="D4739" s="1347" t="s">
        <v>6266</v>
      </c>
      <c r="E4739" s="1347" t="s">
        <v>6267</v>
      </c>
    </row>
    <row r="4740" spans="1:5" x14ac:dyDescent="0.45">
      <c r="B4740" s="1347" t="s">
        <v>6268</v>
      </c>
      <c r="D4740" s="1347">
        <f>-283   -160   -168   -11</f>
        <v>-622</v>
      </c>
      <c r="E4740" s="1347" t="s">
        <v>6269</v>
      </c>
    </row>
    <row r="4741" spans="1:5" x14ac:dyDescent="0.45">
      <c r="B4741" s="1347" t="s">
        <v>1108</v>
      </c>
      <c r="D4741" s="1347" t="s">
        <v>6270</v>
      </c>
      <c r="E4741" s="1347" t="s">
        <v>6271</v>
      </c>
    </row>
    <row r="4742" spans="1:5" x14ac:dyDescent="0.45">
      <c r="B4742" s="1347" t="s">
        <v>6272</v>
      </c>
      <c r="D4742" s="1347" t="s">
        <v>6273</v>
      </c>
      <c r="E4742" s="1347" t="s">
        <v>6274</v>
      </c>
    </row>
    <row r="4743" spans="1:5" x14ac:dyDescent="0.45">
      <c r="B4743" s="1347" t="s">
        <v>6275</v>
      </c>
      <c r="D4743" s="1347" t="s">
        <v>6276</v>
      </c>
      <c r="E4743" s="1347" t="s">
        <v>6277</v>
      </c>
    </row>
    <row r="4744" spans="1:5" x14ac:dyDescent="0.45">
      <c r="A4744" s="1347" t="s">
        <v>1105</v>
      </c>
      <c r="B4744" s="1347" t="s">
        <v>6278</v>
      </c>
      <c r="D4744" s="1347" t="s">
        <v>6279</v>
      </c>
      <c r="E4744" s="1347" t="s">
        <v>6280</v>
      </c>
    </row>
    <row r="4745" spans="1:5" x14ac:dyDescent="0.45">
      <c r="B4745" s="1347" t="s">
        <v>6281</v>
      </c>
      <c r="D4745" s="1347" t="s">
        <v>6282</v>
      </c>
      <c r="E4745" s="1347" t="s">
        <v>6283</v>
      </c>
    </row>
    <row r="4746" spans="1:5" x14ac:dyDescent="0.45">
      <c r="A4746" s="1347">
        <v>1</v>
      </c>
      <c r="B4746" s="1347" t="s">
        <v>6284</v>
      </c>
      <c r="D4746" s="1347" t="s">
        <v>1613</v>
      </c>
      <c r="E4746" s="1347" t="s">
        <v>6285</v>
      </c>
    </row>
    <row r="4747" spans="1:5" x14ac:dyDescent="0.45">
      <c r="B4747" s="1347" t="s">
        <v>1108</v>
      </c>
      <c r="D4747" s="1347" t="s">
        <v>6286</v>
      </c>
      <c r="E4747" s="1347" t="s">
        <v>6287</v>
      </c>
    </row>
    <row r="4748" spans="1:5" x14ac:dyDescent="0.45">
      <c r="B4748" s="1347" t="s">
        <v>1108</v>
      </c>
      <c r="D4748" s="1347" t="s">
        <v>6288</v>
      </c>
      <c r="E4748" s="1347" t="s">
        <v>6289</v>
      </c>
    </row>
    <row r="4749" spans="1:5" x14ac:dyDescent="0.45">
      <c r="B4749" s="1347" t="s">
        <v>3396</v>
      </c>
      <c r="D4749" s="1347" t="s">
        <v>6290</v>
      </c>
      <c r="E4749" s="1347" t="s">
        <v>6291</v>
      </c>
    </row>
    <row r="4750" spans="1:5" x14ac:dyDescent="0.45">
      <c r="B4750" s="1347" t="s">
        <v>6292</v>
      </c>
      <c r="D4750" s="1347" t="s">
        <v>6293</v>
      </c>
      <c r="E4750" s="1347" t="s">
        <v>6294</v>
      </c>
    </row>
    <row r="4751" spans="1:5" x14ac:dyDescent="0.45">
      <c r="B4751" s="1347" t="s">
        <v>1108</v>
      </c>
      <c r="D4751" s="1347" t="s">
        <v>1109</v>
      </c>
      <c r="E4751" s="1347" t="s">
        <v>6295</v>
      </c>
    </row>
    <row r="4752" spans="1:5" x14ac:dyDescent="0.45">
      <c r="B4752" s="1347" t="s">
        <v>6296</v>
      </c>
      <c r="D4752" s="1347" t="s">
        <v>6297</v>
      </c>
      <c r="E4752" s="1347" t="s">
        <v>6298</v>
      </c>
    </row>
    <row r="4753" spans="1:5" x14ac:dyDescent="0.45">
      <c r="A4753" s="1347" t="s">
        <v>1105</v>
      </c>
      <c r="B4753" s="1347" t="s">
        <v>6299</v>
      </c>
      <c r="D4753" s="1347" t="s">
        <v>6300</v>
      </c>
      <c r="E4753" s="1347" t="s">
        <v>6301</v>
      </c>
    </row>
    <row r="4754" spans="1:5" x14ac:dyDescent="0.45">
      <c r="B4754" s="1347" t="s">
        <v>6302</v>
      </c>
      <c r="D4754" s="1347" t="s">
        <v>6303</v>
      </c>
      <c r="E4754" s="1347" t="s">
        <v>1476</v>
      </c>
    </row>
    <row r="4755" spans="1:5" x14ac:dyDescent="0.45">
      <c r="B4755" s="1347" t="s">
        <v>6304</v>
      </c>
      <c r="D4755" s="1347" t="s">
        <v>6305</v>
      </c>
      <c r="E4755" s="1347" t="s">
        <v>6306</v>
      </c>
    </row>
    <row r="4756" spans="1:5" x14ac:dyDescent="0.45">
      <c r="A4756" s="1347">
        <v>-1</v>
      </c>
      <c r="B4756" s="1347" t="s">
        <v>6307</v>
      </c>
      <c r="D4756" s="1347" t="s">
        <v>1109</v>
      </c>
      <c r="E4756" s="1347" t="s">
        <v>6308</v>
      </c>
    </row>
    <row r="4757" spans="1:5" x14ac:dyDescent="0.45">
      <c r="B4757" s="1347" t="s">
        <v>6309</v>
      </c>
      <c r="D4757" s="1347" t="s">
        <v>6310</v>
      </c>
      <c r="E4757" s="1347" t="s">
        <v>6311</v>
      </c>
    </row>
    <row r="4758" spans="1:5" x14ac:dyDescent="0.45">
      <c r="A4758" s="1347">
        <v>1</v>
      </c>
      <c r="B4758" s="1347" t="s">
        <v>2829</v>
      </c>
      <c r="D4758" s="1347" t="s">
        <v>2316</v>
      </c>
      <c r="E4758" s="1347" t="s">
        <v>6312</v>
      </c>
    </row>
    <row r="4759" spans="1:5" x14ac:dyDescent="0.45">
      <c r="B4759" s="1347" t="s">
        <v>1108</v>
      </c>
      <c r="D4759" s="1347" t="s">
        <v>1109</v>
      </c>
      <c r="E4759" s="1347" t="s">
        <v>1110</v>
      </c>
    </row>
    <row r="4760" spans="1:5" x14ac:dyDescent="0.45">
      <c r="B4760" s="1347" t="s">
        <v>1108</v>
      </c>
      <c r="D4760" s="1347" t="s">
        <v>6313</v>
      </c>
      <c r="E4760" s="1347" t="s">
        <v>1110</v>
      </c>
    </row>
    <row r="4761" spans="1:5" x14ac:dyDescent="0.45">
      <c r="B4761" s="1347" t="s">
        <v>6314</v>
      </c>
      <c r="D4761" s="1347" t="s">
        <v>6315</v>
      </c>
      <c r="E4761" s="1347" t="s">
        <v>6316</v>
      </c>
    </row>
    <row r="4762" spans="1:5" x14ac:dyDescent="0.45">
      <c r="A4762" s="1347" t="s">
        <v>1105</v>
      </c>
      <c r="B4762" s="1347" t="s">
        <v>6317</v>
      </c>
      <c r="D4762" s="1347" t="s">
        <v>6318</v>
      </c>
      <c r="E4762" s="1347" t="s">
        <v>6319</v>
      </c>
    </row>
    <row r="4763" spans="1:5" x14ac:dyDescent="0.45">
      <c r="B4763" s="1347" t="s">
        <v>6320</v>
      </c>
      <c r="D4763" s="1347" t="s">
        <v>6321</v>
      </c>
      <c r="E4763" s="1347" t="s">
        <v>6322</v>
      </c>
    </row>
    <row r="4764" spans="1:5" x14ac:dyDescent="0.45">
      <c r="B4764" s="1347" t="s">
        <v>1108</v>
      </c>
      <c r="C4764" s="1347" t="s">
        <v>1105</v>
      </c>
      <c r="D4764" s="1347" t="s">
        <v>6323</v>
      </c>
      <c r="E4764" s="1347" t="s">
        <v>6324</v>
      </c>
    </row>
    <row r="4765" spans="1:5" x14ac:dyDescent="0.45">
      <c r="A4765" s="1347">
        <v>-17</v>
      </c>
      <c r="B4765" s="1347" t="s">
        <v>6325</v>
      </c>
      <c r="C4765" s="1347">
        <v>1</v>
      </c>
      <c r="D4765" s="1347" t="s">
        <v>6326</v>
      </c>
      <c r="E4765" s="1347" t="s">
        <v>6327</v>
      </c>
    </row>
    <row r="4766" spans="1:5" x14ac:dyDescent="0.45">
      <c r="B4766" s="1347" t="s">
        <v>1108</v>
      </c>
      <c r="D4766" s="1347" t="s">
        <v>6328</v>
      </c>
      <c r="E4766" s="1347" t="s">
        <v>6329</v>
      </c>
    </row>
    <row r="4767" spans="1:5" x14ac:dyDescent="0.45">
      <c r="B4767" s="1347" t="s">
        <v>1108</v>
      </c>
      <c r="D4767" s="1347" t="s">
        <v>6330</v>
      </c>
      <c r="E4767" s="1347" t="s">
        <v>6331</v>
      </c>
    </row>
    <row r="4768" spans="1:5" x14ac:dyDescent="0.45">
      <c r="B4768" s="1347" t="s">
        <v>6332</v>
      </c>
      <c r="C4768" s="1347" t="s">
        <v>1105</v>
      </c>
      <c r="D4768" s="1347" t="s">
        <v>6333</v>
      </c>
      <c r="E4768" s="1347" t="s">
        <v>6334</v>
      </c>
    </row>
    <row r="4769" spans="1:5" x14ac:dyDescent="0.45">
      <c r="B4769" s="1347" t="s">
        <v>6335</v>
      </c>
      <c r="D4769" s="1347" t="s">
        <v>6336</v>
      </c>
      <c r="E4769" s="1347" t="s">
        <v>6337</v>
      </c>
    </row>
    <row r="4770" spans="1:5" x14ac:dyDescent="0.45">
      <c r="B4770" s="1347" t="s">
        <v>6338</v>
      </c>
      <c r="D4770" s="1347" t="s">
        <v>6339</v>
      </c>
      <c r="E4770" s="1347" t="s">
        <v>6340</v>
      </c>
    </row>
    <row r="4771" spans="1:5" x14ac:dyDescent="0.45">
      <c r="B4771" s="1347" t="s">
        <v>5280</v>
      </c>
      <c r="D4771" s="1347" t="s">
        <v>6341</v>
      </c>
      <c r="E4771" s="1347" t="s">
        <v>6342</v>
      </c>
    </row>
    <row r="4772" spans="1:5" x14ac:dyDescent="0.45">
      <c r="B4772" s="1347" t="s">
        <v>6343</v>
      </c>
      <c r="D4772" s="1347" t="s">
        <v>6344</v>
      </c>
      <c r="E4772" s="1347" t="s">
        <v>6345</v>
      </c>
    </row>
    <row r="4773" spans="1:5" x14ac:dyDescent="0.45">
      <c r="B4773" s="1347" t="s">
        <v>6346</v>
      </c>
      <c r="D4773" s="1347" t="s">
        <v>6347</v>
      </c>
      <c r="E4773" s="1347" t="s">
        <v>6348</v>
      </c>
    </row>
    <row r="4774" spans="1:5" x14ac:dyDescent="0.45">
      <c r="B4774" s="1347" t="s">
        <v>1108</v>
      </c>
      <c r="D4774" s="1347" t="s">
        <v>6349</v>
      </c>
      <c r="E4774" s="1347" t="s">
        <v>6350</v>
      </c>
    </row>
    <row r="4775" spans="1:5" x14ac:dyDescent="0.45">
      <c r="A4775" s="1347">
        <v>-1</v>
      </c>
      <c r="B4775" s="1347" t="s">
        <v>6351</v>
      </c>
      <c r="D4775" s="1347" t="s">
        <v>6352</v>
      </c>
      <c r="E4775" s="1347" t="s">
        <v>6353</v>
      </c>
    </row>
    <row r="4776" spans="1:5" x14ac:dyDescent="0.45">
      <c r="B4776" s="1347" t="s">
        <v>6354</v>
      </c>
      <c r="D4776" s="1347" t="s">
        <v>6355</v>
      </c>
      <c r="E4776" s="1347" t="s">
        <v>6356</v>
      </c>
    </row>
    <row r="4777" spans="1:5" x14ac:dyDescent="0.45">
      <c r="B4777" s="1347" t="s">
        <v>6357</v>
      </c>
      <c r="D4777" s="1347" t="s">
        <v>1109</v>
      </c>
      <c r="E4777" s="1347" t="s">
        <v>6358</v>
      </c>
    </row>
    <row r="4778" spans="1:5" x14ac:dyDescent="0.45">
      <c r="B4778" s="1347" t="s">
        <v>6359</v>
      </c>
      <c r="D4778" s="1347" t="s">
        <v>6360</v>
      </c>
      <c r="E4778" s="1347" t="s">
        <v>6361</v>
      </c>
    </row>
    <row r="4779" spans="1:5" x14ac:dyDescent="0.45">
      <c r="A4779" s="1347">
        <v>2</v>
      </c>
      <c r="B4779" s="1347" t="s">
        <v>6362</v>
      </c>
      <c r="D4779" s="1347" t="s">
        <v>6363</v>
      </c>
      <c r="E4779" s="1347" t="s">
        <v>6364</v>
      </c>
    </row>
    <row r="4780" spans="1:5" x14ac:dyDescent="0.45">
      <c r="B4780" s="1347" t="s">
        <v>6365</v>
      </c>
      <c r="D4780" s="1347" t="s">
        <v>6366</v>
      </c>
      <c r="E4780" s="1347" t="s">
        <v>1110</v>
      </c>
    </row>
    <row r="4781" spans="1:5" x14ac:dyDescent="0.45">
      <c r="B4781" s="1347" t="s">
        <v>6367</v>
      </c>
      <c r="D4781" s="1347" t="s">
        <v>6368</v>
      </c>
      <c r="E4781" s="1347" t="s">
        <v>6369</v>
      </c>
    </row>
    <row r="4782" spans="1:5" x14ac:dyDescent="0.45">
      <c r="B4782" s="1347" t="s">
        <v>1108</v>
      </c>
      <c r="D4782" s="1347" t="s">
        <v>6370</v>
      </c>
      <c r="E4782" s="1347" t="s">
        <v>6371</v>
      </c>
    </row>
    <row r="4783" spans="1:5" x14ac:dyDescent="0.45">
      <c r="B4783" s="1347" t="s">
        <v>1108</v>
      </c>
      <c r="D4783" s="1347" t="s">
        <v>6372</v>
      </c>
      <c r="E4783" s="1347" t="s">
        <v>6373</v>
      </c>
    </row>
    <row r="4784" spans="1:5" x14ac:dyDescent="0.45">
      <c r="B4784" s="1347" t="s">
        <v>6374</v>
      </c>
      <c r="D4784" s="1347" t="s">
        <v>6375</v>
      </c>
      <c r="E4784" s="1347" t="s">
        <v>6376</v>
      </c>
    </row>
    <row r="4785" spans="1:5" x14ac:dyDescent="0.45">
      <c r="A4785" s="1347">
        <v>-1</v>
      </c>
      <c r="B4785" s="1347" t="s">
        <v>6377</v>
      </c>
      <c r="D4785" s="1347">
        <f>-842   -756  -2681  -409</f>
        <v>-4688</v>
      </c>
      <c r="E4785" s="1347" t="s">
        <v>6378</v>
      </c>
    </row>
    <row r="4786" spans="1:5" x14ac:dyDescent="0.45">
      <c r="B4786" s="1347" t="s">
        <v>1108</v>
      </c>
      <c r="D4786" s="1347" t="s">
        <v>6379</v>
      </c>
      <c r="E4786" s="1347" t="s">
        <v>6380</v>
      </c>
    </row>
    <row r="4787" spans="1:5" x14ac:dyDescent="0.45">
      <c r="B4787" s="1347" t="s">
        <v>1108</v>
      </c>
      <c r="D4787" s="1347" t="s">
        <v>6381</v>
      </c>
      <c r="E4787" s="1347" t="s">
        <v>1275</v>
      </c>
    </row>
    <row r="4788" spans="1:5" x14ac:dyDescent="0.45">
      <c r="B4788" s="1347" t="s">
        <v>6382</v>
      </c>
      <c r="C4788" s="1347" t="s">
        <v>1105</v>
      </c>
      <c r="D4788" s="1347" t="s">
        <v>6383</v>
      </c>
      <c r="E4788" s="1347" t="s">
        <v>1110</v>
      </c>
    </row>
    <row r="4789" spans="1:5" x14ac:dyDescent="0.45">
      <c r="B4789" s="1347" t="s">
        <v>1108</v>
      </c>
      <c r="D4789" s="1347" t="s">
        <v>1109</v>
      </c>
      <c r="E4789" s="1347" t="s">
        <v>6384</v>
      </c>
    </row>
    <row r="4790" spans="1:5" x14ac:dyDescent="0.45">
      <c r="B4790" s="1347" t="s">
        <v>1108</v>
      </c>
      <c r="D4790" s="1347" t="s">
        <v>4079</v>
      </c>
      <c r="E4790" s="1347" t="s">
        <v>6385</v>
      </c>
    </row>
    <row r="4791" spans="1:5" x14ac:dyDescent="0.45">
      <c r="A4791" s="1347">
        <v>4</v>
      </c>
      <c r="B4791" s="1347" t="s">
        <v>6386</v>
      </c>
      <c r="C4791" s="1347" t="s">
        <v>1105</v>
      </c>
      <c r="D4791" s="1347" t="s">
        <v>6387</v>
      </c>
      <c r="E4791" s="1347" t="s">
        <v>6388</v>
      </c>
    </row>
    <row r="4792" spans="1:5" x14ac:dyDescent="0.45">
      <c r="A4792" s="1347">
        <v>2</v>
      </c>
      <c r="B4792" s="1347" t="s">
        <v>6168</v>
      </c>
      <c r="D4792" s="1347" t="s">
        <v>6389</v>
      </c>
      <c r="E4792" s="1347" t="s">
        <v>6390</v>
      </c>
    </row>
    <row r="4793" spans="1:5" x14ac:dyDescent="0.45">
      <c r="B4793" s="1347" t="s">
        <v>1108</v>
      </c>
      <c r="D4793" s="1347" t="s">
        <v>4649</v>
      </c>
      <c r="E4793" s="1347" t="s">
        <v>6391</v>
      </c>
    </row>
    <row r="4794" spans="1:5" x14ac:dyDescent="0.45">
      <c r="A4794" s="1347" t="s">
        <v>1105</v>
      </c>
      <c r="B4794" s="1347" t="s">
        <v>6392</v>
      </c>
      <c r="D4794" s="1347" t="s">
        <v>6393</v>
      </c>
      <c r="E4794" s="1347" t="s">
        <v>6394</v>
      </c>
    </row>
    <row r="4795" spans="1:5" x14ac:dyDescent="0.45">
      <c r="A4795" s="1347">
        <v>1</v>
      </c>
      <c r="B4795" s="1347" t="s">
        <v>6395</v>
      </c>
      <c r="D4795" s="1347" t="s">
        <v>6396</v>
      </c>
      <c r="E4795" s="1347" t="s">
        <v>6397</v>
      </c>
    </row>
    <row r="4796" spans="1:5" x14ac:dyDescent="0.45">
      <c r="B4796" s="1347" t="s">
        <v>1108</v>
      </c>
      <c r="D4796" s="1347" t="s">
        <v>6398</v>
      </c>
      <c r="E4796" s="1347" t="s">
        <v>1402</v>
      </c>
    </row>
    <row r="4797" spans="1:5" x14ac:dyDescent="0.45">
      <c r="B4797" s="1347" t="s">
        <v>6399</v>
      </c>
      <c r="D4797" s="1347" t="s">
        <v>6400</v>
      </c>
      <c r="E4797" s="1347" t="s">
        <v>6401</v>
      </c>
    </row>
    <row r="4798" spans="1:5" x14ac:dyDescent="0.45">
      <c r="A4798" s="1347">
        <v>7</v>
      </c>
      <c r="B4798" s="1347" t="s">
        <v>6402</v>
      </c>
      <c r="D4798" s="1347" t="s">
        <v>6403</v>
      </c>
      <c r="E4798" s="1347" t="s">
        <v>6404</v>
      </c>
    </row>
    <row r="4799" spans="1:5" x14ac:dyDescent="0.45">
      <c r="A4799" s="1347" t="s">
        <v>1105</v>
      </c>
      <c r="B4799" s="1347" t="s">
        <v>6405</v>
      </c>
      <c r="D4799" s="1347" t="s">
        <v>6406</v>
      </c>
      <c r="E4799" s="1347" t="s">
        <v>6407</v>
      </c>
    </row>
    <row r="4800" spans="1:5" x14ac:dyDescent="0.45">
      <c r="B4800" s="1347" t="s">
        <v>1108</v>
      </c>
      <c r="D4800" s="1347" t="s">
        <v>6408</v>
      </c>
      <c r="E4800" s="1347" t="s">
        <v>6409</v>
      </c>
    </row>
    <row r="4801" spans="1:5" x14ac:dyDescent="0.45">
      <c r="B4801" s="1347" t="s">
        <v>6162</v>
      </c>
      <c r="C4801" s="1347" t="s">
        <v>1105</v>
      </c>
      <c r="D4801" s="1347" t="s">
        <v>6410</v>
      </c>
      <c r="E4801" s="1347" t="s">
        <v>6411</v>
      </c>
    </row>
    <row r="4802" spans="1:5" x14ac:dyDescent="0.45">
      <c r="B4802" s="1347" t="s">
        <v>6412</v>
      </c>
      <c r="D4802" s="1347" t="s">
        <v>6413</v>
      </c>
      <c r="E4802" s="1347" t="s">
        <v>6414</v>
      </c>
    </row>
    <row r="4803" spans="1:5" x14ac:dyDescent="0.45">
      <c r="B4803" s="1347">
        <f>-79   -334</f>
        <v>-413</v>
      </c>
      <c r="D4803" s="1347" t="s">
        <v>6415</v>
      </c>
      <c r="E4803" s="1347" t="s">
        <v>2051</v>
      </c>
    </row>
    <row r="4804" spans="1:5" x14ac:dyDescent="0.45">
      <c r="B4804" s="1347" t="s">
        <v>4863</v>
      </c>
      <c r="D4804" s="1347" t="s">
        <v>6416</v>
      </c>
      <c r="E4804" s="1347" t="s">
        <v>6417</v>
      </c>
    </row>
    <row r="4805" spans="1:5" x14ac:dyDescent="0.45">
      <c r="A4805" s="1347" t="s">
        <v>1105</v>
      </c>
      <c r="B4805" s="1347" t="s">
        <v>6418</v>
      </c>
      <c r="D4805" s="1347" t="s">
        <v>6419</v>
      </c>
      <c r="E4805" s="1347" t="s">
        <v>6420</v>
      </c>
    </row>
    <row r="4806" spans="1:5" x14ac:dyDescent="0.45">
      <c r="A4806" s="1347" t="s">
        <v>1105</v>
      </c>
      <c r="B4806" s="1347" t="s">
        <v>5980</v>
      </c>
      <c r="D4806" s="1347" t="s">
        <v>6421</v>
      </c>
      <c r="E4806" s="1347" t="s">
        <v>6422</v>
      </c>
    </row>
    <row r="4807" spans="1:5" x14ac:dyDescent="0.45">
      <c r="B4807" s="1347" t="s">
        <v>1108</v>
      </c>
      <c r="D4807" s="1347" t="s">
        <v>6423</v>
      </c>
      <c r="E4807" s="1347" t="s">
        <v>6424</v>
      </c>
    </row>
    <row r="4808" spans="1:5" x14ac:dyDescent="0.45">
      <c r="A4808" s="1347">
        <v>-8</v>
      </c>
      <c r="B4808" s="1347" t="s">
        <v>6425</v>
      </c>
      <c r="D4808" s="1347" t="s">
        <v>6426</v>
      </c>
      <c r="E4808" s="1347" t="s">
        <v>6427</v>
      </c>
    </row>
    <row r="4809" spans="1:5" x14ac:dyDescent="0.45">
      <c r="B4809" s="1347" t="s">
        <v>6428</v>
      </c>
      <c r="D4809" s="1347" t="s">
        <v>6429</v>
      </c>
      <c r="E4809" s="1347" t="s">
        <v>6430</v>
      </c>
    </row>
    <row r="4810" spans="1:5" x14ac:dyDescent="0.45">
      <c r="B4810" s="1347" t="s">
        <v>1108</v>
      </c>
      <c r="D4810" s="1347" t="s">
        <v>1109</v>
      </c>
      <c r="E4810" s="1347" t="s">
        <v>6431</v>
      </c>
    </row>
    <row r="4811" spans="1:5" x14ac:dyDescent="0.45">
      <c r="B4811" s="1347" t="s">
        <v>6432</v>
      </c>
      <c r="D4811" s="1347" t="s">
        <v>6433</v>
      </c>
      <c r="E4811" s="1347" t="s">
        <v>1110</v>
      </c>
    </row>
    <row r="4812" spans="1:5" x14ac:dyDescent="0.45">
      <c r="A4812" s="1347">
        <v>10</v>
      </c>
      <c r="B4812" s="1347" t="s">
        <v>6434</v>
      </c>
      <c r="C4812" s="1347" t="s">
        <v>1105</v>
      </c>
      <c r="D4812" s="1347" t="s">
        <v>6435</v>
      </c>
      <c r="E4812" s="1347" t="s">
        <v>1435</v>
      </c>
    </row>
    <row r="4813" spans="1:5" x14ac:dyDescent="0.45">
      <c r="B4813" s="1347" t="s">
        <v>6436</v>
      </c>
      <c r="D4813" s="1347" t="s">
        <v>6437</v>
      </c>
      <c r="E4813" s="1347" t="s">
        <v>6438</v>
      </c>
    </row>
    <row r="4814" spans="1:5" x14ac:dyDescent="0.45">
      <c r="B4814" s="1347" t="s">
        <v>6439</v>
      </c>
      <c r="D4814" s="1347" t="s">
        <v>6440</v>
      </c>
      <c r="E4814" s="1347" t="s">
        <v>6441</v>
      </c>
    </row>
    <row r="4815" spans="1:5" x14ac:dyDescent="0.45">
      <c r="A4815" s="1347">
        <v>1</v>
      </c>
      <c r="B4815" s="1347" t="s">
        <v>6442</v>
      </c>
      <c r="C4815" s="1347" t="s">
        <v>1105</v>
      </c>
      <c r="D4815" s="1347" t="s">
        <v>6443</v>
      </c>
      <c r="E4815" s="1347" t="s">
        <v>1110</v>
      </c>
    </row>
    <row r="4816" spans="1:5" x14ac:dyDescent="0.45">
      <c r="B4816" s="1347" t="s">
        <v>6444</v>
      </c>
      <c r="C4816" s="1347" t="s">
        <v>1105</v>
      </c>
      <c r="D4816" s="1347" t="s">
        <v>6445</v>
      </c>
      <c r="E4816" s="1347" t="s">
        <v>6446</v>
      </c>
    </row>
    <row r="4817" spans="1:5" x14ac:dyDescent="0.45">
      <c r="A4817" s="1347">
        <v>-1</v>
      </c>
      <c r="B4817" s="1347" t="s">
        <v>6447</v>
      </c>
      <c r="D4817" s="1347" t="s">
        <v>1109</v>
      </c>
      <c r="E4817" s="1347" t="s">
        <v>6448</v>
      </c>
    </row>
    <row r="4818" spans="1:5" x14ac:dyDescent="0.45">
      <c r="B4818" s="1347" t="s">
        <v>1108</v>
      </c>
      <c r="D4818" s="1347" t="s">
        <v>1109</v>
      </c>
      <c r="E4818" s="1347" t="s">
        <v>1110</v>
      </c>
    </row>
    <row r="4819" spans="1:5" x14ac:dyDescent="0.45">
      <c r="B4819" s="1347" t="s">
        <v>1108</v>
      </c>
      <c r="D4819" s="1347" t="s">
        <v>6449</v>
      </c>
      <c r="E4819" s="1347" t="s">
        <v>1958</v>
      </c>
    </row>
    <row r="4820" spans="1:5" x14ac:dyDescent="0.45">
      <c r="B4820" s="1347" t="s">
        <v>5513</v>
      </c>
      <c r="D4820" s="1347" t="s">
        <v>6450</v>
      </c>
      <c r="E4820" s="1347" t="s">
        <v>6451</v>
      </c>
    </row>
    <row r="4821" spans="1:5" x14ac:dyDescent="0.45">
      <c r="A4821" s="1347">
        <v>1</v>
      </c>
      <c r="B4821" s="1347" t="s">
        <v>6452</v>
      </c>
      <c r="D4821" s="1347" t="s">
        <v>6453</v>
      </c>
      <c r="E4821" s="1347" t="s">
        <v>6454</v>
      </c>
    </row>
    <row r="4822" spans="1:5" x14ac:dyDescent="0.45">
      <c r="B4822" s="1347" t="s">
        <v>6455</v>
      </c>
      <c r="D4822" s="1347" t="s">
        <v>6456</v>
      </c>
      <c r="E4822" s="1347" t="s">
        <v>1402</v>
      </c>
    </row>
    <row r="4823" spans="1:5" x14ac:dyDescent="0.45">
      <c r="B4823" s="1347" t="s">
        <v>1108</v>
      </c>
      <c r="D4823" s="1347" t="s">
        <v>6457</v>
      </c>
      <c r="E4823" s="1347" t="s">
        <v>6458</v>
      </c>
    </row>
    <row r="4824" spans="1:5" x14ac:dyDescent="0.45">
      <c r="B4824" s="1347" t="s">
        <v>6459</v>
      </c>
      <c r="D4824" s="1347" t="s">
        <v>6460</v>
      </c>
      <c r="E4824" s="1347" t="s">
        <v>6461</v>
      </c>
    </row>
    <row r="4825" spans="1:5" x14ac:dyDescent="0.45">
      <c r="B4825" s="1347" t="s">
        <v>6462</v>
      </c>
      <c r="D4825" s="1347" t="s">
        <v>1109</v>
      </c>
      <c r="E4825" s="1347" t="s">
        <v>6463</v>
      </c>
    </row>
    <row r="4826" spans="1:5" x14ac:dyDescent="0.45">
      <c r="B4826" s="1347" t="s">
        <v>6464</v>
      </c>
      <c r="D4826" s="1347" t="s">
        <v>6465</v>
      </c>
      <c r="E4826" s="1347" t="s">
        <v>6466</v>
      </c>
    </row>
    <row r="4827" spans="1:5" x14ac:dyDescent="0.45">
      <c r="A4827" s="1347">
        <v>-1</v>
      </c>
      <c r="B4827" s="1347" t="s">
        <v>6467</v>
      </c>
      <c r="D4827" s="1347" t="s">
        <v>6468</v>
      </c>
      <c r="E4827" s="1347" t="s">
        <v>4783</v>
      </c>
    </row>
    <row r="4828" spans="1:5" x14ac:dyDescent="0.45">
      <c r="B4828" s="1347" t="s">
        <v>1108</v>
      </c>
      <c r="C4828" s="1347" t="s">
        <v>1105</v>
      </c>
      <c r="D4828" s="1347" t="s">
        <v>6469</v>
      </c>
      <c r="E4828" s="1347" t="s">
        <v>6470</v>
      </c>
    </row>
    <row r="4829" spans="1:5" x14ac:dyDescent="0.45">
      <c r="A4829" s="1347" t="s">
        <v>1105</v>
      </c>
      <c r="B4829" s="1347" t="s">
        <v>6471</v>
      </c>
      <c r="D4829" s="1347">
        <f>-213   -914    -84   -36</f>
        <v>-1247</v>
      </c>
      <c r="E4829" s="1347" t="s">
        <v>6472</v>
      </c>
    </row>
    <row r="4830" spans="1:5" x14ac:dyDescent="0.45">
      <c r="B4830" s="1347" t="s">
        <v>1108</v>
      </c>
      <c r="D4830" s="1347" t="s">
        <v>6473</v>
      </c>
      <c r="E4830" s="1347" t="s">
        <v>6474</v>
      </c>
    </row>
    <row r="4831" spans="1:5" x14ac:dyDescent="0.45">
      <c r="A4831" s="1347">
        <v>4</v>
      </c>
      <c r="B4831" s="1347" t="s">
        <v>6475</v>
      </c>
      <c r="D4831" s="1347" t="s">
        <v>6476</v>
      </c>
      <c r="E4831" s="1347" t="s">
        <v>6477</v>
      </c>
    </row>
    <row r="4832" spans="1:5" x14ac:dyDescent="0.45">
      <c r="A4832" s="1347">
        <v>-2</v>
      </c>
      <c r="B4832" s="1347" t="s">
        <v>6478</v>
      </c>
      <c r="D4832" s="1347" t="s">
        <v>6479</v>
      </c>
      <c r="E4832" s="1347" t="s">
        <v>6480</v>
      </c>
    </row>
    <row r="4833" spans="1:5" x14ac:dyDescent="0.45">
      <c r="A4833" s="1347">
        <v>1</v>
      </c>
      <c r="B4833" s="1347" t="s">
        <v>6481</v>
      </c>
      <c r="D4833" s="1347" t="s">
        <v>1109</v>
      </c>
      <c r="E4833" s="1347" t="s">
        <v>6482</v>
      </c>
    </row>
    <row r="4834" spans="1:5" x14ac:dyDescent="0.45">
      <c r="B4834" s="1347" t="s">
        <v>1595</v>
      </c>
      <c r="D4834" s="1347">
        <f>-132  -5341   -337</f>
        <v>-5810</v>
      </c>
      <c r="E4834" s="1347" t="s">
        <v>6483</v>
      </c>
    </row>
    <row r="4835" spans="1:5" x14ac:dyDescent="0.45">
      <c r="B4835" s="1347" t="s">
        <v>6484</v>
      </c>
      <c r="D4835" s="1347" t="s">
        <v>6485</v>
      </c>
      <c r="E4835" s="1347" t="s">
        <v>6486</v>
      </c>
    </row>
    <row r="4836" spans="1:5" x14ac:dyDescent="0.45">
      <c r="B4836" s="1347" t="s">
        <v>6487</v>
      </c>
      <c r="D4836" s="1347" t="s">
        <v>6488</v>
      </c>
      <c r="E4836" s="1347" t="s">
        <v>1110</v>
      </c>
    </row>
    <row r="4837" spans="1:5" x14ac:dyDescent="0.45">
      <c r="A4837" s="1347">
        <v>1</v>
      </c>
      <c r="B4837" s="1347" t="s">
        <v>6489</v>
      </c>
      <c r="C4837" s="1347" t="s">
        <v>1105</v>
      </c>
      <c r="D4837" s="1347" t="s">
        <v>6490</v>
      </c>
      <c r="E4837" s="1347" t="s">
        <v>6491</v>
      </c>
    </row>
    <row r="4838" spans="1:5" x14ac:dyDescent="0.45">
      <c r="B4838" s="1347" t="s">
        <v>1108</v>
      </c>
      <c r="D4838" s="1347" t="s">
        <v>6492</v>
      </c>
      <c r="E4838" s="1347" t="s">
        <v>6493</v>
      </c>
    </row>
    <row r="4839" spans="1:5" x14ac:dyDescent="0.45">
      <c r="B4839" s="1347" t="s">
        <v>6494</v>
      </c>
      <c r="D4839" s="1347" t="s">
        <v>6495</v>
      </c>
      <c r="E4839" s="1347" t="s">
        <v>1435</v>
      </c>
    </row>
    <row r="4840" spans="1:5" x14ac:dyDescent="0.45">
      <c r="B4840" s="1347" t="s">
        <v>1108</v>
      </c>
      <c r="D4840" s="1347" t="s">
        <v>6496</v>
      </c>
      <c r="E4840" s="1347" t="s">
        <v>6497</v>
      </c>
    </row>
    <row r="4841" spans="1:5" x14ac:dyDescent="0.45">
      <c r="A4841" s="1347">
        <v>-1</v>
      </c>
      <c r="B4841" s="1347" t="s">
        <v>6498</v>
      </c>
      <c r="D4841" s="1347" t="s">
        <v>1109</v>
      </c>
      <c r="E4841" s="1347" t="s">
        <v>6499</v>
      </c>
    </row>
    <row r="4842" spans="1:5" x14ac:dyDescent="0.45">
      <c r="A4842" s="1347">
        <v>-1</v>
      </c>
      <c r="B4842" s="1347" t="s">
        <v>6500</v>
      </c>
      <c r="C4842" s="1347" t="s">
        <v>1105</v>
      </c>
      <c r="D4842" s="1347" t="s">
        <v>6501</v>
      </c>
      <c r="E4842" s="1347" t="s">
        <v>6502</v>
      </c>
    </row>
    <row r="4843" spans="1:5" x14ac:dyDescent="0.45">
      <c r="B4843" s="1347" t="s">
        <v>1108</v>
      </c>
      <c r="C4843" s="1347" t="s">
        <v>1105</v>
      </c>
      <c r="D4843" s="1347" t="s">
        <v>6503</v>
      </c>
      <c r="E4843" s="1347" t="s">
        <v>6504</v>
      </c>
    </row>
    <row r="4844" spans="1:5" x14ac:dyDescent="0.45">
      <c r="A4844" s="1347">
        <v>-2</v>
      </c>
      <c r="B4844" s="1347" t="s">
        <v>6505</v>
      </c>
      <c r="D4844" s="1347">
        <f>-594  -5812  -3400  -693</f>
        <v>-10499</v>
      </c>
      <c r="E4844" s="1347" t="s">
        <v>6506</v>
      </c>
    </row>
    <row r="4845" spans="1:5" x14ac:dyDescent="0.45">
      <c r="B4845" s="1347" t="s">
        <v>1108</v>
      </c>
      <c r="D4845" s="1347" t="s">
        <v>1109</v>
      </c>
      <c r="E4845" s="1347" t="s">
        <v>6507</v>
      </c>
    </row>
    <row r="4846" spans="1:5" x14ac:dyDescent="0.45">
      <c r="B4846" s="1347" t="s">
        <v>6508</v>
      </c>
      <c r="D4846" s="1347" t="s">
        <v>6509</v>
      </c>
      <c r="E4846" s="1347" t="s">
        <v>6510</v>
      </c>
    </row>
    <row r="4847" spans="1:5" x14ac:dyDescent="0.45">
      <c r="B4847" s="1347" t="s">
        <v>1108</v>
      </c>
      <c r="D4847" s="1347" t="s">
        <v>6511</v>
      </c>
      <c r="E4847" s="1347" t="s">
        <v>6512</v>
      </c>
    </row>
    <row r="4848" spans="1:5" x14ac:dyDescent="0.45">
      <c r="B4848" s="1347" t="s">
        <v>1108</v>
      </c>
      <c r="D4848" s="1347" t="s">
        <v>1109</v>
      </c>
      <c r="E4848" s="1347" t="s">
        <v>1110</v>
      </c>
    </row>
    <row r="4849" spans="1:5" x14ac:dyDescent="0.45">
      <c r="B4849" s="1347" t="s">
        <v>1108</v>
      </c>
      <c r="D4849" s="1347" t="s">
        <v>6513</v>
      </c>
      <c r="E4849" s="1347" t="s">
        <v>6514</v>
      </c>
    </row>
    <row r="4850" spans="1:5" x14ac:dyDescent="0.45">
      <c r="A4850" s="1347">
        <v>3</v>
      </c>
      <c r="B4850" s="1347" t="s">
        <v>6515</v>
      </c>
      <c r="C4850" s="1347">
        <v>4</v>
      </c>
      <c r="D4850" s="1347" t="s">
        <v>6516</v>
      </c>
      <c r="E4850" s="1347" t="s">
        <v>6517</v>
      </c>
    </row>
    <row r="4851" spans="1:5" x14ac:dyDescent="0.45">
      <c r="A4851" s="1347">
        <v>27</v>
      </c>
      <c r="B4851" s="1347" t="s">
        <v>6518</v>
      </c>
      <c r="C4851" s="1347" t="s">
        <v>1105</v>
      </c>
      <c r="D4851" s="1347" t="s">
        <v>6519</v>
      </c>
      <c r="E4851" s="1347" t="s">
        <v>6520</v>
      </c>
    </row>
    <row r="4852" spans="1:5" x14ac:dyDescent="0.45">
      <c r="B4852" s="1347" t="s">
        <v>1108</v>
      </c>
      <c r="D4852" s="1347" t="s">
        <v>6521</v>
      </c>
      <c r="E4852" s="1347" t="s">
        <v>1110</v>
      </c>
    </row>
    <row r="4853" spans="1:5" x14ac:dyDescent="0.45">
      <c r="B4853" s="1347" t="s">
        <v>6002</v>
      </c>
      <c r="D4853" s="1347" t="s">
        <v>6522</v>
      </c>
      <c r="E4853" s="1347" t="s">
        <v>6523</v>
      </c>
    </row>
    <row r="4854" spans="1:5" x14ac:dyDescent="0.45">
      <c r="B4854" s="1347" t="s">
        <v>6524</v>
      </c>
      <c r="D4854" s="1347" t="s">
        <v>6525</v>
      </c>
      <c r="E4854" s="1347" t="s">
        <v>6526</v>
      </c>
    </row>
    <row r="4855" spans="1:5" x14ac:dyDescent="0.45">
      <c r="B4855" s="1347" t="s">
        <v>1108</v>
      </c>
      <c r="D4855" s="1347" t="s">
        <v>6527</v>
      </c>
      <c r="E4855" s="1347" t="s">
        <v>6528</v>
      </c>
    </row>
    <row r="4856" spans="1:5" x14ac:dyDescent="0.45">
      <c r="A4856" s="1347" t="s">
        <v>1105</v>
      </c>
      <c r="B4856" s="1347" t="s">
        <v>6529</v>
      </c>
      <c r="D4856" s="1347" t="s">
        <v>1109</v>
      </c>
      <c r="E4856" s="1347" t="s">
        <v>6530</v>
      </c>
    </row>
    <row r="4857" spans="1:5" x14ac:dyDescent="0.45">
      <c r="B4857" s="1347" t="s">
        <v>1108</v>
      </c>
      <c r="D4857" s="1347" t="s">
        <v>6531</v>
      </c>
      <c r="E4857" s="1347" t="s">
        <v>1402</v>
      </c>
    </row>
    <row r="4858" spans="1:5" x14ac:dyDescent="0.45">
      <c r="A4858" s="1347">
        <v>-1</v>
      </c>
      <c r="B4858" s="1347" t="s">
        <v>6532</v>
      </c>
      <c r="D4858" s="1347" t="s">
        <v>6533</v>
      </c>
      <c r="E4858" s="1347" t="s">
        <v>6534</v>
      </c>
    </row>
    <row r="4859" spans="1:5" x14ac:dyDescent="0.45">
      <c r="A4859" s="1347" t="s">
        <v>1105</v>
      </c>
      <c r="B4859" s="1347" t="s">
        <v>6535</v>
      </c>
      <c r="D4859" s="1347">
        <f>-175   -320   -624</f>
        <v>-1119</v>
      </c>
      <c r="E4859" s="1347" t="s">
        <v>1110</v>
      </c>
    </row>
    <row r="4860" spans="1:5" x14ac:dyDescent="0.45">
      <c r="B4860" s="1347" t="s">
        <v>6536</v>
      </c>
      <c r="D4860" s="1347" t="s">
        <v>6537</v>
      </c>
      <c r="E4860" s="1347" t="s">
        <v>6538</v>
      </c>
    </row>
    <row r="4861" spans="1:5" x14ac:dyDescent="0.45">
      <c r="A4861" s="1347">
        <v>-1</v>
      </c>
      <c r="B4861" s="1347" t="s">
        <v>6539</v>
      </c>
      <c r="D4861" s="1347" t="s">
        <v>6540</v>
      </c>
      <c r="E4861" s="1347" t="s">
        <v>6541</v>
      </c>
    </row>
    <row r="4862" spans="1:5" x14ac:dyDescent="0.45">
      <c r="B4862" s="1347" t="s">
        <v>1108</v>
      </c>
      <c r="D4862" s="1347" t="s">
        <v>6542</v>
      </c>
      <c r="E4862" s="1347" t="s">
        <v>6543</v>
      </c>
    </row>
    <row r="4863" spans="1:5" x14ac:dyDescent="0.45">
      <c r="B4863" s="1347" t="s">
        <v>1108</v>
      </c>
      <c r="D4863" s="1347" t="s">
        <v>6544</v>
      </c>
      <c r="E4863" s="1347" t="s">
        <v>6545</v>
      </c>
    </row>
    <row r="4864" spans="1:5" x14ac:dyDescent="0.45">
      <c r="A4864" s="1347">
        <v>7</v>
      </c>
      <c r="B4864" s="1347" t="s">
        <v>6546</v>
      </c>
      <c r="D4864" s="1347" t="s">
        <v>6547</v>
      </c>
      <c r="E4864" s="1347" t="s">
        <v>6548</v>
      </c>
    </row>
    <row r="4865" spans="1:5" x14ac:dyDescent="0.45">
      <c r="B4865" s="1347" t="s">
        <v>1108</v>
      </c>
      <c r="C4865" s="1347" t="s">
        <v>1105</v>
      </c>
      <c r="D4865" s="1347" t="s">
        <v>6549</v>
      </c>
      <c r="E4865" s="1347" t="s">
        <v>6550</v>
      </c>
    </row>
    <row r="4866" spans="1:5" x14ac:dyDescent="0.45">
      <c r="A4866" s="1347">
        <v>-2</v>
      </c>
      <c r="B4866" s="1347" t="s">
        <v>6551</v>
      </c>
      <c r="D4866" s="1347" t="s">
        <v>6552</v>
      </c>
      <c r="E4866" s="1347" t="s">
        <v>6553</v>
      </c>
    </row>
    <row r="4867" spans="1:5" x14ac:dyDescent="0.45">
      <c r="A4867" s="1347">
        <v>10</v>
      </c>
      <c r="B4867" s="1347" t="s">
        <v>6554</v>
      </c>
      <c r="C4867" s="1347" t="s">
        <v>1105</v>
      </c>
      <c r="D4867" s="1347" t="s">
        <v>6555</v>
      </c>
      <c r="E4867" s="1347" t="s">
        <v>6556</v>
      </c>
    </row>
    <row r="4868" spans="1:5" x14ac:dyDescent="0.45">
      <c r="A4868" s="1347">
        <v>2</v>
      </c>
      <c r="B4868" s="1347" t="s">
        <v>6557</v>
      </c>
      <c r="D4868" s="1347" t="s">
        <v>6558</v>
      </c>
      <c r="E4868" s="1347" t="s">
        <v>6559</v>
      </c>
    </row>
    <row r="4869" spans="1:5" x14ac:dyDescent="0.45">
      <c r="B4869" s="1347" t="s">
        <v>6560</v>
      </c>
      <c r="D4869" s="1347" t="s">
        <v>6561</v>
      </c>
      <c r="E4869" s="1347" t="s">
        <v>1110</v>
      </c>
    </row>
    <row r="4870" spans="1:5" x14ac:dyDescent="0.45">
      <c r="B4870" s="1347" t="s">
        <v>1108</v>
      </c>
      <c r="D4870" s="1347" t="s">
        <v>6562</v>
      </c>
      <c r="E4870" s="1347" t="s">
        <v>6563</v>
      </c>
    </row>
    <row r="4871" spans="1:5" x14ac:dyDescent="0.45">
      <c r="B4871" s="1347" t="s">
        <v>1108</v>
      </c>
      <c r="D4871" s="1347" t="s">
        <v>6564</v>
      </c>
      <c r="E4871" s="1347" t="s">
        <v>6565</v>
      </c>
    </row>
    <row r="4872" spans="1:5" x14ac:dyDescent="0.45">
      <c r="A4872" s="1347">
        <v>-4</v>
      </c>
      <c r="B4872" s="1347" t="s">
        <v>6566</v>
      </c>
      <c r="D4872" s="1347" t="s">
        <v>6567</v>
      </c>
      <c r="E4872" s="1347" t="s">
        <v>6568</v>
      </c>
    </row>
    <row r="4873" spans="1:5" x14ac:dyDescent="0.45">
      <c r="A4873" s="1347">
        <v>-2</v>
      </c>
      <c r="B4873" s="1347" t="s">
        <v>6569</v>
      </c>
      <c r="D4873" s="1347" t="s">
        <v>1109</v>
      </c>
      <c r="E4873" s="1347" t="s">
        <v>6570</v>
      </c>
    </row>
    <row r="4874" spans="1:5" x14ac:dyDescent="0.45">
      <c r="A4874" s="1347" t="s">
        <v>1105</v>
      </c>
      <c r="B4874" s="1347" t="s">
        <v>6571</v>
      </c>
      <c r="C4874" s="1347" t="s">
        <v>1105</v>
      </c>
      <c r="D4874" s="1347" t="s">
        <v>6572</v>
      </c>
      <c r="E4874" s="1347" t="s">
        <v>6573</v>
      </c>
    </row>
    <row r="4875" spans="1:5" x14ac:dyDescent="0.45">
      <c r="B4875" s="1347" t="s">
        <v>1108</v>
      </c>
      <c r="D4875" s="1347" t="s">
        <v>6574</v>
      </c>
      <c r="E4875" s="1347" t="s">
        <v>6575</v>
      </c>
    </row>
    <row r="4876" spans="1:5" x14ac:dyDescent="0.45">
      <c r="A4876" s="1347">
        <v>1</v>
      </c>
      <c r="B4876" s="1347" t="s">
        <v>6576</v>
      </c>
      <c r="D4876" s="1347" t="s">
        <v>6577</v>
      </c>
      <c r="E4876" s="1347" t="s">
        <v>6578</v>
      </c>
    </row>
    <row r="4877" spans="1:5" x14ac:dyDescent="0.45">
      <c r="B4877" s="1347" t="s">
        <v>6579</v>
      </c>
      <c r="D4877" s="1347" t="s">
        <v>6580</v>
      </c>
      <c r="E4877" s="1347" t="s">
        <v>1110</v>
      </c>
    </row>
    <row r="4878" spans="1:5" x14ac:dyDescent="0.45">
      <c r="B4878" s="1347" t="s">
        <v>1108</v>
      </c>
      <c r="D4878" s="1347" t="s">
        <v>1109</v>
      </c>
      <c r="E4878" s="1347" t="s">
        <v>1110</v>
      </c>
    </row>
    <row r="4879" spans="1:5" x14ac:dyDescent="0.45">
      <c r="A4879" s="1347">
        <v>2</v>
      </c>
      <c r="B4879" s="1347" t="s">
        <v>6581</v>
      </c>
      <c r="D4879" s="1347" t="s">
        <v>1109</v>
      </c>
      <c r="E4879" s="1347" t="s">
        <v>6582</v>
      </c>
    </row>
    <row r="4880" spans="1:5" x14ac:dyDescent="0.45">
      <c r="A4880" s="1347">
        <v>20</v>
      </c>
      <c r="B4880" s="1347" t="s">
        <v>6583</v>
      </c>
      <c r="C4880" s="1347">
        <v>2</v>
      </c>
      <c r="D4880" s="1347" t="s">
        <v>6584</v>
      </c>
      <c r="E4880" s="1347" t="s">
        <v>6585</v>
      </c>
    </row>
    <row r="4881" spans="1:5" x14ac:dyDescent="0.45">
      <c r="B4881" s="1347">
        <f>-35  -1494</f>
        <v>-1529</v>
      </c>
      <c r="D4881" s="1347" t="s">
        <v>6586</v>
      </c>
      <c r="E4881" s="1347" t="s">
        <v>1509</v>
      </c>
    </row>
    <row r="4882" spans="1:5" x14ac:dyDescent="0.45">
      <c r="B4882" s="1347" t="s">
        <v>6587</v>
      </c>
      <c r="D4882" s="1347" t="s">
        <v>6588</v>
      </c>
      <c r="E4882" s="1347" t="s">
        <v>6589</v>
      </c>
    </row>
    <row r="4883" spans="1:5" x14ac:dyDescent="0.45">
      <c r="B4883" s="1347" t="s">
        <v>1108</v>
      </c>
      <c r="D4883" s="1347" t="s">
        <v>6590</v>
      </c>
      <c r="E4883" s="1347" t="s">
        <v>6591</v>
      </c>
    </row>
    <row r="4884" spans="1:5" x14ac:dyDescent="0.45">
      <c r="A4884" s="1347">
        <v>-1</v>
      </c>
      <c r="B4884" s="1347" t="s">
        <v>6592</v>
      </c>
      <c r="D4884" s="1347" t="s">
        <v>6593</v>
      </c>
      <c r="E4884" s="1347" t="s">
        <v>6594</v>
      </c>
    </row>
    <row r="4885" spans="1:5" x14ac:dyDescent="0.45">
      <c r="B4885" s="1347" t="s">
        <v>1108</v>
      </c>
      <c r="D4885" s="1347" t="s">
        <v>6595</v>
      </c>
      <c r="E4885" s="1347" t="s">
        <v>6596</v>
      </c>
    </row>
    <row r="4886" spans="1:5" x14ac:dyDescent="0.45">
      <c r="B4886" s="1347" t="s">
        <v>1108</v>
      </c>
      <c r="D4886" s="1347" t="s">
        <v>6597</v>
      </c>
      <c r="E4886" s="1347" t="s">
        <v>6598</v>
      </c>
    </row>
    <row r="4887" spans="1:5" x14ac:dyDescent="0.45">
      <c r="B4887" s="1347" t="s">
        <v>1923</v>
      </c>
      <c r="C4887" s="1347" t="s">
        <v>1105</v>
      </c>
      <c r="D4887" s="1347" t="s">
        <v>6599</v>
      </c>
      <c r="E4887" s="1347" t="s">
        <v>6600</v>
      </c>
    </row>
    <row r="4888" spans="1:5" x14ac:dyDescent="0.45">
      <c r="B4888" s="1347" t="s">
        <v>6601</v>
      </c>
      <c r="D4888" s="1347" t="s">
        <v>6602</v>
      </c>
      <c r="E4888" s="1347" t="s">
        <v>6603</v>
      </c>
    </row>
    <row r="4889" spans="1:5" x14ac:dyDescent="0.45">
      <c r="A4889" s="1347" t="s">
        <v>1105</v>
      </c>
      <c r="B4889" s="1347" t="s">
        <v>6604</v>
      </c>
      <c r="D4889" s="1347" t="s">
        <v>6605</v>
      </c>
      <c r="E4889" s="1347" t="s">
        <v>6606</v>
      </c>
    </row>
    <row r="4890" spans="1:5" x14ac:dyDescent="0.45">
      <c r="B4890" s="1347" t="s">
        <v>6607</v>
      </c>
      <c r="D4890" s="1347" t="s">
        <v>6608</v>
      </c>
      <c r="E4890" s="1347" t="s">
        <v>6609</v>
      </c>
    </row>
    <row r="4891" spans="1:5" x14ac:dyDescent="0.45">
      <c r="B4891" s="1347" t="s">
        <v>6610</v>
      </c>
      <c r="D4891" s="1347" t="s">
        <v>6611</v>
      </c>
      <c r="E4891" s="1347" t="s">
        <v>6612</v>
      </c>
    </row>
    <row r="4892" spans="1:5" x14ac:dyDescent="0.45">
      <c r="B4892" s="1347" t="s">
        <v>6613</v>
      </c>
      <c r="D4892" s="1347" t="s">
        <v>6614</v>
      </c>
      <c r="E4892" s="1347" t="s">
        <v>6615</v>
      </c>
    </row>
    <row r="4893" spans="1:5" x14ac:dyDescent="0.45">
      <c r="B4893" s="1347" t="s">
        <v>1108</v>
      </c>
      <c r="D4893" s="1347" t="s">
        <v>6616</v>
      </c>
      <c r="E4893" s="1347" t="s">
        <v>6617</v>
      </c>
    </row>
    <row r="4894" spans="1:5" x14ac:dyDescent="0.45">
      <c r="A4894" s="1347">
        <v>-4</v>
      </c>
      <c r="B4894" s="1347" t="s">
        <v>6618</v>
      </c>
      <c r="D4894" s="1347" t="s">
        <v>6619</v>
      </c>
      <c r="E4894" s="1347" t="s">
        <v>6620</v>
      </c>
    </row>
    <row r="4895" spans="1:5" x14ac:dyDescent="0.45">
      <c r="B4895" s="1347" t="s">
        <v>6621</v>
      </c>
      <c r="D4895" s="1347" t="s">
        <v>6622</v>
      </c>
      <c r="E4895" s="1347" t="s">
        <v>6623</v>
      </c>
    </row>
    <row r="4896" spans="1:5" x14ac:dyDescent="0.45">
      <c r="B4896" s="1347">
        <f>-56    -99</f>
        <v>-155</v>
      </c>
      <c r="D4896" s="1347" t="s">
        <v>1109</v>
      </c>
      <c r="E4896" s="1347" t="s">
        <v>6624</v>
      </c>
    </row>
    <row r="4897" spans="1:5" x14ac:dyDescent="0.45">
      <c r="B4897" s="1347" t="s">
        <v>6625</v>
      </c>
      <c r="D4897" s="1347" t="s">
        <v>6626</v>
      </c>
      <c r="E4897" s="1347" t="s">
        <v>6627</v>
      </c>
    </row>
    <row r="4898" spans="1:5" x14ac:dyDescent="0.45">
      <c r="A4898" s="1347">
        <v>-33</v>
      </c>
      <c r="B4898" s="1347" t="s">
        <v>6628</v>
      </c>
      <c r="D4898" s="1347" t="s">
        <v>6629</v>
      </c>
      <c r="E4898" s="1347" t="s">
        <v>6630</v>
      </c>
    </row>
    <row r="4899" spans="1:5" x14ac:dyDescent="0.45">
      <c r="A4899" s="1347">
        <v>-2</v>
      </c>
      <c r="B4899" s="1347" t="s">
        <v>6631</v>
      </c>
      <c r="D4899" s="1347" t="s">
        <v>6632</v>
      </c>
      <c r="E4899" s="1347" t="s">
        <v>1110</v>
      </c>
    </row>
    <row r="4900" spans="1:5" x14ac:dyDescent="0.45">
      <c r="B4900" s="1347" t="s">
        <v>6633</v>
      </c>
      <c r="D4900" s="1347" t="s">
        <v>6634</v>
      </c>
      <c r="E4900" s="1347" t="s">
        <v>6635</v>
      </c>
    </row>
    <row r="4901" spans="1:5" x14ac:dyDescent="0.45">
      <c r="B4901" s="1347" t="s">
        <v>1108</v>
      </c>
      <c r="D4901" s="1347" t="s">
        <v>6636</v>
      </c>
      <c r="E4901" s="1347" t="s">
        <v>6637</v>
      </c>
    </row>
    <row r="4902" spans="1:5" x14ac:dyDescent="0.45">
      <c r="B4902" s="1347" t="s">
        <v>1108</v>
      </c>
      <c r="D4902" s="1347" t="s">
        <v>6638</v>
      </c>
      <c r="E4902" s="1347" t="s">
        <v>6639</v>
      </c>
    </row>
    <row r="4903" spans="1:5" x14ac:dyDescent="0.45">
      <c r="B4903" s="1347" t="s">
        <v>6640</v>
      </c>
      <c r="D4903" s="1347" t="s">
        <v>6641</v>
      </c>
      <c r="E4903" s="1347" t="s">
        <v>6642</v>
      </c>
    </row>
    <row r="4904" spans="1:5" x14ac:dyDescent="0.45">
      <c r="A4904" s="1347">
        <v>-3</v>
      </c>
      <c r="B4904" s="1347" t="s">
        <v>6643</v>
      </c>
      <c r="C4904" s="1347" t="s">
        <v>1105</v>
      </c>
      <c r="D4904" s="1347" t="s">
        <v>6644</v>
      </c>
      <c r="E4904" s="1347" t="s">
        <v>6645</v>
      </c>
    </row>
    <row r="4905" spans="1:5" x14ac:dyDescent="0.45">
      <c r="B4905" s="1347" t="s">
        <v>1108</v>
      </c>
      <c r="D4905" s="1347" t="s">
        <v>6646</v>
      </c>
      <c r="E4905" s="1347" t="s">
        <v>6647</v>
      </c>
    </row>
    <row r="4906" spans="1:5" x14ac:dyDescent="0.45">
      <c r="B4906" s="1347" t="s">
        <v>1108</v>
      </c>
      <c r="C4906" s="1347" t="s">
        <v>1105</v>
      </c>
      <c r="D4906" s="1347" t="s">
        <v>6648</v>
      </c>
      <c r="E4906" s="1347" t="s">
        <v>1476</v>
      </c>
    </row>
    <row r="4907" spans="1:5" x14ac:dyDescent="0.45">
      <c r="A4907" s="1347">
        <v>5</v>
      </c>
      <c r="B4907" s="1347" t="s">
        <v>6649</v>
      </c>
      <c r="C4907" s="1347" t="s">
        <v>1105</v>
      </c>
      <c r="D4907" s="1347" t="s">
        <v>6650</v>
      </c>
      <c r="E4907" s="1347" t="s">
        <v>1110</v>
      </c>
    </row>
    <row r="4908" spans="1:5" x14ac:dyDescent="0.45">
      <c r="B4908" s="1347" t="s">
        <v>1108</v>
      </c>
      <c r="D4908" s="1347" t="s">
        <v>1109</v>
      </c>
      <c r="E4908" s="1347" t="s">
        <v>6651</v>
      </c>
    </row>
    <row r="4909" spans="1:5" x14ac:dyDescent="0.45">
      <c r="B4909" s="1347" t="s">
        <v>1108</v>
      </c>
      <c r="D4909" s="1347" t="s">
        <v>6652</v>
      </c>
      <c r="E4909" s="1347" t="s">
        <v>6653</v>
      </c>
    </row>
    <row r="4910" spans="1:5" x14ac:dyDescent="0.45">
      <c r="A4910" s="1347">
        <v>19</v>
      </c>
      <c r="B4910" s="1347" t="s">
        <v>6654</v>
      </c>
      <c r="C4910" s="1347" t="s">
        <v>1105</v>
      </c>
      <c r="D4910" s="1347" t="s">
        <v>6655</v>
      </c>
      <c r="E4910" s="1347" t="s">
        <v>6656</v>
      </c>
    </row>
    <row r="4911" spans="1:5" x14ac:dyDescent="0.45">
      <c r="A4911" s="1347">
        <v>1</v>
      </c>
      <c r="B4911" s="1347" t="s">
        <v>6657</v>
      </c>
      <c r="D4911" s="1347" t="s">
        <v>6658</v>
      </c>
      <c r="E4911" s="1347" t="s">
        <v>6659</v>
      </c>
    </row>
    <row r="4912" spans="1:5" x14ac:dyDescent="0.45">
      <c r="B4912" s="1347" t="s">
        <v>6660</v>
      </c>
      <c r="D4912" s="1347" t="s">
        <v>6661</v>
      </c>
      <c r="E4912" s="1347" t="s">
        <v>6662</v>
      </c>
    </row>
    <row r="4913" spans="1:5" x14ac:dyDescent="0.45">
      <c r="B4913" s="1347" t="s">
        <v>1108</v>
      </c>
      <c r="D4913" s="1347" t="s">
        <v>6663</v>
      </c>
      <c r="E4913" s="1347" t="s">
        <v>6664</v>
      </c>
    </row>
    <row r="4914" spans="1:5" x14ac:dyDescent="0.45">
      <c r="A4914" s="1347">
        <v>-7</v>
      </c>
      <c r="B4914" s="1347" t="s">
        <v>6665</v>
      </c>
      <c r="C4914" s="1347" t="s">
        <v>1105</v>
      </c>
      <c r="D4914" s="1347" t="s">
        <v>6666</v>
      </c>
      <c r="E4914" s="1347" t="s">
        <v>6667</v>
      </c>
    </row>
    <row r="4915" spans="1:5" x14ac:dyDescent="0.45">
      <c r="B4915" s="1347" t="s">
        <v>1108</v>
      </c>
      <c r="D4915" s="1347" t="s">
        <v>6668</v>
      </c>
      <c r="E4915" s="1347" t="s">
        <v>6669</v>
      </c>
    </row>
    <row r="4916" spans="1:5" x14ac:dyDescent="0.45">
      <c r="B4916" s="1347" t="s">
        <v>1108</v>
      </c>
      <c r="D4916" s="1347" t="s">
        <v>6670</v>
      </c>
      <c r="E4916" s="1347" t="s">
        <v>6671</v>
      </c>
    </row>
    <row r="4917" spans="1:5" x14ac:dyDescent="0.45">
      <c r="B4917" s="1347" t="s">
        <v>6672</v>
      </c>
      <c r="D4917" s="1347" t="s">
        <v>6673</v>
      </c>
      <c r="E4917" s="1347" t="s">
        <v>6674</v>
      </c>
    </row>
    <row r="4918" spans="1:5" x14ac:dyDescent="0.45">
      <c r="A4918" s="1347">
        <v>-1</v>
      </c>
      <c r="B4918" s="1347" t="s">
        <v>6675</v>
      </c>
      <c r="D4918" s="1347" t="s">
        <v>6676</v>
      </c>
      <c r="E4918" s="1347" t="s">
        <v>6677</v>
      </c>
    </row>
    <row r="4919" spans="1:5" x14ac:dyDescent="0.45">
      <c r="B4919" s="1347" t="s">
        <v>6678</v>
      </c>
      <c r="D4919" s="1347" t="s">
        <v>6679</v>
      </c>
      <c r="E4919" s="1347" t="s">
        <v>6680</v>
      </c>
    </row>
    <row r="4920" spans="1:5" x14ac:dyDescent="0.45">
      <c r="B4920" s="1347" t="s">
        <v>6681</v>
      </c>
      <c r="D4920" s="1347" t="s">
        <v>6682</v>
      </c>
      <c r="E4920" s="1347" t="s">
        <v>6683</v>
      </c>
    </row>
    <row r="4921" spans="1:5" x14ac:dyDescent="0.45">
      <c r="B4921" s="1347" t="s">
        <v>6684</v>
      </c>
      <c r="C4921" s="1347" t="s">
        <v>1105</v>
      </c>
      <c r="D4921" s="1347" t="s">
        <v>6685</v>
      </c>
      <c r="E4921" s="1347" t="s">
        <v>6686</v>
      </c>
    </row>
    <row r="4922" spans="1:5" x14ac:dyDescent="0.45">
      <c r="B4922" s="1347" t="s">
        <v>6687</v>
      </c>
      <c r="D4922" s="1347" t="s">
        <v>6688</v>
      </c>
      <c r="E4922" s="1347" t="s">
        <v>6689</v>
      </c>
    </row>
    <row r="4923" spans="1:5" x14ac:dyDescent="0.45">
      <c r="B4923" s="1347" t="s">
        <v>1108</v>
      </c>
      <c r="D4923" s="1347" t="s">
        <v>6690</v>
      </c>
      <c r="E4923" s="1347" t="s">
        <v>6691</v>
      </c>
    </row>
    <row r="4924" spans="1:5" x14ac:dyDescent="0.45">
      <c r="A4924" s="1347">
        <v>5</v>
      </c>
      <c r="B4924" s="1347" t="s">
        <v>6692</v>
      </c>
      <c r="C4924" s="1347" t="s">
        <v>1105</v>
      </c>
      <c r="D4924" s="1347" t="s">
        <v>6693</v>
      </c>
      <c r="E4924" s="1347" t="s">
        <v>6694</v>
      </c>
    </row>
    <row r="4925" spans="1:5" x14ac:dyDescent="0.45">
      <c r="B4925" s="1347" t="s">
        <v>6695</v>
      </c>
      <c r="D4925" s="1347" t="s">
        <v>6696</v>
      </c>
      <c r="E4925" s="1347" t="s">
        <v>6697</v>
      </c>
    </row>
    <row r="4926" spans="1:5" x14ac:dyDescent="0.45">
      <c r="A4926" s="1347" t="s">
        <v>1105</v>
      </c>
      <c r="B4926" s="1347" t="s">
        <v>6698</v>
      </c>
      <c r="D4926" s="1347" t="s">
        <v>1109</v>
      </c>
      <c r="E4926" s="1347" t="s">
        <v>6699</v>
      </c>
    </row>
    <row r="4927" spans="1:5" x14ac:dyDescent="0.45">
      <c r="A4927" s="1347" t="s">
        <v>1105</v>
      </c>
      <c r="B4927" s="1347" t="s">
        <v>6700</v>
      </c>
      <c r="D4927" s="1347" t="s">
        <v>6701</v>
      </c>
      <c r="E4927" s="1347" t="s">
        <v>6702</v>
      </c>
    </row>
    <row r="4928" spans="1:5" x14ac:dyDescent="0.45">
      <c r="A4928" s="1347">
        <v>-3</v>
      </c>
      <c r="B4928" s="1347" t="s">
        <v>6703</v>
      </c>
      <c r="D4928" s="1347" t="s">
        <v>6704</v>
      </c>
      <c r="E4928" s="1347" t="s">
        <v>6705</v>
      </c>
    </row>
    <row r="4929" spans="1:5" x14ac:dyDescent="0.45">
      <c r="B4929" s="1347" t="s">
        <v>1364</v>
      </c>
      <c r="D4929" s="1347" t="s">
        <v>6279</v>
      </c>
      <c r="E4929" s="1347" t="s">
        <v>1110</v>
      </c>
    </row>
    <row r="4930" spans="1:5" x14ac:dyDescent="0.45">
      <c r="B4930" s="1347" t="s">
        <v>6706</v>
      </c>
      <c r="D4930" s="1347" t="s">
        <v>6707</v>
      </c>
      <c r="E4930" s="1347" t="s">
        <v>6708</v>
      </c>
    </row>
    <row r="4931" spans="1:5" x14ac:dyDescent="0.45">
      <c r="B4931" s="1347" t="s">
        <v>1108</v>
      </c>
      <c r="D4931" s="1347" t="s">
        <v>6709</v>
      </c>
      <c r="E4931" s="1347" t="s">
        <v>6710</v>
      </c>
    </row>
    <row r="4932" spans="1:5" x14ac:dyDescent="0.45">
      <c r="B4932" s="1347" t="s">
        <v>1108</v>
      </c>
      <c r="D4932" s="1347" t="s">
        <v>6711</v>
      </c>
      <c r="E4932" s="1347" t="s">
        <v>6712</v>
      </c>
    </row>
    <row r="4933" spans="1:5" x14ac:dyDescent="0.45">
      <c r="B4933" s="1347" t="s">
        <v>1291</v>
      </c>
      <c r="D4933" s="1347" t="s">
        <v>6713</v>
      </c>
      <c r="E4933" s="1347" t="s">
        <v>6714</v>
      </c>
    </row>
    <row r="4934" spans="1:5" x14ac:dyDescent="0.45">
      <c r="A4934" s="1347">
        <v>3</v>
      </c>
      <c r="B4934" s="1347" t="s">
        <v>6715</v>
      </c>
      <c r="D4934" s="1347" t="s">
        <v>6716</v>
      </c>
      <c r="E4934" s="1347" t="s">
        <v>6717</v>
      </c>
    </row>
    <row r="4935" spans="1:5" x14ac:dyDescent="0.45">
      <c r="B4935" s="1347" t="s">
        <v>1108</v>
      </c>
      <c r="D4935" s="1347" t="s">
        <v>6718</v>
      </c>
      <c r="E4935" s="1347" t="s">
        <v>6719</v>
      </c>
    </row>
    <row r="4936" spans="1:5" x14ac:dyDescent="0.45">
      <c r="B4936" s="1347" t="s">
        <v>1108</v>
      </c>
      <c r="D4936" s="1347" t="s">
        <v>6720</v>
      </c>
      <c r="E4936" s="1347" t="s">
        <v>1350</v>
      </c>
    </row>
    <row r="4937" spans="1:5" x14ac:dyDescent="0.45">
      <c r="A4937" s="1347">
        <v>-5</v>
      </c>
      <c r="B4937" s="1347" t="s">
        <v>2826</v>
      </c>
      <c r="D4937" s="1347" t="s">
        <v>6721</v>
      </c>
      <c r="E4937" s="1347" t="s">
        <v>1110</v>
      </c>
    </row>
    <row r="4938" spans="1:5" x14ac:dyDescent="0.45">
      <c r="B4938" s="1347" t="s">
        <v>1108</v>
      </c>
      <c r="D4938" s="1347" t="s">
        <v>1109</v>
      </c>
      <c r="E4938" s="1347" t="s">
        <v>6722</v>
      </c>
    </row>
    <row r="4939" spans="1:5" x14ac:dyDescent="0.45">
      <c r="B4939" s="1347" t="s">
        <v>1108</v>
      </c>
      <c r="D4939" s="1347" t="s">
        <v>6723</v>
      </c>
      <c r="E4939" s="1347" t="s">
        <v>6724</v>
      </c>
    </row>
    <row r="4940" spans="1:5" x14ac:dyDescent="0.45">
      <c r="A4940" s="1347">
        <v>-10</v>
      </c>
      <c r="B4940" s="1347" t="s">
        <v>6725</v>
      </c>
      <c r="C4940" s="1347">
        <v>1</v>
      </c>
      <c r="D4940" s="1347" t="s">
        <v>6726</v>
      </c>
      <c r="E4940" s="1347" t="s">
        <v>6727</v>
      </c>
    </row>
    <row r="4941" spans="1:5" x14ac:dyDescent="0.45">
      <c r="A4941" s="1347">
        <v>-24</v>
      </c>
      <c r="B4941" s="1347" t="s">
        <v>4492</v>
      </c>
      <c r="D4941" s="1347" t="s">
        <v>1109</v>
      </c>
      <c r="E4941" s="1347" t="s">
        <v>1110</v>
      </c>
    </row>
    <row r="4942" spans="1:5" x14ac:dyDescent="0.45">
      <c r="B4942" s="1347" t="s">
        <v>1108</v>
      </c>
      <c r="D4942" s="1347" t="s">
        <v>1109</v>
      </c>
      <c r="E4942" s="1347" t="s">
        <v>1110</v>
      </c>
    </row>
    <row r="4943" spans="1:5" x14ac:dyDescent="0.45">
      <c r="B4943" s="1347" t="s">
        <v>1108</v>
      </c>
      <c r="D4943" s="1347" t="s">
        <v>1109</v>
      </c>
      <c r="E4943" s="1347" t="s">
        <v>1110</v>
      </c>
    </row>
    <row r="4944" spans="1:5" x14ac:dyDescent="0.45">
      <c r="B4944" s="1347" t="s">
        <v>1108</v>
      </c>
      <c r="D4944" s="1347" t="s">
        <v>1109</v>
      </c>
      <c r="E4944" s="1347" t="s">
        <v>1110</v>
      </c>
    </row>
    <row r="4945" spans="2:5" x14ac:dyDescent="0.45">
      <c r="B4945" s="1347" t="s">
        <v>1108</v>
      </c>
      <c r="D4945" s="1347" t="s">
        <v>1109</v>
      </c>
      <c r="E4945" s="1347" t="s">
        <v>1110</v>
      </c>
    </row>
    <row r="4946" spans="2:5" x14ac:dyDescent="0.45">
      <c r="B4946" s="1347" t="s">
        <v>1108</v>
      </c>
      <c r="D4946" s="1347" t="s">
        <v>1109</v>
      </c>
      <c r="E4946" s="1347" t="s">
        <v>1110</v>
      </c>
    </row>
    <row r="4947" spans="2:5" x14ac:dyDescent="0.45">
      <c r="B4947" s="1347" t="s">
        <v>1108</v>
      </c>
      <c r="D4947" s="1347" t="s">
        <v>1109</v>
      </c>
      <c r="E4947" s="1347" t="s">
        <v>1110</v>
      </c>
    </row>
    <row r="4948" spans="2:5" x14ac:dyDescent="0.45">
      <c r="B4948" s="1347" t="s">
        <v>1108</v>
      </c>
      <c r="D4948" s="1347" t="s">
        <v>1109</v>
      </c>
      <c r="E4948" s="1347" t="s">
        <v>1110</v>
      </c>
    </row>
    <row r="4949" spans="2:5" x14ac:dyDescent="0.45">
      <c r="B4949" s="1347" t="s">
        <v>1108</v>
      </c>
      <c r="D4949" s="1347" t="s">
        <v>1109</v>
      </c>
      <c r="E4949" s="1347" t="s">
        <v>1110</v>
      </c>
    </row>
    <row r="4950" spans="2:5" x14ac:dyDescent="0.45">
      <c r="B4950" s="1347" t="s">
        <v>1108</v>
      </c>
      <c r="D4950" s="1347" t="s">
        <v>1109</v>
      </c>
      <c r="E4950" s="1347" t="s">
        <v>1110</v>
      </c>
    </row>
    <row r="4951" spans="2:5" x14ac:dyDescent="0.45">
      <c r="B4951" s="1347" t="s">
        <v>1108</v>
      </c>
      <c r="D4951" s="1347" t="s">
        <v>1109</v>
      </c>
      <c r="E4951" s="1347" t="s">
        <v>1110</v>
      </c>
    </row>
    <row r="4952" spans="2:5" x14ac:dyDescent="0.45">
      <c r="B4952" s="1347" t="s">
        <v>1108</v>
      </c>
      <c r="D4952" s="1347" t="s">
        <v>1109</v>
      </c>
      <c r="E4952" s="1347" t="s">
        <v>1110</v>
      </c>
    </row>
    <row r="4953" spans="2:5" x14ac:dyDescent="0.45">
      <c r="B4953" s="1347" t="s">
        <v>1108</v>
      </c>
      <c r="D4953" s="1347" t="s">
        <v>1109</v>
      </c>
      <c r="E4953" s="1347" t="s">
        <v>1110</v>
      </c>
    </row>
    <row r="4954" spans="2:5" x14ac:dyDescent="0.45">
      <c r="B4954" s="1347" t="s">
        <v>1108</v>
      </c>
      <c r="D4954" s="1347" t="s">
        <v>1109</v>
      </c>
      <c r="E4954" s="1347" t="s">
        <v>1110</v>
      </c>
    </row>
    <row r="4955" spans="2:5" x14ac:dyDescent="0.45">
      <c r="B4955" s="1347" t="s">
        <v>1108</v>
      </c>
      <c r="D4955" s="1347" t="s">
        <v>1109</v>
      </c>
      <c r="E4955" s="1347" t="s">
        <v>1110</v>
      </c>
    </row>
    <row r="4956" spans="2:5" x14ac:dyDescent="0.45">
      <c r="B4956" s="1347" t="s">
        <v>1108</v>
      </c>
      <c r="D4956" s="1347" t="s">
        <v>1109</v>
      </c>
      <c r="E4956" s="1347" t="s">
        <v>1110</v>
      </c>
    </row>
    <row r="4957" spans="2:5" x14ac:dyDescent="0.45">
      <c r="B4957" s="1347" t="s">
        <v>1108</v>
      </c>
      <c r="D4957" s="1347" t="s">
        <v>1109</v>
      </c>
      <c r="E4957" s="1347" t="s">
        <v>1110</v>
      </c>
    </row>
    <row r="4958" spans="2:5" x14ac:dyDescent="0.45">
      <c r="B4958" s="1347" t="s">
        <v>1108</v>
      </c>
      <c r="D4958" s="1347" t="s">
        <v>1109</v>
      </c>
      <c r="E4958" s="1347" t="s">
        <v>1110</v>
      </c>
    </row>
    <row r="4959" spans="2:5" x14ac:dyDescent="0.45">
      <c r="B4959" s="1347" t="s">
        <v>1108</v>
      </c>
      <c r="D4959" s="1347" t="s">
        <v>1109</v>
      </c>
      <c r="E4959" s="1347" t="s">
        <v>1110</v>
      </c>
    </row>
    <row r="4960" spans="2:5" x14ac:dyDescent="0.45">
      <c r="B4960" s="1347" t="s">
        <v>1108</v>
      </c>
      <c r="D4960" s="1347" t="s">
        <v>1109</v>
      </c>
      <c r="E4960" s="1347" t="s">
        <v>1110</v>
      </c>
    </row>
    <row r="4961" spans="1:5" x14ac:dyDescent="0.45">
      <c r="B4961" s="1347" t="s">
        <v>1108</v>
      </c>
      <c r="D4961" s="1347" t="s">
        <v>1109</v>
      </c>
      <c r="E4961" s="1347" t="s">
        <v>1110</v>
      </c>
    </row>
    <row r="4962" spans="1:5" x14ac:dyDescent="0.45">
      <c r="B4962" s="1347" t="s">
        <v>1108</v>
      </c>
      <c r="D4962" s="1347" t="s">
        <v>1109</v>
      </c>
      <c r="E4962" s="1347" t="s">
        <v>1110</v>
      </c>
    </row>
    <row r="4963" spans="1:5" x14ac:dyDescent="0.45">
      <c r="B4963" s="1347" t="s">
        <v>1108</v>
      </c>
      <c r="D4963" s="1347" t="s">
        <v>1109</v>
      </c>
      <c r="E4963" s="1347" t="s">
        <v>1110</v>
      </c>
    </row>
    <row r="4964" spans="1:5" x14ac:dyDescent="0.45">
      <c r="B4964" s="1347" t="s">
        <v>1108</v>
      </c>
      <c r="D4964" s="1347" t="s">
        <v>1109</v>
      </c>
      <c r="E4964" s="1347" t="s">
        <v>1110</v>
      </c>
    </row>
    <row r="4965" spans="1:5" x14ac:dyDescent="0.45">
      <c r="B4965" s="1347" t="s">
        <v>1108</v>
      </c>
      <c r="D4965" s="1347" t="s">
        <v>1109</v>
      </c>
      <c r="E4965" s="1347" t="s">
        <v>1110</v>
      </c>
    </row>
    <row r="4966" spans="1:5" x14ac:dyDescent="0.45">
      <c r="B4966" s="1347" t="s">
        <v>1108</v>
      </c>
      <c r="D4966" s="1347" t="s">
        <v>1109</v>
      </c>
      <c r="E4966" s="1347" t="s">
        <v>1110</v>
      </c>
    </row>
    <row r="4967" spans="1:5" x14ac:dyDescent="0.45">
      <c r="B4967" s="1347" t="s">
        <v>1108</v>
      </c>
      <c r="D4967" s="1347" t="s">
        <v>1109</v>
      </c>
      <c r="E4967" s="1347" t="s">
        <v>1110</v>
      </c>
    </row>
    <row r="4968" spans="1:5" x14ac:dyDescent="0.45">
      <c r="B4968" s="1347" t="s">
        <v>1108</v>
      </c>
      <c r="D4968" s="1347" t="s">
        <v>1109</v>
      </c>
      <c r="E4968" s="1347" t="s">
        <v>1110</v>
      </c>
    </row>
    <row r="4969" spans="1:5" x14ac:dyDescent="0.45">
      <c r="B4969" s="1347" t="s">
        <v>1108</v>
      </c>
      <c r="D4969" s="1347" t="s">
        <v>1109</v>
      </c>
      <c r="E4969" s="1347" t="s">
        <v>1110</v>
      </c>
    </row>
    <row r="4970" spans="1:5" x14ac:dyDescent="0.45">
      <c r="B4970" s="1347" t="s">
        <v>1108</v>
      </c>
      <c r="D4970" s="1347" t="s">
        <v>1109</v>
      </c>
      <c r="E4970" s="1347" t="s">
        <v>1110</v>
      </c>
    </row>
    <row r="4971" spans="1:5" x14ac:dyDescent="0.45">
      <c r="B4971" s="1347" t="s">
        <v>1108</v>
      </c>
      <c r="D4971" s="1347" t="s">
        <v>6728</v>
      </c>
      <c r="E4971" s="1347" t="s">
        <v>6729</v>
      </c>
    </row>
    <row r="4972" spans="1:5" x14ac:dyDescent="0.45">
      <c r="B4972" s="1347" t="s">
        <v>5702</v>
      </c>
      <c r="D4972" s="1347" t="s">
        <v>6730</v>
      </c>
      <c r="E4972" s="1347" t="s">
        <v>1110</v>
      </c>
    </row>
    <row r="4973" spans="1:5" x14ac:dyDescent="0.45">
      <c r="B4973" s="1347" t="s">
        <v>1108</v>
      </c>
      <c r="D4973" s="1347" t="s">
        <v>6731</v>
      </c>
      <c r="E4973" s="1347" t="s">
        <v>6732</v>
      </c>
    </row>
    <row r="4974" spans="1:5" x14ac:dyDescent="0.45">
      <c r="A4974" s="1347" t="s">
        <v>1105</v>
      </c>
      <c r="B4974" s="1347" t="s">
        <v>6733</v>
      </c>
      <c r="D4974" s="1347" t="s">
        <v>6734</v>
      </c>
      <c r="E4974" s="1347" t="s">
        <v>6735</v>
      </c>
    </row>
    <row r="4975" spans="1:5" x14ac:dyDescent="0.45">
      <c r="B4975" s="1347" t="s">
        <v>6736</v>
      </c>
      <c r="D4975" s="1347" t="s">
        <v>1109</v>
      </c>
      <c r="E4975" s="1347" t="s">
        <v>6737</v>
      </c>
    </row>
    <row r="4976" spans="1:5" x14ac:dyDescent="0.45">
      <c r="B4976" s="1347" t="s">
        <v>6738</v>
      </c>
      <c r="D4976" s="1347" t="s">
        <v>6739</v>
      </c>
      <c r="E4976" s="1347" t="s">
        <v>1110</v>
      </c>
    </row>
    <row r="4977" spans="1:5" x14ac:dyDescent="0.45">
      <c r="B4977" s="1347" t="s">
        <v>6740</v>
      </c>
      <c r="D4977" s="1347" t="s">
        <v>6741</v>
      </c>
      <c r="E4977" s="1347" t="s">
        <v>6742</v>
      </c>
    </row>
    <row r="4978" spans="1:5" x14ac:dyDescent="0.45">
      <c r="B4978" s="1347" t="s">
        <v>1108</v>
      </c>
      <c r="C4978" s="1347">
        <v>1</v>
      </c>
      <c r="D4978" s="1347" t="s">
        <v>6743</v>
      </c>
      <c r="E4978" s="1347" t="s">
        <v>6744</v>
      </c>
    </row>
    <row r="4979" spans="1:5" x14ac:dyDescent="0.45">
      <c r="A4979" s="1347">
        <v>6</v>
      </c>
      <c r="B4979" s="1347" t="s">
        <v>6745</v>
      </c>
      <c r="D4979" s="1347" t="s">
        <v>6746</v>
      </c>
      <c r="E4979" s="1347" t="s">
        <v>6747</v>
      </c>
    </row>
    <row r="4980" spans="1:5" x14ac:dyDescent="0.45">
      <c r="B4980" s="1347" t="s">
        <v>1108</v>
      </c>
      <c r="C4980" s="1347" t="s">
        <v>1105</v>
      </c>
      <c r="D4980" s="1347" t="s">
        <v>6748</v>
      </c>
      <c r="E4980" s="1347" t="s">
        <v>6749</v>
      </c>
    </row>
    <row r="4981" spans="1:5" x14ac:dyDescent="0.45">
      <c r="B4981" s="1347" t="s">
        <v>6750</v>
      </c>
      <c r="D4981" s="1347" t="s">
        <v>6751</v>
      </c>
      <c r="E4981" s="1347" t="s">
        <v>6752</v>
      </c>
    </row>
    <row r="4982" spans="1:5" x14ac:dyDescent="0.45">
      <c r="A4982" s="1347">
        <v>-1</v>
      </c>
      <c r="B4982" s="1347" t="s">
        <v>6753</v>
      </c>
      <c r="D4982" s="1347" t="s">
        <v>6754</v>
      </c>
      <c r="E4982" s="1347" t="s">
        <v>6755</v>
      </c>
    </row>
    <row r="4983" spans="1:5" x14ac:dyDescent="0.45">
      <c r="A4983" s="1347">
        <v>-2</v>
      </c>
      <c r="B4983" s="1347" t="s">
        <v>1129</v>
      </c>
      <c r="D4983" s="1347" t="s">
        <v>1109</v>
      </c>
      <c r="E4983" s="1347" t="s">
        <v>6756</v>
      </c>
    </row>
    <row r="4984" spans="1:5" x14ac:dyDescent="0.45">
      <c r="A4984" s="1347">
        <v>-1</v>
      </c>
      <c r="B4984" s="1347" t="s">
        <v>6757</v>
      </c>
      <c r="D4984" s="1347" t="s">
        <v>6758</v>
      </c>
      <c r="E4984" s="1347" t="s">
        <v>6759</v>
      </c>
    </row>
    <row r="4985" spans="1:5" x14ac:dyDescent="0.45">
      <c r="B4985" s="1347" t="s">
        <v>6760</v>
      </c>
      <c r="D4985" s="1347" t="s">
        <v>6761</v>
      </c>
      <c r="E4985" s="1347" t="s">
        <v>6762</v>
      </c>
    </row>
    <row r="4986" spans="1:5" x14ac:dyDescent="0.45">
      <c r="B4986" s="1347" t="s">
        <v>1291</v>
      </c>
      <c r="D4986" s="1347">
        <f>-480   -496  -1550</f>
        <v>-2526</v>
      </c>
      <c r="E4986" s="1347" t="s">
        <v>1110</v>
      </c>
    </row>
    <row r="4987" spans="1:5" x14ac:dyDescent="0.45">
      <c r="B4987" s="1347" t="s">
        <v>3177</v>
      </c>
      <c r="D4987" s="1347" t="s">
        <v>6763</v>
      </c>
      <c r="E4987" s="1347" t="s">
        <v>6764</v>
      </c>
    </row>
    <row r="4988" spans="1:5" x14ac:dyDescent="0.45">
      <c r="B4988" s="1347" t="s">
        <v>1108</v>
      </c>
      <c r="D4988" s="1347" t="s">
        <v>6765</v>
      </c>
      <c r="E4988" s="1347" t="s">
        <v>6766</v>
      </c>
    </row>
    <row r="4989" spans="1:5" x14ac:dyDescent="0.45">
      <c r="B4989" s="1347" t="s">
        <v>4863</v>
      </c>
      <c r="D4989" s="1347" t="s">
        <v>6767</v>
      </c>
      <c r="E4989" s="1347" t="s">
        <v>1350</v>
      </c>
    </row>
    <row r="4990" spans="1:5" x14ac:dyDescent="0.45">
      <c r="B4990" s="1347" t="s">
        <v>1108</v>
      </c>
      <c r="D4990" s="1347" t="s">
        <v>6768</v>
      </c>
      <c r="E4990" s="1347" t="s">
        <v>6769</v>
      </c>
    </row>
    <row r="4991" spans="1:5" x14ac:dyDescent="0.45">
      <c r="A4991" s="1347">
        <v>2</v>
      </c>
      <c r="B4991" s="1347" t="s">
        <v>6770</v>
      </c>
      <c r="D4991" s="1347" t="s">
        <v>1109</v>
      </c>
      <c r="E4991" s="1347" t="s">
        <v>6771</v>
      </c>
    </row>
    <row r="4992" spans="1:5" x14ac:dyDescent="0.45">
      <c r="A4992" s="1347">
        <v>-2</v>
      </c>
      <c r="B4992" s="1347" t="s">
        <v>6772</v>
      </c>
      <c r="C4992" s="1347" t="s">
        <v>1105</v>
      </c>
      <c r="D4992" s="1347" t="s">
        <v>6773</v>
      </c>
      <c r="E4992" s="1347" t="s">
        <v>6774</v>
      </c>
    </row>
    <row r="4993" spans="1:5" x14ac:dyDescent="0.45">
      <c r="B4993" s="1347" t="s">
        <v>1108</v>
      </c>
      <c r="C4993" s="1347" t="s">
        <v>1105</v>
      </c>
      <c r="D4993" s="1347" t="s">
        <v>6775</v>
      </c>
      <c r="E4993" s="1347" t="s">
        <v>6776</v>
      </c>
    </row>
    <row r="4994" spans="1:5" x14ac:dyDescent="0.45">
      <c r="A4994" s="1347">
        <v>1</v>
      </c>
      <c r="B4994" s="1347" t="s">
        <v>6777</v>
      </c>
      <c r="C4994" s="1347" t="s">
        <v>1105</v>
      </c>
      <c r="D4994" s="1347" t="s">
        <v>6778</v>
      </c>
      <c r="E4994" s="1347" t="s">
        <v>6779</v>
      </c>
    </row>
    <row r="4995" spans="1:5" x14ac:dyDescent="0.45">
      <c r="B4995" s="1347" t="s">
        <v>1108</v>
      </c>
      <c r="D4995" s="1347" t="s">
        <v>1109</v>
      </c>
      <c r="E4995" s="1347" t="s">
        <v>6780</v>
      </c>
    </row>
    <row r="4996" spans="1:5" x14ac:dyDescent="0.45">
      <c r="A4996" s="1347">
        <v>-1</v>
      </c>
      <c r="B4996" s="1347" t="s">
        <v>6781</v>
      </c>
      <c r="D4996" s="1347" t="s">
        <v>6782</v>
      </c>
      <c r="E4996" s="1347" t="s">
        <v>6783</v>
      </c>
    </row>
    <row r="4997" spans="1:5" x14ac:dyDescent="0.45">
      <c r="B4997" s="1347" t="s">
        <v>1108</v>
      </c>
      <c r="D4997" s="1347" t="s">
        <v>6784</v>
      </c>
      <c r="E4997" s="1347" t="s">
        <v>6785</v>
      </c>
    </row>
    <row r="4998" spans="1:5" x14ac:dyDescent="0.45">
      <c r="B4998" s="1347" t="s">
        <v>1108</v>
      </c>
      <c r="D4998" s="1347" t="s">
        <v>1109</v>
      </c>
      <c r="E4998" s="1347" t="s">
        <v>1110</v>
      </c>
    </row>
    <row r="4999" spans="1:5" x14ac:dyDescent="0.45">
      <c r="B4999" s="1347" t="s">
        <v>1108</v>
      </c>
      <c r="D4999" s="1347" t="s">
        <v>6786</v>
      </c>
      <c r="E4999" s="1347" t="s">
        <v>6787</v>
      </c>
    </row>
    <row r="5000" spans="1:5" x14ac:dyDescent="0.45">
      <c r="A5000" s="1347">
        <v>4</v>
      </c>
      <c r="B5000" s="1347" t="s">
        <v>6788</v>
      </c>
      <c r="C5000" s="1347">
        <v>2</v>
      </c>
      <c r="D5000" s="1347" t="s">
        <v>6789</v>
      </c>
      <c r="E5000" s="1347" t="s">
        <v>6790</v>
      </c>
    </row>
    <row r="5001" spans="1:5" x14ac:dyDescent="0.45">
      <c r="A5001" s="1347">
        <v>44</v>
      </c>
      <c r="B5001" s="1347" t="s">
        <v>6791</v>
      </c>
      <c r="C5001" s="1347">
        <v>1</v>
      </c>
      <c r="D5001" s="1347" t="s">
        <v>6792</v>
      </c>
      <c r="E5001" s="1347" t="s">
        <v>6793</v>
      </c>
    </row>
    <row r="5002" spans="1:5" x14ac:dyDescent="0.45">
      <c r="B5002" s="1347" t="s">
        <v>6794</v>
      </c>
      <c r="D5002" s="1347" t="s">
        <v>6795</v>
      </c>
      <c r="E5002" s="1347" t="s">
        <v>6796</v>
      </c>
    </row>
    <row r="5003" spans="1:5" x14ac:dyDescent="0.45">
      <c r="B5003" s="1347" t="s">
        <v>1108</v>
      </c>
      <c r="D5003" s="1347" t="s">
        <v>6797</v>
      </c>
      <c r="E5003" s="1347" t="s">
        <v>6798</v>
      </c>
    </row>
    <row r="5004" spans="1:5" x14ac:dyDescent="0.45">
      <c r="B5004" s="1347" t="s">
        <v>3973</v>
      </c>
      <c r="D5004" s="1347" t="s">
        <v>6799</v>
      </c>
      <c r="E5004" s="1347" t="s">
        <v>6800</v>
      </c>
    </row>
    <row r="5005" spans="1:5" x14ac:dyDescent="0.45">
      <c r="B5005" s="1347" t="s">
        <v>6801</v>
      </c>
      <c r="D5005" s="1347" t="s">
        <v>3910</v>
      </c>
      <c r="E5005" s="1347" t="s">
        <v>6802</v>
      </c>
    </row>
    <row r="5006" spans="1:5" x14ac:dyDescent="0.45">
      <c r="B5006" s="1347" t="s">
        <v>1108</v>
      </c>
      <c r="D5006" s="1347" t="s">
        <v>6803</v>
      </c>
      <c r="E5006" s="1347" t="s">
        <v>1402</v>
      </c>
    </row>
    <row r="5007" spans="1:5" x14ac:dyDescent="0.45">
      <c r="B5007" s="1347" t="s">
        <v>6804</v>
      </c>
      <c r="D5007" s="1347" t="s">
        <v>6805</v>
      </c>
      <c r="E5007" s="1347" t="s">
        <v>6806</v>
      </c>
    </row>
    <row r="5008" spans="1:5" x14ac:dyDescent="0.45">
      <c r="A5008" s="1347">
        <v>-2</v>
      </c>
      <c r="B5008" s="1347" t="s">
        <v>6807</v>
      </c>
      <c r="D5008" s="1347" t="s">
        <v>4330</v>
      </c>
      <c r="E5008" s="1347" t="s">
        <v>6808</v>
      </c>
    </row>
    <row r="5009" spans="1:5" x14ac:dyDescent="0.45">
      <c r="A5009" s="1347" t="s">
        <v>1105</v>
      </c>
      <c r="B5009" s="1347" t="s">
        <v>6809</v>
      </c>
      <c r="D5009" s="1347" t="s">
        <v>6810</v>
      </c>
      <c r="E5009" s="1347" t="s">
        <v>6811</v>
      </c>
    </row>
    <row r="5010" spans="1:5" x14ac:dyDescent="0.45">
      <c r="B5010" s="1347" t="s">
        <v>1108</v>
      </c>
      <c r="D5010" s="1347" t="s">
        <v>6812</v>
      </c>
      <c r="E5010" s="1347" t="s">
        <v>6813</v>
      </c>
    </row>
    <row r="5011" spans="1:5" x14ac:dyDescent="0.45">
      <c r="B5011" s="1347" t="s">
        <v>6814</v>
      </c>
      <c r="C5011" s="1347">
        <v>-1</v>
      </c>
      <c r="D5011" s="1347" t="s">
        <v>6815</v>
      </c>
      <c r="E5011" s="1347" t="s">
        <v>6816</v>
      </c>
    </row>
    <row r="5012" spans="1:5" x14ac:dyDescent="0.45">
      <c r="B5012" s="1347" t="s">
        <v>1663</v>
      </c>
      <c r="D5012" s="1347" t="s">
        <v>6817</v>
      </c>
      <c r="E5012" s="1347" t="s">
        <v>6818</v>
      </c>
    </row>
    <row r="5013" spans="1:5" x14ac:dyDescent="0.45">
      <c r="A5013" s="1347">
        <v>-6</v>
      </c>
      <c r="B5013" s="1347" t="s">
        <v>6819</v>
      </c>
      <c r="D5013" s="1347" t="s">
        <v>6820</v>
      </c>
      <c r="E5013" s="1347" t="s">
        <v>6821</v>
      </c>
    </row>
    <row r="5014" spans="1:5" x14ac:dyDescent="0.45">
      <c r="B5014" s="1347" t="s">
        <v>3631</v>
      </c>
      <c r="D5014" s="1347" t="s">
        <v>6822</v>
      </c>
      <c r="E5014" s="1347" t="s">
        <v>6823</v>
      </c>
    </row>
    <row r="5015" spans="1:5" x14ac:dyDescent="0.45">
      <c r="B5015" s="1347">
        <f>-13   -241</f>
        <v>-254</v>
      </c>
      <c r="D5015" s="1347" t="s">
        <v>6824</v>
      </c>
      <c r="E5015" s="1347" t="s">
        <v>6825</v>
      </c>
    </row>
    <row r="5016" spans="1:5" x14ac:dyDescent="0.45">
      <c r="A5016" s="1347" t="s">
        <v>1105</v>
      </c>
      <c r="B5016" s="1347" t="s">
        <v>6464</v>
      </c>
      <c r="D5016" s="1347" t="s">
        <v>6826</v>
      </c>
      <c r="E5016" s="1347" t="s">
        <v>6827</v>
      </c>
    </row>
    <row r="5017" spans="1:5" x14ac:dyDescent="0.45">
      <c r="B5017" s="1347" t="s">
        <v>1108</v>
      </c>
      <c r="D5017" s="1347" t="s">
        <v>6828</v>
      </c>
      <c r="E5017" s="1347" t="s">
        <v>6829</v>
      </c>
    </row>
    <row r="5018" spans="1:5" x14ac:dyDescent="0.45">
      <c r="A5018" s="1347">
        <v>-10</v>
      </c>
      <c r="B5018" s="1347" t="s">
        <v>6830</v>
      </c>
      <c r="D5018" s="1347" t="s">
        <v>1719</v>
      </c>
      <c r="E5018" s="1347" t="s">
        <v>6831</v>
      </c>
    </row>
    <row r="5019" spans="1:5" x14ac:dyDescent="0.45">
      <c r="B5019" s="1347" t="s">
        <v>6832</v>
      </c>
      <c r="D5019" s="1347" t="s">
        <v>6833</v>
      </c>
      <c r="E5019" s="1347" t="s">
        <v>6834</v>
      </c>
    </row>
    <row r="5020" spans="1:5" x14ac:dyDescent="0.45">
      <c r="B5020" s="1347" t="s">
        <v>1108</v>
      </c>
      <c r="D5020" s="1347" t="s">
        <v>1109</v>
      </c>
      <c r="E5020" s="1347" t="s">
        <v>6835</v>
      </c>
    </row>
    <row r="5021" spans="1:5" x14ac:dyDescent="0.45">
      <c r="A5021" s="1347" t="s">
        <v>1105</v>
      </c>
      <c r="B5021" s="1347" t="s">
        <v>6836</v>
      </c>
      <c r="D5021" s="1347" t="s">
        <v>6837</v>
      </c>
      <c r="E5021" s="1347" t="s">
        <v>1110</v>
      </c>
    </row>
    <row r="5022" spans="1:5" x14ac:dyDescent="0.45">
      <c r="A5022" s="1347">
        <v>-3</v>
      </c>
      <c r="B5022" s="1347" t="s">
        <v>6838</v>
      </c>
      <c r="C5022" s="1347" t="s">
        <v>1105</v>
      </c>
      <c r="D5022" s="1347" t="s">
        <v>6839</v>
      </c>
      <c r="E5022" s="1347" t="s">
        <v>1110</v>
      </c>
    </row>
    <row r="5023" spans="1:5" x14ac:dyDescent="0.45">
      <c r="A5023" s="1347" t="s">
        <v>1105</v>
      </c>
      <c r="B5023" s="1347" t="s">
        <v>6840</v>
      </c>
      <c r="D5023" s="1347" t="s">
        <v>6841</v>
      </c>
      <c r="E5023" s="1347" t="s">
        <v>6842</v>
      </c>
    </row>
    <row r="5024" spans="1:5" x14ac:dyDescent="0.45">
      <c r="B5024" s="1347" t="s">
        <v>6843</v>
      </c>
      <c r="D5024" s="1347" t="s">
        <v>6844</v>
      </c>
      <c r="E5024" s="1347" t="s">
        <v>6845</v>
      </c>
    </row>
    <row r="5025" spans="1:5" x14ac:dyDescent="0.45">
      <c r="A5025" s="1347" t="s">
        <v>1105</v>
      </c>
      <c r="B5025" s="1347" t="s">
        <v>6846</v>
      </c>
      <c r="D5025" s="1347" t="s">
        <v>6847</v>
      </c>
      <c r="E5025" s="1347" t="s">
        <v>1110</v>
      </c>
    </row>
    <row r="5026" spans="1:5" x14ac:dyDescent="0.45">
      <c r="A5026" s="1347" t="s">
        <v>1105</v>
      </c>
      <c r="B5026" s="1347" t="s">
        <v>6848</v>
      </c>
      <c r="D5026" s="1347" t="s">
        <v>6849</v>
      </c>
      <c r="E5026" s="1347" t="s">
        <v>6850</v>
      </c>
    </row>
    <row r="5027" spans="1:5" x14ac:dyDescent="0.45">
      <c r="B5027" s="1347" t="s">
        <v>6851</v>
      </c>
      <c r="D5027" s="1347" t="s">
        <v>1109</v>
      </c>
      <c r="E5027" s="1347" t="s">
        <v>6852</v>
      </c>
    </row>
    <row r="5028" spans="1:5" x14ac:dyDescent="0.45">
      <c r="B5028" s="1347" t="s">
        <v>1108</v>
      </c>
      <c r="D5028" s="1347" t="s">
        <v>1109</v>
      </c>
      <c r="E5028" s="1347" t="s">
        <v>1110</v>
      </c>
    </row>
    <row r="5029" spans="1:5" x14ac:dyDescent="0.45">
      <c r="B5029" s="1347" t="s">
        <v>1108</v>
      </c>
      <c r="D5029" s="1347" t="s">
        <v>6853</v>
      </c>
      <c r="E5029" s="1347" t="s">
        <v>1113</v>
      </c>
    </row>
    <row r="5030" spans="1:5" x14ac:dyDescent="0.45">
      <c r="B5030" s="1347" t="s">
        <v>4863</v>
      </c>
      <c r="D5030" s="1347" t="s">
        <v>6854</v>
      </c>
      <c r="E5030" s="1347" t="s">
        <v>6855</v>
      </c>
    </row>
    <row r="5031" spans="1:5" x14ac:dyDescent="0.45">
      <c r="A5031" s="1347" t="s">
        <v>1105</v>
      </c>
      <c r="B5031" s="1347" t="s">
        <v>6856</v>
      </c>
      <c r="D5031" s="1347" t="s">
        <v>6857</v>
      </c>
      <c r="E5031" s="1347" t="s">
        <v>6858</v>
      </c>
    </row>
    <row r="5032" spans="1:5" x14ac:dyDescent="0.45">
      <c r="A5032" s="1347" t="s">
        <v>1105</v>
      </c>
      <c r="B5032" s="1347" t="s">
        <v>6859</v>
      </c>
      <c r="D5032" s="1347" t="s">
        <v>6860</v>
      </c>
      <c r="E5032" s="1347" t="s">
        <v>6861</v>
      </c>
    </row>
    <row r="5033" spans="1:5" x14ac:dyDescent="0.45">
      <c r="B5033" s="1347" t="s">
        <v>6862</v>
      </c>
      <c r="D5033" s="1347" t="s">
        <v>6863</v>
      </c>
      <c r="E5033" s="1347" t="s">
        <v>6864</v>
      </c>
    </row>
    <row r="5034" spans="1:5" x14ac:dyDescent="0.45">
      <c r="B5034" s="1347" t="s">
        <v>1108</v>
      </c>
      <c r="D5034" s="1347" t="s">
        <v>6865</v>
      </c>
      <c r="E5034" s="1347" t="s">
        <v>6866</v>
      </c>
    </row>
    <row r="5035" spans="1:5" x14ac:dyDescent="0.45">
      <c r="A5035" s="1347" t="s">
        <v>1105</v>
      </c>
      <c r="B5035" s="1347" t="s">
        <v>6867</v>
      </c>
      <c r="D5035" s="1347" t="s">
        <v>6868</v>
      </c>
      <c r="E5035" s="1347" t="s">
        <v>6869</v>
      </c>
    </row>
    <row r="5036" spans="1:5" x14ac:dyDescent="0.45">
      <c r="B5036" s="1347" t="s">
        <v>1108</v>
      </c>
      <c r="D5036" s="1347" t="s">
        <v>6870</v>
      </c>
      <c r="E5036" s="1347" t="s">
        <v>6871</v>
      </c>
    </row>
    <row r="5037" spans="1:5" x14ac:dyDescent="0.45">
      <c r="B5037" s="1347" t="s">
        <v>1108</v>
      </c>
      <c r="D5037" s="1347" t="s">
        <v>6872</v>
      </c>
      <c r="E5037" s="1347" t="s">
        <v>6873</v>
      </c>
    </row>
    <row r="5038" spans="1:5" x14ac:dyDescent="0.45">
      <c r="B5038" s="1347" t="s">
        <v>6874</v>
      </c>
      <c r="C5038" s="1347" t="s">
        <v>1105</v>
      </c>
      <c r="D5038" s="1347" t="s">
        <v>6875</v>
      </c>
      <c r="E5038" s="1347" t="s">
        <v>6876</v>
      </c>
    </row>
    <row r="5039" spans="1:5" x14ac:dyDescent="0.45">
      <c r="B5039" s="1347" t="s">
        <v>6877</v>
      </c>
      <c r="D5039" s="1347" t="s">
        <v>6878</v>
      </c>
      <c r="E5039" s="1347" t="s">
        <v>6879</v>
      </c>
    </row>
    <row r="5040" spans="1:5" x14ac:dyDescent="0.45">
      <c r="B5040" s="1347" t="s">
        <v>6880</v>
      </c>
      <c r="D5040" s="1347" t="s">
        <v>6881</v>
      </c>
      <c r="E5040" s="1347" t="s">
        <v>6882</v>
      </c>
    </row>
    <row r="5041" spans="1:5" x14ac:dyDescent="0.45">
      <c r="B5041" s="1347" t="s">
        <v>6883</v>
      </c>
      <c r="D5041" s="1347" t="s">
        <v>6884</v>
      </c>
      <c r="E5041" s="1347" t="s">
        <v>6885</v>
      </c>
    </row>
    <row r="5042" spans="1:5" x14ac:dyDescent="0.45">
      <c r="B5042" s="1347" t="s">
        <v>6886</v>
      </c>
      <c r="C5042" s="1347" t="s">
        <v>1105</v>
      </c>
      <c r="D5042" s="1347" t="s">
        <v>6887</v>
      </c>
      <c r="E5042" s="1347" t="s">
        <v>6888</v>
      </c>
    </row>
    <row r="5043" spans="1:5" x14ac:dyDescent="0.45">
      <c r="B5043" s="1347" t="s">
        <v>6889</v>
      </c>
      <c r="D5043" s="1347" t="s">
        <v>6890</v>
      </c>
      <c r="E5043" s="1347" t="s">
        <v>6891</v>
      </c>
    </row>
    <row r="5044" spans="1:5" x14ac:dyDescent="0.45">
      <c r="B5044" s="1347" t="s">
        <v>1108</v>
      </c>
      <c r="D5044" s="1347" t="s">
        <v>6892</v>
      </c>
      <c r="E5044" s="1347" t="s">
        <v>6893</v>
      </c>
    </row>
    <row r="5045" spans="1:5" x14ac:dyDescent="0.45">
      <c r="A5045" s="1347">
        <v>-13</v>
      </c>
      <c r="B5045" s="1347" t="s">
        <v>6894</v>
      </c>
      <c r="D5045" s="1347" t="s">
        <v>6895</v>
      </c>
      <c r="E5045" s="1347" t="s">
        <v>6896</v>
      </c>
    </row>
    <row r="5046" spans="1:5" x14ac:dyDescent="0.45">
      <c r="B5046" s="1347" t="s">
        <v>6897</v>
      </c>
      <c r="D5046" s="1347" t="s">
        <v>6898</v>
      </c>
      <c r="E5046" s="1347" t="s">
        <v>6899</v>
      </c>
    </row>
    <row r="5047" spans="1:5" x14ac:dyDescent="0.45">
      <c r="B5047" s="1347" t="s">
        <v>6900</v>
      </c>
      <c r="D5047" s="1347" t="s">
        <v>1109</v>
      </c>
      <c r="E5047" s="1347" t="s">
        <v>6901</v>
      </c>
    </row>
    <row r="5048" spans="1:5" x14ac:dyDescent="0.45">
      <c r="B5048" s="1347" t="s">
        <v>6902</v>
      </c>
      <c r="D5048" s="1347" t="s">
        <v>6903</v>
      </c>
      <c r="E5048" s="1347" t="s">
        <v>6904</v>
      </c>
    </row>
    <row r="5049" spans="1:5" x14ac:dyDescent="0.45">
      <c r="A5049" s="1347" t="s">
        <v>1105</v>
      </c>
      <c r="B5049" s="1347" t="s">
        <v>6905</v>
      </c>
      <c r="D5049" s="1347" t="s">
        <v>6906</v>
      </c>
      <c r="E5049" s="1347" t="s">
        <v>6907</v>
      </c>
    </row>
    <row r="5050" spans="1:5" x14ac:dyDescent="0.45">
      <c r="A5050" s="1347" t="s">
        <v>1105</v>
      </c>
      <c r="B5050" s="1347" t="s">
        <v>6908</v>
      </c>
      <c r="D5050" s="1347" t="s">
        <v>6909</v>
      </c>
      <c r="E5050" s="1347" t="s">
        <v>1110</v>
      </c>
    </row>
    <row r="5051" spans="1:5" x14ac:dyDescent="0.45">
      <c r="B5051" s="1347" t="s">
        <v>4451</v>
      </c>
      <c r="D5051" s="1347" t="s">
        <v>6910</v>
      </c>
      <c r="E5051" s="1347" t="s">
        <v>6911</v>
      </c>
    </row>
    <row r="5052" spans="1:5" x14ac:dyDescent="0.45">
      <c r="B5052" s="1347" t="s">
        <v>1108</v>
      </c>
      <c r="D5052" s="1347" t="s">
        <v>6912</v>
      </c>
      <c r="E5052" s="1347" t="s">
        <v>6913</v>
      </c>
    </row>
    <row r="5053" spans="1:5" x14ac:dyDescent="0.45">
      <c r="B5053" s="1347" t="s">
        <v>1108</v>
      </c>
      <c r="D5053" s="1347" t="s">
        <v>6914</v>
      </c>
      <c r="E5053" s="1347" t="s">
        <v>6915</v>
      </c>
    </row>
    <row r="5054" spans="1:5" x14ac:dyDescent="0.45">
      <c r="B5054" s="1347" t="s">
        <v>6916</v>
      </c>
      <c r="D5054" s="1347" t="s">
        <v>6917</v>
      </c>
      <c r="E5054" s="1347" t="s">
        <v>6918</v>
      </c>
    </row>
    <row r="5055" spans="1:5" x14ac:dyDescent="0.45">
      <c r="A5055" s="1347">
        <v>-4</v>
      </c>
      <c r="B5055" s="1347" t="s">
        <v>6919</v>
      </c>
      <c r="C5055" s="1347" t="s">
        <v>1105</v>
      </c>
      <c r="D5055" s="1347" t="s">
        <v>6920</v>
      </c>
      <c r="E5055" s="1347" t="s">
        <v>6921</v>
      </c>
    </row>
    <row r="5056" spans="1:5" x14ac:dyDescent="0.45">
      <c r="B5056" s="1347" t="s">
        <v>1108</v>
      </c>
      <c r="D5056" s="1347" t="s">
        <v>6922</v>
      </c>
      <c r="E5056" s="1347" t="s">
        <v>6923</v>
      </c>
    </row>
    <row r="5057" spans="1:5" x14ac:dyDescent="0.45">
      <c r="B5057" s="1347" t="s">
        <v>1108</v>
      </c>
      <c r="C5057" s="1347" t="s">
        <v>1105</v>
      </c>
      <c r="D5057" s="1347" t="s">
        <v>6924</v>
      </c>
      <c r="E5057" s="1347" t="s">
        <v>1435</v>
      </c>
    </row>
    <row r="5058" spans="1:5" x14ac:dyDescent="0.45">
      <c r="A5058" s="1347">
        <v>-1</v>
      </c>
      <c r="B5058" s="1347" t="s">
        <v>6925</v>
      </c>
      <c r="D5058" s="1347" t="s">
        <v>6926</v>
      </c>
      <c r="E5058" s="1347" t="s">
        <v>1110</v>
      </c>
    </row>
    <row r="5059" spans="1:5" x14ac:dyDescent="0.45">
      <c r="B5059" s="1347" t="s">
        <v>1108</v>
      </c>
      <c r="D5059" s="1347" t="s">
        <v>1109</v>
      </c>
      <c r="E5059" s="1347" t="s">
        <v>6927</v>
      </c>
    </row>
    <row r="5060" spans="1:5" x14ac:dyDescent="0.45">
      <c r="B5060" s="1347" t="s">
        <v>1108</v>
      </c>
      <c r="D5060" s="1347" t="s">
        <v>6928</v>
      </c>
      <c r="E5060" s="1347" t="s">
        <v>6929</v>
      </c>
    </row>
    <row r="5061" spans="1:5" x14ac:dyDescent="0.45">
      <c r="A5061" s="1347">
        <v>47</v>
      </c>
      <c r="B5061" s="1347" t="s">
        <v>6930</v>
      </c>
      <c r="C5061" s="1347" t="s">
        <v>1105</v>
      </c>
      <c r="D5061" s="1347" t="s">
        <v>6931</v>
      </c>
      <c r="E5061" s="1347" t="s">
        <v>6932</v>
      </c>
    </row>
    <row r="5062" spans="1:5" x14ac:dyDescent="0.45">
      <c r="A5062" s="1347">
        <v>18</v>
      </c>
      <c r="B5062" s="1347" t="s">
        <v>6933</v>
      </c>
      <c r="D5062" s="1347" t="s">
        <v>6934</v>
      </c>
      <c r="E5062" s="1347" t="s">
        <v>6935</v>
      </c>
    </row>
    <row r="5063" spans="1:5" x14ac:dyDescent="0.45">
      <c r="B5063" s="1347" t="s">
        <v>1108</v>
      </c>
      <c r="D5063" s="1347" t="s">
        <v>6936</v>
      </c>
      <c r="E5063" s="1347" t="s">
        <v>6937</v>
      </c>
    </row>
    <row r="5064" spans="1:5" x14ac:dyDescent="0.45">
      <c r="B5064" s="1347" t="s">
        <v>1108</v>
      </c>
      <c r="D5064" s="1347" t="s">
        <v>6938</v>
      </c>
      <c r="E5064" s="1347" t="s">
        <v>6939</v>
      </c>
    </row>
    <row r="5065" spans="1:5" x14ac:dyDescent="0.45">
      <c r="B5065" s="1347" t="s">
        <v>6940</v>
      </c>
      <c r="D5065" s="1347" t="s">
        <v>6941</v>
      </c>
      <c r="E5065" s="1347" t="s">
        <v>6942</v>
      </c>
    </row>
    <row r="5066" spans="1:5" x14ac:dyDescent="0.45">
      <c r="B5066" s="1347" t="s">
        <v>6943</v>
      </c>
      <c r="D5066" s="1347" t="s">
        <v>6944</v>
      </c>
      <c r="E5066" s="1347" t="s">
        <v>6945</v>
      </c>
    </row>
    <row r="5067" spans="1:5" x14ac:dyDescent="0.45">
      <c r="B5067" s="1347" t="s">
        <v>1108</v>
      </c>
      <c r="D5067" s="1347" t="s">
        <v>6946</v>
      </c>
      <c r="E5067" s="1347" t="s">
        <v>1110</v>
      </c>
    </row>
    <row r="5068" spans="1:5" x14ac:dyDescent="0.45">
      <c r="B5068" s="1347" t="s">
        <v>6947</v>
      </c>
      <c r="D5068" s="1347" t="s">
        <v>6948</v>
      </c>
      <c r="E5068" s="1347" t="s">
        <v>6949</v>
      </c>
    </row>
    <row r="5069" spans="1:5" x14ac:dyDescent="0.45">
      <c r="B5069" s="1347" t="s">
        <v>1108</v>
      </c>
      <c r="D5069" s="1347" t="s">
        <v>6950</v>
      </c>
      <c r="E5069" s="1347" t="s">
        <v>6951</v>
      </c>
    </row>
    <row r="5070" spans="1:5" x14ac:dyDescent="0.45">
      <c r="A5070" s="1347" t="s">
        <v>1105</v>
      </c>
      <c r="B5070" s="1347" t="s">
        <v>6952</v>
      </c>
      <c r="D5070" s="1347" t="s">
        <v>6953</v>
      </c>
      <c r="E5070" s="1347" t="s">
        <v>6954</v>
      </c>
    </row>
    <row r="5071" spans="1:5" x14ac:dyDescent="0.45">
      <c r="B5071" s="1347" t="s">
        <v>1108</v>
      </c>
      <c r="D5071" s="1347" t="s">
        <v>6955</v>
      </c>
      <c r="E5071" s="1347" t="s">
        <v>6956</v>
      </c>
    </row>
    <row r="5072" spans="1:5" x14ac:dyDescent="0.45">
      <c r="B5072" s="1347" t="s">
        <v>6957</v>
      </c>
      <c r="D5072" s="1347" t="s">
        <v>6958</v>
      </c>
      <c r="E5072" s="1347" t="s">
        <v>6959</v>
      </c>
    </row>
    <row r="5073" spans="1:5" x14ac:dyDescent="0.45">
      <c r="B5073" s="1347" t="s">
        <v>6960</v>
      </c>
      <c r="D5073" s="1347" t="s">
        <v>6961</v>
      </c>
      <c r="E5073" s="1347" t="s">
        <v>6962</v>
      </c>
    </row>
    <row r="5074" spans="1:5" x14ac:dyDescent="0.45">
      <c r="B5074" s="1347" t="s">
        <v>6963</v>
      </c>
      <c r="D5074" s="1347" t="s">
        <v>3563</v>
      </c>
      <c r="E5074" s="1347" t="s">
        <v>6964</v>
      </c>
    </row>
    <row r="5075" spans="1:5" x14ac:dyDescent="0.45">
      <c r="A5075" s="1347" t="s">
        <v>1105</v>
      </c>
      <c r="B5075" s="1347" t="s">
        <v>6965</v>
      </c>
      <c r="D5075" s="1347" t="s">
        <v>6966</v>
      </c>
      <c r="E5075" s="1347" t="s">
        <v>6967</v>
      </c>
    </row>
    <row r="5076" spans="1:5" x14ac:dyDescent="0.45">
      <c r="A5076" s="1347" t="s">
        <v>1105</v>
      </c>
      <c r="B5076" s="1347" t="s">
        <v>6968</v>
      </c>
      <c r="D5076" s="1347" t="s">
        <v>6969</v>
      </c>
      <c r="E5076" s="1347" t="s">
        <v>6970</v>
      </c>
    </row>
    <row r="5077" spans="1:5" x14ac:dyDescent="0.45">
      <c r="B5077" s="1347" t="s">
        <v>1108</v>
      </c>
      <c r="D5077" s="1347" t="s">
        <v>6971</v>
      </c>
      <c r="E5077" s="1347" t="s">
        <v>6972</v>
      </c>
    </row>
    <row r="5078" spans="1:5" x14ac:dyDescent="0.45">
      <c r="B5078" s="1347" t="s">
        <v>1108</v>
      </c>
      <c r="D5078" s="1347" t="s">
        <v>6973</v>
      </c>
      <c r="E5078" s="1347" t="s">
        <v>6974</v>
      </c>
    </row>
    <row r="5079" spans="1:5" x14ac:dyDescent="0.45">
      <c r="A5079" s="1347">
        <v>-4</v>
      </c>
      <c r="B5079" s="1347" t="s">
        <v>6975</v>
      </c>
      <c r="D5079" s="1347" t="s">
        <v>6976</v>
      </c>
      <c r="E5079" s="1347" t="s">
        <v>6977</v>
      </c>
    </row>
    <row r="5080" spans="1:5" x14ac:dyDescent="0.45">
      <c r="B5080" s="1347" t="s">
        <v>6978</v>
      </c>
      <c r="D5080" s="1347" t="s">
        <v>6979</v>
      </c>
      <c r="E5080" s="1347" t="s">
        <v>6980</v>
      </c>
    </row>
    <row r="5081" spans="1:5" x14ac:dyDescent="0.45">
      <c r="B5081" s="1347" t="s">
        <v>1108</v>
      </c>
      <c r="D5081" s="1347" t="s">
        <v>1109</v>
      </c>
      <c r="E5081" s="1347" t="s">
        <v>6981</v>
      </c>
    </row>
    <row r="5082" spans="1:5" x14ac:dyDescent="0.45">
      <c r="A5082" s="1347">
        <v>1</v>
      </c>
      <c r="B5082" s="1347" t="s">
        <v>6982</v>
      </c>
      <c r="D5082" s="1347" t="s">
        <v>6983</v>
      </c>
      <c r="E5082" s="1347" t="s">
        <v>6984</v>
      </c>
    </row>
    <row r="5083" spans="1:5" x14ac:dyDescent="0.45">
      <c r="A5083" s="1347">
        <v>-1</v>
      </c>
      <c r="B5083" s="1347" t="s">
        <v>6985</v>
      </c>
      <c r="C5083" s="1347" t="s">
        <v>1105</v>
      </c>
      <c r="D5083" s="1347" t="s">
        <v>6986</v>
      </c>
      <c r="E5083" s="1347" t="s">
        <v>6987</v>
      </c>
    </row>
    <row r="5084" spans="1:5" x14ac:dyDescent="0.45">
      <c r="B5084" s="1347" t="s">
        <v>6988</v>
      </c>
      <c r="D5084" s="1347" t="s">
        <v>6989</v>
      </c>
      <c r="E5084" s="1347" t="s">
        <v>1402</v>
      </c>
    </row>
    <row r="5085" spans="1:5" x14ac:dyDescent="0.45">
      <c r="B5085" s="1347" t="s">
        <v>6365</v>
      </c>
      <c r="D5085" s="1347" t="s">
        <v>6990</v>
      </c>
      <c r="E5085" s="1347" t="s">
        <v>6991</v>
      </c>
    </row>
    <row r="5086" spans="1:5" x14ac:dyDescent="0.45">
      <c r="B5086" s="1347" t="s">
        <v>6992</v>
      </c>
      <c r="D5086" s="1347" t="s">
        <v>1109</v>
      </c>
      <c r="E5086" s="1347" t="s">
        <v>6993</v>
      </c>
    </row>
    <row r="5087" spans="1:5" x14ac:dyDescent="0.45">
      <c r="A5087" s="1347" t="s">
        <v>1105</v>
      </c>
      <c r="B5087" s="1347" t="s">
        <v>6994</v>
      </c>
      <c r="D5087" s="1347" t="s">
        <v>6995</v>
      </c>
      <c r="E5087" s="1347" t="s">
        <v>6996</v>
      </c>
    </row>
    <row r="5088" spans="1:5" x14ac:dyDescent="0.45">
      <c r="A5088" s="1347">
        <v>-1</v>
      </c>
      <c r="B5088" s="1347" t="s">
        <v>1452</v>
      </c>
      <c r="D5088" s="1347" t="s">
        <v>6997</v>
      </c>
      <c r="E5088" s="1347" t="s">
        <v>6998</v>
      </c>
    </row>
    <row r="5089" spans="1:5" x14ac:dyDescent="0.45">
      <c r="B5089" s="1347" t="s">
        <v>1108</v>
      </c>
      <c r="D5089" s="1347" t="s">
        <v>1109</v>
      </c>
      <c r="E5089" s="1347" t="s">
        <v>1110</v>
      </c>
    </row>
    <row r="5090" spans="1:5" x14ac:dyDescent="0.45">
      <c r="B5090" s="1347" t="s">
        <v>1108</v>
      </c>
      <c r="D5090" s="1347" t="s">
        <v>6999</v>
      </c>
      <c r="E5090" s="1347" t="s">
        <v>1110</v>
      </c>
    </row>
    <row r="5091" spans="1:5" x14ac:dyDescent="0.45">
      <c r="A5091" s="1347" t="s">
        <v>1105</v>
      </c>
      <c r="B5091" s="1347" t="s">
        <v>7000</v>
      </c>
      <c r="D5091" s="1347" t="s">
        <v>7001</v>
      </c>
      <c r="E5091" s="1347" t="s">
        <v>7002</v>
      </c>
    </row>
    <row r="5092" spans="1:5" x14ac:dyDescent="0.45">
      <c r="A5092" s="1347">
        <v>5</v>
      </c>
      <c r="B5092" s="1347" t="s">
        <v>7003</v>
      </c>
      <c r="C5092" s="1347">
        <v>1</v>
      </c>
      <c r="D5092" s="1347" t="s">
        <v>7004</v>
      </c>
      <c r="E5092" s="1347" t="s">
        <v>7005</v>
      </c>
    </row>
    <row r="5093" spans="1:5" x14ac:dyDescent="0.45">
      <c r="A5093" s="1347">
        <v>23</v>
      </c>
      <c r="B5093" s="1347" t="s">
        <v>7006</v>
      </c>
      <c r="C5093" s="1347" t="s">
        <v>1105</v>
      </c>
      <c r="D5093" s="1347" t="s">
        <v>7007</v>
      </c>
      <c r="E5093" s="1347" t="s">
        <v>7008</v>
      </c>
    </row>
    <row r="5094" spans="1:5" x14ac:dyDescent="0.45">
      <c r="B5094" s="1347" t="s">
        <v>1108</v>
      </c>
      <c r="D5094" s="1347" t="s">
        <v>7009</v>
      </c>
      <c r="E5094" s="1347" t="s">
        <v>1110</v>
      </c>
    </row>
    <row r="5095" spans="1:5" x14ac:dyDescent="0.45">
      <c r="B5095" s="1347" t="s">
        <v>6237</v>
      </c>
      <c r="D5095" s="1347" t="s">
        <v>7010</v>
      </c>
      <c r="E5095" s="1347" t="s">
        <v>7011</v>
      </c>
    </row>
    <row r="5096" spans="1:5" x14ac:dyDescent="0.45">
      <c r="B5096" s="1347" t="s">
        <v>7012</v>
      </c>
      <c r="C5096" s="1347" t="s">
        <v>1105</v>
      </c>
      <c r="D5096" s="1347" t="s">
        <v>7013</v>
      </c>
      <c r="E5096" s="1347" t="s">
        <v>7014</v>
      </c>
    </row>
    <row r="5097" spans="1:5" x14ac:dyDescent="0.45">
      <c r="B5097" s="1347" t="s">
        <v>1108</v>
      </c>
      <c r="D5097" s="1347" t="s">
        <v>7015</v>
      </c>
      <c r="E5097" s="1347" t="s">
        <v>7016</v>
      </c>
    </row>
    <row r="5098" spans="1:5" x14ac:dyDescent="0.45">
      <c r="B5098" s="1347" t="s">
        <v>7017</v>
      </c>
      <c r="D5098" s="1347" t="s">
        <v>1109</v>
      </c>
      <c r="E5098" s="1347" t="s">
        <v>7018</v>
      </c>
    </row>
    <row r="5099" spans="1:5" x14ac:dyDescent="0.45">
      <c r="B5099" s="1347" t="s">
        <v>1108</v>
      </c>
      <c r="D5099" s="1347" t="s">
        <v>7019</v>
      </c>
      <c r="E5099" s="1347" t="s">
        <v>1476</v>
      </c>
    </row>
    <row r="5100" spans="1:5" x14ac:dyDescent="0.45">
      <c r="B5100" s="1347" t="s">
        <v>7020</v>
      </c>
      <c r="D5100" s="1347" t="s">
        <v>7021</v>
      </c>
      <c r="E5100" s="1347" t="s">
        <v>7022</v>
      </c>
    </row>
    <row r="5101" spans="1:5" x14ac:dyDescent="0.45">
      <c r="B5101" s="1347" t="s">
        <v>7023</v>
      </c>
      <c r="C5101" s="1347" t="s">
        <v>1105</v>
      </c>
      <c r="D5101" s="1347" t="s">
        <v>7024</v>
      </c>
      <c r="E5101" s="1347" t="s">
        <v>1110</v>
      </c>
    </row>
    <row r="5102" spans="1:5" x14ac:dyDescent="0.45">
      <c r="A5102" s="1347">
        <v>-1</v>
      </c>
      <c r="B5102" s="1347" t="s">
        <v>6640</v>
      </c>
      <c r="D5102" s="1347" t="s">
        <v>7025</v>
      </c>
      <c r="E5102" s="1347" t="s">
        <v>7026</v>
      </c>
    </row>
    <row r="5103" spans="1:5" x14ac:dyDescent="0.45">
      <c r="B5103" s="1347" t="s">
        <v>4134</v>
      </c>
      <c r="D5103" s="1347" t="s">
        <v>7027</v>
      </c>
      <c r="E5103" s="1347" t="s">
        <v>7028</v>
      </c>
    </row>
    <row r="5104" spans="1:5" x14ac:dyDescent="0.45">
      <c r="B5104" s="1347" t="s">
        <v>1108</v>
      </c>
      <c r="D5104" s="1347" t="s">
        <v>7029</v>
      </c>
      <c r="E5104" s="1347" t="s">
        <v>7030</v>
      </c>
    </row>
    <row r="5105" spans="1:5" x14ac:dyDescent="0.45">
      <c r="B5105" s="1347" t="s">
        <v>1108</v>
      </c>
      <c r="D5105" s="1347" t="s">
        <v>7031</v>
      </c>
      <c r="E5105" s="1347" t="s">
        <v>7032</v>
      </c>
    </row>
    <row r="5106" spans="1:5" x14ac:dyDescent="0.45">
      <c r="B5106" s="1347" t="s">
        <v>7033</v>
      </c>
      <c r="D5106" s="1347" t="s">
        <v>7034</v>
      </c>
      <c r="E5106" s="1347" t="s">
        <v>7035</v>
      </c>
    </row>
    <row r="5107" spans="1:5" x14ac:dyDescent="0.45">
      <c r="B5107" s="1347" t="s">
        <v>1108</v>
      </c>
      <c r="D5107" s="1347" t="s">
        <v>7036</v>
      </c>
      <c r="E5107" s="1347" t="s">
        <v>7037</v>
      </c>
    </row>
    <row r="5108" spans="1:5" x14ac:dyDescent="0.45">
      <c r="A5108" s="1347" t="s">
        <v>1105</v>
      </c>
      <c r="B5108" s="1347" t="s">
        <v>7038</v>
      </c>
      <c r="D5108" s="1347" t="s">
        <v>7039</v>
      </c>
      <c r="E5108" s="1347" t="s">
        <v>7040</v>
      </c>
    </row>
    <row r="5109" spans="1:5" x14ac:dyDescent="0.45">
      <c r="A5109" s="1347" t="s">
        <v>1105</v>
      </c>
      <c r="B5109" s="1347" t="s">
        <v>7041</v>
      </c>
      <c r="D5109" s="1347" t="s">
        <v>7042</v>
      </c>
      <c r="E5109" s="1347" t="s">
        <v>7043</v>
      </c>
    </row>
    <row r="5110" spans="1:5" x14ac:dyDescent="0.45">
      <c r="B5110" s="1347" t="s">
        <v>7044</v>
      </c>
      <c r="D5110" s="1347" t="s">
        <v>7045</v>
      </c>
      <c r="E5110" s="1347" t="s">
        <v>7046</v>
      </c>
    </row>
    <row r="5111" spans="1:5" x14ac:dyDescent="0.45">
      <c r="B5111" s="1347" t="s">
        <v>7047</v>
      </c>
      <c r="D5111" s="1347" t="s">
        <v>7048</v>
      </c>
      <c r="E5111" s="1347" t="s">
        <v>1110</v>
      </c>
    </row>
    <row r="5112" spans="1:5" x14ac:dyDescent="0.45">
      <c r="B5112" s="1347" t="s">
        <v>1108</v>
      </c>
      <c r="D5112" s="1347" t="s">
        <v>7049</v>
      </c>
      <c r="E5112" s="1347" t="s">
        <v>7050</v>
      </c>
    </row>
    <row r="5113" spans="1:5" x14ac:dyDescent="0.45">
      <c r="B5113" s="1347" t="s">
        <v>1108</v>
      </c>
      <c r="D5113" s="1347" t="s">
        <v>7051</v>
      </c>
      <c r="E5113" s="1347" t="s">
        <v>7052</v>
      </c>
    </row>
    <row r="5114" spans="1:5" x14ac:dyDescent="0.45">
      <c r="A5114" s="1347">
        <v>-4</v>
      </c>
      <c r="B5114" s="1347" t="s">
        <v>4729</v>
      </c>
      <c r="D5114" s="1347" t="s">
        <v>7053</v>
      </c>
      <c r="E5114" s="1347" t="s">
        <v>7054</v>
      </c>
    </row>
    <row r="5115" spans="1:5" x14ac:dyDescent="0.45">
      <c r="A5115" s="1347">
        <v>-1</v>
      </c>
      <c r="B5115" s="1347" t="s">
        <v>7055</v>
      </c>
      <c r="D5115" s="1347" t="s">
        <v>1109</v>
      </c>
      <c r="E5115" s="1347" t="s">
        <v>7056</v>
      </c>
    </row>
    <row r="5116" spans="1:5" x14ac:dyDescent="0.45">
      <c r="A5116" s="1347">
        <v>-2</v>
      </c>
      <c r="B5116" s="1347" t="s">
        <v>7057</v>
      </c>
      <c r="D5116" s="1347" t="s">
        <v>7058</v>
      </c>
      <c r="E5116" s="1347" t="s">
        <v>7059</v>
      </c>
    </row>
    <row r="5117" spans="1:5" x14ac:dyDescent="0.45">
      <c r="B5117" s="1347" t="s">
        <v>1108</v>
      </c>
      <c r="D5117" s="1347" t="s">
        <v>7060</v>
      </c>
      <c r="E5117" s="1347" t="s">
        <v>7061</v>
      </c>
    </row>
    <row r="5118" spans="1:5" x14ac:dyDescent="0.45">
      <c r="A5118" s="1347">
        <v>1</v>
      </c>
      <c r="B5118" s="1347" t="s">
        <v>7062</v>
      </c>
      <c r="D5118" s="1347" t="s">
        <v>7063</v>
      </c>
      <c r="E5118" s="1347" t="s">
        <v>7064</v>
      </c>
    </row>
    <row r="5119" spans="1:5" x14ac:dyDescent="0.45">
      <c r="B5119" s="1347" t="s">
        <v>7065</v>
      </c>
      <c r="D5119" s="1347" t="s">
        <v>7066</v>
      </c>
      <c r="E5119" s="1347" t="s">
        <v>1110</v>
      </c>
    </row>
    <row r="5120" spans="1:5" x14ac:dyDescent="0.45">
      <c r="B5120" s="1347" t="s">
        <v>1108</v>
      </c>
      <c r="D5120" s="1347" t="s">
        <v>1109</v>
      </c>
      <c r="E5120" s="1347" t="s">
        <v>1110</v>
      </c>
    </row>
    <row r="5121" spans="1:5" x14ac:dyDescent="0.45">
      <c r="A5121" s="1347" t="s">
        <v>1105</v>
      </c>
      <c r="B5121" s="1347" t="s">
        <v>7067</v>
      </c>
      <c r="D5121" s="1347" t="s">
        <v>1109</v>
      </c>
      <c r="E5121" s="1347" t="s">
        <v>7068</v>
      </c>
    </row>
    <row r="5122" spans="1:5" x14ac:dyDescent="0.45">
      <c r="A5122" s="1347">
        <v>19</v>
      </c>
      <c r="B5122" s="1347" t="s">
        <v>7069</v>
      </c>
      <c r="C5122" s="1347">
        <v>1</v>
      </c>
      <c r="D5122" s="1347" t="s">
        <v>7070</v>
      </c>
      <c r="E5122" s="1347" t="s">
        <v>7071</v>
      </c>
    </row>
    <row r="5123" spans="1:5" x14ac:dyDescent="0.45">
      <c r="A5123" s="1347">
        <v>14</v>
      </c>
      <c r="B5123" s="1347" t="s">
        <v>7072</v>
      </c>
      <c r="D5123" s="1347" t="s">
        <v>7073</v>
      </c>
      <c r="E5123" s="1347" t="s">
        <v>7074</v>
      </c>
    </row>
    <row r="5124" spans="1:5" x14ac:dyDescent="0.45">
      <c r="B5124" s="1347" t="s">
        <v>7075</v>
      </c>
      <c r="D5124" s="1347" t="s">
        <v>7076</v>
      </c>
      <c r="E5124" s="1347" t="s">
        <v>7077</v>
      </c>
    </row>
    <row r="5125" spans="1:5" x14ac:dyDescent="0.45">
      <c r="A5125" s="1347">
        <v>1</v>
      </c>
      <c r="B5125" s="1347" t="s">
        <v>1532</v>
      </c>
      <c r="D5125" s="1347" t="s">
        <v>1109</v>
      </c>
      <c r="E5125" s="1347" t="s">
        <v>7078</v>
      </c>
    </row>
    <row r="5126" spans="1:5" x14ac:dyDescent="0.45">
      <c r="A5126" s="1347" t="s">
        <v>1105</v>
      </c>
      <c r="B5126" s="1347" t="s">
        <v>7079</v>
      </c>
      <c r="D5126" s="1347" t="s">
        <v>7080</v>
      </c>
      <c r="E5126" s="1347" t="s">
        <v>7081</v>
      </c>
    </row>
    <row r="5127" spans="1:5" x14ac:dyDescent="0.45">
      <c r="B5127" s="1347" t="s">
        <v>7082</v>
      </c>
      <c r="D5127" s="1347" t="s">
        <v>7083</v>
      </c>
      <c r="E5127" s="1347" t="s">
        <v>1110</v>
      </c>
    </row>
    <row r="5128" spans="1:5" x14ac:dyDescent="0.45">
      <c r="B5128" s="1347" t="s">
        <v>4400</v>
      </c>
      <c r="D5128" s="1347" t="s">
        <v>7084</v>
      </c>
      <c r="E5128" s="1347" t="s">
        <v>7085</v>
      </c>
    </row>
    <row r="5129" spans="1:5" x14ac:dyDescent="0.45">
      <c r="B5129" s="1347" t="s">
        <v>1108</v>
      </c>
      <c r="D5129" s="1347" t="s">
        <v>7086</v>
      </c>
      <c r="E5129" s="1347" t="s">
        <v>7087</v>
      </c>
    </row>
    <row r="5130" spans="1:5" x14ac:dyDescent="0.45">
      <c r="A5130" s="1347">
        <v>-2</v>
      </c>
      <c r="B5130" s="1347" t="s">
        <v>7088</v>
      </c>
      <c r="C5130" s="1347" t="s">
        <v>1105</v>
      </c>
      <c r="D5130" s="1347" t="s">
        <v>7089</v>
      </c>
      <c r="E5130" s="1347" t="s">
        <v>7090</v>
      </c>
    </row>
    <row r="5131" spans="1:5" x14ac:dyDescent="0.45">
      <c r="B5131" s="1347" t="s">
        <v>1108</v>
      </c>
      <c r="D5131" s="1347" t="s">
        <v>7091</v>
      </c>
      <c r="E5131" s="1347" t="s">
        <v>7092</v>
      </c>
    </row>
    <row r="5132" spans="1:5" x14ac:dyDescent="0.45">
      <c r="A5132" s="1347">
        <v>-1</v>
      </c>
      <c r="B5132" s="1347" t="s">
        <v>7093</v>
      </c>
      <c r="D5132" s="1347" t="s">
        <v>1109</v>
      </c>
      <c r="E5132" s="1347" t="s">
        <v>7094</v>
      </c>
    </row>
    <row r="5133" spans="1:5" x14ac:dyDescent="0.45">
      <c r="A5133" s="1347">
        <v>-2</v>
      </c>
      <c r="B5133" s="1347" t="s">
        <v>7095</v>
      </c>
      <c r="D5133" s="1347" t="s">
        <v>7096</v>
      </c>
      <c r="E5133" s="1347" t="s">
        <v>7097</v>
      </c>
    </row>
    <row r="5134" spans="1:5" x14ac:dyDescent="0.45">
      <c r="A5134" s="1347">
        <v>22</v>
      </c>
      <c r="B5134" s="1347" t="s">
        <v>7098</v>
      </c>
      <c r="C5134" s="1347">
        <v>1</v>
      </c>
      <c r="D5134" s="1347" t="s">
        <v>7099</v>
      </c>
      <c r="E5134" s="1347" t="s">
        <v>7100</v>
      </c>
    </row>
    <row r="5135" spans="1:5" x14ac:dyDescent="0.45">
      <c r="A5135" s="1347">
        <v>12</v>
      </c>
      <c r="B5135" s="1347" t="s">
        <v>7101</v>
      </c>
      <c r="C5135" s="1347">
        <v>1</v>
      </c>
      <c r="D5135" s="1347" t="s">
        <v>7102</v>
      </c>
      <c r="E5135" s="1347" t="s">
        <v>1220</v>
      </c>
    </row>
    <row r="5136" spans="1:5" x14ac:dyDescent="0.45">
      <c r="B5136" s="1347" t="s">
        <v>7103</v>
      </c>
      <c r="D5136" s="1347" t="s">
        <v>7104</v>
      </c>
      <c r="E5136" s="1347" t="s">
        <v>7105</v>
      </c>
    </row>
    <row r="5137" spans="1:5" x14ac:dyDescent="0.45">
      <c r="A5137" s="1347">
        <v>-3</v>
      </c>
      <c r="B5137" s="1347" t="s">
        <v>7106</v>
      </c>
      <c r="D5137" s="1347" t="s">
        <v>7107</v>
      </c>
      <c r="E5137" s="1347" t="s">
        <v>7108</v>
      </c>
    </row>
    <row r="5138" spans="1:5" x14ac:dyDescent="0.45">
      <c r="B5138" s="1347" t="s">
        <v>1417</v>
      </c>
      <c r="D5138" s="1347" t="s">
        <v>7109</v>
      </c>
      <c r="E5138" s="1347" t="s">
        <v>7110</v>
      </c>
    </row>
    <row r="5139" spans="1:5" x14ac:dyDescent="0.45">
      <c r="B5139" s="1347" t="s">
        <v>1108</v>
      </c>
      <c r="D5139" s="1347" t="s">
        <v>2218</v>
      </c>
      <c r="E5139" s="1347" t="s">
        <v>7111</v>
      </c>
    </row>
    <row r="5140" spans="1:5" x14ac:dyDescent="0.45">
      <c r="B5140" s="1347" t="s">
        <v>7112</v>
      </c>
      <c r="C5140" s="1347" t="s">
        <v>1105</v>
      </c>
      <c r="D5140" s="1347" t="s">
        <v>7113</v>
      </c>
      <c r="E5140" s="1347" t="s">
        <v>7114</v>
      </c>
    </row>
    <row r="5141" spans="1:5" x14ac:dyDescent="0.45">
      <c r="A5141" s="1347">
        <v>-1</v>
      </c>
      <c r="B5141" s="1347" t="s">
        <v>7115</v>
      </c>
      <c r="D5141" s="1347" t="s">
        <v>7116</v>
      </c>
      <c r="E5141" s="1347" t="s">
        <v>7117</v>
      </c>
    </row>
    <row r="5142" spans="1:5" x14ac:dyDescent="0.45">
      <c r="A5142" s="1347" t="s">
        <v>1105</v>
      </c>
      <c r="B5142" s="1347" t="s">
        <v>7118</v>
      </c>
      <c r="D5142" s="1347" t="s">
        <v>1109</v>
      </c>
      <c r="E5142" s="1347" t="s">
        <v>7119</v>
      </c>
    </row>
    <row r="5143" spans="1:5" x14ac:dyDescent="0.45">
      <c r="B5143" s="1347" t="s">
        <v>7120</v>
      </c>
      <c r="C5143" s="1347" t="s">
        <v>1105</v>
      </c>
      <c r="D5143" s="1347" t="s">
        <v>7121</v>
      </c>
      <c r="E5143" s="1347" t="s">
        <v>7122</v>
      </c>
    </row>
    <row r="5144" spans="1:5" x14ac:dyDescent="0.45">
      <c r="B5144" s="1347" t="s">
        <v>1108</v>
      </c>
      <c r="C5144" s="1347" t="s">
        <v>1105</v>
      </c>
      <c r="D5144" s="1347" t="s">
        <v>7123</v>
      </c>
      <c r="E5144" s="1347" t="s">
        <v>7124</v>
      </c>
    </row>
    <row r="5145" spans="1:5" x14ac:dyDescent="0.45">
      <c r="B5145" s="1347" t="s">
        <v>1108</v>
      </c>
      <c r="D5145" s="1347" t="s">
        <v>7125</v>
      </c>
      <c r="E5145" s="1347" t="s">
        <v>7126</v>
      </c>
    </row>
    <row r="5146" spans="1:5" x14ac:dyDescent="0.45">
      <c r="B5146" s="1347" t="s">
        <v>1108</v>
      </c>
      <c r="D5146" s="1347" t="s">
        <v>7127</v>
      </c>
      <c r="E5146" s="1347" t="s">
        <v>7128</v>
      </c>
    </row>
    <row r="5147" spans="1:5" x14ac:dyDescent="0.45">
      <c r="A5147" s="1347">
        <v>-9</v>
      </c>
      <c r="B5147" s="1347" t="s">
        <v>7129</v>
      </c>
      <c r="D5147" s="1347" t="s">
        <v>7130</v>
      </c>
      <c r="E5147" s="1347" t="s">
        <v>1110</v>
      </c>
    </row>
    <row r="5148" spans="1:5" x14ac:dyDescent="0.45">
      <c r="B5148" s="1347" t="s">
        <v>1108</v>
      </c>
      <c r="D5148" s="1347" t="s">
        <v>7131</v>
      </c>
      <c r="E5148" s="1347" t="s">
        <v>7132</v>
      </c>
    </row>
    <row r="5149" spans="1:5" x14ac:dyDescent="0.45">
      <c r="A5149" s="1347">
        <v>-2</v>
      </c>
      <c r="B5149" s="1347" t="s">
        <v>2427</v>
      </c>
      <c r="D5149" s="1347" t="s">
        <v>7133</v>
      </c>
      <c r="E5149" s="1347" t="s">
        <v>7134</v>
      </c>
    </row>
    <row r="5150" spans="1:5" x14ac:dyDescent="0.45">
      <c r="A5150" s="1347">
        <v>-2</v>
      </c>
      <c r="B5150" s="1347" t="s">
        <v>7135</v>
      </c>
      <c r="D5150" s="1347" t="s">
        <v>1109</v>
      </c>
      <c r="E5150" s="1347" t="s">
        <v>1110</v>
      </c>
    </row>
    <row r="5151" spans="1:5" x14ac:dyDescent="0.45">
      <c r="B5151" s="1347" t="s">
        <v>1108</v>
      </c>
      <c r="D5151" s="1347" t="s">
        <v>1109</v>
      </c>
      <c r="E5151" s="1347" t="s">
        <v>7136</v>
      </c>
    </row>
    <row r="5152" spans="1:5" x14ac:dyDescent="0.45">
      <c r="B5152" s="1347" t="s">
        <v>1108</v>
      </c>
      <c r="D5152" s="1347" t="s">
        <v>7137</v>
      </c>
      <c r="E5152" s="1347" t="s">
        <v>7138</v>
      </c>
    </row>
    <row r="5153" spans="1:5" x14ac:dyDescent="0.45">
      <c r="A5153" s="1347">
        <v>1</v>
      </c>
      <c r="B5153" s="1347" t="s">
        <v>7139</v>
      </c>
      <c r="D5153" s="1347" t="s">
        <v>7140</v>
      </c>
      <c r="E5153" s="1347" t="s">
        <v>7141</v>
      </c>
    </row>
    <row r="5154" spans="1:5" x14ac:dyDescent="0.45">
      <c r="B5154" s="1347" t="s">
        <v>7142</v>
      </c>
      <c r="C5154" s="1347">
        <v>2</v>
      </c>
      <c r="D5154" s="1347" t="s">
        <v>7143</v>
      </c>
      <c r="E5154" s="1347" t="s">
        <v>7144</v>
      </c>
    </row>
    <row r="5155" spans="1:5" x14ac:dyDescent="0.45">
      <c r="B5155" s="1347" t="s">
        <v>3890</v>
      </c>
      <c r="D5155" s="1347" t="s">
        <v>7145</v>
      </c>
      <c r="E5155" s="1347" t="s">
        <v>7146</v>
      </c>
    </row>
    <row r="5156" spans="1:5" x14ac:dyDescent="0.45">
      <c r="B5156" s="1347" t="s">
        <v>1108</v>
      </c>
      <c r="D5156" s="1347" t="s">
        <v>7147</v>
      </c>
      <c r="E5156" s="1347" t="s">
        <v>3561</v>
      </c>
    </row>
    <row r="5157" spans="1:5" x14ac:dyDescent="0.45">
      <c r="B5157" s="1347" t="s">
        <v>7148</v>
      </c>
      <c r="D5157" s="1347" t="s">
        <v>7149</v>
      </c>
      <c r="E5157" s="1347" t="s">
        <v>7150</v>
      </c>
    </row>
    <row r="5158" spans="1:5" x14ac:dyDescent="0.45">
      <c r="B5158" s="1347" t="s">
        <v>7151</v>
      </c>
      <c r="D5158" s="1347" t="s">
        <v>7152</v>
      </c>
      <c r="E5158" s="1347" t="s">
        <v>7153</v>
      </c>
    </row>
    <row r="5159" spans="1:5" x14ac:dyDescent="0.45">
      <c r="B5159" s="1347" t="s">
        <v>1108</v>
      </c>
      <c r="D5159" s="1347" t="s">
        <v>7154</v>
      </c>
      <c r="E5159" s="1347" t="s">
        <v>1113</v>
      </c>
    </row>
    <row r="5160" spans="1:5" x14ac:dyDescent="0.45">
      <c r="B5160" s="1347" t="s">
        <v>7155</v>
      </c>
      <c r="D5160" s="1347" t="s">
        <v>7156</v>
      </c>
      <c r="E5160" s="1347" t="s">
        <v>7157</v>
      </c>
    </row>
    <row r="5161" spans="1:5" x14ac:dyDescent="0.45">
      <c r="B5161" s="1347" t="s">
        <v>7158</v>
      </c>
      <c r="D5161" s="1347" t="s">
        <v>3926</v>
      </c>
      <c r="E5161" s="1347" t="s">
        <v>7159</v>
      </c>
    </row>
    <row r="5162" spans="1:5" x14ac:dyDescent="0.45">
      <c r="B5162" s="1347" t="s">
        <v>7160</v>
      </c>
      <c r="D5162" s="1347" t="s">
        <v>7161</v>
      </c>
      <c r="E5162" s="1347" t="s">
        <v>7162</v>
      </c>
    </row>
    <row r="5163" spans="1:5" x14ac:dyDescent="0.45">
      <c r="B5163" s="1347" t="s">
        <v>1108</v>
      </c>
      <c r="D5163" s="1347" t="s">
        <v>1608</v>
      </c>
      <c r="E5163" s="1347" t="s">
        <v>7163</v>
      </c>
    </row>
    <row r="5164" spans="1:5" x14ac:dyDescent="0.45">
      <c r="B5164" s="1347" t="s">
        <v>7164</v>
      </c>
      <c r="C5164" s="1347" t="s">
        <v>1105</v>
      </c>
      <c r="D5164" s="1347" t="s">
        <v>7165</v>
      </c>
      <c r="E5164" s="1347" t="s">
        <v>7166</v>
      </c>
    </row>
    <row r="5165" spans="1:5" x14ac:dyDescent="0.45">
      <c r="B5165" s="1347" t="s">
        <v>7167</v>
      </c>
      <c r="D5165" s="1347" t="s">
        <v>7168</v>
      </c>
      <c r="E5165" s="1347" t="s">
        <v>7169</v>
      </c>
    </row>
    <row r="5166" spans="1:5" x14ac:dyDescent="0.45">
      <c r="B5166" s="1347" t="s">
        <v>7170</v>
      </c>
      <c r="D5166" s="1347" t="s">
        <v>7171</v>
      </c>
      <c r="E5166" s="1347" t="s">
        <v>7172</v>
      </c>
    </row>
    <row r="5167" spans="1:5" x14ac:dyDescent="0.45">
      <c r="B5167" s="1347" t="s">
        <v>5391</v>
      </c>
      <c r="D5167" s="1347" t="s">
        <v>7173</v>
      </c>
      <c r="E5167" s="1347" t="s">
        <v>7174</v>
      </c>
    </row>
    <row r="5168" spans="1:5" x14ac:dyDescent="0.45">
      <c r="A5168" s="1347">
        <v>-1</v>
      </c>
      <c r="B5168" s="1347" t="s">
        <v>7175</v>
      </c>
      <c r="C5168" s="1347" t="s">
        <v>1105</v>
      </c>
      <c r="D5168" s="1347" t="s">
        <v>7176</v>
      </c>
      <c r="E5168" s="1347" t="s">
        <v>7177</v>
      </c>
    </row>
    <row r="5169" spans="1:5" x14ac:dyDescent="0.45">
      <c r="A5169" s="1347">
        <v>1</v>
      </c>
      <c r="B5169" s="1347" t="s">
        <v>7178</v>
      </c>
      <c r="D5169" s="1347" t="s">
        <v>7179</v>
      </c>
      <c r="E5169" s="1347" t="s">
        <v>7180</v>
      </c>
    </row>
    <row r="5170" spans="1:5" x14ac:dyDescent="0.45">
      <c r="B5170" s="1347" t="s">
        <v>1108</v>
      </c>
      <c r="D5170" s="1347" t="s">
        <v>7181</v>
      </c>
      <c r="E5170" s="1347" t="s">
        <v>7182</v>
      </c>
    </row>
    <row r="5171" spans="1:5" x14ac:dyDescent="0.45">
      <c r="A5171" s="1347">
        <v>-10</v>
      </c>
      <c r="B5171" s="1347" t="s">
        <v>7183</v>
      </c>
      <c r="D5171" s="1347" t="s">
        <v>6567</v>
      </c>
      <c r="E5171" s="1347" t="s">
        <v>7184</v>
      </c>
    </row>
    <row r="5172" spans="1:5" x14ac:dyDescent="0.45">
      <c r="B5172" s="1347" t="s">
        <v>7185</v>
      </c>
      <c r="D5172" s="1347" t="s">
        <v>7186</v>
      </c>
      <c r="E5172" s="1347" t="s">
        <v>7187</v>
      </c>
    </row>
    <row r="5173" spans="1:5" x14ac:dyDescent="0.45">
      <c r="B5173" s="1347" t="s">
        <v>1108</v>
      </c>
      <c r="D5173" s="1347" t="s">
        <v>1109</v>
      </c>
      <c r="E5173" s="1347" t="s">
        <v>7188</v>
      </c>
    </row>
    <row r="5174" spans="1:5" x14ac:dyDescent="0.45">
      <c r="A5174" s="1347" t="s">
        <v>1105</v>
      </c>
      <c r="B5174" s="1347" t="s">
        <v>7189</v>
      </c>
      <c r="D5174" s="1347" t="s">
        <v>7190</v>
      </c>
      <c r="E5174" s="1347" t="s">
        <v>1110</v>
      </c>
    </row>
    <row r="5175" spans="1:5" x14ac:dyDescent="0.45">
      <c r="A5175" s="1347">
        <v>-4</v>
      </c>
      <c r="B5175" s="1347" t="s">
        <v>7191</v>
      </c>
      <c r="C5175" s="1347" t="s">
        <v>1105</v>
      </c>
      <c r="D5175" s="1347" t="s">
        <v>7192</v>
      </c>
      <c r="E5175" s="1347" t="s">
        <v>1402</v>
      </c>
    </row>
    <row r="5176" spans="1:5" x14ac:dyDescent="0.45">
      <c r="B5176" s="1347" t="s">
        <v>7193</v>
      </c>
      <c r="D5176" s="1347" t="s">
        <v>7194</v>
      </c>
      <c r="E5176" s="1347" t="s">
        <v>7195</v>
      </c>
    </row>
    <row r="5177" spans="1:5" x14ac:dyDescent="0.45">
      <c r="B5177" s="1347" t="s">
        <v>7196</v>
      </c>
      <c r="D5177" s="1347" t="s">
        <v>7197</v>
      </c>
      <c r="E5177" s="1347" t="s">
        <v>7198</v>
      </c>
    </row>
    <row r="5178" spans="1:5" x14ac:dyDescent="0.45">
      <c r="B5178" s="1347" t="s">
        <v>7199</v>
      </c>
      <c r="D5178" s="1347" t="s">
        <v>7200</v>
      </c>
      <c r="E5178" s="1347" t="s">
        <v>1110</v>
      </c>
    </row>
    <row r="5179" spans="1:5" x14ac:dyDescent="0.45">
      <c r="A5179" s="1347">
        <v>-1</v>
      </c>
      <c r="B5179" s="1347" t="s">
        <v>7201</v>
      </c>
      <c r="C5179" s="1347" t="s">
        <v>1105</v>
      </c>
      <c r="D5179" s="1347" t="s">
        <v>7202</v>
      </c>
      <c r="E5179" s="1347" t="s">
        <v>7203</v>
      </c>
    </row>
    <row r="5180" spans="1:5" x14ac:dyDescent="0.45">
      <c r="A5180" s="1347" t="s">
        <v>1105</v>
      </c>
      <c r="B5180" s="1347" t="s">
        <v>7204</v>
      </c>
      <c r="D5180" s="1347" t="s">
        <v>1109</v>
      </c>
      <c r="E5180" s="1347" t="s">
        <v>7205</v>
      </c>
    </row>
    <row r="5181" spans="1:5" x14ac:dyDescent="0.45">
      <c r="B5181" s="1347" t="s">
        <v>1108</v>
      </c>
      <c r="D5181" s="1347" t="s">
        <v>1109</v>
      </c>
      <c r="E5181" s="1347" t="s">
        <v>1110</v>
      </c>
    </row>
    <row r="5182" spans="1:5" x14ac:dyDescent="0.45">
      <c r="B5182" s="1347" t="s">
        <v>1108</v>
      </c>
      <c r="D5182" s="1347" t="s">
        <v>7206</v>
      </c>
      <c r="E5182" s="1347" t="s">
        <v>1350</v>
      </c>
    </row>
    <row r="5183" spans="1:5" x14ac:dyDescent="0.45">
      <c r="B5183" s="1347" t="s">
        <v>7207</v>
      </c>
      <c r="D5183" s="1347" t="s">
        <v>7208</v>
      </c>
      <c r="E5183" s="1347" t="s">
        <v>7209</v>
      </c>
    </row>
    <row r="5184" spans="1:5" x14ac:dyDescent="0.45">
      <c r="A5184" s="1347" t="s">
        <v>1105</v>
      </c>
      <c r="B5184" s="1347" t="s">
        <v>7210</v>
      </c>
      <c r="D5184" s="1347" t="s">
        <v>7211</v>
      </c>
      <c r="E5184" s="1347" t="s">
        <v>7212</v>
      </c>
    </row>
    <row r="5185" spans="1:5" x14ac:dyDescent="0.45">
      <c r="A5185" s="1347">
        <v>31</v>
      </c>
      <c r="B5185" s="1347" t="s">
        <v>7213</v>
      </c>
      <c r="C5185" s="1347">
        <v>2</v>
      </c>
      <c r="D5185" s="1347" t="s">
        <v>7214</v>
      </c>
      <c r="E5185" s="1347" t="s">
        <v>7215</v>
      </c>
    </row>
    <row r="5186" spans="1:5" x14ac:dyDescent="0.45">
      <c r="B5186" s="1347" t="s">
        <v>1108</v>
      </c>
      <c r="D5186" s="1347" t="s">
        <v>7216</v>
      </c>
      <c r="E5186" s="1347" t="s">
        <v>7217</v>
      </c>
    </row>
    <row r="5187" spans="1:5" x14ac:dyDescent="0.45">
      <c r="B5187" s="1347" t="s">
        <v>1108</v>
      </c>
      <c r="D5187" s="1347" t="s">
        <v>7218</v>
      </c>
      <c r="E5187" s="1347" t="s">
        <v>7219</v>
      </c>
    </row>
    <row r="5188" spans="1:5" x14ac:dyDescent="0.45">
      <c r="B5188" s="1347" t="s">
        <v>7220</v>
      </c>
      <c r="D5188" s="1347" t="s">
        <v>7221</v>
      </c>
      <c r="E5188" s="1347" t="s">
        <v>7222</v>
      </c>
    </row>
    <row r="5189" spans="1:5" x14ac:dyDescent="0.45">
      <c r="B5189" s="1347" t="s">
        <v>7223</v>
      </c>
      <c r="D5189" s="1347" t="s">
        <v>3582</v>
      </c>
      <c r="E5189" s="1347" t="s">
        <v>7224</v>
      </c>
    </row>
    <row r="5190" spans="1:5" x14ac:dyDescent="0.45">
      <c r="B5190" s="1347" t="s">
        <v>1108</v>
      </c>
      <c r="D5190" s="1347" t="s">
        <v>7225</v>
      </c>
      <c r="E5190" s="1347" t="s">
        <v>1110</v>
      </c>
    </row>
    <row r="5191" spans="1:5" x14ac:dyDescent="0.45">
      <c r="B5191" s="1347" t="s">
        <v>7226</v>
      </c>
      <c r="D5191" s="1347" t="s">
        <v>7227</v>
      </c>
      <c r="E5191" s="1347" t="s">
        <v>7228</v>
      </c>
    </row>
    <row r="5192" spans="1:5" x14ac:dyDescent="0.45">
      <c r="B5192" s="1347" t="s">
        <v>1108</v>
      </c>
      <c r="D5192" s="1347" t="s">
        <v>7229</v>
      </c>
      <c r="E5192" s="1347" t="s">
        <v>7230</v>
      </c>
    </row>
    <row r="5193" spans="1:5" x14ac:dyDescent="0.45">
      <c r="B5193" s="1347" t="s">
        <v>4360</v>
      </c>
      <c r="D5193" s="1347" t="s">
        <v>7231</v>
      </c>
      <c r="E5193" s="1347" t="s">
        <v>7232</v>
      </c>
    </row>
    <row r="5194" spans="1:5" x14ac:dyDescent="0.45">
      <c r="B5194" s="1347" t="s">
        <v>1108</v>
      </c>
      <c r="D5194" s="1347" t="s">
        <v>3576</v>
      </c>
      <c r="E5194" s="1347" t="s">
        <v>7233</v>
      </c>
    </row>
    <row r="5195" spans="1:5" x14ac:dyDescent="0.45">
      <c r="A5195" s="1347">
        <v>-2</v>
      </c>
      <c r="B5195" s="1347" t="s">
        <v>7234</v>
      </c>
      <c r="D5195" s="1347" t="s">
        <v>7235</v>
      </c>
      <c r="E5195" s="1347" t="s">
        <v>7236</v>
      </c>
    </row>
    <row r="5196" spans="1:5" x14ac:dyDescent="0.45">
      <c r="B5196" s="1347" t="s">
        <v>4451</v>
      </c>
      <c r="C5196" s="1347" t="s">
        <v>1105</v>
      </c>
      <c r="D5196" s="1347" t="s">
        <v>7237</v>
      </c>
      <c r="E5196" s="1347" t="s">
        <v>7238</v>
      </c>
    </row>
    <row r="5197" spans="1:5" x14ac:dyDescent="0.45">
      <c r="A5197" s="1347" t="s">
        <v>1105</v>
      </c>
      <c r="B5197" s="1347" t="s">
        <v>7239</v>
      </c>
      <c r="D5197" s="1347" t="s">
        <v>7240</v>
      </c>
      <c r="E5197" s="1347" t="s">
        <v>7241</v>
      </c>
    </row>
    <row r="5198" spans="1:5" x14ac:dyDescent="0.45">
      <c r="A5198" s="1347" t="s">
        <v>1105</v>
      </c>
      <c r="B5198" s="1347" t="s">
        <v>7242</v>
      </c>
      <c r="D5198" s="1347" t="s">
        <v>7243</v>
      </c>
      <c r="E5198" s="1347" t="s">
        <v>7244</v>
      </c>
    </row>
    <row r="5199" spans="1:5" x14ac:dyDescent="0.45">
      <c r="A5199" s="1347" t="s">
        <v>1105</v>
      </c>
      <c r="B5199" s="1347" t="s">
        <v>7245</v>
      </c>
      <c r="D5199" s="1347" t="s">
        <v>7246</v>
      </c>
      <c r="E5199" s="1347" t="s">
        <v>7247</v>
      </c>
    </row>
    <row r="5200" spans="1:5" x14ac:dyDescent="0.45">
      <c r="B5200" s="1347" t="s">
        <v>1108</v>
      </c>
      <c r="D5200" s="1347" t="s">
        <v>7248</v>
      </c>
      <c r="E5200" s="1347" t="s">
        <v>7249</v>
      </c>
    </row>
    <row r="5201" spans="1:5" x14ac:dyDescent="0.45">
      <c r="B5201" s="1347" t="s">
        <v>1108</v>
      </c>
      <c r="D5201" s="1347" t="s">
        <v>7250</v>
      </c>
      <c r="E5201" s="1347" t="s">
        <v>7251</v>
      </c>
    </row>
    <row r="5202" spans="1:5" x14ac:dyDescent="0.45">
      <c r="A5202" s="1347">
        <v>-2</v>
      </c>
      <c r="B5202" s="1347" t="s">
        <v>6208</v>
      </c>
      <c r="D5202" s="1347" t="s">
        <v>7252</v>
      </c>
      <c r="E5202" s="1347" t="s">
        <v>7253</v>
      </c>
    </row>
    <row r="5203" spans="1:5" x14ac:dyDescent="0.45">
      <c r="A5203" s="1347" t="s">
        <v>1105</v>
      </c>
      <c r="B5203" s="1347" t="s">
        <v>7254</v>
      </c>
      <c r="D5203" s="1347" t="s">
        <v>7255</v>
      </c>
      <c r="E5203" s="1347" t="s">
        <v>7256</v>
      </c>
    </row>
    <row r="5204" spans="1:5" x14ac:dyDescent="0.45">
      <c r="B5204" s="1347" t="s">
        <v>1108</v>
      </c>
      <c r="D5204" s="1347" t="s">
        <v>1109</v>
      </c>
      <c r="E5204" s="1347" t="s">
        <v>7257</v>
      </c>
    </row>
    <row r="5205" spans="1:5" x14ac:dyDescent="0.45">
      <c r="A5205" s="1347">
        <v>1</v>
      </c>
      <c r="B5205" s="1347" t="s">
        <v>7258</v>
      </c>
      <c r="D5205" s="1347" t="s">
        <v>7259</v>
      </c>
      <c r="E5205" s="1347" t="s">
        <v>7260</v>
      </c>
    </row>
    <row r="5206" spans="1:5" x14ac:dyDescent="0.45">
      <c r="A5206" s="1347">
        <v>-1</v>
      </c>
      <c r="B5206" s="1347" t="s">
        <v>7261</v>
      </c>
      <c r="C5206" s="1347" t="s">
        <v>1105</v>
      </c>
      <c r="D5206" s="1347" t="s">
        <v>7262</v>
      </c>
      <c r="E5206" s="1347" t="s">
        <v>7263</v>
      </c>
    </row>
    <row r="5207" spans="1:5" x14ac:dyDescent="0.45">
      <c r="B5207" s="1347" t="s">
        <v>7264</v>
      </c>
      <c r="D5207" s="1347" t="s">
        <v>7265</v>
      </c>
      <c r="E5207" s="1347" t="s">
        <v>1220</v>
      </c>
    </row>
    <row r="5208" spans="1:5" x14ac:dyDescent="0.45">
      <c r="B5208" s="1347" t="s">
        <v>4339</v>
      </c>
      <c r="D5208" s="1347" t="s">
        <v>7266</v>
      </c>
      <c r="E5208" s="1347" t="s">
        <v>7267</v>
      </c>
    </row>
    <row r="5209" spans="1:5" x14ac:dyDescent="0.45">
      <c r="B5209" s="1347" t="s">
        <v>7268</v>
      </c>
      <c r="D5209" s="1347" t="s">
        <v>1109</v>
      </c>
      <c r="E5209" s="1347" t="s">
        <v>7269</v>
      </c>
    </row>
    <row r="5210" spans="1:5" x14ac:dyDescent="0.45">
      <c r="A5210" s="1347" t="s">
        <v>1105</v>
      </c>
      <c r="B5210" s="1347" t="s">
        <v>7270</v>
      </c>
      <c r="D5210" s="1347" t="s">
        <v>7271</v>
      </c>
      <c r="E5210" s="1347" t="s">
        <v>7272</v>
      </c>
    </row>
    <row r="5211" spans="1:5" x14ac:dyDescent="0.45">
      <c r="A5211" s="1347">
        <v>-1</v>
      </c>
      <c r="B5211" s="1347" t="s">
        <v>7273</v>
      </c>
      <c r="D5211" s="1347" t="s">
        <v>5585</v>
      </c>
      <c r="E5211" s="1347" t="s">
        <v>7274</v>
      </c>
    </row>
    <row r="5212" spans="1:5" x14ac:dyDescent="0.45">
      <c r="B5212" s="1347" t="s">
        <v>1108</v>
      </c>
      <c r="D5212" s="1347" t="s">
        <v>1109</v>
      </c>
      <c r="E5212" s="1347" t="s">
        <v>1110</v>
      </c>
    </row>
    <row r="5213" spans="1:5" x14ac:dyDescent="0.45">
      <c r="B5213" s="1347" t="s">
        <v>1108</v>
      </c>
      <c r="D5213" s="1347" t="s">
        <v>7275</v>
      </c>
      <c r="E5213" s="1347" t="s">
        <v>1110</v>
      </c>
    </row>
    <row r="5214" spans="1:5" x14ac:dyDescent="0.45">
      <c r="A5214" s="1347" t="s">
        <v>1105</v>
      </c>
      <c r="B5214" s="1347" t="s">
        <v>7276</v>
      </c>
      <c r="D5214" s="1347" t="s">
        <v>7277</v>
      </c>
      <c r="E5214" s="1347" t="s">
        <v>7278</v>
      </c>
    </row>
    <row r="5215" spans="1:5" x14ac:dyDescent="0.45">
      <c r="A5215" s="1347">
        <v>5</v>
      </c>
      <c r="B5215" s="1347" t="s">
        <v>7279</v>
      </c>
      <c r="C5215" s="1347">
        <v>1</v>
      </c>
      <c r="D5215" s="1347" t="s">
        <v>7280</v>
      </c>
      <c r="E5215" s="1347" t="s">
        <v>7281</v>
      </c>
    </row>
    <row r="5216" spans="1:5" x14ac:dyDescent="0.45">
      <c r="A5216" s="1347">
        <v>28</v>
      </c>
      <c r="B5216" s="1347" t="s">
        <v>7282</v>
      </c>
      <c r="C5216" s="1347">
        <v>1</v>
      </c>
      <c r="D5216" s="1347" t="s">
        <v>7283</v>
      </c>
      <c r="E5216" s="1347" t="s">
        <v>7284</v>
      </c>
    </row>
    <row r="5217" spans="1:5" x14ac:dyDescent="0.45">
      <c r="B5217" s="1347" t="s">
        <v>1108</v>
      </c>
      <c r="D5217" s="1347" t="s">
        <v>5918</v>
      </c>
      <c r="E5217" s="1347" t="s">
        <v>7285</v>
      </c>
    </row>
    <row r="5218" spans="1:5" x14ac:dyDescent="0.45">
      <c r="B5218" s="1347" t="s">
        <v>1108</v>
      </c>
      <c r="D5218" s="1347" t="s">
        <v>7286</v>
      </c>
      <c r="E5218" s="1347" t="s">
        <v>7287</v>
      </c>
    </row>
    <row r="5219" spans="1:5" x14ac:dyDescent="0.45">
      <c r="B5219" s="1347" t="s">
        <v>7288</v>
      </c>
      <c r="D5219" s="1347" t="s">
        <v>7289</v>
      </c>
      <c r="E5219" s="1347" t="s">
        <v>7290</v>
      </c>
    </row>
    <row r="5220" spans="1:5" x14ac:dyDescent="0.45">
      <c r="B5220" s="1347" t="s">
        <v>1383</v>
      </c>
      <c r="D5220" s="1347" t="s">
        <v>7291</v>
      </c>
      <c r="E5220" s="1347" t="s">
        <v>7292</v>
      </c>
    </row>
    <row r="5221" spans="1:5" x14ac:dyDescent="0.45">
      <c r="B5221" s="1347" t="s">
        <v>1108</v>
      </c>
      <c r="D5221" s="1347" t="s">
        <v>7293</v>
      </c>
      <c r="E5221" s="1347" t="s">
        <v>1110</v>
      </c>
    </row>
    <row r="5222" spans="1:5" x14ac:dyDescent="0.45">
      <c r="B5222" s="1347" t="s">
        <v>3223</v>
      </c>
      <c r="D5222" s="1347" t="s">
        <v>7294</v>
      </c>
      <c r="E5222" s="1347" t="s">
        <v>7295</v>
      </c>
    </row>
    <row r="5223" spans="1:5" x14ac:dyDescent="0.45">
      <c r="B5223" s="1347" t="s">
        <v>1108</v>
      </c>
      <c r="D5223" s="1347" t="s">
        <v>7296</v>
      </c>
      <c r="E5223" s="1347" t="s">
        <v>7297</v>
      </c>
    </row>
    <row r="5224" spans="1:5" x14ac:dyDescent="0.45">
      <c r="A5224" s="1347">
        <v>1</v>
      </c>
      <c r="B5224" s="1347" t="s">
        <v>3311</v>
      </c>
      <c r="D5224" s="1347" t="s">
        <v>7298</v>
      </c>
      <c r="E5224" s="1347" t="s">
        <v>7299</v>
      </c>
    </row>
    <row r="5225" spans="1:5" x14ac:dyDescent="0.45">
      <c r="B5225" s="1347" t="s">
        <v>1108</v>
      </c>
      <c r="D5225" s="1347" t="s">
        <v>7300</v>
      </c>
      <c r="E5225" s="1347" t="s">
        <v>7301</v>
      </c>
    </row>
    <row r="5226" spans="1:5" x14ac:dyDescent="0.45">
      <c r="B5226" s="1347" t="s">
        <v>7302</v>
      </c>
      <c r="D5226" s="1347" t="s">
        <v>7303</v>
      </c>
      <c r="E5226" s="1347" t="s">
        <v>7304</v>
      </c>
    </row>
    <row r="5227" spans="1:5" x14ac:dyDescent="0.45">
      <c r="B5227" s="1347" t="s">
        <v>7305</v>
      </c>
      <c r="C5227" s="1347" t="s">
        <v>1105</v>
      </c>
      <c r="D5227" s="1347" t="s">
        <v>7306</v>
      </c>
      <c r="E5227" s="1347" t="s">
        <v>7307</v>
      </c>
    </row>
    <row r="5228" spans="1:5" x14ac:dyDescent="0.45">
      <c r="A5228" s="1347" t="s">
        <v>1105</v>
      </c>
      <c r="B5228" s="1347" t="s">
        <v>7308</v>
      </c>
      <c r="D5228" s="1347" t="s">
        <v>7309</v>
      </c>
      <c r="E5228" s="1347" t="s">
        <v>7310</v>
      </c>
    </row>
    <row r="5229" spans="1:5" x14ac:dyDescent="0.45">
      <c r="A5229" s="1347" t="s">
        <v>1105</v>
      </c>
      <c r="B5229" s="1347" t="s">
        <v>7311</v>
      </c>
      <c r="D5229" s="1347" t="s">
        <v>7312</v>
      </c>
      <c r="E5229" s="1347" t="s">
        <v>7313</v>
      </c>
    </row>
    <row r="5230" spans="1:5" x14ac:dyDescent="0.45">
      <c r="B5230" s="1347" t="s">
        <v>7314</v>
      </c>
      <c r="D5230" s="1347" t="s">
        <v>7315</v>
      </c>
      <c r="E5230" s="1347" t="s">
        <v>7316</v>
      </c>
    </row>
    <row r="5231" spans="1:5" x14ac:dyDescent="0.45">
      <c r="B5231" s="1347" t="s">
        <v>1108</v>
      </c>
      <c r="D5231" s="1347" t="s">
        <v>7317</v>
      </c>
      <c r="E5231" s="1347" t="s">
        <v>7318</v>
      </c>
    </row>
    <row r="5232" spans="1:5" x14ac:dyDescent="0.45">
      <c r="B5232" s="1347" t="s">
        <v>1108</v>
      </c>
      <c r="D5232" s="1347" t="s">
        <v>7319</v>
      </c>
      <c r="E5232" s="1347" t="s">
        <v>7320</v>
      </c>
    </row>
    <row r="5233" spans="1:5" x14ac:dyDescent="0.45">
      <c r="B5233" s="1347" t="s">
        <v>7321</v>
      </c>
      <c r="D5233" s="1347" t="s">
        <v>7322</v>
      </c>
      <c r="E5233" s="1347" t="s">
        <v>7323</v>
      </c>
    </row>
    <row r="5234" spans="1:5" x14ac:dyDescent="0.45">
      <c r="A5234" s="1347" t="s">
        <v>1105</v>
      </c>
      <c r="B5234" s="1347" t="s">
        <v>7324</v>
      </c>
      <c r="D5234" s="1347" t="s">
        <v>7325</v>
      </c>
      <c r="E5234" s="1347" t="s">
        <v>7326</v>
      </c>
    </row>
    <row r="5235" spans="1:5" x14ac:dyDescent="0.45">
      <c r="B5235" s="1347" t="s">
        <v>1108</v>
      </c>
      <c r="D5235" s="1347" t="s">
        <v>1109</v>
      </c>
      <c r="E5235" s="1347" t="s">
        <v>7327</v>
      </c>
    </row>
    <row r="5236" spans="1:5" x14ac:dyDescent="0.45">
      <c r="B5236" s="1347" t="s">
        <v>7328</v>
      </c>
      <c r="D5236" s="1347" t="s">
        <v>7329</v>
      </c>
      <c r="E5236" s="1347" t="s">
        <v>7330</v>
      </c>
    </row>
    <row r="5237" spans="1:5" x14ac:dyDescent="0.45">
      <c r="A5237" s="1347" t="s">
        <v>1105</v>
      </c>
      <c r="B5237" s="1347" t="s">
        <v>7331</v>
      </c>
      <c r="C5237" s="1347" t="s">
        <v>1105</v>
      </c>
      <c r="D5237" s="1347" t="s">
        <v>7332</v>
      </c>
      <c r="E5237" s="1347" t="s">
        <v>7333</v>
      </c>
    </row>
    <row r="5238" spans="1:5" x14ac:dyDescent="0.45">
      <c r="B5238" s="1347" t="s">
        <v>7334</v>
      </c>
      <c r="D5238" s="1347" t="s">
        <v>7335</v>
      </c>
      <c r="E5238" s="1347" t="s">
        <v>1435</v>
      </c>
    </row>
    <row r="5239" spans="1:5" x14ac:dyDescent="0.45">
      <c r="A5239" s="1347" t="s">
        <v>1105</v>
      </c>
      <c r="B5239" s="1347" t="s">
        <v>7336</v>
      </c>
      <c r="D5239" s="1347" t="s">
        <v>7337</v>
      </c>
      <c r="E5239" s="1347" t="s">
        <v>7338</v>
      </c>
    </row>
    <row r="5240" spans="1:5" x14ac:dyDescent="0.45">
      <c r="B5240" s="1347" t="s">
        <v>7339</v>
      </c>
      <c r="D5240" s="1347" t="s">
        <v>1109</v>
      </c>
      <c r="E5240" s="1347" t="s">
        <v>6064</v>
      </c>
    </row>
    <row r="5241" spans="1:5" x14ac:dyDescent="0.45">
      <c r="A5241" s="1347">
        <v>-2</v>
      </c>
      <c r="B5241" s="1347" t="s">
        <v>7340</v>
      </c>
      <c r="C5241" s="1347" t="s">
        <v>1105</v>
      </c>
      <c r="D5241" s="1347" t="s">
        <v>7341</v>
      </c>
      <c r="E5241" s="1347" t="s">
        <v>7342</v>
      </c>
    </row>
    <row r="5242" spans="1:5" x14ac:dyDescent="0.45">
      <c r="B5242" s="1347" t="s">
        <v>7343</v>
      </c>
      <c r="D5242" s="1347" t="s">
        <v>7344</v>
      </c>
      <c r="E5242" s="1347" t="s">
        <v>7345</v>
      </c>
    </row>
    <row r="5243" spans="1:5" x14ac:dyDescent="0.45">
      <c r="B5243" s="1347" t="s">
        <v>1108</v>
      </c>
      <c r="D5243" s="1347" t="s">
        <v>1109</v>
      </c>
      <c r="E5243" s="1347" t="s">
        <v>1110</v>
      </c>
    </row>
    <row r="5244" spans="1:5" x14ac:dyDescent="0.45">
      <c r="B5244" s="1347" t="s">
        <v>1108</v>
      </c>
      <c r="D5244" s="1347" t="s">
        <v>7346</v>
      </c>
      <c r="E5244" s="1347" t="s">
        <v>1110</v>
      </c>
    </row>
    <row r="5245" spans="1:5" x14ac:dyDescent="0.45">
      <c r="A5245" s="1347" t="s">
        <v>1105</v>
      </c>
      <c r="B5245" s="1347" t="s">
        <v>7347</v>
      </c>
      <c r="D5245" s="1347" t="s">
        <v>7348</v>
      </c>
      <c r="E5245" s="1347" t="s">
        <v>7349</v>
      </c>
    </row>
    <row r="5246" spans="1:5" x14ac:dyDescent="0.45">
      <c r="A5246" s="1347">
        <v>4</v>
      </c>
      <c r="B5246" s="1347" t="s">
        <v>7350</v>
      </c>
      <c r="C5246" s="1347">
        <v>2</v>
      </c>
      <c r="D5246" s="1347" t="s">
        <v>7351</v>
      </c>
      <c r="E5246" s="1347" t="s">
        <v>7352</v>
      </c>
    </row>
    <row r="5247" spans="1:5" x14ac:dyDescent="0.45">
      <c r="A5247" s="1347">
        <v>24</v>
      </c>
      <c r="B5247" s="1347" t="s">
        <v>7353</v>
      </c>
      <c r="C5247" s="1347">
        <v>2</v>
      </c>
      <c r="D5247" s="1347" t="s">
        <v>7354</v>
      </c>
      <c r="E5247" s="1347" t="s">
        <v>7355</v>
      </c>
    </row>
    <row r="5248" spans="1:5" x14ac:dyDescent="0.45">
      <c r="B5248" s="1347" t="s">
        <v>7356</v>
      </c>
      <c r="D5248" s="1347" t="s">
        <v>7357</v>
      </c>
      <c r="E5248" s="1347" t="s">
        <v>7358</v>
      </c>
    </row>
    <row r="5249" spans="1:5" x14ac:dyDescent="0.45">
      <c r="B5249" s="1347" t="s">
        <v>1108</v>
      </c>
      <c r="D5249" s="1347" t="s">
        <v>2787</v>
      </c>
      <c r="E5249" s="1347" t="s">
        <v>7359</v>
      </c>
    </row>
    <row r="5250" spans="1:5" x14ac:dyDescent="0.45">
      <c r="B5250" s="1347" t="s">
        <v>7360</v>
      </c>
      <c r="D5250" s="1347" t="s">
        <v>7361</v>
      </c>
      <c r="E5250" s="1347" t="s">
        <v>7362</v>
      </c>
    </row>
    <row r="5251" spans="1:5" x14ac:dyDescent="0.45">
      <c r="B5251" s="1347" t="s">
        <v>7363</v>
      </c>
      <c r="D5251" s="1347" t="s">
        <v>7364</v>
      </c>
      <c r="E5251" s="1347" t="s">
        <v>7365</v>
      </c>
    </row>
    <row r="5252" spans="1:5" x14ac:dyDescent="0.45">
      <c r="B5252" s="1347" t="s">
        <v>1108</v>
      </c>
      <c r="D5252" s="1347" t="s">
        <v>7366</v>
      </c>
      <c r="E5252" s="1347" t="s">
        <v>1156</v>
      </c>
    </row>
    <row r="5253" spans="1:5" x14ac:dyDescent="0.45">
      <c r="B5253" s="1347" t="s">
        <v>7367</v>
      </c>
      <c r="D5253" s="1347" t="s">
        <v>7368</v>
      </c>
      <c r="E5253" s="1347" t="s">
        <v>7369</v>
      </c>
    </row>
    <row r="5254" spans="1:5" x14ac:dyDescent="0.45">
      <c r="A5254" s="1347">
        <v>1</v>
      </c>
      <c r="B5254" s="1347" t="s">
        <v>7370</v>
      </c>
      <c r="D5254" s="1347" t="s">
        <v>1109</v>
      </c>
      <c r="E5254" s="1347" t="s">
        <v>7371</v>
      </c>
    </row>
    <row r="5255" spans="1:5" x14ac:dyDescent="0.45">
      <c r="B5255" s="1347">
        <f>-26   -201</f>
        <v>-227</v>
      </c>
      <c r="D5255" s="1347" t="s">
        <v>7372</v>
      </c>
      <c r="E5255" s="1347" t="s">
        <v>7373</v>
      </c>
    </row>
    <row r="5256" spans="1:5" x14ac:dyDescent="0.45">
      <c r="B5256" s="1347" t="s">
        <v>1108</v>
      </c>
      <c r="D5256" s="1347" t="s">
        <v>2064</v>
      </c>
      <c r="E5256" s="1347" t="s">
        <v>7374</v>
      </c>
    </row>
    <row r="5257" spans="1:5" x14ac:dyDescent="0.45">
      <c r="B5257" s="1347" t="s">
        <v>7375</v>
      </c>
      <c r="C5257" s="1347">
        <v>-1</v>
      </c>
      <c r="D5257" s="1347" t="s">
        <v>7376</v>
      </c>
      <c r="E5257" s="1347" t="s">
        <v>7377</v>
      </c>
    </row>
    <row r="5258" spans="1:5" x14ac:dyDescent="0.45">
      <c r="A5258" s="1347" t="s">
        <v>1105</v>
      </c>
      <c r="B5258" s="1347" t="s">
        <v>5972</v>
      </c>
      <c r="D5258" s="1347" t="s">
        <v>7378</v>
      </c>
      <c r="E5258" s="1347" t="s">
        <v>7379</v>
      </c>
    </row>
    <row r="5259" spans="1:5" x14ac:dyDescent="0.45">
      <c r="A5259" s="1347">
        <v>-1</v>
      </c>
      <c r="B5259" s="1347" t="s">
        <v>7380</v>
      </c>
      <c r="D5259" s="1347" t="s">
        <v>7381</v>
      </c>
      <c r="E5259" s="1347" t="s">
        <v>7382</v>
      </c>
    </row>
    <row r="5260" spans="1:5" x14ac:dyDescent="0.45">
      <c r="B5260" s="1347" t="s">
        <v>7383</v>
      </c>
      <c r="D5260" s="1347" t="s">
        <v>7384</v>
      </c>
      <c r="E5260" s="1347" t="s">
        <v>7385</v>
      </c>
    </row>
    <row r="5261" spans="1:5" x14ac:dyDescent="0.45">
      <c r="A5261" s="1347" t="s">
        <v>1105</v>
      </c>
      <c r="B5261" s="1347" t="s">
        <v>7386</v>
      </c>
      <c r="C5261" s="1347" t="s">
        <v>1105</v>
      </c>
      <c r="D5261" s="1347" t="s">
        <v>7387</v>
      </c>
      <c r="E5261" s="1347" t="s">
        <v>7388</v>
      </c>
    </row>
    <row r="5262" spans="1:5" x14ac:dyDescent="0.45">
      <c r="A5262" s="1347" t="s">
        <v>1105</v>
      </c>
      <c r="B5262" s="1347" t="s">
        <v>1364</v>
      </c>
      <c r="D5262" s="1347" t="s">
        <v>7389</v>
      </c>
      <c r="E5262" s="1347" t="s">
        <v>7390</v>
      </c>
    </row>
    <row r="5263" spans="1:5" x14ac:dyDescent="0.45">
      <c r="B5263" s="1347" t="s">
        <v>1108</v>
      </c>
      <c r="D5263" s="1347" t="s">
        <v>7391</v>
      </c>
      <c r="E5263" s="1347" t="s">
        <v>7392</v>
      </c>
    </row>
    <row r="5264" spans="1:5" x14ac:dyDescent="0.45">
      <c r="A5264" s="1347">
        <v>-11</v>
      </c>
      <c r="B5264" s="1347" t="s">
        <v>7393</v>
      </c>
      <c r="D5264" s="1347" t="s">
        <v>3663</v>
      </c>
      <c r="E5264" s="1347" t="s">
        <v>7394</v>
      </c>
    </row>
    <row r="5265" spans="1:5" x14ac:dyDescent="0.45">
      <c r="B5265" s="1347" t="s">
        <v>7395</v>
      </c>
      <c r="D5265" s="1347" t="s">
        <v>7396</v>
      </c>
      <c r="E5265" s="1347" t="s">
        <v>7397</v>
      </c>
    </row>
    <row r="5266" spans="1:5" x14ac:dyDescent="0.45">
      <c r="B5266" s="1347" t="s">
        <v>1108</v>
      </c>
      <c r="D5266" s="1347" t="s">
        <v>1109</v>
      </c>
      <c r="E5266" s="1347" t="s">
        <v>7398</v>
      </c>
    </row>
    <row r="5267" spans="1:5" x14ac:dyDescent="0.45">
      <c r="A5267" s="1347" t="s">
        <v>1105</v>
      </c>
      <c r="B5267" s="1347" t="s">
        <v>7399</v>
      </c>
      <c r="D5267" s="1347" t="s">
        <v>7400</v>
      </c>
      <c r="E5267" s="1347" t="s">
        <v>1110</v>
      </c>
    </row>
    <row r="5268" spans="1:5" x14ac:dyDescent="0.45">
      <c r="A5268" s="1347">
        <v>-4</v>
      </c>
      <c r="B5268" s="1347" t="s">
        <v>7401</v>
      </c>
      <c r="C5268" s="1347" t="s">
        <v>1105</v>
      </c>
      <c r="D5268" s="1347" t="s">
        <v>7402</v>
      </c>
      <c r="E5268" s="1347" t="s">
        <v>1476</v>
      </c>
    </row>
    <row r="5269" spans="1:5" x14ac:dyDescent="0.45">
      <c r="B5269" s="1347" t="s">
        <v>4368</v>
      </c>
      <c r="D5269" s="1347" t="s">
        <v>7403</v>
      </c>
      <c r="E5269" s="1347" t="s">
        <v>7404</v>
      </c>
    </row>
    <row r="5270" spans="1:5" x14ac:dyDescent="0.45">
      <c r="B5270" s="1347" t="s">
        <v>7405</v>
      </c>
      <c r="D5270" s="1347" t="s">
        <v>7406</v>
      </c>
      <c r="E5270" s="1347" t="s">
        <v>7407</v>
      </c>
    </row>
    <row r="5271" spans="1:5" x14ac:dyDescent="0.45">
      <c r="A5271" s="1347" t="s">
        <v>1105</v>
      </c>
      <c r="B5271" s="1347" t="s">
        <v>7408</v>
      </c>
      <c r="D5271" s="1347" t="s">
        <v>7409</v>
      </c>
      <c r="E5271" s="1347" t="s">
        <v>1110</v>
      </c>
    </row>
    <row r="5272" spans="1:5" x14ac:dyDescent="0.45">
      <c r="A5272" s="1347" t="s">
        <v>1105</v>
      </c>
      <c r="B5272" s="1347" t="s">
        <v>7410</v>
      </c>
      <c r="D5272" s="1347" t="s">
        <v>7411</v>
      </c>
      <c r="E5272" s="1347" t="s">
        <v>7412</v>
      </c>
    </row>
    <row r="5273" spans="1:5" x14ac:dyDescent="0.45">
      <c r="B5273" s="1347" t="s">
        <v>7413</v>
      </c>
      <c r="D5273" s="1347" t="s">
        <v>1109</v>
      </c>
      <c r="E5273" s="1347" t="s">
        <v>7414</v>
      </c>
    </row>
    <row r="5274" spans="1:5" x14ac:dyDescent="0.45">
      <c r="B5274" s="1347" t="s">
        <v>1108</v>
      </c>
      <c r="D5274" s="1347" t="s">
        <v>1109</v>
      </c>
      <c r="E5274" s="1347" t="s">
        <v>1110</v>
      </c>
    </row>
    <row r="5275" spans="1:5" x14ac:dyDescent="0.45">
      <c r="B5275" s="1347" t="s">
        <v>1108</v>
      </c>
      <c r="D5275" s="1347" t="s">
        <v>3663</v>
      </c>
      <c r="E5275" s="1347" t="s">
        <v>1958</v>
      </c>
    </row>
    <row r="5276" spans="1:5" x14ac:dyDescent="0.45">
      <c r="B5276" s="1347" t="s">
        <v>7415</v>
      </c>
      <c r="D5276" s="1347" t="s">
        <v>7416</v>
      </c>
      <c r="E5276" s="1347" t="s">
        <v>7417</v>
      </c>
    </row>
    <row r="5277" spans="1:5" x14ac:dyDescent="0.45">
      <c r="A5277" s="1347" t="s">
        <v>1105</v>
      </c>
      <c r="B5277" s="1347" t="s">
        <v>7418</v>
      </c>
      <c r="D5277" s="1347" t="s">
        <v>7419</v>
      </c>
      <c r="E5277" s="1347" t="s">
        <v>7420</v>
      </c>
    </row>
    <row r="5278" spans="1:5" x14ac:dyDescent="0.45">
      <c r="A5278" s="1347">
        <v>44</v>
      </c>
      <c r="B5278" s="1347" t="s">
        <v>7421</v>
      </c>
      <c r="C5278" s="1347">
        <v>2</v>
      </c>
      <c r="D5278" s="1347" t="s">
        <v>7422</v>
      </c>
      <c r="E5278" s="1347" t="s">
        <v>7423</v>
      </c>
    </row>
    <row r="5279" spans="1:5" x14ac:dyDescent="0.45">
      <c r="A5279" s="1347">
        <v>1</v>
      </c>
      <c r="B5279" s="1347" t="s">
        <v>7424</v>
      </c>
      <c r="D5279" s="1347" t="s">
        <v>7425</v>
      </c>
      <c r="E5279" s="1347" t="s">
        <v>7426</v>
      </c>
    </row>
    <row r="5280" spans="1:5" x14ac:dyDescent="0.45">
      <c r="B5280" s="1347" t="s">
        <v>6194</v>
      </c>
      <c r="D5280" s="1347" t="s">
        <v>1109</v>
      </c>
      <c r="E5280" s="1347" t="s">
        <v>7427</v>
      </c>
    </row>
    <row r="5281" spans="1:5" x14ac:dyDescent="0.45">
      <c r="A5281" s="1347" t="s">
        <v>1105</v>
      </c>
      <c r="B5281" s="1347" t="s">
        <v>3547</v>
      </c>
      <c r="D5281" s="1347" t="s">
        <v>7428</v>
      </c>
      <c r="E5281" s="1347" t="s">
        <v>7429</v>
      </c>
    </row>
    <row r="5282" spans="1:5" x14ac:dyDescent="0.45">
      <c r="A5282" s="1347">
        <v>1</v>
      </c>
      <c r="B5282" s="1347" t="s">
        <v>7430</v>
      </c>
      <c r="D5282" s="1347" t="s">
        <v>7431</v>
      </c>
      <c r="E5282" s="1347" t="s">
        <v>1275</v>
      </c>
    </row>
    <row r="5283" spans="1:5" x14ac:dyDescent="0.45">
      <c r="B5283" s="1347" t="s">
        <v>2870</v>
      </c>
      <c r="D5283" s="1347" t="s">
        <v>4949</v>
      </c>
      <c r="E5283" s="1347" t="s">
        <v>7432</v>
      </c>
    </row>
    <row r="5284" spans="1:5" x14ac:dyDescent="0.45">
      <c r="B5284" s="1347" t="s">
        <v>1108</v>
      </c>
      <c r="D5284" s="1347" t="s">
        <v>7433</v>
      </c>
      <c r="E5284" s="1347" t="s">
        <v>7434</v>
      </c>
    </row>
    <row r="5285" spans="1:5" x14ac:dyDescent="0.45">
      <c r="A5285" s="1347">
        <v>-3</v>
      </c>
      <c r="B5285" s="1347" t="s">
        <v>7435</v>
      </c>
      <c r="C5285" s="1347" t="s">
        <v>1105</v>
      </c>
      <c r="D5285" s="1347" t="s">
        <v>7436</v>
      </c>
      <c r="E5285" s="1347" t="s">
        <v>7437</v>
      </c>
    </row>
    <row r="5286" spans="1:5" x14ac:dyDescent="0.45">
      <c r="B5286" s="1347" t="s">
        <v>1108</v>
      </c>
      <c r="D5286" s="1347" t="s">
        <v>7438</v>
      </c>
      <c r="E5286" s="1347" t="s">
        <v>7439</v>
      </c>
    </row>
    <row r="5287" spans="1:5" x14ac:dyDescent="0.45">
      <c r="A5287" s="1347" t="s">
        <v>1105</v>
      </c>
      <c r="B5287" s="1347" t="s">
        <v>7440</v>
      </c>
      <c r="D5287" s="1347" t="s">
        <v>1109</v>
      </c>
      <c r="E5287" s="1347" t="s">
        <v>7441</v>
      </c>
    </row>
    <row r="5288" spans="1:5" x14ac:dyDescent="0.45">
      <c r="A5288" s="1347">
        <v>-1</v>
      </c>
      <c r="B5288" s="1347" t="s">
        <v>7442</v>
      </c>
      <c r="D5288" s="1347" t="s">
        <v>7443</v>
      </c>
      <c r="E5288" s="1347" t="s">
        <v>7444</v>
      </c>
    </row>
    <row r="5289" spans="1:5" x14ac:dyDescent="0.45">
      <c r="A5289" s="1347">
        <v>-1</v>
      </c>
      <c r="B5289" s="1347" t="s">
        <v>7445</v>
      </c>
      <c r="C5289" s="1347" t="s">
        <v>1105</v>
      </c>
      <c r="D5289" s="1347" t="s">
        <v>7446</v>
      </c>
      <c r="E5289" s="1347" t="s">
        <v>7447</v>
      </c>
    </row>
    <row r="5290" spans="1:5" x14ac:dyDescent="0.45">
      <c r="B5290" s="1347" t="s">
        <v>1379</v>
      </c>
      <c r="D5290" s="1347">
        <f>-122  -1474  -2225  -264</f>
        <v>-4085</v>
      </c>
      <c r="E5290" s="1347" t="s">
        <v>1350</v>
      </c>
    </row>
    <row r="5291" spans="1:5" x14ac:dyDescent="0.45">
      <c r="B5291" s="1347" t="s">
        <v>7448</v>
      </c>
      <c r="D5291" s="1347" t="s">
        <v>7449</v>
      </c>
      <c r="E5291" s="1347" t="s">
        <v>7450</v>
      </c>
    </row>
    <row r="5292" spans="1:5" x14ac:dyDescent="0.45">
      <c r="A5292" s="1347">
        <v>32</v>
      </c>
      <c r="B5292" s="1347" t="s">
        <v>7451</v>
      </c>
      <c r="C5292" s="1347">
        <v>1</v>
      </c>
      <c r="D5292" s="1347" t="s">
        <v>7452</v>
      </c>
      <c r="E5292" s="1347" t="s">
        <v>7453</v>
      </c>
    </row>
    <row r="5293" spans="1:5" x14ac:dyDescent="0.45">
      <c r="A5293" s="1347">
        <v>6</v>
      </c>
      <c r="B5293" s="1347" t="s">
        <v>4555</v>
      </c>
      <c r="C5293" s="1347">
        <v>1</v>
      </c>
      <c r="D5293" s="1347" t="s">
        <v>7454</v>
      </c>
      <c r="E5293" s="1347" t="s">
        <v>7455</v>
      </c>
    </row>
    <row r="5294" spans="1:5" x14ac:dyDescent="0.45">
      <c r="B5294" s="1347" t="s">
        <v>1108</v>
      </c>
      <c r="D5294" s="1347" t="s">
        <v>7456</v>
      </c>
      <c r="E5294" s="1347" t="s">
        <v>7457</v>
      </c>
    </row>
    <row r="5295" spans="1:5" x14ac:dyDescent="0.45">
      <c r="B5295" s="1347" t="s">
        <v>7458</v>
      </c>
      <c r="C5295" s="1347" t="s">
        <v>1105</v>
      </c>
      <c r="D5295" s="1347" t="s">
        <v>7459</v>
      </c>
      <c r="E5295" s="1347" t="s">
        <v>7460</v>
      </c>
    </row>
    <row r="5296" spans="1:5" x14ac:dyDescent="0.45">
      <c r="A5296" s="1347" t="s">
        <v>1105</v>
      </c>
      <c r="B5296" s="1347" t="s">
        <v>7461</v>
      </c>
      <c r="D5296" s="1347" t="s">
        <v>7462</v>
      </c>
      <c r="E5296" s="1347" t="s">
        <v>7463</v>
      </c>
    </row>
    <row r="5297" spans="1:5" x14ac:dyDescent="0.45">
      <c r="B5297" s="1347" t="s">
        <v>7464</v>
      </c>
      <c r="D5297" s="1347" t="s">
        <v>1109</v>
      </c>
      <c r="E5297" s="1347" t="s">
        <v>7465</v>
      </c>
    </row>
    <row r="5298" spans="1:5" x14ac:dyDescent="0.45">
      <c r="B5298" s="1347" t="s">
        <v>7466</v>
      </c>
      <c r="D5298" s="1347" t="s">
        <v>7467</v>
      </c>
      <c r="E5298" s="1347" t="s">
        <v>7468</v>
      </c>
    </row>
    <row r="5299" spans="1:5" x14ac:dyDescent="0.45">
      <c r="B5299" s="1347" t="s">
        <v>1108</v>
      </c>
      <c r="C5299" s="1347" t="s">
        <v>1105</v>
      </c>
      <c r="D5299" s="1347" t="s">
        <v>7469</v>
      </c>
      <c r="E5299" s="1347" t="s">
        <v>7470</v>
      </c>
    </row>
    <row r="5300" spans="1:5" x14ac:dyDescent="0.45">
      <c r="B5300" s="1347" t="s">
        <v>1108</v>
      </c>
      <c r="D5300" s="1347" t="s">
        <v>7471</v>
      </c>
      <c r="E5300" s="1347" t="s">
        <v>7472</v>
      </c>
    </row>
    <row r="5301" spans="1:5" x14ac:dyDescent="0.45">
      <c r="B5301" s="1347" t="s">
        <v>1108</v>
      </c>
      <c r="D5301" s="1347" t="s">
        <v>7473</v>
      </c>
      <c r="E5301" s="1347" t="s">
        <v>7474</v>
      </c>
    </row>
    <row r="5302" spans="1:5" x14ac:dyDescent="0.45">
      <c r="A5302" s="1347">
        <v>-7</v>
      </c>
      <c r="B5302" s="1347" t="s">
        <v>7475</v>
      </c>
      <c r="C5302" s="1347" t="s">
        <v>1105</v>
      </c>
      <c r="D5302" s="1347" t="s">
        <v>7476</v>
      </c>
      <c r="E5302" s="1347" t="s">
        <v>1110</v>
      </c>
    </row>
    <row r="5303" spans="1:5" x14ac:dyDescent="0.45">
      <c r="B5303" s="1347" t="s">
        <v>1108</v>
      </c>
      <c r="C5303" s="1347" t="s">
        <v>1105</v>
      </c>
      <c r="D5303" s="1347" t="s">
        <v>7477</v>
      </c>
      <c r="E5303" s="1347" t="s">
        <v>7478</v>
      </c>
    </row>
    <row r="5304" spans="1:5" x14ac:dyDescent="0.45">
      <c r="A5304" s="1347">
        <v>-2</v>
      </c>
      <c r="B5304" s="1347" t="s">
        <v>4671</v>
      </c>
      <c r="D5304" s="1347" t="s">
        <v>7479</v>
      </c>
      <c r="E5304" s="1347" t="s">
        <v>7480</v>
      </c>
    </row>
    <row r="5305" spans="1:5" x14ac:dyDescent="0.45">
      <c r="A5305" s="1347">
        <v>-1</v>
      </c>
      <c r="B5305" s="1347" t="s">
        <v>7481</v>
      </c>
      <c r="D5305" s="1347" t="s">
        <v>1109</v>
      </c>
      <c r="E5305" s="1347" t="s">
        <v>1110</v>
      </c>
    </row>
    <row r="5306" spans="1:5" x14ac:dyDescent="0.45">
      <c r="B5306" s="1347" t="s">
        <v>1108</v>
      </c>
      <c r="D5306" s="1347" t="s">
        <v>1109</v>
      </c>
      <c r="E5306" s="1347" t="s">
        <v>7482</v>
      </c>
    </row>
    <row r="5307" spans="1:5" x14ac:dyDescent="0.45">
      <c r="B5307" s="1347" t="s">
        <v>1108</v>
      </c>
      <c r="D5307" s="1347" t="s">
        <v>7483</v>
      </c>
      <c r="E5307" s="1347" t="s">
        <v>7484</v>
      </c>
    </row>
    <row r="5308" spans="1:5" x14ac:dyDescent="0.45">
      <c r="A5308" s="1347">
        <v>1</v>
      </c>
      <c r="B5308" s="1347" t="s">
        <v>7485</v>
      </c>
      <c r="D5308" s="1347" t="s">
        <v>7486</v>
      </c>
      <c r="E5308" s="1347" t="s">
        <v>7487</v>
      </c>
    </row>
    <row r="5309" spans="1:5" x14ac:dyDescent="0.45">
      <c r="B5309" s="1347" t="s">
        <v>7488</v>
      </c>
      <c r="C5309" s="1347">
        <v>2</v>
      </c>
      <c r="D5309" s="1347" t="s">
        <v>7489</v>
      </c>
      <c r="E5309" s="1347" t="s">
        <v>7490</v>
      </c>
    </row>
    <row r="5310" spans="1:5" x14ac:dyDescent="0.45">
      <c r="A5310" s="1347">
        <v>17</v>
      </c>
      <c r="B5310" s="1347" t="s">
        <v>7491</v>
      </c>
      <c r="D5310" s="1347" t="s">
        <v>7492</v>
      </c>
      <c r="E5310" s="1347" t="s">
        <v>7493</v>
      </c>
    </row>
    <row r="5311" spans="1:5" x14ac:dyDescent="0.45">
      <c r="B5311" s="1347" t="s">
        <v>1108</v>
      </c>
      <c r="D5311" s="1347" t="s">
        <v>7494</v>
      </c>
      <c r="E5311" s="1347" t="s">
        <v>1110</v>
      </c>
    </row>
    <row r="5312" spans="1:5" x14ac:dyDescent="0.45">
      <c r="B5312" s="1347" t="s">
        <v>4963</v>
      </c>
      <c r="D5312" s="1347" t="s">
        <v>7495</v>
      </c>
      <c r="E5312" s="1347" t="s">
        <v>7496</v>
      </c>
    </row>
    <row r="5313" spans="1:5" x14ac:dyDescent="0.45">
      <c r="B5313" s="1347" t="s">
        <v>7497</v>
      </c>
      <c r="D5313" s="1347" t="s">
        <v>7498</v>
      </c>
      <c r="E5313" s="1347" t="s">
        <v>7499</v>
      </c>
    </row>
    <row r="5314" spans="1:5" x14ac:dyDescent="0.45">
      <c r="B5314" s="1347" t="s">
        <v>1108</v>
      </c>
      <c r="D5314" s="1347" t="s">
        <v>3576</v>
      </c>
      <c r="E5314" s="1347" t="s">
        <v>7500</v>
      </c>
    </row>
    <row r="5315" spans="1:5" x14ac:dyDescent="0.45">
      <c r="B5315" s="1347" t="s">
        <v>3918</v>
      </c>
      <c r="D5315" s="1347" t="s">
        <v>1109</v>
      </c>
      <c r="E5315" s="1347" t="s">
        <v>7501</v>
      </c>
    </row>
    <row r="5316" spans="1:5" x14ac:dyDescent="0.45">
      <c r="B5316" s="1347" t="s">
        <v>1108</v>
      </c>
      <c r="D5316" s="1347" t="s">
        <v>7502</v>
      </c>
      <c r="E5316" s="1347" t="s">
        <v>1275</v>
      </c>
    </row>
    <row r="5317" spans="1:5" x14ac:dyDescent="0.45">
      <c r="B5317" s="1347" t="s">
        <v>7503</v>
      </c>
      <c r="D5317" s="1347" t="s">
        <v>7504</v>
      </c>
      <c r="E5317" s="1347" t="s">
        <v>7505</v>
      </c>
    </row>
    <row r="5318" spans="1:5" x14ac:dyDescent="0.45">
      <c r="B5318" s="1347" t="s">
        <v>7506</v>
      </c>
      <c r="D5318" s="1347" t="s">
        <v>7507</v>
      </c>
      <c r="E5318" s="1347" t="s">
        <v>1110</v>
      </c>
    </row>
    <row r="5319" spans="1:5" x14ac:dyDescent="0.45">
      <c r="B5319" s="1347" t="s">
        <v>7508</v>
      </c>
      <c r="D5319" s="1347">
        <f>-173   -515   -256</f>
        <v>-944</v>
      </c>
      <c r="E5319" s="1347" t="s">
        <v>7509</v>
      </c>
    </row>
    <row r="5320" spans="1:5" x14ac:dyDescent="0.45">
      <c r="B5320" s="1347" t="s">
        <v>2740</v>
      </c>
      <c r="D5320" s="1347" t="s">
        <v>7510</v>
      </c>
      <c r="E5320" s="1347" t="s">
        <v>7511</v>
      </c>
    </row>
    <row r="5321" spans="1:5" x14ac:dyDescent="0.45">
      <c r="B5321" s="1347" t="s">
        <v>1108</v>
      </c>
      <c r="D5321" s="1347" t="s">
        <v>7512</v>
      </c>
      <c r="E5321" s="1347" t="s">
        <v>7513</v>
      </c>
    </row>
    <row r="5322" spans="1:5" x14ac:dyDescent="0.45">
      <c r="B5322" s="1347" t="s">
        <v>1108</v>
      </c>
      <c r="D5322" s="1347" t="s">
        <v>7514</v>
      </c>
      <c r="E5322" s="1347" t="s">
        <v>7515</v>
      </c>
    </row>
    <row r="5323" spans="1:5" x14ac:dyDescent="0.45">
      <c r="A5323" s="1347">
        <v>-1</v>
      </c>
      <c r="B5323" s="1347" t="s">
        <v>7516</v>
      </c>
      <c r="D5323" s="1347" t="s">
        <v>7517</v>
      </c>
      <c r="E5323" s="1347" t="s">
        <v>7518</v>
      </c>
    </row>
    <row r="5324" spans="1:5" x14ac:dyDescent="0.45">
      <c r="B5324" s="1347" t="s">
        <v>1108</v>
      </c>
      <c r="C5324" s="1347" t="s">
        <v>1105</v>
      </c>
      <c r="D5324" s="1347" t="s">
        <v>7519</v>
      </c>
      <c r="E5324" s="1347" t="s">
        <v>7520</v>
      </c>
    </row>
    <row r="5325" spans="1:5" x14ac:dyDescent="0.45">
      <c r="A5325" s="1347" t="s">
        <v>1105</v>
      </c>
      <c r="B5325" s="1347" t="s">
        <v>7521</v>
      </c>
      <c r="D5325" s="1347" t="s">
        <v>7522</v>
      </c>
      <c r="E5325" s="1347" t="s">
        <v>7523</v>
      </c>
    </row>
    <row r="5326" spans="1:5" x14ac:dyDescent="0.45">
      <c r="B5326" s="1347" t="s">
        <v>7524</v>
      </c>
      <c r="D5326" s="1347" t="s">
        <v>7525</v>
      </c>
      <c r="E5326" s="1347" t="s">
        <v>7526</v>
      </c>
    </row>
    <row r="5327" spans="1:5" x14ac:dyDescent="0.45">
      <c r="A5327" s="1347" t="s">
        <v>1105</v>
      </c>
      <c r="B5327" s="1347" t="s">
        <v>7527</v>
      </c>
      <c r="D5327" s="1347" t="s">
        <v>7528</v>
      </c>
      <c r="E5327" s="1347" t="s">
        <v>7529</v>
      </c>
    </row>
    <row r="5328" spans="1:5" x14ac:dyDescent="0.45">
      <c r="B5328" s="1347" t="s">
        <v>7530</v>
      </c>
      <c r="D5328" s="1347" t="s">
        <v>7531</v>
      </c>
      <c r="E5328" s="1347" t="s">
        <v>1110</v>
      </c>
    </row>
    <row r="5329" spans="1:5" x14ac:dyDescent="0.45">
      <c r="B5329" s="1347" t="s">
        <v>1108</v>
      </c>
      <c r="D5329" s="1347" t="s">
        <v>7532</v>
      </c>
      <c r="E5329" s="1347" t="s">
        <v>7533</v>
      </c>
    </row>
    <row r="5330" spans="1:5" x14ac:dyDescent="0.45">
      <c r="B5330" s="1347" t="s">
        <v>1108</v>
      </c>
      <c r="D5330" s="1347" t="s">
        <v>7534</v>
      </c>
      <c r="E5330" s="1347" t="s">
        <v>7535</v>
      </c>
    </row>
    <row r="5331" spans="1:5" x14ac:dyDescent="0.45">
      <c r="A5331" s="1347">
        <v>-5</v>
      </c>
      <c r="B5331" s="1347" t="s">
        <v>1268</v>
      </c>
      <c r="D5331" s="1347" t="s">
        <v>7536</v>
      </c>
      <c r="E5331" s="1347" t="s">
        <v>7537</v>
      </c>
    </row>
    <row r="5332" spans="1:5" x14ac:dyDescent="0.45">
      <c r="A5332" s="1347">
        <v>-1</v>
      </c>
      <c r="B5332" s="1347" t="s">
        <v>7538</v>
      </c>
      <c r="D5332" s="1347" t="s">
        <v>1109</v>
      </c>
      <c r="E5332" s="1347" t="s">
        <v>7539</v>
      </c>
    </row>
    <row r="5333" spans="1:5" x14ac:dyDescent="0.45">
      <c r="A5333" s="1347">
        <v>-2</v>
      </c>
      <c r="B5333" s="1347" t="s">
        <v>7540</v>
      </c>
      <c r="D5333" s="1347" t="s">
        <v>7541</v>
      </c>
      <c r="E5333" s="1347" t="s">
        <v>7542</v>
      </c>
    </row>
    <row r="5334" spans="1:5" x14ac:dyDescent="0.45">
      <c r="B5334" s="1347" t="s">
        <v>1108</v>
      </c>
      <c r="D5334" s="1347" t="s">
        <v>7543</v>
      </c>
      <c r="E5334" s="1347" t="s">
        <v>7544</v>
      </c>
    </row>
    <row r="5335" spans="1:5" x14ac:dyDescent="0.45">
      <c r="B5335" s="1347" t="s">
        <v>4591</v>
      </c>
      <c r="D5335" s="1347" t="s">
        <v>7545</v>
      </c>
      <c r="E5335" s="1347" t="s">
        <v>7546</v>
      </c>
    </row>
    <row r="5336" spans="1:5" x14ac:dyDescent="0.45">
      <c r="B5336" s="1347" t="s">
        <v>7547</v>
      </c>
      <c r="D5336" s="1347" t="s">
        <v>7548</v>
      </c>
      <c r="E5336" s="1347" t="s">
        <v>1110</v>
      </c>
    </row>
    <row r="5337" spans="1:5" x14ac:dyDescent="0.45">
      <c r="B5337" s="1347" t="s">
        <v>1108</v>
      </c>
      <c r="D5337" s="1347" t="s">
        <v>1109</v>
      </c>
      <c r="E5337" s="1347" t="s">
        <v>1110</v>
      </c>
    </row>
    <row r="5338" spans="1:5" x14ac:dyDescent="0.45">
      <c r="B5338" s="1347" t="s">
        <v>7549</v>
      </c>
      <c r="D5338" s="1347" t="s">
        <v>1109</v>
      </c>
      <c r="E5338" s="1347" t="s">
        <v>7550</v>
      </c>
    </row>
    <row r="5339" spans="1:5" x14ac:dyDescent="0.45">
      <c r="A5339" s="1347">
        <v>21</v>
      </c>
      <c r="B5339" s="1347" t="s">
        <v>7551</v>
      </c>
      <c r="C5339" s="1347">
        <v>4</v>
      </c>
      <c r="D5339" s="1347" t="s">
        <v>7552</v>
      </c>
      <c r="E5339" s="1347" t="s">
        <v>7553</v>
      </c>
    </row>
    <row r="5340" spans="1:5" x14ac:dyDescent="0.45">
      <c r="A5340" s="1347">
        <v>15</v>
      </c>
      <c r="B5340" s="1347" t="s">
        <v>7554</v>
      </c>
      <c r="D5340" s="1347" t="s">
        <v>7555</v>
      </c>
      <c r="E5340" s="1347" t="s">
        <v>7556</v>
      </c>
    </row>
    <row r="5341" spans="1:5" x14ac:dyDescent="0.45">
      <c r="A5341" s="1347">
        <v>27</v>
      </c>
      <c r="B5341" s="1347" t="s">
        <v>7557</v>
      </c>
      <c r="C5341" s="1347">
        <v>1</v>
      </c>
      <c r="D5341" s="1347" t="s">
        <v>7558</v>
      </c>
      <c r="E5341" s="1347" t="s">
        <v>7559</v>
      </c>
    </row>
    <row r="5342" spans="1:5" x14ac:dyDescent="0.45">
      <c r="B5342" s="1347" t="s">
        <v>1108</v>
      </c>
      <c r="D5342" s="1347" t="s">
        <v>5297</v>
      </c>
      <c r="E5342" s="1347" t="s">
        <v>7560</v>
      </c>
    </row>
    <row r="5343" spans="1:5" x14ac:dyDescent="0.45">
      <c r="B5343" s="1347" t="s">
        <v>1108</v>
      </c>
      <c r="D5343" s="1347" t="s">
        <v>7561</v>
      </c>
      <c r="E5343" s="1347" t="s">
        <v>7562</v>
      </c>
    </row>
    <row r="5344" spans="1:5" x14ac:dyDescent="0.45">
      <c r="B5344" s="1347" t="s">
        <v>7563</v>
      </c>
      <c r="D5344" s="1347" t="s">
        <v>7564</v>
      </c>
      <c r="E5344" s="1347" t="s">
        <v>7565</v>
      </c>
    </row>
    <row r="5345" spans="1:5" x14ac:dyDescent="0.45">
      <c r="B5345" s="1347" t="s">
        <v>1322</v>
      </c>
      <c r="D5345" s="1347" t="s">
        <v>7291</v>
      </c>
      <c r="E5345" s="1347" t="s">
        <v>7566</v>
      </c>
    </row>
    <row r="5346" spans="1:5" x14ac:dyDescent="0.45">
      <c r="B5346" s="1347" t="s">
        <v>1108</v>
      </c>
      <c r="D5346" s="1347" t="s">
        <v>7567</v>
      </c>
      <c r="E5346" s="1347" t="s">
        <v>1110</v>
      </c>
    </row>
    <row r="5347" spans="1:5" x14ac:dyDescent="0.45">
      <c r="B5347" s="1347" t="s">
        <v>7568</v>
      </c>
      <c r="D5347" s="1347" t="s">
        <v>7569</v>
      </c>
      <c r="E5347" s="1347" t="s">
        <v>7570</v>
      </c>
    </row>
    <row r="5348" spans="1:5" x14ac:dyDescent="0.45">
      <c r="B5348" s="1347" t="s">
        <v>1108</v>
      </c>
      <c r="D5348" s="1347" t="s">
        <v>7571</v>
      </c>
      <c r="E5348" s="1347" t="s">
        <v>7572</v>
      </c>
    </row>
    <row r="5349" spans="1:5" x14ac:dyDescent="0.45">
      <c r="B5349" s="1347" t="s">
        <v>7573</v>
      </c>
      <c r="D5349" s="1347" t="s">
        <v>7574</v>
      </c>
      <c r="E5349" s="1347" t="s">
        <v>7575</v>
      </c>
    </row>
    <row r="5350" spans="1:5" x14ac:dyDescent="0.45">
      <c r="B5350" s="1347" t="s">
        <v>1108</v>
      </c>
      <c r="D5350" s="1347" t="s">
        <v>7576</v>
      </c>
      <c r="E5350" s="1347" t="s">
        <v>7577</v>
      </c>
    </row>
    <row r="5351" spans="1:5" x14ac:dyDescent="0.45">
      <c r="B5351" s="1347" t="s">
        <v>7578</v>
      </c>
      <c r="D5351" s="1347" t="s">
        <v>7579</v>
      </c>
      <c r="E5351" s="1347" t="s">
        <v>7580</v>
      </c>
    </row>
    <row r="5352" spans="1:5" x14ac:dyDescent="0.45">
      <c r="B5352" s="1347" t="s">
        <v>7581</v>
      </c>
      <c r="D5352" s="1347" t="s">
        <v>7582</v>
      </c>
      <c r="E5352" s="1347" t="s">
        <v>7583</v>
      </c>
    </row>
    <row r="5353" spans="1:5" x14ac:dyDescent="0.45">
      <c r="A5353" s="1347" t="s">
        <v>1105</v>
      </c>
      <c r="B5353" s="1347" t="s">
        <v>7584</v>
      </c>
      <c r="D5353" s="1347" t="s">
        <v>7585</v>
      </c>
      <c r="E5353" s="1347" t="s">
        <v>7586</v>
      </c>
    </row>
    <row r="5354" spans="1:5" x14ac:dyDescent="0.45">
      <c r="A5354" s="1347" t="s">
        <v>1105</v>
      </c>
      <c r="B5354" s="1347" t="s">
        <v>7587</v>
      </c>
      <c r="D5354" s="1347" t="s">
        <v>7588</v>
      </c>
      <c r="E5354" s="1347" t="s">
        <v>7589</v>
      </c>
    </row>
    <row r="5355" spans="1:5" x14ac:dyDescent="0.45">
      <c r="A5355" s="1347" t="s">
        <v>1105</v>
      </c>
      <c r="B5355" s="1347" t="s">
        <v>7590</v>
      </c>
      <c r="D5355" s="1347" t="s">
        <v>7591</v>
      </c>
      <c r="E5355" s="1347" t="s">
        <v>7592</v>
      </c>
    </row>
    <row r="5356" spans="1:5" x14ac:dyDescent="0.45">
      <c r="B5356" s="1347" t="s">
        <v>1108</v>
      </c>
      <c r="D5356" s="1347" t="s">
        <v>7593</v>
      </c>
      <c r="E5356" s="1347" t="s">
        <v>7594</v>
      </c>
    </row>
    <row r="5357" spans="1:5" x14ac:dyDescent="0.45">
      <c r="B5357" s="1347" t="s">
        <v>1108</v>
      </c>
      <c r="D5357" s="1347" t="s">
        <v>7595</v>
      </c>
      <c r="E5357" s="1347" t="s">
        <v>7596</v>
      </c>
    </row>
    <row r="5358" spans="1:5" x14ac:dyDescent="0.45">
      <c r="A5358" s="1347" t="s">
        <v>1105</v>
      </c>
      <c r="B5358" s="1347" t="s">
        <v>7597</v>
      </c>
      <c r="D5358" s="1347" t="s">
        <v>7598</v>
      </c>
      <c r="E5358" s="1347" t="s">
        <v>7599</v>
      </c>
    </row>
    <row r="5359" spans="1:5" x14ac:dyDescent="0.45">
      <c r="A5359" s="1347" t="s">
        <v>1105</v>
      </c>
      <c r="B5359" s="1347" t="s">
        <v>2101</v>
      </c>
      <c r="D5359" s="1347" t="s">
        <v>7600</v>
      </c>
      <c r="E5359" s="1347" t="s">
        <v>7601</v>
      </c>
    </row>
    <row r="5360" spans="1:5" x14ac:dyDescent="0.45">
      <c r="B5360" s="1347" t="s">
        <v>1108</v>
      </c>
      <c r="D5360" s="1347" t="s">
        <v>1109</v>
      </c>
      <c r="E5360" s="1347" t="s">
        <v>7602</v>
      </c>
    </row>
    <row r="5361" spans="1:5" x14ac:dyDescent="0.45">
      <c r="B5361" s="1347" t="s">
        <v>7603</v>
      </c>
      <c r="D5361" s="1347" t="s">
        <v>7604</v>
      </c>
      <c r="E5361" s="1347" t="s">
        <v>7605</v>
      </c>
    </row>
    <row r="5362" spans="1:5" x14ac:dyDescent="0.45">
      <c r="A5362" s="1347" t="s">
        <v>1105</v>
      </c>
      <c r="B5362" s="1347" t="s">
        <v>7606</v>
      </c>
      <c r="C5362" s="1347" t="s">
        <v>1105</v>
      </c>
      <c r="D5362" s="1347" t="s">
        <v>7607</v>
      </c>
      <c r="E5362" s="1347" t="s">
        <v>7608</v>
      </c>
    </row>
    <row r="5363" spans="1:5" x14ac:dyDescent="0.45">
      <c r="B5363" s="1347" t="s">
        <v>7609</v>
      </c>
      <c r="D5363" s="1347" t="s">
        <v>7610</v>
      </c>
      <c r="E5363" s="1347" t="s">
        <v>1110</v>
      </c>
    </row>
    <row r="5364" spans="1:5" x14ac:dyDescent="0.45">
      <c r="B5364" s="1347" t="s">
        <v>6455</v>
      </c>
      <c r="D5364" s="1347" t="s">
        <v>7611</v>
      </c>
      <c r="E5364" s="1347" t="s">
        <v>7612</v>
      </c>
    </row>
    <row r="5365" spans="1:5" x14ac:dyDescent="0.45">
      <c r="B5365" s="1347" t="s">
        <v>7613</v>
      </c>
      <c r="D5365" s="1347" t="s">
        <v>1109</v>
      </c>
      <c r="E5365" s="1347" t="s">
        <v>7614</v>
      </c>
    </row>
    <row r="5366" spans="1:5" x14ac:dyDescent="0.45">
      <c r="A5366" s="1347">
        <v>-2</v>
      </c>
      <c r="B5366" s="1347" t="s">
        <v>7615</v>
      </c>
      <c r="C5366" s="1347" t="s">
        <v>1105</v>
      </c>
      <c r="D5366" s="1347" t="s">
        <v>7616</v>
      </c>
      <c r="E5366" s="1347" t="s">
        <v>7617</v>
      </c>
    </row>
    <row r="5367" spans="1:5" x14ac:dyDescent="0.45">
      <c r="A5367" s="1347">
        <v>1</v>
      </c>
      <c r="B5367" s="1347" t="s">
        <v>2771</v>
      </c>
      <c r="D5367" s="1347" t="s">
        <v>7618</v>
      </c>
      <c r="E5367" s="1347" t="s">
        <v>7619</v>
      </c>
    </row>
    <row r="5368" spans="1:5" x14ac:dyDescent="0.45">
      <c r="B5368" s="1347" t="s">
        <v>1108</v>
      </c>
      <c r="D5368" s="1347" t="s">
        <v>1109</v>
      </c>
      <c r="E5368" s="1347" t="s">
        <v>1110</v>
      </c>
    </row>
    <row r="5369" spans="1:5" x14ac:dyDescent="0.45">
      <c r="B5369" s="1347" t="s">
        <v>1108</v>
      </c>
      <c r="D5369" s="1347" t="s">
        <v>7620</v>
      </c>
      <c r="E5369" s="1347" t="s">
        <v>1110</v>
      </c>
    </row>
    <row r="5370" spans="1:5" x14ac:dyDescent="0.45">
      <c r="B5370" s="1347" t="s">
        <v>7621</v>
      </c>
      <c r="D5370" s="1347" t="s">
        <v>7622</v>
      </c>
      <c r="E5370" s="1347" t="s">
        <v>7623</v>
      </c>
    </row>
    <row r="5371" spans="1:5" x14ac:dyDescent="0.45">
      <c r="A5371" s="1347">
        <v>3</v>
      </c>
      <c r="B5371" s="1347" t="s">
        <v>7624</v>
      </c>
      <c r="C5371" s="1347">
        <v>2</v>
      </c>
      <c r="D5371" s="1347" t="s">
        <v>7625</v>
      </c>
      <c r="E5371" s="1347" t="s">
        <v>7626</v>
      </c>
    </row>
    <row r="5372" spans="1:5" x14ac:dyDescent="0.45">
      <c r="A5372" s="1347">
        <v>17</v>
      </c>
      <c r="B5372" s="1347" t="s">
        <v>7627</v>
      </c>
      <c r="C5372" s="1347">
        <v>1</v>
      </c>
      <c r="D5372" s="1347" t="s">
        <v>7628</v>
      </c>
      <c r="E5372" s="1347" t="s">
        <v>7629</v>
      </c>
    </row>
    <row r="5373" spans="1:5" x14ac:dyDescent="0.45">
      <c r="A5373" s="1347" t="s">
        <v>1105</v>
      </c>
      <c r="B5373" s="1347" t="s">
        <v>7630</v>
      </c>
      <c r="D5373" s="1347" t="s">
        <v>7631</v>
      </c>
      <c r="E5373" s="1347" t="s">
        <v>7632</v>
      </c>
    </row>
    <row r="5374" spans="1:5" x14ac:dyDescent="0.45">
      <c r="B5374" s="1347" t="s">
        <v>7633</v>
      </c>
      <c r="D5374" s="1347" t="s">
        <v>3830</v>
      </c>
      <c r="E5374" s="1347" t="s">
        <v>7634</v>
      </c>
    </row>
    <row r="5375" spans="1:5" x14ac:dyDescent="0.45">
      <c r="B5375" s="1347" t="s">
        <v>1108</v>
      </c>
      <c r="D5375" s="1347" t="s">
        <v>7635</v>
      </c>
      <c r="E5375" s="1347" t="s">
        <v>7636</v>
      </c>
    </row>
    <row r="5376" spans="1:5" x14ac:dyDescent="0.45">
      <c r="A5376" s="1347" t="s">
        <v>1105</v>
      </c>
      <c r="B5376" s="1347" t="s">
        <v>7637</v>
      </c>
      <c r="D5376" s="1347" t="s">
        <v>7638</v>
      </c>
      <c r="E5376" s="1347" t="s">
        <v>7639</v>
      </c>
    </row>
    <row r="5377" spans="1:5" x14ac:dyDescent="0.45">
      <c r="B5377" s="1347" t="s">
        <v>1108</v>
      </c>
      <c r="D5377" s="1347" t="s">
        <v>7640</v>
      </c>
      <c r="E5377" s="1347" t="s">
        <v>7641</v>
      </c>
    </row>
    <row r="5378" spans="1:5" x14ac:dyDescent="0.45">
      <c r="B5378" s="1347" t="s">
        <v>1108</v>
      </c>
      <c r="D5378" s="1347" t="s">
        <v>3231</v>
      </c>
      <c r="E5378" s="1347" t="s">
        <v>7642</v>
      </c>
    </row>
    <row r="5379" spans="1:5" x14ac:dyDescent="0.45">
      <c r="B5379" s="1347" t="s">
        <v>7643</v>
      </c>
      <c r="C5379" s="1347" t="s">
        <v>1105</v>
      </c>
      <c r="D5379" s="1347" t="s">
        <v>7644</v>
      </c>
      <c r="E5379" s="1347" t="s">
        <v>7645</v>
      </c>
    </row>
    <row r="5380" spans="1:5" x14ac:dyDescent="0.45">
      <c r="B5380" s="1347" t="s">
        <v>7646</v>
      </c>
      <c r="D5380" s="1347" t="s">
        <v>7647</v>
      </c>
      <c r="E5380" s="1347" t="s">
        <v>7648</v>
      </c>
    </row>
    <row r="5381" spans="1:5" x14ac:dyDescent="0.45">
      <c r="A5381" s="1347" t="s">
        <v>1105</v>
      </c>
      <c r="B5381" s="1347" t="s">
        <v>7649</v>
      </c>
      <c r="D5381" s="1347" t="s">
        <v>7650</v>
      </c>
      <c r="E5381" s="1347" t="s">
        <v>7651</v>
      </c>
    </row>
    <row r="5382" spans="1:5" x14ac:dyDescent="0.45">
      <c r="B5382" s="1347" t="s">
        <v>7652</v>
      </c>
      <c r="C5382" s="1347" t="s">
        <v>1105</v>
      </c>
      <c r="D5382" s="1347" t="s">
        <v>7653</v>
      </c>
      <c r="E5382" s="1347" t="s">
        <v>7654</v>
      </c>
    </row>
    <row r="5383" spans="1:5" x14ac:dyDescent="0.45">
      <c r="B5383" s="1347" t="s">
        <v>2376</v>
      </c>
      <c r="D5383" s="1347" t="s">
        <v>7655</v>
      </c>
      <c r="E5383" s="1347" t="s">
        <v>7656</v>
      </c>
    </row>
    <row r="5384" spans="1:5" x14ac:dyDescent="0.45">
      <c r="B5384" s="1347" t="s">
        <v>7657</v>
      </c>
      <c r="D5384" s="1347" t="s">
        <v>7658</v>
      </c>
      <c r="E5384" s="1347" t="s">
        <v>7659</v>
      </c>
    </row>
    <row r="5385" spans="1:5" x14ac:dyDescent="0.45">
      <c r="B5385" s="1347" t="s">
        <v>1108</v>
      </c>
      <c r="D5385" s="1347" t="s">
        <v>7660</v>
      </c>
      <c r="E5385" s="1347" t="s">
        <v>7661</v>
      </c>
    </row>
    <row r="5386" spans="1:5" x14ac:dyDescent="0.45">
      <c r="A5386" s="1347">
        <v>-5</v>
      </c>
      <c r="B5386" s="1347" t="s">
        <v>7662</v>
      </c>
      <c r="D5386" s="1347" t="s">
        <v>7663</v>
      </c>
      <c r="E5386" s="1347" t="s">
        <v>7664</v>
      </c>
    </row>
    <row r="5387" spans="1:5" x14ac:dyDescent="0.45">
      <c r="B5387" s="1347" t="s">
        <v>7665</v>
      </c>
      <c r="D5387" s="1347" t="s">
        <v>7666</v>
      </c>
      <c r="E5387" s="1347" t="s">
        <v>7667</v>
      </c>
    </row>
    <row r="5388" spans="1:5" x14ac:dyDescent="0.45">
      <c r="B5388" s="1347">
        <f>-74     -5</f>
        <v>-79</v>
      </c>
      <c r="D5388" s="1347" t="s">
        <v>1109</v>
      </c>
      <c r="E5388" s="1347" t="s">
        <v>7668</v>
      </c>
    </row>
    <row r="5389" spans="1:5" x14ac:dyDescent="0.45">
      <c r="A5389" s="1347">
        <v>-1</v>
      </c>
      <c r="B5389" s="1347" t="s">
        <v>7669</v>
      </c>
      <c r="D5389" s="1347" t="s">
        <v>7670</v>
      </c>
      <c r="E5389" s="1347" t="s">
        <v>7671</v>
      </c>
    </row>
    <row r="5390" spans="1:5" x14ac:dyDescent="0.45">
      <c r="B5390" s="1347" t="s">
        <v>7672</v>
      </c>
      <c r="D5390" s="1347" t="s">
        <v>7673</v>
      </c>
      <c r="E5390" s="1347" t="s">
        <v>7674</v>
      </c>
    </row>
    <row r="5391" spans="1:5" x14ac:dyDescent="0.45">
      <c r="B5391" s="1347" t="s">
        <v>5792</v>
      </c>
      <c r="D5391" s="1347" t="s">
        <v>7675</v>
      </c>
      <c r="E5391" s="1347" t="s">
        <v>1110</v>
      </c>
    </row>
    <row r="5392" spans="1:5" x14ac:dyDescent="0.45">
      <c r="B5392" s="1347" t="s">
        <v>7676</v>
      </c>
      <c r="D5392" s="1347" t="s">
        <v>7677</v>
      </c>
      <c r="E5392" s="1347" t="s">
        <v>7678</v>
      </c>
    </row>
    <row r="5393" spans="1:5" x14ac:dyDescent="0.45">
      <c r="B5393" s="1347" t="s">
        <v>1108</v>
      </c>
      <c r="D5393" s="1347" t="s">
        <v>7679</v>
      </c>
      <c r="E5393" s="1347" t="s">
        <v>7680</v>
      </c>
    </row>
    <row r="5394" spans="1:5" x14ac:dyDescent="0.45">
      <c r="B5394" s="1347" t="s">
        <v>1108</v>
      </c>
      <c r="D5394" s="1347" t="s">
        <v>7681</v>
      </c>
      <c r="E5394" s="1347" t="s">
        <v>7682</v>
      </c>
    </row>
    <row r="5395" spans="1:5" x14ac:dyDescent="0.45">
      <c r="B5395" s="1347" t="s">
        <v>7683</v>
      </c>
      <c r="D5395" s="1347" t="s">
        <v>2527</v>
      </c>
      <c r="E5395" s="1347" t="s">
        <v>7684</v>
      </c>
    </row>
    <row r="5396" spans="1:5" x14ac:dyDescent="0.45">
      <c r="A5396" s="1347">
        <v>-4</v>
      </c>
      <c r="B5396" s="1347" t="s">
        <v>7685</v>
      </c>
      <c r="C5396" s="1347" t="s">
        <v>1105</v>
      </c>
      <c r="D5396" s="1347" t="s">
        <v>7686</v>
      </c>
      <c r="E5396" s="1347" t="s">
        <v>7687</v>
      </c>
    </row>
    <row r="5397" spans="1:5" x14ac:dyDescent="0.45">
      <c r="B5397" s="1347" t="s">
        <v>1108</v>
      </c>
      <c r="D5397" s="1347" t="s">
        <v>7688</v>
      </c>
      <c r="E5397" s="1347" t="s">
        <v>7689</v>
      </c>
    </row>
    <row r="5398" spans="1:5" x14ac:dyDescent="0.45">
      <c r="B5398" s="1347" t="s">
        <v>1108</v>
      </c>
      <c r="C5398" s="1347" t="s">
        <v>1105</v>
      </c>
      <c r="D5398" s="1347" t="s">
        <v>7690</v>
      </c>
      <c r="E5398" s="1347" t="s">
        <v>1402</v>
      </c>
    </row>
    <row r="5399" spans="1:5" x14ac:dyDescent="0.45">
      <c r="B5399" s="1347" t="s">
        <v>1108</v>
      </c>
      <c r="D5399" s="1347" t="s">
        <v>7691</v>
      </c>
      <c r="E5399" s="1347" t="s">
        <v>1110</v>
      </c>
    </row>
    <row r="5400" spans="1:5" x14ac:dyDescent="0.45">
      <c r="B5400" s="1347" t="s">
        <v>1108</v>
      </c>
      <c r="D5400" s="1347" t="s">
        <v>1109</v>
      </c>
      <c r="E5400" s="1347" t="s">
        <v>7692</v>
      </c>
    </row>
    <row r="5401" spans="1:5" x14ac:dyDescent="0.45">
      <c r="B5401" s="1347" t="s">
        <v>1108</v>
      </c>
      <c r="D5401" s="1347" t="s">
        <v>5610</v>
      </c>
      <c r="E5401" s="1347" t="s">
        <v>7693</v>
      </c>
    </row>
    <row r="5402" spans="1:5" x14ac:dyDescent="0.45">
      <c r="A5402" s="1347">
        <v>21</v>
      </c>
      <c r="B5402" s="1347" t="s">
        <v>7694</v>
      </c>
      <c r="D5402" s="1347" t="s">
        <v>7695</v>
      </c>
      <c r="E5402" s="1347" t="s">
        <v>7696</v>
      </c>
    </row>
    <row r="5403" spans="1:5" x14ac:dyDescent="0.45">
      <c r="A5403" s="1347">
        <v>15</v>
      </c>
      <c r="B5403" s="1347" t="s">
        <v>7697</v>
      </c>
      <c r="D5403" s="1347" t="s">
        <v>7698</v>
      </c>
      <c r="E5403" s="1347" t="s">
        <v>7699</v>
      </c>
    </row>
    <row r="5404" spans="1:5" x14ac:dyDescent="0.45">
      <c r="A5404" s="1347">
        <v>24</v>
      </c>
      <c r="B5404" s="1347" t="s">
        <v>7700</v>
      </c>
      <c r="C5404" s="1347">
        <v>4</v>
      </c>
      <c r="D5404" s="1347" t="s">
        <v>7701</v>
      </c>
      <c r="E5404" s="1347" t="s">
        <v>7702</v>
      </c>
    </row>
    <row r="5405" spans="1:5" x14ac:dyDescent="0.45">
      <c r="B5405" s="1347" t="s">
        <v>7703</v>
      </c>
      <c r="D5405" s="1347" t="s">
        <v>7704</v>
      </c>
      <c r="E5405" s="1347" t="s">
        <v>7705</v>
      </c>
    </row>
    <row r="5406" spans="1:5" x14ac:dyDescent="0.45">
      <c r="B5406" s="1347" t="s">
        <v>1108</v>
      </c>
      <c r="D5406" s="1347" t="s">
        <v>7706</v>
      </c>
      <c r="E5406" s="1347" t="s">
        <v>7707</v>
      </c>
    </row>
    <row r="5407" spans="1:5" x14ac:dyDescent="0.45">
      <c r="B5407" s="1347" t="s">
        <v>7148</v>
      </c>
      <c r="D5407" s="1347" t="s">
        <v>7708</v>
      </c>
      <c r="E5407" s="1347" t="s">
        <v>7709</v>
      </c>
    </row>
    <row r="5408" spans="1:5" x14ac:dyDescent="0.45">
      <c r="B5408" s="1347" t="s">
        <v>7710</v>
      </c>
      <c r="D5408" s="1347" t="s">
        <v>7711</v>
      </c>
      <c r="E5408" s="1347" t="s">
        <v>7712</v>
      </c>
    </row>
    <row r="5409" spans="1:5" x14ac:dyDescent="0.45">
      <c r="B5409" s="1347" t="s">
        <v>1108</v>
      </c>
      <c r="D5409" s="1347" t="s">
        <v>7713</v>
      </c>
      <c r="E5409" s="1347" t="s">
        <v>1110</v>
      </c>
    </row>
    <row r="5410" spans="1:5" x14ac:dyDescent="0.45">
      <c r="B5410" s="1347" t="s">
        <v>7714</v>
      </c>
      <c r="D5410" s="1347" t="s">
        <v>7715</v>
      </c>
      <c r="E5410" s="1347" t="s">
        <v>7716</v>
      </c>
    </row>
    <row r="5411" spans="1:5" x14ac:dyDescent="0.45">
      <c r="B5411" s="1347" t="s">
        <v>5311</v>
      </c>
      <c r="D5411" s="1347" t="s">
        <v>3055</v>
      </c>
      <c r="E5411" s="1347" t="s">
        <v>7717</v>
      </c>
    </row>
    <row r="5412" spans="1:5" x14ac:dyDescent="0.45">
      <c r="B5412" s="1347" t="s">
        <v>7718</v>
      </c>
      <c r="D5412" s="1347" t="s">
        <v>7719</v>
      </c>
      <c r="E5412" s="1347" t="s">
        <v>7720</v>
      </c>
    </row>
    <row r="5413" spans="1:5" x14ac:dyDescent="0.45">
      <c r="B5413" s="1347" t="s">
        <v>1108</v>
      </c>
      <c r="D5413" s="1347" t="s">
        <v>7721</v>
      </c>
      <c r="E5413" s="1347" t="s">
        <v>7722</v>
      </c>
    </row>
    <row r="5414" spans="1:5" x14ac:dyDescent="0.45">
      <c r="B5414" s="1347" t="s">
        <v>7723</v>
      </c>
      <c r="C5414" s="1347" t="s">
        <v>1105</v>
      </c>
      <c r="D5414" s="1347" t="s">
        <v>7724</v>
      </c>
      <c r="E5414" s="1347" t="s">
        <v>7725</v>
      </c>
    </row>
    <row r="5415" spans="1:5" x14ac:dyDescent="0.45">
      <c r="B5415" s="1347" t="s">
        <v>7726</v>
      </c>
      <c r="D5415" s="1347" t="s">
        <v>7727</v>
      </c>
      <c r="E5415" s="1347" t="s">
        <v>7728</v>
      </c>
    </row>
    <row r="5416" spans="1:5" x14ac:dyDescent="0.45">
      <c r="B5416" s="1347">
        <f>-11   -123</f>
        <v>-134</v>
      </c>
      <c r="D5416" s="1347" t="s">
        <v>7729</v>
      </c>
      <c r="E5416" s="1347" t="s">
        <v>7730</v>
      </c>
    </row>
    <row r="5417" spans="1:5" x14ac:dyDescent="0.45">
      <c r="B5417" s="1347" t="s">
        <v>7731</v>
      </c>
      <c r="C5417" s="1347" t="s">
        <v>1105</v>
      </c>
      <c r="D5417" s="1347" t="s">
        <v>7732</v>
      </c>
      <c r="E5417" s="1347" t="s">
        <v>7733</v>
      </c>
    </row>
    <row r="5418" spans="1:5" x14ac:dyDescent="0.45">
      <c r="A5418" s="1347" t="s">
        <v>1105</v>
      </c>
      <c r="B5418" s="1347" t="s">
        <v>7734</v>
      </c>
      <c r="D5418" s="1347" t="s">
        <v>7735</v>
      </c>
      <c r="E5418" s="1347" t="s">
        <v>7736</v>
      </c>
    </row>
    <row r="5419" spans="1:5" x14ac:dyDescent="0.45">
      <c r="A5419" s="1347">
        <v>1</v>
      </c>
      <c r="B5419" s="1347" t="s">
        <v>2981</v>
      </c>
      <c r="D5419" s="1347" t="s">
        <v>7737</v>
      </c>
      <c r="E5419" s="1347" t="s">
        <v>7738</v>
      </c>
    </row>
    <row r="5420" spans="1:5" x14ac:dyDescent="0.45">
      <c r="B5420" s="1347" t="s">
        <v>1108</v>
      </c>
      <c r="D5420" s="1347" t="s">
        <v>7739</v>
      </c>
      <c r="E5420" s="1347" t="s">
        <v>7740</v>
      </c>
    </row>
    <row r="5421" spans="1:5" x14ac:dyDescent="0.45">
      <c r="A5421" s="1347">
        <v>-9</v>
      </c>
      <c r="B5421" s="1347" t="s">
        <v>7741</v>
      </c>
      <c r="D5421" s="1347" t="s">
        <v>5472</v>
      </c>
      <c r="E5421" s="1347" t="s">
        <v>7742</v>
      </c>
    </row>
    <row r="5422" spans="1:5" x14ac:dyDescent="0.45">
      <c r="B5422" s="1347" t="s">
        <v>7743</v>
      </c>
      <c r="D5422" s="1347" t="s">
        <v>7744</v>
      </c>
      <c r="E5422" s="1347" t="s">
        <v>7745</v>
      </c>
    </row>
    <row r="5423" spans="1:5" x14ac:dyDescent="0.45">
      <c r="B5423" s="1347" t="s">
        <v>1108</v>
      </c>
      <c r="D5423" s="1347" t="s">
        <v>1109</v>
      </c>
      <c r="E5423" s="1347" t="s">
        <v>7746</v>
      </c>
    </row>
    <row r="5424" spans="1:5" x14ac:dyDescent="0.45">
      <c r="A5424" s="1347">
        <v>5</v>
      </c>
      <c r="B5424" s="1347" t="s">
        <v>7747</v>
      </c>
      <c r="D5424" s="1347" t="s">
        <v>7748</v>
      </c>
      <c r="E5424" s="1347" t="s">
        <v>1110</v>
      </c>
    </row>
    <row r="5425" spans="1:5" x14ac:dyDescent="0.45">
      <c r="A5425" s="1347">
        <v>-3</v>
      </c>
      <c r="B5425" s="1347" t="s">
        <v>7749</v>
      </c>
      <c r="C5425" s="1347" t="s">
        <v>1105</v>
      </c>
      <c r="D5425" s="1347" t="s">
        <v>7750</v>
      </c>
      <c r="E5425" s="1347" t="s">
        <v>1402</v>
      </c>
    </row>
    <row r="5426" spans="1:5" x14ac:dyDescent="0.45">
      <c r="B5426" s="1347" t="s">
        <v>7751</v>
      </c>
      <c r="D5426" s="1347" t="s">
        <v>7752</v>
      </c>
      <c r="E5426" s="1347" t="s">
        <v>7753</v>
      </c>
    </row>
    <row r="5427" spans="1:5" x14ac:dyDescent="0.45">
      <c r="B5427" s="1347" t="s">
        <v>7754</v>
      </c>
      <c r="D5427" s="1347" t="s">
        <v>7755</v>
      </c>
      <c r="E5427" s="1347" t="s">
        <v>7756</v>
      </c>
    </row>
    <row r="5428" spans="1:5" x14ac:dyDescent="0.45">
      <c r="B5428" s="1347" t="s">
        <v>7757</v>
      </c>
      <c r="D5428" s="1347" t="s">
        <v>7758</v>
      </c>
      <c r="E5428" s="1347" t="s">
        <v>1110</v>
      </c>
    </row>
    <row r="5429" spans="1:5" x14ac:dyDescent="0.45">
      <c r="A5429" s="1347">
        <v>-1</v>
      </c>
      <c r="B5429" s="1347" t="s">
        <v>7759</v>
      </c>
      <c r="D5429" s="1347" t="s">
        <v>7760</v>
      </c>
      <c r="E5429" s="1347" t="s">
        <v>7761</v>
      </c>
    </row>
    <row r="5430" spans="1:5" x14ac:dyDescent="0.45">
      <c r="A5430" s="1347" t="s">
        <v>1105</v>
      </c>
      <c r="B5430" s="1347" t="s">
        <v>7762</v>
      </c>
      <c r="D5430" s="1347" t="s">
        <v>1109</v>
      </c>
      <c r="E5430" s="1347" t="s">
        <v>7763</v>
      </c>
    </row>
    <row r="5431" spans="1:5" x14ac:dyDescent="0.45">
      <c r="B5431" s="1347" t="s">
        <v>1108</v>
      </c>
      <c r="D5431" s="1347" t="s">
        <v>1109</v>
      </c>
      <c r="E5431" s="1347" t="s">
        <v>1110</v>
      </c>
    </row>
    <row r="5432" spans="1:5" x14ac:dyDescent="0.45">
      <c r="B5432" s="1347" t="s">
        <v>1108</v>
      </c>
      <c r="D5432" s="1347" t="s">
        <v>1266</v>
      </c>
      <c r="E5432" s="1347" t="s">
        <v>1110</v>
      </c>
    </row>
    <row r="5433" spans="1:5" x14ac:dyDescent="0.45">
      <c r="B5433" s="1347" t="s">
        <v>7764</v>
      </c>
      <c r="D5433" s="1347" t="s">
        <v>7765</v>
      </c>
      <c r="E5433" s="1347" t="s">
        <v>7766</v>
      </c>
    </row>
    <row r="5434" spans="1:5" x14ac:dyDescent="0.45">
      <c r="A5434" s="1347" t="s">
        <v>1105</v>
      </c>
      <c r="B5434" s="1347" t="s">
        <v>7767</v>
      </c>
      <c r="D5434" s="1347" t="s">
        <v>7768</v>
      </c>
      <c r="E5434" s="1347" t="s">
        <v>7769</v>
      </c>
    </row>
    <row r="5435" spans="1:5" x14ac:dyDescent="0.45">
      <c r="A5435" s="1347">
        <v>24</v>
      </c>
      <c r="B5435" s="1347" t="s">
        <v>7770</v>
      </c>
      <c r="C5435" s="1347">
        <v>2</v>
      </c>
      <c r="D5435" s="1347" t="s">
        <v>7771</v>
      </c>
      <c r="E5435" s="1347" t="s">
        <v>7772</v>
      </c>
    </row>
    <row r="5436" spans="1:5" x14ac:dyDescent="0.45">
      <c r="A5436" s="1347">
        <v>21</v>
      </c>
      <c r="B5436" s="1347" t="s">
        <v>7773</v>
      </c>
      <c r="D5436" s="1347" t="s">
        <v>7774</v>
      </c>
      <c r="E5436" s="1347" t="s">
        <v>7775</v>
      </c>
    </row>
    <row r="5437" spans="1:5" x14ac:dyDescent="0.45">
      <c r="B5437" s="1347" t="s">
        <v>7776</v>
      </c>
      <c r="D5437" s="1347" t="s">
        <v>7777</v>
      </c>
      <c r="E5437" s="1347" t="s">
        <v>1958</v>
      </c>
    </row>
    <row r="5438" spans="1:5" x14ac:dyDescent="0.45">
      <c r="B5438" s="1347" t="s">
        <v>1108</v>
      </c>
      <c r="D5438" s="1347" t="s">
        <v>7778</v>
      </c>
      <c r="E5438" s="1347" t="s">
        <v>7779</v>
      </c>
    </row>
    <row r="5439" spans="1:5" x14ac:dyDescent="0.45">
      <c r="A5439" s="1347" t="s">
        <v>1105</v>
      </c>
      <c r="B5439" s="1347" t="s">
        <v>7780</v>
      </c>
      <c r="D5439" s="1347" t="s">
        <v>7781</v>
      </c>
      <c r="E5439" s="1347" t="s">
        <v>7782</v>
      </c>
    </row>
    <row r="5440" spans="1:5" x14ac:dyDescent="0.45">
      <c r="B5440" s="1347" t="s">
        <v>1524</v>
      </c>
      <c r="D5440" s="1347" t="s">
        <v>1109</v>
      </c>
      <c r="E5440" s="1347" t="s">
        <v>7783</v>
      </c>
    </row>
    <row r="5441" spans="1:5" x14ac:dyDescent="0.45">
      <c r="B5441" s="1347" t="s">
        <v>3223</v>
      </c>
      <c r="D5441" s="1347" t="s">
        <v>7784</v>
      </c>
      <c r="E5441" s="1347" t="s">
        <v>2195</v>
      </c>
    </row>
    <row r="5442" spans="1:5" x14ac:dyDescent="0.45">
      <c r="B5442" s="1347">
        <f>-14   -147</f>
        <v>-161</v>
      </c>
      <c r="D5442" s="1347" t="s">
        <v>7785</v>
      </c>
      <c r="E5442" s="1347" t="s">
        <v>7786</v>
      </c>
    </row>
    <row r="5443" spans="1:5" x14ac:dyDescent="0.45">
      <c r="B5443" s="1347" t="s">
        <v>1108</v>
      </c>
      <c r="D5443" s="1347" t="s">
        <v>7787</v>
      </c>
      <c r="E5443" s="1347" t="s">
        <v>7788</v>
      </c>
    </row>
    <row r="5444" spans="1:5" x14ac:dyDescent="0.45">
      <c r="B5444" s="1347" t="s">
        <v>7789</v>
      </c>
      <c r="D5444" s="1347" t="s">
        <v>7790</v>
      </c>
      <c r="E5444" s="1347" t="s">
        <v>7791</v>
      </c>
    </row>
    <row r="5445" spans="1:5" x14ac:dyDescent="0.45">
      <c r="B5445" s="1347" t="s">
        <v>1108</v>
      </c>
      <c r="C5445" s="1347" t="s">
        <v>1105</v>
      </c>
      <c r="D5445" s="1347" t="s">
        <v>7792</v>
      </c>
      <c r="E5445" s="1347" t="s">
        <v>7793</v>
      </c>
    </row>
    <row r="5446" spans="1:5" x14ac:dyDescent="0.45">
      <c r="A5446" s="1347" t="s">
        <v>1105</v>
      </c>
      <c r="B5446" s="1347" t="s">
        <v>7794</v>
      </c>
      <c r="D5446" s="1347" t="s">
        <v>7795</v>
      </c>
      <c r="E5446" s="1347" t="s">
        <v>7796</v>
      </c>
    </row>
    <row r="5447" spans="1:5" x14ac:dyDescent="0.45">
      <c r="A5447" s="1347">
        <v>3</v>
      </c>
      <c r="B5447" s="1347" t="s">
        <v>7797</v>
      </c>
      <c r="D5447" s="1347" t="s">
        <v>7798</v>
      </c>
      <c r="E5447" s="1347" t="s">
        <v>7799</v>
      </c>
    </row>
    <row r="5448" spans="1:5" x14ac:dyDescent="0.45">
      <c r="B5448" s="1347" t="s">
        <v>6487</v>
      </c>
      <c r="D5448" s="1347" t="s">
        <v>1109</v>
      </c>
      <c r="E5448" s="1347" t="s">
        <v>7800</v>
      </c>
    </row>
    <row r="5449" spans="1:5" x14ac:dyDescent="0.45">
      <c r="A5449" s="1347">
        <v>-1</v>
      </c>
      <c r="B5449" s="1347" t="s">
        <v>7801</v>
      </c>
      <c r="D5449" s="1347" t="s">
        <v>7802</v>
      </c>
      <c r="E5449" s="1347" t="s">
        <v>7803</v>
      </c>
    </row>
    <row r="5450" spans="1:5" x14ac:dyDescent="0.45">
      <c r="B5450" s="1347" t="s">
        <v>7804</v>
      </c>
      <c r="D5450" s="1347" t="s">
        <v>7805</v>
      </c>
      <c r="E5450" s="1347" t="s">
        <v>7806</v>
      </c>
    </row>
    <row r="5451" spans="1:5" x14ac:dyDescent="0.45">
      <c r="B5451" s="1347" t="s">
        <v>3269</v>
      </c>
      <c r="D5451" s="1347" t="s">
        <v>7807</v>
      </c>
      <c r="E5451" s="1347" t="s">
        <v>1110</v>
      </c>
    </row>
    <row r="5452" spans="1:5" x14ac:dyDescent="0.45">
      <c r="A5452" s="1347" t="s">
        <v>1105</v>
      </c>
      <c r="B5452" s="1347" t="s">
        <v>3152</v>
      </c>
      <c r="C5452" s="1347" t="s">
        <v>1105</v>
      </c>
      <c r="D5452" s="1347" t="s">
        <v>7808</v>
      </c>
      <c r="E5452" s="1347" t="s">
        <v>7809</v>
      </c>
    </row>
    <row r="5453" spans="1:5" x14ac:dyDescent="0.45">
      <c r="B5453" s="1347" t="s">
        <v>1108</v>
      </c>
      <c r="D5453" s="1347" t="s">
        <v>7810</v>
      </c>
      <c r="E5453" s="1347" t="s">
        <v>7811</v>
      </c>
    </row>
    <row r="5454" spans="1:5" x14ac:dyDescent="0.45">
      <c r="B5454" s="1347" t="s">
        <v>7812</v>
      </c>
      <c r="D5454" s="1347" t="s">
        <v>7813</v>
      </c>
      <c r="E5454" s="1347" t="s">
        <v>1110</v>
      </c>
    </row>
    <row r="5455" spans="1:5" x14ac:dyDescent="0.45">
      <c r="B5455" s="1347" t="s">
        <v>1108</v>
      </c>
      <c r="D5455" s="1347" t="s">
        <v>7814</v>
      </c>
      <c r="E5455" s="1347" t="s">
        <v>7815</v>
      </c>
    </row>
    <row r="5456" spans="1:5" x14ac:dyDescent="0.45">
      <c r="A5456" s="1347">
        <v>1</v>
      </c>
      <c r="B5456" s="1347" t="s">
        <v>7816</v>
      </c>
      <c r="D5456" s="1347" t="s">
        <v>1109</v>
      </c>
      <c r="E5456" s="1347" t="s">
        <v>7817</v>
      </c>
    </row>
    <row r="5457" spans="1:5" x14ac:dyDescent="0.45">
      <c r="A5457" s="1347">
        <v>-3</v>
      </c>
      <c r="B5457" s="1347" t="s">
        <v>7818</v>
      </c>
      <c r="D5457" s="1347" t="s">
        <v>7819</v>
      </c>
      <c r="E5457" s="1347" t="s">
        <v>7820</v>
      </c>
    </row>
    <row r="5458" spans="1:5" x14ac:dyDescent="0.45">
      <c r="B5458" s="1347" t="s">
        <v>1108</v>
      </c>
      <c r="C5458" s="1347" t="s">
        <v>1105</v>
      </c>
      <c r="D5458" s="1347" t="s">
        <v>7821</v>
      </c>
      <c r="E5458" s="1347" t="s">
        <v>7822</v>
      </c>
    </row>
    <row r="5459" spans="1:5" x14ac:dyDescent="0.45">
      <c r="A5459" s="1347" t="s">
        <v>1105</v>
      </c>
      <c r="B5459" s="1347" t="s">
        <v>7823</v>
      </c>
      <c r="C5459" s="1347" t="s">
        <v>1105</v>
      </c>
      <c r="D5459" s="1347" t="s">
        <v>7824</v>
      </c>
      <c r="E5459" s="1347" t="s">
        <v>7825</v>
      </c>
    </row>
    <row r="5460" spans="1:5" x14ac:dyDescent="0.45">
      <c r="B5460" s="1347" t="s">
        <v>1108</v>
      </c>
      <c r="D5460" s="1347" t="s">
        <v>1109</v>
      </c>
      <c r="E5460" s="1347" t="s">
        <v>7826</v>
      </c>
    </row>
    <row r="5461" spans="1:5" x14ac:dyDescent="0.45">
      <c r="A5461" s="1347" t="s">
        <v>1105</v>
      </c>
      <c r="B5461" s="1347" t="s">
        <v>7827</v>
      </c>
      <c r="D5461" s="1347" t="s">
        <v>7828</v>
      </c>
      <c r="E5461" s="1347" t="s">
        <v>7829</v>
      </c>
    </row>
    <row r="5462" spans="1:5" x14ac:dyDescent="0.45">
      <c r="B5462" s="1347" t="s">
        <v>1108</v>
      </c>
      <c r="D5462" s="1347" t="s">
        <v>7830</v>
      </c>
      <c r="E5462" s="1347" t="s">
        <v>7831</v>
      </c>
    </row>
    <row r="5463" spans="1:5" x14ac:dyDescent="0.45">
      <c r="B5463" s="1347" t="s">
        <v>1108</v>
      </c>
      <c r="D5463" s="1347" t="s">
        <v>1109</v>
      </c>
      <c r="E5463" s="1347" t="s">
        <v>1110</v>
      </c>
    </row>
    <row r="5464" spans="1:5" x14ac:dyDescent="0.45">
      <c r="B5464" s="1347" t="s">
        <v>1108</v>
      </c>
      <c r="D5464" s="1347" t="s">
        <v>6321</v>
      </c>
      <c r="E5464" s="1347" t="s">
        <v>7832</v>
      </c>
    </row>
    <row r="5465" spans="1:5" x14ac:dyDescent="0.45">
      <c r="A5465" s="1347">
        <v>2</v>
      </c>
      <c r="B5465" s="1347" t="s">
        <v>7833</v>
      </c>
      <c r="C5465" s="1347">
        <v>1</v>
      </c>
      <c r="D5465" s="1347" t="s">
        <v>7834</v>
      </c>
      <c r="E5465" s="1347" t="s">
        <v>7835</v>
      </c>
    </row>
    <row r="5466" spans="1:5" x14ac:dyDescent="0.45">
      <c r="A5466" s="1347">
        <v>12</v>
      </c>
      <c r="B5466" s="1347" t="s">
        <v>7836</v>
      </c>
      <c r="C5466" s="1347">
        <v>1</v>
      </c>
      <c r="D5466" s="1347" t="s">
        <v>7837</v>
      </c>
      <c r="E5466" s="1347" t="s">
        <v>7838</v>
      </c>
    </row>
    <row r="5467" spans="1:5" x14ac:dyDescent="0.45">
      <c r="A5467" s="1347">
        <v>13</v>
      </c>
      <c r="B5467" s="1347" t="s">
        <v>7839</v>
      </c>
      <c r="C5467" s="1347">
        <v>2</v>
      </c>
      <c r="D5467" s="1347" t="s">
        <v>7840</v>
      </c>
      <c r="E5467" s="1347" t="s">
        <v>7841</v>
      </c>
    </row>
    <row r="5468" spans="1:5" x14ac:dyDescent="0.45">
      <c r="A5468" s="1347">
        <v>13</v>
      </c>
      <c r="B5468" s="1347" t="s">
        <v>7842</v>
      </c>
      <c r="C5468" s="1347" t="s">
        <v>1105</v>
      </c>
      <c r="D5468" s="1347" t="s">
        <v>7843</v>
      </c>
      <c r="E5468" s="1347" t="s">
        <v>7844</v>
      </c>
    </row>
    <row r="5469" spans="1:5" x14ac:dyDescent="0.45">
      <c r="B5469" s="1347" t="s">
        <v>1108</v>
      </c>
      <c r="D5469" s="1347" t="s">
        <v>7845</v>
      </c>
      <c r="E5469" s="1347" t="s">
        <v>1110</v>
      </c>
    </row>
    <row r="5470" spans="1:5" x14ac:dyDescent="0.45">
      <c r="B5470" s="1347" t="s">
        <v>7846</v>
      </c>
      <c r="D5470" s="1347" t="s">
        <v>7847</v>
      </c>
      <c r="E5470" s="1347" t="s">
        <v>7848</v>
      </c>
    </row>
    <row r="5471" spans="1:5" x14ac:dyDescent="0.45">
      <c r="B5471" s="1347" t="s">
        <v>7849</v>
      </c>
      <c r="C5471" s="1347" t="s">
        <v>1105</v>
      </c>
      <c r="D5471" s="1347" t="s">
        <v>7850</v>
      </c>
      <c r="E5471" s="1347" t="s">
        <v>7851</v>
      </c>
    </row>
    <row r="5472" spans="1:5" x14ac:dyDescent="0.45">
      <c r="B5472" s="1347" t="s">
        <v>1108</v>
      </c>
      <c r="D5472" s="1347" t="s">
        <v>7852</v>
      </c>
      <c r="E5472" s="1347" t="s">
        <v>7853</v>
      </c>
    </row>
    <row r="5473" spans="1:5" x14ac:dyDescent="0.45">
      <c r="B5473" s="1347" t="s">
        <v>7854</v>
      </c>
      <c r="D5473" s="1347" t="s">
        <v>1109</v>
      </c>
      <c r="E5473" s="1347" t="s">
        <v>7855</v>
      </c>
    </row>
    <row r="5474" spans="1:5" x14ac:dyDescent="0.45">
      <c r="B5474" s="1347" t="s">
        <v>1108</v>
      </c>
      <c r="D5474" s="1347" t="s">
        <v>7856</v>
      </c>
      <c r="E5474" s="1347" t="s">
        <v>1958</v>
      </c>
    </row>
    <row r="5475" spans="1:5" x14ac:dyDescent="0.45">
      <c r="A5475" s="1347" t="s">
        <v>1105</v>
      </c>
      <c r="B5475" s="1347" t="s">
        <v>7857</v>
      </c>
      <c r="D5475" s="1347" t="s">
        <v>7858</v>
      </c>
      <c r="E5475" s="1347" t="s">
        <v>7859</v>
      </c>
    </row>
    <row r="5476" spans="1:5" x14ac:dyDescent="0.45">
      <c r="B5476" s="1347" t="s">
        <v>7860</v>
      </c>
      <c r="C5476" s="1347" t="s">
        <v>1105</v>
      </c>
      <c r="D5476" s="1347" t="s">
        <v>7861</v>
      </c>
      <c r="E5476" s="1347" t="s">
        <v>1110</v>
      </c>
    </row>
    <row r="5477" spans="1:5" x14ac:dyDescent="0.45">
      <c r="A5477" s="1347" t="s">
        <v>1105</v>
      </c>
      <c r="B5477" s="1347" t="s">
        <v>7862</v>
      </c>
      <c r="D5477" s="1347" t="s">
        <v>7863</v>
      </c>
      <c r="E5477" s="1347" t="s">
        <v>7864</v>
      </c>
    </row>
    <row r="5478" spans="1:5" x14ac:dyDescent="0.45">
      <c r="B5478" s="1347" t="s">
        <v>3104</v>
      </c>
      <c r="D5478" s="1347" t="s">
        <v>7865</v>
      </c>
      <c r="E5478" s="1347" t="s">
        <v>7866</v>
      </c>
    </row>
    <row r="5479" spans="1:5" x14ac:dyDescent="0.45">
      <c r="B5479" s="1347" t="s">
        <v>1108</v>
      </c>
      <c r="D5479" s="1347" t="s">
        <v>7867</v>
      </c>
      <c r="E5479" s="1347" t="s">
        <v>7868</v>
      </c>
    </row>
    <row r="5480" spans="1:5" x14ac:dyDescent="0.45">
      <c r="B5480" s="1347" t="s">
        <v>1108</v>
      </c>
      <c r="D5480" s="1347" t="s">
        <v>7869</v>
      </c>
      <c r="E5480" s="1347" t="s">
        <v>7870</v>
      </c>
    </row>
    <row r="5481" spans="1:5" x14ac:dyDescent="0.45">
      <c r="B5481" s="1347" t="s">
        <v>7871</v>
      </c>
      <c r="D5481" s="1347" t="s">
        <v>7872</v>
      </c>
      <c r="E5481" s="1347" t="s">
        <v>7873</v>
      </c>
    </row>
    <row r="5482" spans="1:5" x14ac:dyDescent="0.45">
      <c r="B5482" s="1347" t="s">
        <v>1108</v>
      </c>
      <c r="D5482" s="1347" t="s">
        <v>7874</v>
      </c>
      <c r="E5482" s="1347" t="s">
        <v>7875</v>
      </c>
    </row>
    <row r="5483" spans="1:5" x14ac:dyDescent="0.45">
      <c r="A5483" s="1347" t="s">
        <v>1105</v>
      </c>
      <c r="B5483" s="1347" t="s">
        <v>7876</v>
      </c>
      <c r="D5483" s="1347" t="s">
        <v>7877</v>
      </c>
      <c r="E5483" s="1347" t="s">
        <v>7878</v>
      </c>
    </row>
    <row r="5484" spans="1:5" x14ac:dyDescent="0.45">
      <c r="A5484" s="1347" t="s">
        <v>1105</v>
      </c>
      <c r="B5484" s="1347" t="s">
        <v>7879</v>
      </c>
      <c r="D5484" s="1347" t="s">
        <v>7880</v>
      </c>
      <c r="E5484" s="1347" t="s">
        <v>7881</v>
      </c>
    </row>
    <row r="5485" spans="1:5" x14ac:dyDescent="0.45">
      <c r="B5485" s="1347" t="s">
        <v>7882</v>
      </c>
      <c r="D5485" s="1347" t="s">
        <v>7883</v>
      </c>
      <c r="E5485" s="1347" t="s">
        <v>7884</v>
      </c>
    </row>
    <row r="5486" spans="1:5" x14ac:dyDescent="0.45">
      <c r="B5486" s="1347" t="s">
        <v>7885</v>
      </c>
      <c r="D5486" s="1347" t="s">
        <v>7886</v>
      </c>
      <c r="E5486" s="1347" t="s">
        <v>1110</v>
      </c>
    </row>
    <row r="5487" spans="1:5" x14ac:dyDescent="0.45">
      <c r="B5487" s="1347" t="s">
        <v>1108</v>
      </c>
      <c r="D5487" s="1347" t="s">
        <v>7887</v>
      </c>
      <c r="E5487" s="1347" t="s">
        <v>7888</v>
      </c>
    </row>
    <row r="5488" spans="1:5" x14ac:dyDescent="0.45">
      <c r="B5488" s="1347" t="s">
        <v>1108</v>
      </c>
      <c r="D5488" s="1347" t="s">
        <v>7889</v>
      </c>
      <c r="E5488" s="1347" t="s">
        <v>7890</v>
      </c>
    </row>
    <row r="5489" spans="1:5" x14ac:dyDescent="0.45">
      <c r="A5489" s="1347">
        <v>-2</v>
      </c>
      <c r="B5489" s="1347" t="s">
        <v>7891</v>
      </c>
      <c r="D5489" s="1347" t="s">
        <v>7892</v>
      </c>
      <c r="E5489" s="1347" t="s">
        <v>7893</v>
      </c>
    </row>
    <row r="5490" spans="1:5" x14ac:dyDescent="0.45">
      <c r="B5490" s="1347" t="s">
        <v>7894</v>
      </c>
      <c r="D5490" s="1347" t="s">
        <v>1109</v>
      </c>
      <c r="E5490" s="1347" t="s">
        <v>7895</v>
      </c>
    </row>
    <row r="5491" spans="1:5" x14ac:dyDescent="0.45">
      <c r="A5491" s="1347" t="s">
        <v>1105</v>
      </c>
      <c r="B5491" s="1347" t="s">
        <v>7896</v>
      </c>
      <c r="D5491" s="1347" t="s">
        <v>7897</v>
      </c>
      <c r="E5491" s="1347" t="s">
        <v>7898</v>
      </c>
    </row>
    <row r="5492" spans="1:5" x14ac:dyDescent="0.45">
      <c r="B5492" s="1347" t="s">
        <v>1108</v>
      </c>
      <c r="D5492" s="1347" t="s">
        <v>7899</v>
      </c>
      <c r="E5492" s="1347" t="s">
        <v>7900</v>
      </c>
    </row>
    <row r="5493" spans="1:5" x14ac:dyDescent="0.45">
      <c r="A5493" s="1347">
        <v>2</v>
      </c>
      <c r="B5493" s="1347" t="s">
        <v>7901</v>
      </c>
      <c r="D5493" s="1347" t="s">
        <v>7902</v>
      </c>
      <c r="E5493" s="1347" t="s">
        <v>7903</v>
      </c>
    </row>
    <row r="5494" spans="1:5" x14ac:dyDescent="0.45">
      <c r="B5494" s="1347" t="s">
        <v>7904</v>
      </c>
      <c r="D5494" s="1347" t="s">
        <v>7905</v>
      </c>
      <c r="E5494" s="1347" t="s">
        <v>1110</v>
      </c>
    </row>
    <row r="5495" spans="1:5" x14ac:dyDescent="0.45">
      <c r="B5495" s="1347" t="s">
        <v>1108</v>
      </c>
      <c r="D5495" s="1347" t="s">
        <v>1109</v>
      </c>
      <c r="E5495" s="1347" t="s">
        <v>1110</v>
      </c>
    </row>
    <row r="5496" spans="1:5" x14ac:dyDescent="0.45">
      <c r="B5496" s="1347" t="s">
        <v>5059</v>
      </c>
      <c r="D5496" s="1347" t="s">
        <v>1109</v>
      </c>
      <c r="E5496" s="1347" t="s">
        <v>7906</v>
      </c>
    </row>
    <row r="5497" spans="1:5" x14ac:dyDescent="0.45">
      <c r="A5497" s="1347">
        <v>18</v>
      </c>
      <c r="B5497" s="1347" t="s">
        <v>7907</v>
      </c>
      <c r="C5497" s="1347">
        <v>1</v>
      </c>
      <c r="D5497" s="1347" t="s">
        <v>7908</v>
      </c>
      <c r="E5497" s="1347" t="s">
        <v>7909</v>
      </c>
    </row>
    <row r="5498" spans="1:5" x14ac:dyDescent="0.45">
      <c r="A5498" s="1347">
        <v>14</v>
      </c>
      <c r="B5498" s="1347" t="s">
        <v>7910</v>
      </c>
      <c r="D5498" s="1347" t="s">
        <v>7911</v>
      </c>
      <c r="E5498" s="1347" t="s">
        <v>7912</v>
      </c>
    </row>
    <row r="5499" spans="1:5" x14ac:dyDescent="0.45">
      <c r="A5499" s="1347">
        <v>23</v>
      </c>
      <c r="B5499" s="1347" t="s">
        <v>7913</v>
      </c>
      <c r="C5499" s="1347">
        <v>2</v>
      </c>
      <c r="D5499" s="1347" t="s">
        <v>7914</v>
      </c>
      <c r="E5499" s="1347" t="s">
        <v>7915</v>
      </c>
    </row>
    <row r="5500" spans="1:5" x14ac:dyDescent="0.45">
      <c r="B5500" s="1347" t="s">
        <v>7916</v>
      </c>
      <c r="D5500" s="1347" t="s">
        <v>7917</v>
      </c>
      <c r="E5500" s="1347" t="s">
        <v>7918</v>
      </c>
    </row>
    <row r="5501" spans="1:5" x14ac:dyDescent="0.45">
      <c r="B5501" s="1347" t="s">
        <v>7919</v>
      </c>
      <c r="D5501" s="1347" t="s">
        <v>3314</v>
      </c>
      <c r="E5501" s="1347" t="s">
        <v>7920</v>
      </c>
    </row>
    <row r="5502" spans="1:5" x14ac:dyDescent="0.45">
      <c r="B5502" s="1347" t="s">
        <v>1108</v>
      </c>
      <c r="D5502" s="1347" t="s">
        <v>7921</v>
      </c>
      <c r="E5502" s="1347" t="s">
        <v>7922</v>
      </c>
    </row>
    <row r="5503" spans="1:5" x14ac:dyDescent="0.45">
      <c r="A5503" s="1347" t="s">
        <v>1105</v>
      </c>
      <c r="B5503" s="1347" t="s">
        <v>7923</v>
      </c>
      <c r="D5503" s="1347" t="s">
        <v>7924</v>
      </c>
      <c r="E5503" s="1347" t="s">
        <v>7925</v>
      </c>
    </row>
    <row r="5504" spans="1:5" x14ac:dyDescent="0.45">
      <c r="B5504" s="1347" t="s">
        <v>1108</v>
      </c>
      <c r="D5504" s="1347" t="s">
        <v>7926</v>
      </c>
      <c r="E5504" s="1347" t="s">
        <v>7927</v>
      </c>
    </row>
    <row r="5505" spans="1:5" x14ac:dyDescent="0.45">
      <c r="B5505" s="1347" t="s">
        <v>1108</v>
      </c>
      <c r="D5505" s="1347" t="s">
        <v>4345</v>
      </c>
      <c r="E5505" s="1347" t="s">
        <v>7928</v>
      </c>
    </row>
    <row r="5506" spans="1:5" x14ac:dyDescent="0.45">
      <c r="B5506" s="1347" t="s">
        <v>7929</v>
      </c>
      <c r="C5506" s="1347" t="s">
        <v>1105</v>
      </c>
      <c r="D5506" s="1347" t="s">
        <v>7930</v>
      </c>
      <c r="E5506" s="1347" t="s">
        <v>7931</v>
      </c>
    </row>
    <row r="5507" spans="1:5" x14ac:dyDescent="0.45">
      <c r="B5507" s="1347" t="s">
        <v>7932</v>
      </c>
      <c r="D5507" s="1347" t="s">
        <v>7933</v>
      </c>
      <c r="E5507" s="1347" t="s">
        <v>7934</v>
      </c>
    </row>
    <row r="5508" spans="1:5" x14ac:dyDescent="0.45">
      <c r="A5508" s="1347" t="s">
        <v>1105</v>
      </c>
      <c r="B5508" s="1347" t="s">
        <v>7935</v>
      </c>
      <c r="D5508" s="1347" t="s">
        <v>7936</v>
      </c>
      <c r="E5508" s="1347" t="s">
        <v>7937</v>
      </c>
    </row>
    <row r="5509" spans="1:5" x14ac:dyDescent="0.45">
      <c r="B5509" s="1347" t="s">
        <v>3701</v>
      </c>
      <c r="C5509" s="1347" t="s">
        <v>1105</v>
      </c>
      <c r="D5509" s="1347" t="s">
        <v>7938</v>
      </c>
      <c r="E5509" s="1347" t="s">
        <v>7939</v>
      </c>
    </row>
    <row r="5510" spans="1:5" x14ac:dyDescent="0.45">
      <c r="B5510" s="1347" t="s">
        <v>7940</v>
      </c>
      <c r="C5510" s="1347" t="s">
        <v>1105</v>
      </c>
      <c r="D5510" s="1347" t="s">
        <v>7941</v>
      </c>
      <c r="E5510" s="1347" t="s">
        <v>7942</v>
      </c>
    </row>
    <row r="5511" spans="1:5" x14ac:dyDescent="0.45">
      <c r="B5511" s="1347" t="s">
        <v>7943</v>
      </c>
      <c r="D5511" s="1347" t="s">
        <v>7944</v>
      </c>
      <c r="E5511" s="1347" t="s">
        <v>7945</v>
      </c>
    </row>
    <row r="5512" spans="1:5" x14ac:dyDescent="0.45">
      <c r="B5512" s="1347" t="s">
        <v>1108</v>
      </c>
      <c r="D5512" s="1347" t="s">
        <v>7946</v>
      </c>
      <c r="E5512" s="1347" t="s">
        <v>7947</v>
      </c>
    </row>
    <row r="5513" spans="1:5" x14ac:dyDescent="0.45">
      <c r="A5513" s="1347">
        <v>-6</v>
      </c>
      <c r="B5513" s="1347" t="s">
        <v>7948</v>
      </c>
      <c r="D5513" s="1347" t="s">
        <v>7949</v>
      </c>
      <c r="E5513" s="1347" t="s">
        <v>7950</v>
      </c>
    </row>
    <row r="5514" spans="1:5" x14ac:dyDescent="0.45">
      <c r="B5514" s="1347" t="s">
        <v>7951</v>
      </c>
      <c r="D5514" s="1347" t="s">
        <v>7952</v>
      </c>
      <c r="E5514" s="1347" t="s">
        <v>7953</v>
      </c>
    </row>
    <row r="5515" spans="1:5" x14ac:dyDescent="0.45">
      <c r="A5515" s="1347" t="s">
        <v>1105</v>
      </c>
      <c r="B5515" s="1347" t="s">
        <v>7954</v>
      </c>
      <c r="D5515" s="1347" t="s">
        <v>1109</v>
      </c>
      <c r="E5515" s="1347" t="s">
        <v>7955</v>
      </c>
    </row>
    <row r="5516" spans="1:5" x14ac:dyDescent="0.45">
      <c r="A5516" s="1347">
        <v>-1</v>
      </c>
      <c r="B5516" s="1347" t="s">
        <v>7956</v>
      </c>
      <c r="D5516" s="1347" t="s">
        <v>7957</v>
      </c>
      <c r="E5516" s="1347" t="s">
        <v>7958</v>
      </c>
    </row>
    <row r="5517" spans="1:5" x14ac:dyDescent="0.45">
      <c r="A5517" s="1347" t="s">
        <v>1105</v>
      </c>
      <c r="B5517" s="1347" t="s">
        <v>7959</v>
      </c>
      <c r="D5517" s="1347" t="s">
        <v>7960</v>
      </c>
      <c r="E5517" s="1347" t="s">
        <v>7961</v>
      </c>
    </row>
    <row r="5518" spans="1:5" x14ac:dyDescent="0.45">
      <c r="A5518" s="1347" t="s">
        <v>1105</v>
      </c>
      <c r="B5518" s="1347" t="s">
        <v>6736</v>
      </c>
      <c r="D5518" s="1347" t="s">
        <v>7962</v>
      </c>
      <c r="E5518" s="1347" t="s">
        <v>1110</v>
      </c>
    </row>
    <row r="5519" spans="1:5" x14ac:dyDescent="0.45">
      <c r="B5519" s="1347" t="s">
        <v>1976</v>
      </c>
      <c r="D5519" s="1347" t="s">
        <v>7963</v>
      </c>
      <c r="E5519" s="1347" t="s">
        <v>7964</v>
      </c>
    </row>
    <row r="5520" spans="1:5" x14ac:dyDescent="0.45">
      <c r="B5520" s="1347" t="s">
        <v>1108</v>
      </c>
      <c r="D5520" s="1347" t="s">
        <v>7965</v>
      </c>
      <c r="E5520" s="1347" t="s">
        <v>7966</v>
      </c>
    </row>
    <row r="5521" spans="1:5" x14ac:dyDescent="0.45">
      <c r="B5521" s="1347" t="s">
        <v>1108</v>
      </c>
      <c r="D5521" s="1347" t="s">
        <v>7967</v>
      </c>
      <c r="E5521" s="1347" t="s">
        <v>7968</v>
      </c>
    </row>
    <row r="5522" spans="1:5" x14ac:dyDescent="0.45">
      <c r="B5522" s="1347" t="s">
        <v>6943</v>
      </c>
      <c r="D5522" s="1347" t="s">
        <v>7969</v>
      </c>
      <c r="E5522" s="1347" t="s">
        <v>7970</v>
      </c>
    </row>
    <row r="5523" spans="1:5" x14ac:dyDescent="0.45">
      <c r="A5523" s="1347">
        <v>-3</v>
      </c>
      <c r="B5523" s="1347" t="s">
        <v>7971</v>
      </c>
      <c r="C5523" s="1347" t="s">
        <v>1105</v>
      </c>
      <c r="D5523" s="1347" t="s">
        <v>7972</v>
      </c>
      <c r="E5523" s="1347" t="s">
        <v>7973</v>
      </c>
    </row>
    <row r="5524" spans="1:5" x14ac:dyDescent="0.45">
      <c r="B5524" s="1347" t="s">
        <v>1108</v>
      </c>
      <c r="D5524" s="1347" t="s">
        <v>7974</v>
      </c>
      <c r="E5524" s="1347" t="s">
        <v>7975</v>
      </c>
    </row>
    <row r="5525" spans="1:5" x14ac:dyDescent="0.45">
      <c r="B5525" s="1347" t="s">
        <v>1108</v>
      </c>
      <c r="C5525" s="1347" t="s">
        <v>1105</v>
      </c>
      <c r="D5525" s="1347" t="s">
        <v>7976</v>
      </c>
      <c r="E5525" s="1347" t="s">
        <v>1220</v>
      </c>
    </row>
    <row r="5526" spans="1:5" x14ac:dyDescent="0.45">
      <c r="B5526" s="1347" t="s">
        <v>7977</v>
      </c>
      <c r="D5526" s="1347" t="s">
        <v>7978</v>
      </c>
      <c r="E5526" s="1347" t="s">
        <v>1110</v>
      </c>
    </row>
    <row r="5527" spans="1:5" x14ac:dyDescent="0.45">
      <c r="B5527" s="1347" t="s">
        <v>1108</v>
      </c>
      <c r="D5527" s="1347" t="s">
        <v>1109</v>
      </c>
      <c r="E5527" s="1347" t="s">
        <v>7979</v>
      </c>
    </row>
    <row r="5528" spans="1:5" x14ac:dyDescent="0.45">
      <c r="B5528" s="1347" t="s">
        <v>1108</v>
      </c>
      <c r="D5528" s="1347" t="s">
        <v>3231</v>
      </c>
      <c r="E5528" s="1347" t="s">
        <v>7980</v>
      </c>
    </row>
    <row r="5529" spans="1:5" x14ac:dyDescent="0.45">
      <c r="A5529" s="1347">
        <v>25</v>
      </c>
      <c r="B5529" s="1347" t="s">
        <v>7981</v>
      </c>
      <c r="D5529" s="1347" t="s">
        <v>7982</v>
      </c>
      <c r="E5529" s="1347" t="s">
        <v>7983</v>
      </c>
    </row>
    <row r="5530" spans="1:5" x14ac:dyDescent="0.45">
      <c r="A5530" s="1347">
        <v>19</v>
      </c>
      <c r="B5530" s="1347" t="s">
        <v>7984</v>
      </c>
      <c r="D5530" s="1347" t="s">
        <v>7985</v>
      </c>
      <c r="E5530" s="1347" t="s">
        <v>7986</v>
      </c>
    </row>
    <row r="5531" spans="1:5" x14ac:dyDescent="0.45">
      <c r="A5531" s="1347">
        <v>29</v>
      </c>
      <c r="B5531" s="1347" t="s">
        <v>7987</v>
      </c>
      <c r="C5531" s="1347">
        <v>4</v>
      </c>
      <c r="D5531" s="1347" t="s">
        <v>7988</v>
      </c>
      <c r="E5531" s="1347" t="s">
        <v>7989</v>
      </c>
    </row>
    <row r="5532" spans="1:5" x14ac:dyDescent="0.45">
      <c r="B5532" s="1347">
        <f>-66  -1990</f>
        <v>-2056</v>
      </c>
      <c r="D5532" s="1347" t="s">
        <v>7990</v>
      </c>
      <c r="E5532" s="1347" t="s">
        <v>7991</v>
      </c>
    </row>
    <row r="5533" spans="1:5" x14ac:dyDescent="0.45">
      <c r="B5533" s="1347" t="s">
        <v>7992</v>
      </c>
      <c r="D5533" s="1347" t="s">
        <v>2164</v>
      </c>
      <c r="E5533" s="1347" t="s">
        <v>7993</v>
      </c>
    </row>
    <row r="5534" spans="1:5" x14ac:dyDescent="0.45">
      <c r="B5534" s="1347" t="s">
        <v>1108</v>
      </c>
      <c r="D5534" s="1347" t="s">
        <v>7994</v>
      </c>
      <c r="E5534" s="1347" t="s">
        <v>7995</v>
      </c>
    </row>
    <row r="5535" spans="1:5" x14ac:dyDescent="0.45">
      <c r="A5535" s="1347" t="s">
        <v>1105</v>
      </c>
      <c r="B5535" s="1347" t="s">
        <v>7996</v>
      </c>
      <c r="D5535" s="1347" t="s">
        <v>7997</v>
      </c>
      <c r="E5535" s="1347" t="s">
        <v>7998</v>
      </c>
    </row>
    <row r="5536" spans="1:5" x14ac:dyDescent="0.45">
      <c r="B5536" s="1347" t="s">
        <v>1108</v>
      </c>
      <c r="D5536" s="1347" t="s">
        <v>7999</v>
      </c>
      <c r="E5536" s="1347" t="s">
        <v>8000</v>
      </c>
    </row>
    <row r="5537" spans="1:5" x14ac:dyDescent="0.45">
      <c r="B5537" s="1347" t="s">
        <v>1108</v>
      </c>
      <c r="D5537" s="1347" t="s">
        <v>8001</v>
      </c>
      <c r="E5537" s="1347" t="s">
        <v>8002</v>
      </c>
    </row>
    <row r="5538" spans="1:5" x14ac:dyDescent="0.45">
      <c r="B5538" s="1347" t="s">
        <v>8003</v>
      </c>
      <c r="C5538" s="1347" t="s">
        <v>1105</v>
      </c>
      <c r="D5538" s="1347" t="s">
        <v>8004</v>
      </c>
      <c r="E5538" s="1347" t="s">
        <v>2776</v>
      </c>
    </row>
    <row r="5539" spans="1:5" x14ac:dyDescent="0.45">
      <c r="B5539" s="1347" t="s">
        <v>8005</v>
      </c>
      <c r="D5539" s="1347" t="s">
        <v>8006</v>
      </c>
      <c r="E5539" s="1347" t="s">
        <v>8007</v>
      </c>
    </row>
    <row r="5540" spans="1:5" x14ac:dyDescent="0.45">
      <c r="B5540" s="1347" t="s">
        <v>8008</v>
      </c>
      <c r="D5540" s="1347" t="s">
        <v>8009</v>
      </c>
      <c r="E5540" s="1347" t="s">
        <v>8010</v>
      </c>
    </row>
    <row r="5541" spans="1:5" x14ac:dyDescent="0.45">
      <c r="B5541" s="1347" t="s">
        <v>8011</v>
      </c>
      <c r="D5541" s="1347" t="s">
        <v>8012</v>
      </c>
      <c r="E5541" s="1347" t="s">
        <v>8013</v>
      </c>
    </row>
    <row r="5542" spans="1:5" x14ac:dyDescent="0.45">
      <c r="B5542" s="1347" t="s">
        <v>8014</v>
      </c>
      <c r="D5542" s="1347" t="s">
        <v>8015</v>
      </c>
      <c r="E5542" s="1347" t="s">
        <v>8016</v>
      </c>
    </row>
    <row r="5543" spans="1:5" x14ac:dyDescent="0.45">
      <c r="B5543" s="1347" t="s">
        <v>8017</v>
      </c>
      <c r="D5543" s="1347" t="s">
        <v>8018</v>
      </c>
      <c r="E5543" s="1347" t="s">
        <v>8019</v>
      </c>
    </row>
    <row r="5544" spans="1:5" x14ac:dyDescent="0.45">
      <c r="B5544" s="1347" t="s">
        <v>1108</v>
      </c>
      <c r="D5544" s="1347" t="s">
        <v>8020</v>
      </c>
      <c r="E5544" s="1347" t="s">
        <v>8021</v>
      </c>
    </row>
    <row r="5545" spans="1:5" x14ac:dyDescent="0.45">
      <c r="A5545" s="1347">
        <v>-13</v>
      </c>
      <c r="B5545" s="1347" t="s">
        <v>8022</v>
      </c>
      <c r="C5545" s="1347" t="s">
        <v>1105</v>
      </c>
      <c r="D5545" s="1347" t="s">
        <v>8023</v>
      </c>
      <c r="E5545" s="1347" t="s">
        <v>8024</v>
      </c>
    </row>
    <row r="5546" spans="1:5" x14ac:dyDescent="0.45">
      <c r="B5546" s="1347" t="s">
        <v>8025</v>
      </c>
      <c r="D5546" s="1347" t="s">
        <v>8026</v>
      </c>
      <c r="E5546" s="1347" t="s">
        <v>8027</v>
      </c>
    </row>
    <row r="5547" spans="1:5" x14ac:dyDescent="0.45">
      <c r="B5547" s="1347" t="s">
        <v>8028</v>
      </c>
      <c r="D5547" s="1347" t="s">
        <v>1109</v>
      </c>
      <c r="E5547" s="1347" t="s">
        <v>8029</v>
      </c>
    </row>
    <row r="5548" spans="1:5" x14ac:dyDescent="0.45">
      <c r="A5548" s="1347">
        <v>1</v>
      </c>
      <c r="B5548" s="1347" t="s">
        <v>8030</v>
      </c>
      <c r="D5548" s="1347" t="s">
        <v>8031</v>
      </c>
      <c r="E5548" s="1347" t="s">
        <v>8032</v>
      </c>
    </row>
    <row r="5549" spans="1:5" x14ac:dyDescent="0.45">
      <c r="A5549" s="1347" t="s">
        <v>1105</v>
      </c>
      <c r="B5549" s="1347" t="s">
        <v>8033</v>
      </c>
      <c r="D5549" s="1347" t="s">
        <v>8034</v>
      </c>
      <c r="E5549" s="1347" t="s">
        <v>8035</v>
      </c>
    </row>
    <row r="5550" spans="1:5" x14ac:dyDescent="0.45">
      <c r="B5550" s="1347" t="s">
        <v>8036</v>
      </c>
      <c r="D5550" s="1347" t="s">
        <v>8037</v>
      </c>
      <c r="E5550" s="1347" t="s">
        <v>1110</v>
      </c>
    </row>
    <row r="5551" spans="1:5" x14ac:dyDescent="0.45">
      <c r="B5551" s="1347" t="s">
        <v>8038</v>
      </c>
      <c r="D5551" s="1347" t="s">
        <v>8039</v>
      </c>
      <c r="E5551" s="1347" t="s">
        <v>8040</v>
      </c>
    </row>
    <row r="5552" spans="1:5" x14ac:dyDescent="0.45">
      <c r="B5552" s="1347" t="s">
        <v>1108</v>
      </c>
      <c r="D5552" s="1347" t="s">
        <v>8041</v>
      </c>
      <c r="E5552" s="1347" t="s">
        <v>8042</v>
      </c>
    </row>
    <row r="5553" spans="1:5" x14ac:dyDescent="0.45">
      <c r="B5553" s="1347" t="s">
        <v>1108</v>
      </c>
      <c r="D5553" s="1347" t="s">
        <v>8043</v>
      </c>
      <c r="E5553" s="1347" t="s">
        <v>8044</v>
      </c>
    </row>
    <row r="5554" spans="1:5" x14ac:dyDescent="0.45">
      <c r="B5554" s="1347" t="s">
        <v>8045</v>
      </c>
      <c r="D5554" s="1347" t="s">
        <v>8046</v>
      </c>
      <c r="E5554" s="1347" t="s">
        <v>8047</v>
      </c>
    </row>
    <row r="5555" spans="1:5" x14ac:dyDescent="0.45">
      <c r="A5555" s="1347">
        <v>-3</v>
      </c>
      <c r="B5555" s="1347" t="s">
        <v>8048</v>
      </c>
      <c r="D5555" s="1347" t="s">
        <v>8049</v>
      </c>
      <c r="E5555" s="1347" t="s">
        <v>8050</v>
      </c>
    </row>
    <row r="5556" spans="1:5" x14ac:dyDescent="0.45">
      <c r="B5556" s="1347" t="s">
        <v>1108</v>
      </c>
      <c r="D5556" s="1347" t="s">
        <v>8051</v>
      </c>
      <c r="E5556" s="1347" t="s">
        <v>8052</v>
      </c>
    </row>
    <row r="5557" spans="1:5" x14ac:dyDescent="0.45">
      <c r="B5557" s="1347" t="s">
        <v>1108</v>
      </c>
      <c r="C5557" s="1347" t="s">
        <v>1105</v>
      </c>
      <c r="D5557" s="1347" t="s">
        <v>8053</v>
      </c>
      <c r="E5557" s="1347" t="s">
        <v>1113</v>
      </c>
    </row>
    <row r="5558" spans="1:5" x14ac:dyDescent="0.45">
      <c r="B5558" s="1347" t="s">
        <v>8054</v>
      </c>
      <c r="D5558" s="1347" t="s">
        <v>8055</v>
      </c>
      <c r="E5558" s="1347" t="s">
        <v>1110</v>
      </c>
    </row>
    <row r="5559" spans="1:5" x14ac:dyDescent="0.45">
      <c r="B5559" s="1347" t="s">
        <v>1108</v>
      </c>
      <c r="D5559" s="1347" t="s">
        <v>1109</v>
      </c>
      <c r="E5559" s="1347" t="s">
        <v>8056</v>
      </c>
    </row>
    <row r="5560" spans="1:5" x14ac:dyDescent="0.45">
      <c r="B5560" s="1347" t="s">
        <v>1108</v>
      </c>
      <c r="D5560" s="1347" t="s">
        <v>3055</v>
      </c>
      <c r="E5560" s="1347" t="s">
        <v>8057</v>
      </c>
    </row>
    <row r="5561" spans="1:5" x14ac:dyDescent="0.45">
      <c r="A5561" s="1347">
        <v>45</v>
      </c>
      <c r="B5561" s="1347" t="s">
        <v>8058</v>
      </c>
      <c r="D5561" s="1347" t="s">
        <v>8059</v>
      </c>
      <c r="E5561" s="1347" t="s">
        <v>8060</v>
      </c>
    </row>
    <row r="5562" spans="1:5" x14ac:dyDescent="0.45">
      <c r="A5562" s="1347">
        <v>19</v>
      </c>
      <c r="B5562" s="1347" t="s">
        <v>8061</v>
      </c>
      <c r="D5562" s="1347" t="s">
        <v>8062</v>
      </c>
      <c r="E5562" s="1347" t="s">
        <v>8063</v>
      </c>
    </row>
    <row r="5563" spans="1:5" x14ac:dyDescent="0.45">
      <c r="A5563" s="1347">
        <v>29</v>
      </c>
      <c r="B5563" s="1347" t="s">
        <v>8064</v>
      </c>
      <c r="C5563" s="1347">
        <v>3</v>
      </c>
      <c r="D5563" s="1347" t="s">
        <v>8065</v>
      </c>
      <c r="E5563" s="1347" t="s">
        <v>8066</v>
      </c>
    </row>
    <row r="5564" spans="1:5" x14ac:dyDescent="0.45">
      <c r="A5564" s="1347">
        <v>22</v>
      </c>
      <c r="B5564" s="1347" t="s">
        <v>8067</v>
      </c>
      <c r="D5564" s="1347" t="s">
        <v>8068</v>
      </c>
      <c r="E5564" s="1347" t="s">
        <v>8069</v>
      </c>
    </row>
    <row r="5565" spans="1:5" x14ac:dyDescent="0.45">
      <c r="B5565" s="1347" t="s">
        <v>1108</v>
      </c>
      <c r="D5565" s="1347" t="s">
        <v>8070</v>
      </c>
      <c r="E5565" s="1347" t="s">
        <v>1110</v>
      </c>
    </row>
    <row r="5566" spans="1:5" x14ac:dyDescent="0.45">
      <c r="B5566" s="1347" t="s">
        <v>8071</v>
      </c>
      <c r="D5566" s="1347" t="s">
        <v>8072</v>
      </c>
      <c r="E5566" s="1347" t="s">
        <v>8073</v>
      </c>
    </row>
    <row r="5567" spans="1:5" x14ac:dyDescent="0.45">
      <c r="B5567" s="1347" t="s">
        <v>1656</v>
      </c>
      <c r="D5567" s="1347" t="s">
        <v>8074</v>
      </c>
      <c r="E5567" s="1347" t="s">
        <v>8075</v>
      </c>
    </row>
    <row r="5568" spans="1:5" x14ac:dyDescent="0.45">
      <c r="B5568" s="1347" t="s">
        <v>1108</v>
      </c>
      <c r="D5568" s="1347" t="s">
        <v>3576</v>
      </c>
      <c r="E5568" s="1347" t="s">
        <v>8076</v>
      </c>
    </row>
    <row r="5569" spans="1:5" x14ac:dyDescent="0.45">
      <c r="B5569" s="1347" t="s">
        <v>7508</v>
      </c>
      <c r="D5569" s="1347" t="s">
        <v>1109</v>
      </c>
      <c r="E5569" s="1347" t="s">
        <v>8077</v>
      </c>
    </row>
    <row r="5570" spans="1:5" x14ac:dyDescent="0.45">
      <c r="B5570" s="1347" t="s">
        <v>1108</v>
      </c>
      <c r="D5570" s="1347" t="s">
        <v>8078</v>
      </c>
      <c r="E5570" s="1347" t="s">
        <v>1113</v>
      </c>
    </row>
    <row r="5571" spans="1:5" x14ac:dyDescent="0.45">
      <c r="B5571" s="1347" t="s">
        <v>8079</v>
      </c>
      <c r="D5571" s="1347" t="s">
        <v>8080</v>
      </c>
      <c r="E5571" s="1347" t="s">
        <v>8081</v>
      </c>
    </row>
    <row r="5572" spans="1:5" x14ac:dyDescent="0.45">
      <c r="B5572" s="1347" t="s">
        <v>8082</v>
      </c>
      <c r="D5572" s="1347" t="s">
        <v>8083</v>
      </c>
      <c r="E5572" s="1347" t="s">
        <v>1110</v>
      </c>
    </row>
    <row r="5573" spans="1:5" x14ac:dyDescent="0.45">
      <c r="A5573" s="1347" t="s">
        <v>1105</v>
      </c>
      <c r="B5573" s="1347" t="s">
        <v>8084</v>
      </c>
      <c r="D5573" s="1347">
        <f>-94   -789   -236</f>
        <v>-1119</v>
      </c>
      <c r="E5573" s="1347" t="s">
        <v>8085</v>
      </c>
    </row>
    <row r="5574" spans="1:5" x14ac:dyDescent="0.45">
      <c r="B5574" s="1347" t="s">
        <v>8086</v>
      </c>
      <c r="D5574" s="1347" t="s">
        <v>8087</v>
      </c>
      <c r="E5574" s="1347" t="s">
        <v>8088</v>
      </c>
    </row>
    <row r="5575" spans="1:5" x14ac:dyDescent="0.45">
      <c r="B5575" s="1347" t="s">
        <v>1108</v>
      </c>
      <c r="D5575" s="1347" t="s">
        <v>8089</v>
      </c>
      <c r="E5575" s="1347" t="s">
        <v>8090</v>
      </c>
    </row>
    <row r="5576" spans="1:5" x14ac:dyDescent="0.45">
      <c r="B5576" s="1347" t="s">
        <v>1108</v>
      </c>
      <c r="D5576" s="1347" t="s">
        <v>8091</v>
      </c>
      <c r="E5576" s="1347" t="s">
        <v>8092</v>
      </c>
    </row>
    <row r="5577" spans="1:5" x14ac:dyDescent="0.45">
      <c r="B5577" s="1347" t="s">
        <v>8093</v>
      </c>
      <c r="D5577" s="1347" t="s">
        <v>8094</v>
      </c>
      <c r="E5577" s="1347" t="s">
        <v>8095</v>
      </c>
    </row>
    <row r="5578" spans="1:5" x14ac:dyDescent="0.45">
      <c r="B5578" s="1347" t="s">
        <v>1108</v>
      </c>
      <c r="D5578" s="1347" t="s">
        <v>8096</v>
      </c>
      <c r="E5578" s="1347" t="s">
        <v>8097</v>
      </c>
    </row>
    <row r="5579" spans="1:5" x14ac:dyDescent="0.45">
      <c r="B5579" s="1347">
        <f>-14    -24</f>
        <v>-38</v>
      </c>
      <c r="D5579" s="1347" t="s">
        <v>8098</v>
      </c>
      <c r="E5579" s="1347" t="s">
        <v>8099</v>
      </c>
    </row>
    <row r="5580" spans="1:5" x14ac:dyDescent="0.45">
      <c r="A5580" s="1347" t="s">
        <v>1105</v>
      </c>
      <c r="B5580" s="1347" t="s">
        <v>8100</v>
      </c>
      <c r="D5580" s="1347" t="s">
        <v>8101</v>
      </c>
      <c r="E5580" s="1347" t="s">
        <v>8102</v>
      </c>
    </row>
    <row r="5581" spans="1:5" x14ac:dyDescent="0.45">
      <c r="A5581" s="1347">
        <v>-2</v>
      </c>
      <c r="B5581" s="1347" t="s">
        <v>8103</v>
      </c>
      <c r="D5581" s="1347" t="s">
        <v>8104</v>
      </c>
      <c r="E5581" s="1347" t="s">
        <v>8105</v>
      </c>
    </row>
    <row r="5582" spans="1:5" x14ac:dyDescent="0.45">
      <c r="B5582" s="1347" t="s">
        <v>8106</v>
      </c>
      <c r="D5582" s="1347" t="s">
        <v>8107</v>
      </c>
      <c r="E5582" s="1347" t="s">
        <v>1110</v>
      </c>
    </row>
    <row r="5583" spans="1:5" x14ac:dyDescent="0.45">
      <c r="B5583" s="1347" t="s">
        <v>1108</v>
      </c>
      <c r="D5583" s="1347" t="s">
        <v>8108</v>
      </c>
      <c r="E5583" s="1347" t="s">
        <v>8109</v>
      </c>
    </row>
    <row r="5584" spans="1:5" x14ac:dyDescent="0.45">
      <c r="B5584" s="1347" t="s">
        <v>1108</v>
      </c>
      <c r="D5584" s="1347" t="s">
        <v>8110</v>
      </c>
      <c r="E5584" s="1347" t="s">
        <v>8111</v>
      </c>
    </row>
    <row r="5585" spans="1:5" x14ac:dyDescent="0.45">
      <c r="A5585" s="1347">
        <v>-4</v>
      </c>
      <c r="B5585" s="1347" t="s">
        <v>8112</v>
      </c>
      <c r="D5585" s="1347" t="s">
        <v>8113</v>
      </c>
      <c r="E5585" s="1347" t="s">
        <v>8114</v>
      </c>
    </row>
    <row r="5586" spans="1:5" x14ac:dyDescent="0.45">
      <c r="A5586" s="1347" t="s">
        <v>1105</v>
      </c>
      <c r="B5586" s="1347" t="s">
        <v>8115</v>
      </c>
      <c r="D5586" s="1347" t="s">
        <v>1109</v>
      </c>
      <c r="E5586" s="1347" t="s">
        <v>8116</v>
      </c>
    </row>
    <row r="5587" spans="1:5" x14ac:dyDescent="0.45">
      <c r="A5587" s="1347">
        <v>-1</v>
      </c>
      <c r="B5587" s="1347" t="s">
        <v>8117</v>
      </c>
      <c r="D5587" s="1347" t="s">
        <v>8118</v>
      </c>
      <c r="E5587" s="1347" t="s">
        <v>8119</v>
      </c>
    </row>
    <row r="5588" spans="1:5" x14ac:dyDescent="0.45">
      <c r="B5588" s="1347" t="s">
        <v>1108</v>
      </c>
      <c r="D5588" s="1347" t="s">
        <v>8120</v>
      </c>
      <c r="E5588" s="1347" t="s">
        <v>8121</v>
      </c>
    </row>
    <row r="5589" spans="1:5" x14ac:dyDescent="0.45">
      <c r="B5589" s="1347" t="s">
        <v>8122</v>
      </c>
      <c r="D5589" s="1347" t="s">
        <v>8123</v>
      </c>
      <c r="E5589" s="1347" t="s">
        <v>8124</v>
      </c>
    </row>
    <row r="5590" spans="1:5" x14ac:dyDescent="0.45">
      <c r="B5590" s="1347" t="s">
        <v>8125</v>
      </c>
      <c r="D5590" s="1347" t="s">
        <v>8126</v>
      </c>
      <c r="E5590" s="1347" t="s">
        <v>1110</v>
      </c>
    </row>
    <row r="5591" spans="1:5" x14ac:dyDescent="0.45">
      <c r="B5591" s="1347" t="s">
        <v>1108</v>
      </c>
      <c r="D5591" s="1347" t="s">
        <v>1109</v>
      </c>
      <c r="E5591" s="1347" t="s">
        <v>1110</v>
      </c>
    </row>
    <row r="5592" spans="1:5" x14ac:dyDescent="0.45">
      <c r="B5592" s="1347" t="s">
        <v>3477</v>
      </c>
      <c r="D5592" s="1347" t="s">
        <v>1109</v>
      </c>
      <c r="E5592" s="1347" t="s">
        <v>8127</v>
      </c>
    </row>
    <row r="5593" spans="1:5" x14ac:dyDescent="0.45">
      <c r="A5593" s="1347">
        <v>24</v>
      </c>
      <c r="B5593" s="1347" t="s">
        <v>8128</v>
      </c>
      <c r="C5593" s="1347">
        <v>4</v>
      </c>
      <c r="D5593" s="1347" t="s">
        <v>8129</v>
      </c>
      <c r="E5593" s="1347" t="s">
        <v>8130</v>
      </c>
    </row>
    <row r="5594" spans="1:5" x14ac:dyDescent="0.45">
      <c r="A5594" s="1347">
        <v>18</v>
      </c>
      <c r="B5594" s="1347" t="s">
        <v>8131</v>
      </c>
      <c r="D5594" s="1347" t="s">
        <v>8132</v>
      </c>
      <c r="E5594" s="1347" t="s">
        <v>8133</v>
      </c>
    </row>
    <row r="5595" spans="1:5" x14ac:dyDescent="0.45">
      <c r="A5595" s="1347">
        <v>30</v>
      </c>
      <c r="B5595" s="1347" t="s">
        <v>8134</v>
      </c>
      <c r="C5595" s="1347">
        <v>2</v>
      </c>
      <c r="D5595" s="1347" t="s">
        <v>8135</v>
      </c>
      <c r="E5595" s="1347" t="s">
        <v>8136</v>
      </c>
    </row>
    <row r="5596" spans="1:5" x14ac:dyDescent="0.45">
      <c r="A5596" s="1347">
        <v>19</v>
      </c>
      <c r="B5596" s="1347" t="s">
        <v>8137</v>
      </c>
      <c r="C5596" s="1347">
        <v>2</v>
      </c>
      <c r="D5596" s="1347" t="s">
        <v>8138</v>
      </c>
      <c r="E5596" s="1347" t="s">
        <v>8139</v>
      </c>
    </row>
    <row r="5597" spans="1:5" x14ac:dyDescent="0.45">
      <c r="B5597" s="1347" t="s">
        <v>3752</v>
      </c>
      <c r="D5597" s="1347" t="s">
        <v>8140</v>
      </c>
      <c r="E5597" s="1347" t="s">
        <v>1402</v>
      </c>
    </row>
    <row r="5598" spans="1:5" x14ac:dyDescent="0.45">
      <c r="B5598" s="1347" t="s">
        <v>1108</v>
      </c>
      <c r="C5598" s="1347" t="s">
        <v>1105</v>
      </c>
      <c r="D5598" s="1347" t="s">
        <v>8141</v>
      </c>
      <c r="E5598" s="1347" t="s">
        <v>8142</v>
      </c>
    </row>
    <row r="5599" spans="1:5" x14ac:dyDescent="0.45">
      <c r="A5599" s="1347">
        <v>2</v>
      </c>
      <c r="B5599" s="1347" t="s">
        <v>8143</v>
      </c>
      <c r="D5599" s="1347" t="s">
        <v>8144</v>
      </c>
      <c r="E5599" s="1347" t="s">
        <v>8145</v>
      </c>
    </row>
    <row r="5600" spans="1:5" x14ac:dyDescent="0.45">
      <c r="B5600" s="1347" t="s">
        <v>8146</v>
      </c>
      <c r="D5600" s="1347" t="s">
        <v>1109</v>
      </c>
      <c r="E5600" s="1347" t="s">
        <v>8147</v>
      </c>
    </row>
    <row r="5601" spans="1:5" x14ac:dyDescent="0.45">
      <c r="A5601" s="1347">
        <v>-5</v>
      </c>
      <c r="B5601" s="1347" t="s">
        <v>8148</v>
      </c>
      <c r="D5601" s="1347" t="s">
        <v>8149</v>
      </c>
      <c r="E5601" s="1347" t="s">
        <v>8150</v>
      </c>
    </row>
    <row r="5602" spans="1:5" x14ac:dyDescent="0.45">
      <c r="A5602" s="1347">
        <v>1</v>
      </c>
      <c r="B5602" s="1347" t="s">
        <v>8151</v>
      </c>
      <c r="D5602" s="1347" t="s">
        <v>8152</v>
      </c>
      <c r="E5602" s="1347" t="s">
        <v>8153</v>
      </c>
    </row>
    <row r="5603" spans="1:5" x14ac:dyDescent="0.45">
      <c r="B5603" s="1347" t="s">
        <v>1108</v>
      </c>
      <c r="D5603" s="1347">
        <f>-697   -702   -177</f>
        <v>-1576</v>
      </c>
      <c r="E5603" s="1347" t="s">
        <v>8154</v>
      </c>
    </row>
    <row r="5604" spans="1:5" x14ac:dyDescent="0.45">
      <c r="A5604" s="1347" t="s">
        <v>1105</v>
      </c>
      <c r="B5604" s="1347" t="s">
        <v>8155</v>
      </c>
      <c r="D5604" s="1347" t="s">
        <v>8156</v>
      </c>
      <c r="E5604" s="1347" t="s">
        <v>8157</v>
      </c>
    </row>
    <row r="5605" spans="1:5" x14ac:dyDescent="0.45">
      <c r="B5605" s="1347" t="s">
        <v>1108</v>
      </c>
      <c r="D5605" s="1347" t="s">
        <v>8158</v>
      </c>
      <c r="E5605" s="1347" t="s">
        <v>8159</v>
      </c>
    </row>
    <row r="5606" spans="1:5" x14ac:dyDescent="0.45">
      <c r="A5606" s="1347" t="s">
        <v>1105</v>
      </c>
      <c r="B5606" s="1347" t="s">
        <v>8160</v>
      </c>
      <c r="C5606" s="1347" t="s">
        <v>1105</v>
      </c>
      <c r="D5606" s="1347" t="s">
        <v>8161</v>
      </c>
      <c r="E5606" s="1347" t="s">
        <v>8162</v>
      </c>
    </row>
    <row r="5607" spans="1:5" x14ac:dyDescent="0.45">
      <c r="B5607" s="1347" t="s">
        <v>8163</v>
      </c>
      <c r="D5607" s="1347" t="s">
        <v>8164</v>
      </c>
      <c r="E5607" s="1347" t="s">
        <v>8165</v>
      </c>
    </row>
    <row r="5608" spans="1:5" x14ac:dyDescent="0.45">
      <c r="B5608" s="1347" t="s">
        <v>8166</v>
      </c>
      <c r="D5608" s="1347" t="s">
        <v>1109</v>
      </c>
      <c r="E5608" s="1347" t="s">
        <v>8167</v>
      </c>
    </row>
    <row r="5609" spans="1:5" x14ac:dyDescent="0.45">
      <c r="B5609" s="1347" t="s">
        <v>6078</v>
      </c>
      <c r="C5609" s="1347" t="s">
        <v>1105</v>
      </c>
      <c r="D5609" s="1347" t="s">
        <v>8168</v>
      </c>
      <c r="E5609" s="1347" t="s">
        <v>8169</v>
      </c>
    </row>
    <row r="5610" spans="1:5" x14ac:dyDescent="0.45">
      <c r="B5610" s="1347" t="s">
        <v>8170</v>
      </c>
      <c r="D5610" s="1347" t="s">
        <v>8171</v>
      </c>
      <c r="E5610" s="1347" t="s">
        <v>8172</v>
      </c>
    </row>
    <row r="5611" spans="1:5" x14ac:dyDescent="0.45">
      <c r="B5611" s="1347" t="s">
        <v>8173</v>
      </c>
      <c r="D5611" s="1347" t="s">
        <v>8174</v>
      </c>
      <c r="E5611" s="1347" t="s">
        <v>1110</v>
      </c>
    </row>
    <row r="5612" spans="1:5" x14ac:dyDescent="0.45">
      <c r="A5612" s="1347">
        <v>6</v>
      </c>
      <c r="B5612" s="1347" t="s">
        <v>8175</v>
      </c>
      <c r="D5612" s="1347" t="s">
        <v>8176</v>
      </c>
      <c r="E5612" s="1347" t="s">
        <v>8177</v>
      </c>
    </row>
    <row r="5613" spans="1:5" x14ac:dyDescent="0.45">
      <c r="B5613" s="1347" t="s">
        <v>1108</v>
      </c>
      <c r="D5613" s="1347" t="s">
        <v>8178</v>
      </c>
      <c r="E5613" s="1347" t="s">
        <v>8179</v>
      </c>
    </row>
    <row r="5614" spans="1:5" x14ac:dyDescent="0.45">
      <c r="B5614" s="1347" t="s">
        <v>8180</v>
      </c>
      <c r="D5614" s="1347" t="s">
        <v>8181</v>
      </c>
      <c r="E5614" s="1347" t="s">
        <v>1402</v>
      </c>
    </row>
    <row r="5615" spans="1:5" x14ac:dyDescent="0.45">
      <c r="B5615" s="1347" t="s">
        <v>1108</v>
      </c>
      <c r="D5615" s="1347" t="s">
        <v>8182</v>
      </c>
      <c r="E5615" s="1347" t="s">
        <v>8183</v>
      </c>
    </row>
    <row r="5616" spans="1:5" x14ac:dyDescent="0.45">
      <c r="A5616" s="1347">
        <v>-2</v>
      </c>
      <c r="B5616" s="1347" t="s">
        <v>8184</v>
      </c>
      <c r="D5616" s="1347" t="s">
        <v>1109</v>
      </c>
      <c r="E5616" s="1347" t="s">
        <v>8185</v>
      </c>
    </row>
    <row r="5617" spans="1:5" x14ac:dyDescent="0.45">
      <c r="A5617" s="1347" t="s">
        <v>1105</v>
      </c>
      <c r="B5617" s="1347" t="s">
        <v>8186</v>
      </c>
      <c r="D5617" s="1347" t="s">
        <v>8187</v>
      </c>
      <c r="E5617" s="1347" t="s">
        <v>8188</v>
      </c>
    </row>
    <row r="5618" spans="1:5" x14ac:dyDescent="0.45">
      <c r="B5618" s="1347" t="s">
        <v>1108</v>
      </c>
      <c r="C5618" s="1347" t="s">
        <v>1105</v>
      </c>
      <c r="D5618" s="1347" t="s">
        <v>8189</v>
      </c>
      <c r="E5618" s="1347" t="s">
        <v>8190</v>
      </c>
    </row>
    <row r="5619" spans="1:5" x14ac:dyDescent="0.45">
      <c r="B5619" s="1347" t="s">
        <v>8191</v>
      </c>
      <c r="D5619" s="1347" t="s">
        <v>8192</v>
      </c>
      <c r="E5619" s="1347" t="s">
        <v>8193</v>
      </c>
    </row>
    <row r="5620" spans="1:5" x14ac:dyDescent="0.45">
      <c r="B5620" s="1347" t="s">
        <v>1108</v>
      </c>
      <c r="D5620" s="1347" t="s">
        <v>1109</v>
      </c>
      <c r="E5620" s="1347" t="s">
        <v>8194</v>
      </c>
    </row>
    <row r="5621" spans="1:5" x14ac:dyDescent="0.45">
      <c r="B5621" s="1347" t="s">
        <v>8195</v>
      </c>
      <c r="C5621" s="1347" t="s">
        <v>1105</v>
      </c>
      <c r="D5621" s="1347" t="s">
        <v>8196</v>
      </c>
      <c r="E5621" s="1347" t="s">
        <v>8197</v>
      </c>
    </row>
    <row r="5622" spans="1:5" x14ac:dyDescent="0.45">
      <c r="B5622" s="1347" t="s">
        <v>1108</v>
      </c>
      <c r="D5622" s="1347" t="s">
        <v>8198</v>
      </c>
      <c r="E5622" s="1347" t="s">
        <v>8199</v>
      </c>
    </row>
    <row r="5623" spans="1:5" x14ac:dyDescent="0.45">
      <c r="B5623" s="1347" t="s">
        <v>1108</v>
      </c>
      <c r="D5623" s="1347" t="s">
        <v>1109</v>
      </c>
      <c r="E5623" s="1347" t="s">
        <v>1110</v>
      </c>
    </row>
    <row r="5624" spans="1:5" x14ac:dyDescent="0.45">
      <c r="B5624" s="1347" t="s">
        <v>1108</v>
      </c>
      <c r="D5624" s="1347" t="s">
        <v>8200</v>
      </c>
      <c r="E5624" s="1347" t="s">
        <v>8201</v>
      </c>
    </row>
    <row r="5625" spans="1:5" x14ac:dyDescent="0.45">
      <c r="A5625" s="1347">
        <v>-12</v>
      </c>
      <c r="B5625" s="1347" t="s">
        <v>8202</v>
      </c>
      <c r="D5625" s="1347" t="s">
        <v>8203</v>
      </c>
      <c r="E5625" s="1347" t="s">
        <v>8204</v>
      </c>
    </row>
    <row r="5626" spans="1:5" x14ac:dyDescent="0.45">
      <c r="A5626" s="1347">
        <v>-7</v>
      </c>
      <c r="B5626" s="1347" t="s">
        <v>8205</v>
      </c>
      <c r="D5626" s="1347" t="s">
        <v>8206</v>
      </c>
      <c r="E5626" s="1347" t="s">
        <v>8207</v>
      </c>
    </row>
    <row r="5627" spans="1:5" x14ac:dyDescent="0.45">
      <c r="A5627" s="1347">
        <v>-1</v>
      </c>
      <c r="B5627" s="1347" t="s">
        <v>8208</v>
      </c>
      <c r="D5627" s="1347" t="s">
        <v>8209</v>
      </c>
      <c r="E5627" s="1347" t="s">
        <v>8210</v>
      </c>
    </row>
    <row r="5628" spans="1:5" x14ac:dyDescent="0.45">
      <c r="A5628" s="1347">
        <v>1</v>
      </c>
      <c r="B5628" s="1347" t="s">
        <v>8211</v>
      </c>
      <c r="C5628" s="1347" t="s">
        <v>1105</v>
      </c>
      <c r="D5628" s="1347" t="s">
        <v>8212</v>
      </c>
      <c r="E5628" s="1347" t="s">
        <v>8213</v>
      </c>
    </row>
    <row r="5629" spans="1:5" x14ac:dyDescent="0.45">
      <c r="A5629" s="1347">
        <v>-2</v>
      </c>
      <c r="B5629" s="1347" t="s">
        <v>8214</v>
      </c>
      <c r="D5629" s="1347" t="s">
        <v>8215</v>
      </c>
      <c r="E5629" s="1347" t="s">
        <v>8216</v>
      </c>
    </row>
    <row r="5630" spans="1:5" x14ac:dyDescent="0.45">
      <c r="B5630" s="1347" t="s">
        <v>1108</v>
      </c>
      <c r="D5630" s="1347" t="s">
        <v>8217</v>
      </c>
      <c r="E5630" s="1347" t="s">
        <v>8218</v>
      </c>
    </row>
    <row r="5631" spans="1:5" x14ac:dyDescent="0.45">
      <c r="A5631" s="1347" t="s">
        <v>1105</v>
      </c>
      <c r="B5631" s="1347" t="s">
        <v>8219</v>
      </c>
      <c r="D5631" s="1347" t="s">
        <v>8220</v>
      </c>
      <c r="E5631" s="1347" t="s">
        <v>8221</v>
      </c>
    </row>
    <row r="5632" spans="1:5" x14ac:dyDescent="0.45">
      <c r="A5632" s="1347">
        <v>-1</v>
      </c>
      <c r="B5632" s="1347" t="s">
        <v>8222</v>
      </c>
      <c r="D5632" s="1347" t="s">
        <v>8223</v>
      </c>
      <c r="E5632" s="1347" t="s">
        <v>8224</v>
      </c>
    </row>
    <row r="5633" spans="1:5" x14ac:dyDescent="0.45">
      <c r="B5633" s="1347" t="s">
        <v>1108</v>
      </c>
      <c r="D5633" s="1347" t="s">
        <v>8225</v>
      </c>
      <c r="E5633" s="1347" t="s">
        <v>1220</v>
      </c>
    </row>
    <row r="5634" spans="1:5" x14ac:dyDescent="0.45">
      <c r="B5634" s="1347" t="s">
        <v>8226</v>
      </c>
      <c r="D5634" s="1347" t="s">
        <v>8227</v>
      </c>
      <c r="E5634" s="1347" t="s">
        <v>8228</v>
      </c>
    </row>
    <row r="5635" spans="1:5" x14ac:dyDescent="0.45">
      <c r="A5635" s="1347">
        <v>11</v>
      </c>
      <c r="B5635" s="1347" t="s">
        <v>8229</v>
      </c>
      <c r="D5635" s="1347" t="s">
        <v>8230</v>
      </c>
      <c r="E5635" s="1347" t="s">
        <v>8231</v>
      </c>
    </row>
    <row r="5636" spans="1:5" x14ac:dyDescent="0.45">
      <c r="A5636" s="1347">
        <v>1</v>
      </c>
      <c r="B5636" s="1347" t="s">
        <v>8232</v>
      </c>
      <c r="D5636" s="1347" t="s">
        <v>8233</v>
      </c>
      <c r="E5636" s="1347" t="s">
        <v>8234</v>
      </c>
    </row>
    <row r="5637" spans="1:5" x14ac:dyDescent="0.45">
      <c r="B5637" s="1347" t="s">
        <v>1108</v>
      </c>
      <c r="D5637" s="1347" t="s">
        <v>8235</v>
      </c>
      <c r="E5637" s="1347" t="s">
        <v>8236</v>
      </c>
    </row>
    <row r="5638" spans="1:5" x14ac:dyDescent="0.45">
      <c r="B5638" s="1347" t="s">
        <v>8237</v>
      </c>
      <c r="D5638" s="1347" t="s">
        <v>8238</v>
      </c>
      <c r="E5638" s="1347" t="s">
        <v>8239</v>
      </c>
    </row>
    <row r="5639" spans="1:5" x14ac:dyDescent="0.45">
      <c r="B5639" s="1347" t="s">
        <v>2708</v>
      </c>
      <c r="D5639" s="1347" t="s">
        <v>8240</v>
      </c>
      <c r="E5639" s="1347" t="s">
        <v>8241</v>
      </c>
    </row>
    <row r="5640" spans="1:5" x14ac:dyDescent="0.45">
      <c r="A5640" s="1347">
        <v>2</v>
      </c>
      <c r="B5640" s="1347" t="s">
        <v>8242</v>
      </c>
      <c r="D5640" s="1347" t="s">
        <v>8243</v>
      </c>
      <c r="E5640" s="1347" t="s">
        <v>8244</v>
      </c>
    </row>
    <row r="5641" spans="1:5" x14ac:dyDescent="0.45">
      <c r="B5641" s="1347" t="s">
        <v>8245</v>
      </c>
      <c r="D5641" s="1347" t="s">
        <v>8246</v>
      </c>
      <c r="E5641" s="1347" t="s">
        <v>8247</v>
      </c>
    </row>
    <row r="5642" spans="1:5" x14ac:dyDescent="0.45">
      <c r="A5642" s="1347">
        <v>-2</v>
      </c>
      <c r="B5642" s="1347" t="s">
        <v>8248</v>
      </c>
      <c r="C5642" s="1347" t="s">
        <v>1105</v>
      </c>
      <c r="D5642" s="1347" t="s">
        <v>8249</v>
      </c>
      <c r="E5642" s="1347" t="s">
        <v>8250</v>
      </c>
    </row>
    <row r="5643" spans="1:5" x14ac:dyDescent="0.45">
      <c r="B5643" s="1347" t="s">
        <v>8251</v>
      </c>
      <c r="D5643" s="1347" t="s">
        <v>8252</v>
      </c>
      <c r="E5643" s="1347" t="s">
        <v>8253</v>
      </c>
    </row>
    <row r="5644" spans="1:5" x14ac:dyDescent="0.45">
      <c r="B5644" s="1347" t="s">
        <v>1108</v>
      </c>
      <c r="D5644" s="1347" t="s">
        <v>8254</v>
      </c>
      <c r="E5644" s="1347" t="s">
        <v>8255</v>
      </c>
    </row>
    <row r="5645" spans="1:5" x14ac:dyDescent="0.45">
      <c r="B5645" s="1347" t="s">
        <v>8256</v>
      </c>
      <c r="D5645" s="1347" t="s">
        <v>1714</v>
      </c>
      <c r="E5645" s="1347" t="s">
        <v>8257</v>
      </c>
    </row>
    <row r="5646" spans="1:5" x14ac:dyDescent="0.45">
      <c r="B5646" s="1347" t="s">
        <v>8258</v>
      </c>
      <c r="D5646" s="1347" t="s">
        <v>8259</v>
      </c>
      <c r="E5646" s="1347" t="s">
        <v>8260</v>
      </c>
    </row>
    <row r="5647" spans="1:5" x14ac:dyDescent="0.45">
      <c r="B5647" s="1347" t="s">
        <v>1108</v>
      </c>
      <c r="D5647" s="1347" t="s">
        <v>1109</v>
      </c>
      <c r="E5647" s="1347" t="s">
        <v>8261</v>
      </c>
    </row>
    <row r="5648" spans="1:5" x14ac:dyDescent="0.45">
      <c r="A5648" s="1347" t="s">
        <v>1105</v>
      </c>
      <c r="B5648" s="1347" t="s">
        <v>8262</v>
      </c>
      <c r="D5648" s="1347" t="s">
        <v>8263</v>
      </c>
      <c r="E5648" s="1347" t="s">
        <v>1110</v>
      </c>
    </row>
    <row r="5649" spans="1:5" x14ac:dyDescent="0.45">
      <c r="A5649" s="1347" t="s">
        <v>1105</v>
      </c>
      <c r="B5649" s="1347" t="s">
        <v>8264</v>
      </c>
      <c r="C5649" s="1347" t="s">
        <v>1105</v>
      </c>
      <c r="D5649" s="1347" t="s">
        <v>8265</v>
      </c>
      <c r="E5649" s="1347" t="s">
        <v>1113</v>
      </c>
    </row>
    <row r="5650" spans="1:5" x14ac:dyDescent="0.45">
      <c r="A5650" s="1347">
        <v>4</v>
      </c>
      <c r="B5650" s="1347" t="s">
        <v>6211</v>
      </c>
      <c r="D5650" s="1347" t="s">
        <v>8266</v>
      </c>
      <c r="E5650" s="1347" t="s">
        <v>8267</v>
      </c>
    </row>
    <row r="5651" spans="1:5" x14ac:dyDescent="0.45">
      <c r="B5651" s="1347" t="s">
        <v>8268</v>
      </c>
      <c r="D5651" s="1347" t="s">
        <v>8269</v>
      </c>
      <c r="E5651" s="1347" t="s">
        <v>8270</v>
      </c>
    </row>
    <row r="5652" spans="1:5" x14ac:dyDescent="0.45">
      <c r="A5652" s="1347">
        <v>11</v>
      </c>
      <c r="B5652" s="1347" t="s">
        <v>8271</v>
      </c>
      <c r="D5652" s="1347" t="s">
        <v>8272</v>
      </c>
      <c r="E5652" s="1347" t="s">
        <v>1110</v>
      </c>
    </row>
    <row r="5653" spans="1:5" x14ac:dyDescent="0.45">
      <c r="A5653" s="1347">
        <v>-3</v>
      </c>
      <c r="B5653" s="1347" t="s">
        <v>8273</v>
      </c>
      <c r="C5653" s="1347">
        <v>-1</v>
      </c>
      <c r="D5653" s="1347" t="s">
        <v>8274</v>
      </c>
      <c r="E5653" s="1347" t="s">
        <v>8275</v>
      </c>
    </row>
    <row r="5654" spans="1:5" x14ac:dyDescent="0.45">
      <c r="A5654" s="1347">
        <v>5</v>
      </c>
      <c r="B5654" s="1347" t="s">
        <v>8276</v>
      </c>
      <c r="D5654" s="1347" t="s">
        <v>1109</v>
      </c>
      <c r="E5654" s="1347" t="s">
        <v>8277</v>
      </c>
    </row>
    <row r="5655" spans="1:5" x14ac:dyDescent="0.45">
      <c r="B5655" s="1347" t="s">
        <v>1108</v>
      </c>
      <c r="D5655" s="1347" t="s">
        <v>1109</v>
      </c>
      <c r="E5655" s="1347" t="s">
        <v>1110</v>
      </c>
    </row>
    <row r="5656" spans="1:5" x14ac:dyDescent="0.45">
      <c r="B5656" s="1347" t="s">
        <v>1108</v>
      </c>
      <c r="D5656" s="1347" t="s">
        <v>4079</v>
      </c>
      <c r="E5656" s="1347" t="s">
        <v>1402</v>
      </c>
    </row>
    <row r="5657" spans="1:5" x14ac:dyDescent="0.45">
      <c r="B5657" s="1347" t="s">
        <v>8278</v>
      </c>
      <c r="D5657" s="1347" t="s">
        <v>8279</v>
      </c>
      <c r="E5657" s="1347" t="s">
        <v>8280</v>
      </c>
    </row>
    <row r="5658" spans="1:5" x14ac:dyDescent="0.45">
      <c r="A5658" s="1347" t="s">
        <v>1105</v>
      </c>
      <c r="B5658" s="1347" t="s">
        <v>8281</v>
      </c>
      <c r="D5658" s="1347" t="s">
        <v>8282</v>
      </c>
      <c r="E5658" s="1347" t="s">
        <v>8283</v>
      </c>
    </row>
    <row r="5659" spans="1:5" x14ac:dyDescent="0.45">
      <c r="A5659" s="1347">
        <v>3</v>
      </c>
      <c r="B5659" s="1347" t="s">
        <v>8284</v>
      </c>
      <c r="C5659" s="1347" t="s">
        <v>1105</v>
      </c>
      <c r="D5659" s="1347" t="s">
        <v>8285</v>
      </c>
      <c r="E5659" s="1347" t="s">
        <v>8286</v>
      </c>
    </row>
    <row r="5660" spans="1:5" x14ac:dyDescent="0.45">
      <c r="A5660" s="1347">
        <v>-1</v>
      </c>
      <c r="B5660" s="1347" t="s">
        <v>8287</v>
      </c>
      <c r="D5660" s="1347" t="s">
        <v>8288</v>
      </c>
      <c r="E5660" s="1347" t="s">
        <v>8289</v>
      </c>
    </row>
    <row r="5661" spans="1:5" x14ac:dyDescent="0.45">
      <c r="A5661" s="1347">
        <v>-8</v>
      </c>
      <c r="B5661" s="1347" t="s">
        <v>8290</v>
      </c>
      <c r="C5661" s="1347" t="s">
        <v>1105</v>
      </c>
      <c r="D5661" s="1347" t="s">
        <v>8291</v>
      </c>
      <c r="E5661" s="1347" t="s">
        <v>8292</v>
      </c>
    </row>
    <row r="5662" spans="1:5" x14ac:dyDescent="0.45">
      <c r="B5662" s="1347" t="s">
        <v>8293</v>
      </c>
      <c r="D5662" s="1347" t="s">
        <v>8294</v>
      </c>
      <c r="E5662" s="1347" t="s">
        <v>8295</v>
      </c>
    </row>
    <row r="5663" spans="1:5" x14ac:dyDescent="0.45">
      <c r="B5663" s="1347" t="s">
        <v>1108</v>
      </c>
      <c r="D5663" s="1347" t="s">
        <v>8296</v>
      </c>
      <c r="E5663" s="1347" t="s">
        <v>8297</v>
      </c>
    </row>
    <row r="5664" spans="1:5" x14ac:dyDescent="0.45">
      <c r="A5664" s="1347">
        <v>1</v>
      </c>
      <c r="B5664" s="1347" t="s">
        <v>8298</v>
      </c>
      <c r="C5664" s="1347" t="s">
        <v>1105</v>
      </c>
      <c r="D5664" s="1347" t="s">
        <v>8299</v>
      </c>
      <c r="E5664" s="1347" t="s">
        <v>8300</v>
      </c>
    </row>
    <row r="5665" spans="1:5" x14ac:dyDescent="0.45">
      <c r="B5665" s="1347" t="s">
        <v>1108</v>
      </c>
      <c r="D5665" s="1347" t="s">
        <v>4390</v>
      </c>
      <c r="E5665" s="1347" t="s">
        <v>8301</v>
      </c>
    </row>
    <row r="5666" spans="1:5" x14ac:dyDescent="0.45">
      <c r="B5666" s="1347" t="s">
        <v>1108</v>
      </c>
      <c r="D5666" s="1347" t="s">
        <v>4597</v>
      </c>
      <c r="E5666" s="1347" t="s">
        <v>8302</v>
      </c>
    </row>
    <row r="5667" spans="1:5" x14ac:dyDescent="0.45">
      <c r="B5667" s="1347" t="s">
        <v>8303</v>
      </c>
      <c r="C5667" s="1347" t="s">
        <v>1105</v>
      </c>
      <c r="D5667" s="1347" t="s">
        <v>8304</v>
      </c>
      <c r="E5667" s="1347" t="s">
        <v>8305</v>
      </c>
    </row>
    <row r="5668" spans="1:5" x14ac:dyDescent="0.45">
      <c r="A5668" s="1347">
        <v>-1</v>
      </c>
      <c r="B5668" s="1347" t="s">
        <v>8306</v>
      </c>
      <c r="D5668" s="1347" t="s">
        <v>8307</v>
      </c>
      <c r="E5668" s="1347" t="s">
        <v>8308</v>
      </c>
    </row>
    <row r="5669" spans="1:5" x14ac:dyDescent="0.45">
      <c r="A5669" s="1347">
        <v>1</v>
      </c>
      <c r="B5669" s="1347" t="s">
        <v>8309</v>
      </c>
      <c r="D5669" s="1347" t="s">
        <v>8310</v>
      </c>
      <c r="E5669" s="1347" t="s">
        <v>8311</v>
      </c>
    </row>
    <row r="5670" spans="1:5" x14ac:dyDescent="0.45">
      <c r="B5670" s="1347" t="s">
        <v>8312</v>
      </c>
      <c r="D5670" s="1347" t="s">
        <v>8313</v>
      </c>
      <c r="E5670" s="1347" t="s">
        <v>8314</v>
      </c>
    </row>
    <row r="5671" spans="1:5" x14ac:dyDescent="0.45">
      <c r="B5671" s="1347" t="s">
        <v>8315</v>
      </c>
      <c r="D5671" s="1347" t="s">
        <v>8316</v>
      </c>
      <c r="E5671" s="1347" t="s">
        <v>8317</v>
      </c>
    </row>
    <row r="5672" spans="1:5" x14ac:dyDescent="0.45">
      <c r="B5672" s="1347" t="s">
        <v>8318</v>
      </c>
      <c r="C5672" s="1347" t="s">
        <v>1105</v>
      </c>
      <c r="D5672" s="1347" t="s">
        <v>8319</v>
      </c>
      <c r="E5672" s="1347" t="s">
        <v>8320</v>
      </c>
    </row>
    <row r="5673" spans="1:5" x14ac:dyDescent="0.45">
      <c r="B5673" s="1347" t="s">
        <v>1108</v>
      </c>
      <c r="D5673" s="1347" t="s">
        <v>8321</v>
      </c>
      <c r="E5673" s="1347" t="s">
        <v>8322</v>
      </c>
    </row>
    <row r="5674" spans="1:5" x14ac:dyDescent="0.45">
      <c r="A5674" s="1347">
        <v>-1</v>
      </c>
      <c r="B5674" s="1347" t="s">
        <v>8323</v>
      </c>
      <c r="C5674" s="1347">
        <v>-1</v>
      </c>
      <c r="D5674" s="1347" t="s">
        <v>8324</v>
      </c>
      <c r="E5674" s="1347" t="s">
        <v>8325</v>
      </c>
    </row>
    <row r="5675" spans="1:5" x14ac:dyDescent="0.45">
      <c r="B5675" s="1347" t="s">
        <v>8326</v>
      </c>
      <c r="D5675" s="1347" t="s">
        <v>8327</v>
      </c>
      <c r="E5675" s="1347" t="s">
        <v>8328</v>
      </c>
    </row>
    <row r="5676" spans="1:5" x14ac:dyDescent="0.45">
      <c r="B5676" s="1347" t="s">
        <v>8329</v>
      </c>
      <c r="D5676" s="1347" t="s">
        <v>1109</v>
      </c>
      <c r="E5676" s="1347" t="s">
        <v>8330</v>
      </c>
    </row>
    <row r="5677" spans="1:5" x14ac:dyDescent="0.45">
      <c r="B5677" s="1347" t="s">
        <v>8331</v>
      </c>
      <c r="D5677" s="1347" t="s">
        <v>8332</v>
      </c>
      <c r="E5677" s="1347" t="s">
        <v>8333</v>
      </c>
    </row>
    <row r="5678" spans="1:5" x14ac:dyDescent="0.45">
      <c r="A5678" s="1347">
        <v>-1</v>
      </c>
      <c r="B5678" s="1347" t="s">
        <v>8334</v>
      </c>
      <c r="C5678" s="1347" t="s">
        <v>1105</v>
      </c>
      <c r="D5678" s="1347" t="s">
        <v>8335</v>
      </c>
      <c r="E5678" s="1347" t="s">
        <v>8336</v>
      </c>
    </row>
    <row r="5679" spans="1:5" x14ac:dyDescent="0.45">
      <c r="B5679" s="1347" t="s">
        <v>8337</v>
      </c>
      <c r="D5679" s="1347" t="s">
        <v>8338</v>
      </c>
      <c r="E5679" s="1347" t="s">
        <v>1110</v>
      </c>
    </row>
    <row r="5680" spans="1:5" x14ac:dyDescent="0.45">
      <c r="B5680" s="1347" t="s">
        <v>8339</v>
      </c>
      <c r="D5680" s="1347" t="s">
        <v>8340</v>
      </c>
      <c r="E5680" s="1347" t="s">
        <v>8341</v>
      </c>
    </row>
    <row r="5681" spans="1:5" x14ac:dyDescent="0.45">
      <c r="B5681" s="1347" t="s">
        <v>1108</v>
      </c>
      <c r="D5681" s="1347" t="s">
        <v>8342</v>
      </c>
      <c r="E5681" s="1347" t="s">
        <v>8343</v>
      </c>
    </row>
    <row r="5682" spans="1:5" x14ac:dyDescent="0.45">
      <c r="B5682" s="1347" t="s">
        <v>1108</v>
      </c>
      <c r="D5682" s="1347" t="s">
        <v>8344</v>
      </c>
      <c r="E5682" s="1347" t="s">
        <v>8345</v>
      </c>
    </row>
    <row r="5683" spans="1:5" x14ac:dyDescent="0.45">
      <c r="A5683" s="1347" t="s">
        <v>1105</v>
      </c>
      <c r="B5683" s="1347" t="s">
        <v>8346</v>
      </c>
      <c r="D5683" s="1347" t="s">
        <v>8347</v>
      </c>
      <c r="E5683" s="1347" t="s">
        <v>8348</v>
      </c>
    </row>
    <row r="5684" spans="1:5" x14ac:dyDescent="0.45">
      <c r="A5684" s="1347">
        <v>3</v>
      </c>
      <c r="B5684" s="1347" t="s">
        <v>8349</v>
      </c>
      <c r="C5684" s="1347">
        <v>2</v>
      </c>
      <c r="D5684" s="1347" t="s">
        <v>8350</v>
      </c>
      <c r="E5684" s="1347" t="s">
        <v>8351</v>
      </c>
    </row>
    <row r="5685" spans="1:5" x14ac:dyDescent="0.45">
      <c r="B5685" s="1347" t="s">
        <v>1108</v>
      </c>
      <c r="D5685" s="1347" t="s">
        <v>8352</v>
      </c>
      <c r="E5685" s="1347" t="s">
        <v>8353</v>
      </c>
    </row>
    <row r="5686" spans="1:5" x14ac:dyDescent="0.45">
      <c r="B5686" s="1347" t="s">
        <v>1108</v>
      </c>
      <c r="C5686" s="1347">
        <v>1</v>
      </c>
      <c r="D5686" s="1347" t="s">
        <v>8354</v>
      </c>
      <c r="E5686" s="1347" t="s">
        <v>1110</v>
      </c>
    </row>
    <row r="5687" spans="1:5" x14ac:dyDescent="0.45">
      <c r="A5687" s="1347">
        <v>-3</v>
      </c>
      <c r="B5687" s="1347" t="s">
        <v>8355</v>
      </c>
      <c r="D5687" s="1347" t="s">
        <v>8356</v>
      </c>
      <c r="E5687" s="1347" t="s">
        <v>1110</v>
      </c>
    </row>
    <row r="5688" spans="1:5" x14ac:dyDescent="0.45">
      <c r="B5688" s="1347" t="s">
        <v>1108</v>
      </c>
      <c r="D5688" s="1347" t="s">
        <v>1109</v>
      </c>
      <c r="E5688" s="1347" t="s">
        <v>8357</v>
      </c>
    </row>
    <row r="5689" spans="1:5" x14ac:dyDescent="0.45">
      <c r="B5689" s="1347" t="s">
        <v>1108</v>
      </c>
      <c r="D5689" s="1347" t="s">
        <v>1109</v>
      </c>
      <c r="E5689" s="1347" t="s">
        <v>8358</v>
      </c>
    </row>
    <row r="5690" spans="1:5" x14ac:dyDescent="0.45">
      <c r="A5690" s="1347">
        <v>-1</v>
      </c>
      <c r="B5690" s="1347" t="s">
        <v>8359</v>
      </c>
      <c r="C5690" s="1347" t="s">
        <v>1105</v>
      </c>
      <c r="D5690" s="1347" t="s">
        <v>8360</v>
      </c>
      <c r="E5690" s="1347" t="s">
        <v>8361</v>
      </c>
    </row>
    <row r="5691" spans="1:5" x14ac:dyDescent="0.45">
      <c r="B5691" s="1347">
        <f>-83   -401</f>
        <v>-484</v>
      </c>
      <c r="D5691" s="1347" t="s">
        <v>8362</v>
      </c>
      <c r="E5691" s="1347" t="s">
        <v>8363</v>
      </c>
    </row>
    <row r="5692" spans="1:5" x14ac:dyDescent="0.45">
      <c r="A5692" s="1347">
        <v>-2</v>
      </c>
      <c r="B5692" s="1347" t="s">
        <v>8364</v>
      </c>
      <c r="D5692" s="1347" t="s">
        <v>8365</v>
      </c>
      <c r="E5692" s="1347" t="s">
        <v>8366</v>
      </c>
    </row>
    <row r="5693" spans="1:5" x14ac:dyDescent="0.45">
      <c r="A5693" s="1347">
        <v>1</v>
      </c>
      <c r="B5693" s="1347" t="s">
        <v>8367</v>
      </c>
      <c r="D5693" s="1347" t="s">
        <v>8368</v>
      </c>
      <c r="E5693" s="1347" t="s">
        <v>8369</v>
      </c>
    </row>
    <row r="5694" spans="1:5" x14ac:dyDescent="0.45">
      <c r="B5694" s="1347" t="s">
        <v>1108</v>
      </c>
      <c r="D5694" s="1347" t="s">
        <v>8370</v>
      </c>
      <c r="E5694" s="1347" t="s">
        <v>8371</v>
      </c>
    </row>
    <row r="5695" spans="1:5" x14ac:dyDescent="0.45">
      <c r="B5695" s="1347" t="s">
        <v>1108</v>
      </c>
      <c r="D5695" s="1347" t="s">
        <v>8372</v>
      </c>
      <c r="E5695" s="1347" t="s">
        <v>8373</v>
      </c>
    </row>
    <row r="5696" spans="1:5" x14ac:dyDescent="0.45">
      <c r="B5696" s="1347" t="s">
        <v>6843</v>
      </c>
      <c r="D5696" s="1347" t="s">
        <v>8374</v>
      </c>
      <c r="E5696" s="1347" t="s">
        <v>8375</v>
      </c>
    </row>
    <row r="5697" spans="1:5" x14ac:dyDescent="0.45">
      <c r="A5697" s="1347" t="s">
        <v>1105</v>
      </c>
      <c r="B5697" s="1347" t="s">
        <v>8376</v>
      </c>
      <c r="D5697" s="1347" t="s">
        <v>8377</v>
      </c>
      <c r="E5697" s="1347" t="s">
        <v>8378</v>
      </c>
    </row>
    <row r="5698" spans="1:5" x14ac:dyDescent="0.45">
      <c r="B5698" s="1347" t="s">
        <v>1108</v>
      </c>
      <c r="D5698" s="1347" t="s">
        <v>8379</v>
      </c>
      <c r="E5698" s="1347" t="s">
        <v>1110</v>
      </c>
    </row>
    <row r="5699" spans="1:5" x14ac:dyDescent="0.45">
      <c r="B5699" s="1347" t="s">
        <v>8380</v>
      </c>
      <c r="D5699" s="1347" t="s">
        <v>8381</v>
      </c>
      <c r="E5699" s="1347" t="s">
        <v>8382</v>
      </c>
    </row>
    <row r="5700" spans="1:5" x14ac:dyDescent="0.45">
      <c r="B5700" s="1347" t="s">
        <v>1108</v>
      </c>
      <c r="D5700" s="1347" t="s">
        <v>8383</v>
      </c>
      <c r="E5700" s="1347" t="s">
        <v>8384</v>
      </c>
    </row>
    <row r="5701" spans="1:5" x14ac:dyDescent="0.45">
      <c r="A5701" s="1347">
        <v>1</v>
      </c>
      <c r="B5701" s="1347" t="s">
        <v>6211</v>
      </c>
      <c r="D5701" s="1347" t="s">
        <v>8385</v>
      </c>
      <c r="E5701" s="1347" t="s">
        <v>8386</v>
      </c>
    </row>
    <row r="5702" spans="1:5" x14ac:dyDescent="0.45">
      <c r="B5702" s="1347" t="s">
        <v>1108</v>
      </c>
      <c r="D5702" s="1347" t="s">
        <v>8387</v>
      </c>
      <c r="E5702" s="1347" t="s">
        <v>8388</v>
      </c>
    </row>
    <row r="5703" spans="1:5" x14ac:dyDescent="0.45">
      <c r="A5703" s="1347">
        <v>-4</v>
      </c>
      <c r="B5703" s="1347" t="s">
        <v>8389</v>
      </c>
      <c r="D5703" s="1347" t="s">
        <v>8390</v>
      </c>
      <c r="E5703" s="1347" t="s">
        <v>8391</v>
      </c>
    </row>
    <row r="5704" spans="1:5" x14ac:dyDescent="0.45">
      <c r="B5704" s="1347" t="s">
        <v>8392</v>
      </c>
      <c r="D5704" s="1347" t="s">
        <v>8393</v>
      </c>
      <c r="E5704" s="1347" t="s">
        <v>8394</v>
      </c>
    </row>
    <row r="5705" spans="1:5" x14ac:dyDescent="0.45">
      <c r="A5705" s="1347" t="s">
        <v>1105</v>
      </c>
      <c r="B5705" s="1347" t="s">
        <v>8395</v>
      </c>
      <c r="D5705" s="1347" t="s">
        <v>8396</v>
      </c>
      <c r="E5705" s="1347" t="s">
        <v>8397</v>
      </c>
    </row>
    <row r="5706" spans="1:5" x14ac:dyDescent="0.45">
      <c r="A5706" s="1347">
        <v>1</v>
      </c>
      <c r="B5706" s="1347" t="s">
        <v>8398</v>
      </c>
      <c r="D5706" s="1347" t="s">
        <v>8399</v>
      </c>
      <c r="E5706" s="1347" t="s">
        <v>8400</v>
      </c>
    </row>
    <row r="5707" spans="1:5" x14ac:dyDescent="0.45">
      <c r="A5707" s="1347">
        <v>1</v>
      </c>
      <c r="B5707" s="1347" t="s">
        <v>8401</v>
      </c>
      <c r="D5707" s="1347" t="s">
        <v>8402</v>
      </c>
      <c r="E5707" s="1347" t="s">
        <v>8403</v>
      </c>
    </row>
    <row r="5708" spans="1:5" x14ac:dyDescent="0.45">
      <c r="B5708" s="1347" t="s">
        <v>1108</v>
      </c>
      <c r="D5708" s="1347" t="s">
        <v>8404</v>
      </c>
      <c r="E5708" s="1347" t="s">
        <v>8405</v>
      </c>
    </row>
    <row r="5709" spans="1:5" x14ac:dyDescent="0.45">
      <c r="B5709" s="1347" t="s">
        <v>1108</v>
      </c>
      <c r="D5709" s="1347" t="s">
        <v>8406</v>
      </c>
      <c r="E5709" s="1347" t="s">
        <v>8407</v>
      </c>
    </row>
    <row r="5710" spans="1:5" x14ac:dyDescent="0.45">
      <c r="A5710" s="1347">
        <v>2</v>
      </c>
      <c r="B5710" s="1347" t="s">
        <v>1311</v>
      </c>
      <c r="D5710" s="1347" t="s">
        <v>8408</v>
      </c>
      <c r="E5710" s="1347" t="s">
        <v>8409</v>
      </c>
    </row>
    <row r="5711" spans="1:5" x14ac:dyDescent="0.45">
      <c r="B5711" s="1347" t="s">
        <v>8410</v>
      </c>
      <c r="D5711" s="1347" t="s">
        <v>8411</v>
      </c>
      <c r="E5711" s="1347" t="s">
        <v>8412</v>
      </c>
    </row>
    <row r="5712" spans="1:5" x14ac:dyDescent="0.45">
      <c r="B5712" s="1347" t="s">
        <v>1108</v>
      </c>
      <c r="D5712" s="1347" t="s">
        <v>1109</v>
      </c>
      <c r="E5712" s="1347" t="s">
        <v>8413</v>
      </c>
    </row>
    <row r="5713" spans="1:5" x14ac:dyDescent="0.45">
      <c r="B5713" s="1347" t="s">
        <v>2623</v>
      </c>
      <c r="C5713" s="1347" t="s">
        <v>1105</v>
      </c>
      <c r="D5713" s="1347" t="s">
        <v>8414</v>
      </c>
      <c r="E5713" s="1347" t="s">
        <v>8415</v>
      </c>
    </row>
    <row r="5714" spans="1:5" x14ac:dyDescent="0.45">
      <c r="A5714" s="1347">
        <v>4</v>
      </c>
      <c r="B5714" s="1347" t="s">
        <v>8416</v>
      </c>
      <c r="D5714" s="1347">
        <f>-887   -365   -674</f>
        <v>-1926</v>
      </c>
      <c r="E5714" s="1347" t="s">
        <v>8417</v>
      </c>
    </row>
    <row r="5715" spans="1:5" x14ac:dyDescent="0.45">
      <c r="B5715" s="1347" t="s">
        <v>8418</v>
      </c>
      <c r="D5715" s="1347" t="s">
        <v>8419</v>
      </c>
      <c r="E5715" s="1347" t="s">
        <v>1156</v>
      </c>
    </row>
    <row r="5716" spans="1:5" x14ac:dyDescent="0.45">
      <c r="A5716" s="1347">
        <v>13</v>
      </c>
      <c r="B5716" s="1347" t="s">
        <v>7776</v>
      </c>
      <c r="D5716" s="1347" t="s">
        <v>8420</v>
      </c>
      <c r="E5716" s="1347" t="s">
        <v>8421</v>
      </c>
    </row>
    <row r="5717" spans="1:5" x14ac:dyDescent="0.45">
      <c r="A5717" s="1347">
        <v>10</v>
      </c>
      <c r="B5717" s="1347" t="s">
        <v>8422</v>
      </c>
      <c r="D5717" s="1347" t="s">
        <v>1109</v>
      </c>
      <c r="E5717" s="1347" t="s">
        <v>8423</v>
      </c>
    </row>
    <row r="5718" spans="1:5" x14ac:dyDescent="0.45">
      <c r="A5718" s="1347">
        <v>1</v>
      </c>
      <c r="B5718" s="1347" t="s">
        <v>8424</v>
      </c>
      <c r="D5718" s="1347" t="s">
        <v>8425</v>
      </c>
      <c r="E5718" s="1347" t="s">
        <v>8426</v>
      </c>
    </row>
    <row r="5719" spans="1:5" x14ac:dyDescent="0.45">
      <c r="A5719" s="1347">
        <v>-60</v>
      </c>
      <c r="B5719" s="1347" t="s">
        <v>8427</v>
      </c>
      <c r="D5719" s="1347" t="s">
        <v>8428</v>
      </c>
      <c r="E5719" s="1347" t="s">
        <v>8429</v>
      </c>
    </row>
    <row r="5720" spans="1:5" x14ac:dyDescent="0.45">
      <c r="B5720" s="1347" t="s">
        <v>1108</v>
      </c>
      <c r="D5720" s="1347" t="s">
        <v>1109</v>
      </c>
      <c r="E5720" s="1347" t="s">
        <v>1110</v>
      </c>
    </row>
    <row r="5721" spans="1:5" x14ac:dyDescent="0.45">
      <c r="B5721" s="1347" t="s">
        <v>1108</v>
      </c>
      <c r="D5721" s="1347" t="s">
        <v>8430</v>
      </c>
      <c r="E5721" s="1347" t="s">
        <v>1110</v>
      </c>
    </row>
    <row r="5722" spans="1:5" x14ac:dyDescent="0.45">
      <c r="B5722" s="1347" t="s">
        <v>8431</v>
      </c>
      <c r="D5722" s="1347" t="s">
        <v>8432</v>
      </c>
      <c r="E5722" s="1347" t="s">
        <v>8433</v>
      </c>
    </row>
    <row r="5723" spans="1:5" x14ac:dyDescent="0.45">
      <c r="B5723" s="1347" t="s">
        <v>8434</v>
      </c>
      <c r="D5723" s="1347" t="s">
        <v>8435</v>
      </c>
      <c r="E5723" s="1347" t="s">
        <v>8436</v>
      </c>
    </row>
    <row r="5724" spans="1:5" x14ac:dyDescent="0.45">
      <c r="A5724" s="1347">
        <v>1</v>
      </c>
      <c r="B5724" s="1347" t="s">
        <v>8437</v>
      </c>
      <c r="D5724" s="1347" t="s">
        <v>8438</v>
      </c>
      <c r="E5724" s="1347" t="s">
        <v>8439</v>
      </c>
    </row>
    <row r="5725" spans="1:5" x14ac:dyDescent="0.45">
      <c r="A5725" s="1347">
        <v>1</v>
      </c>
      <c r="B5725" s="1347" t="s">
        <v>8440</v>
      </c>
      <c r="D5725" s="1347" t="s">
        <v>8441</v>
      </c>
      <c r="E5725" s="1347" t="s">
        <v>8442</v>
      </c>
    </row>
    <row r="5726" spans="1:5" x14ac:dyDescent="0.45">
      <c r="A5726" s="1347">
        <v>50</v>
      </c>
      <c r="B5726" s="1347" t="s">
        <v>8443</v>
      </c>
      <c r="D5726" s="1347">
        <f>-252  -2179  -2926  -278</f>
        <v>-5635</v>
      </c>
      <c r="E5726" s="1347" t="s">
        <v>8444</v>
      </c>
    </row>
    <row r="5727" spans="1:5" x14ac:dyDescent="0.45">
      <c r="B5727" s="1347" t="s">
        <v>1108</v>
      </c>
      <c r="D5727" s="1347" t="s">
        <v>8445</v>
      </c>
      <c r="E5727" s="1347" t="s">
        <v>1110</v>
      </c>
    </row>
    <row r="5728" spans="1:5" x14ac:dyDescent="0.45">
      <c r="A5728" s="1347">
        <v>-3</v>
      </c>
      <c r="B5728" s="1347" t="s">
        <v>8446</v>
      </c>
      <c r="D5728" s="1347" t="s">
        <v>8447</v>
      </c>
      <c r="E5728" s="1347" t="s">
        <v>8448</v>
      </c>
    </row>
    <row r="5729" spans="1:5" x14ac:dyDescent="0.45">
      <c r="B5729" s="1347" t="s">
        <v>8449</v>
      </c>
      <c r="D5729" s="1347">
        <f>-50  -1902  -1796  -154</f>
        <v>-3902</v>
      </c>
      <c r="E5729" s="1347" t="s">
        <v>8450</v>
      </c>
    </row>
    <row r="5730" spans="1:5" x14ac:dyDescent="0.45">
      <c r="B5730" s="1347" t="s">
        <v>1108</v>
      </c>
      <c r="D5730" s="1347" t="s">
        <v>8451</v>
      </c>
      <c r="E5730" s="1347" t="s">
        <v>8452</v>
      </c>
    </row>
    <row r="5731" spans="1:5" x14ac:dyDescent="0.45">
      <c r="B5731" s="1347" t="s">
        <v>1413</v>
      </c>
      <c r="D5731" s="1347" t="s">
        <v>1109</v>
      </c>
      <c r="E5731" s="1347" t="s">
        <v>8453</v>
      </c>
    </row>
    <row r="5732" spans="1:5" x14ac:dyDescent="0.45">
      <c r="B5732" s="1347" t="s">
        <v>1108</v>
      </c>
      <c r="D5732" s="1347" t="s">
        <v>8454</v>
      </c>
      <c r="E5732" s="1347" t="s">
        <v>1113</v>
      </c>
    </row>
    <row r="5733" spans="1:5" x14ac:dyDescent="0.45">
      <c r="B5733" s="1347" t="s">
        <v>8455</v>
      </c>
      <c r="D5733" s="1347" t="s">
        <v>8456</v>
      </c>
      <c r="E5733" s="1347" t="s">
        <v>8457</v>
      </c>
    </row>
    <row r="5734" spans="1:5" x14ac:dyDescent="0.45">
      <c r="B5734" s="1347" t="s">
        <v>8458</v>
      </c>
      <c r="D5734" s="1347" t="s">
        <v>8459</v>
      </c>
      <c r="E5734" s="1347" t="s">
        <v>1110</v>
      </c>
    </row>
    <row r="5735" spans="1:5" x14ac:dyDescent="0.45">
      <c r="A5735" s="1347">
        <v>2</v>
      </c>
      <c r="B5735" s="1347" t="s">
        <v>3311</v>
      </c>
      <c r="D5735" s="1347" t="s">
        <v>8460</v>
      </c>
      <c r="E5735" s="1347" t="s">
        <v>8461</v>
      </c>
    </row>
    <row r="5736" spans="1:5" x14ac:dyDescent="0.45">
      <c r="A5736" s="1347">
        <v>-5</v>
      </c>
      <c r="B5736" s="1347" t="s">
        <v>8084</v>
      </c>
      <c r="C5736" s="1347" t="s">
        <v>1105</v>
      </c>
      <c r="D5736" s="1347" t="s">
        <v>8462</v>
      </c>
      <c r="E5736" s="1347" t="s">
        <v>8463</v>
      </c>
    </row>
    <row r="5737" spans="1:5" x14ac:dyDescent="0.45">
      <c r="B5737" s="1347" t="s">
        <v>1108</v>
      </c>
      <c r="D5737" s="1347" t="s">
        <v>8464</v>
      </c>
      <c r="E5737" s="1347" t="s">
        <v>8465</v>
      </c>
    </row>
    <row r="5738" spans="1:5" x14ac:dyDescent="0.45">
      <c r="B5738" s="1347" t="s">
        <v>1108</v>
      </c>
      <c r="D5738" s="1347" t="s">
        <v>8466</v>
      </c>
      <c r="E5738" s="1347" t="s">
        <v>8467</v>
      </c>
    </row>
    <row r="5739" spans="1:5" x14ac:dyDescent="0.45">
      <c r="A5739" s="1347">
        <v>-2</v>
      </c>
      <c r="B5739" s="1347" t="s">
        <v>8468</v>
      </c>
      <c r="D5739" s="1347">
        <f>-428  -6402  -5420  -240</f>
        <v>-12490</v>
      </c>
      <c r="E5739" s="1347" t="s">
        <v>8469</v>
      </c>
    </row>
    <row r="5740" spans="1:5" x14ac:dyDescent="0.45">
      <c r="B5740" s="1347" t="s">
        <v>1108</v>
      </c>
      <c r="D5740" s="1347" t="s">
        <v>8470</v>
      </c>
      <c r="E5740" s="1347" t="s">
        <v>8471</v>
      </c>
    </row>
    <row r="5741" spans="1:5" x14ac:dyDescent="0.45">
      <c r="B5741" s="1347" t="s">
        <v>8472</v>
      </c>
      <c r="D5741" s="1347" t="s">
        <v>8473</v>
      </c>
      <c r="E5741" s="1347" t="s">
        <v>8474</v>
      </c>
    </row>
    <row r="5742" spans="1:5" x14ac:dyDescent="0.45">
      <c r="A5742" s="1347">
        <v>1</v>
      </c>
      <c r="B5742" s="1347" t="s">
        <v>8475</v>
      </c>
      <c r="D5742" s="1347" t="s">
        <v>8476</v>
      </c>
      <c r="E5742" s="1347" t="s">
        <v>8477</v>
      </c>
    </row>
    <row r="5743" spans="1:5" x14ac:dyDescent="0.45">
      <c r="A5743" s="1347">
        <v>1</v>
      </c>
      <c r="B5743" s="1347" t="s">
        <v>8478</v>
      </c>
      <c r="D5743" s="1347" t="s">
        <v>8479</v>
      </c>
      <c r="E5743" s="1347" t="s">
        <v>8480</v>
      </c>
    </row>
    <row r="5744" spans="1:5" x14ac:dyDescent="0.45">
      <c r="B5744" s="1347" t="s">
        <v>8481</v>
      </c>
      <c r="D5744" s="1347" t="s">
        <v>8482</v>
      </c>
      <c r="E5744" s="1347" t="s">
        <v>1110</v>
      </c>
    </row>
    <row r="5745" spans="1:5" x14ac:dyDescent="0.45">
      <c r="B5745" s="1347" t="s">
        <v>1108</v>
      </c>
      <c r="D5745" s="1347" t="s">
        <v>8483</v>
      </c>
      <c r="E5745" s="1347" t="s">
        <v>8484</v>
      </c>
    </row>
    <row r="5746" spans="1:5" x14ac:dyDescent="0.45">
      <c r="B5746" s="1347" t="s">
        <v>1108</v>
      </c>
      <c r="D5746" s="1347" t="s">
        <v>8485</v>
      </c>
      <c r="E5746" s="1347" t="s">
        <v>8486</v>
      </c>
    </row>
    <row r="5747" spans="1:5" x14ac:dyDescent="0.45">
      <c r="A5747" s="1347" t="s">
        <v>1105</v>
      </c>
      <c r="B5747" s="1347" t="s">
        <v>2935</v>
      </c>
      <c r="D5747" s="1347" t="s">
        <v>8487</v>
      </c>
      <c r="E5747" s="1347" t="s">
        <v>8488</v>
      </c>
    </row>
    <row r="5748" spans="1:5" x14ac:dyDescent="0.45">
      <c r="B5748" s="1347" t="s">
        <v>8489</v>
      </c>
      <c r="D5748" s="1347" t="s">
        <v>1109</v>
      </c>
      <c r="E5748" s="1347" t="s">
        <v>8490</v>
      </c>
    </row>
    <row r="5749" spans="1:5" x14ac:dyDescent="0.45">
      <c r="B5749" s="1347" t="s">
        <v>8491</v>
      </c>
      <c r="D5749" s="1347" t="s">
        <v>8492</v>
      </c>
      <c r="E5749" s="1347" t="s">
        <v>8493</v>
      </c>
    </row>
    <row r="5750" spans="1:5" x14ac:dyDescent="0.45">
      <c r="B5750" s="1347" t="s">
        <v>1108</v>
      </c>
      <c r="D5750" s="1347" t="s">
        <v>8494</v>
      </c>
      <c r="E5750" s="1347" t="s">
        <v>8495</v>
      </c>
    </row>
    <row r="5751" spans="1:5" x14ac:dyDescent="0.45">
      <c r="A5751" s="1347">
        <v>-2</v>
      </c>
      <c r="B5751" s="1347" t="s">
        <v>8496</v>
      </c>
      <c r="D5751" s="1347" t="s">
        <v>8497</v>
      </c>
      <c r="E5751" s="1347" t="s">
        <v>8498</v>
      </c>
    </row>
    <row r="5752" spans="1:5" x14ac:dyDescent="0.45">
      <c r="B5752" s="1347" t="s">
        <v>8499</v>
      </c>
      <c r="D5752" s="1347" t="s">
        <v>8500</v>
      </c>
      <c r="E5752" s="1347" t="s">
        <v>1110</v>
      </c>
    </row>
    <row r="5753" spans="1:5" x14ac:dyDescent="0.45">
      <c r="B5753" s="1347" t="s">
        <v>1108</v>
      </c>
      <c r="D5753" s="1347" t="s">
        <v>1109</v>
      </c>
      <c r="E5753" s="1347" t="s">
        <v>1110</v>
      </c>
    </row>
    <row r="5754" spans="1:5" x14ac:dyDescent="0.45">
      <c r="A5754" s="1347" t="s">
        <v>1105</v>
      </c>
      <c r="B5754" s="1347" t="s">
        <v>8501</v>
      </c>
      <c r="D5754" s="1347" t="s">
        <v>1109</v>
      </c>
      <c r="E5754" s="1347" t="s">
        <v>8502</v>
      </c>
    </row>
    <row r="5755" spans="1:5" x14ac:dyDescent="0.45">
      <c r="A5755" s="1347">
        <v>-1</v>
      </c>
      <c r="B5755" s="1347" t="s">
        <v>8503</v>
      </c>
      <c r="D5755" s="1347" t="s">
        <v>8504</v>
      </c>
      <c r="E5755" s="1347" t="s">
        <v>8505</v>
      </c>
    </row>
    <row r="5756" spans="1:5" x14ac:dyDescent="0.45">
      <c r="B5756" s="1347" t="s">
        <v>8506</v>
      </c>
      <c r="D5756" s="1347" t="s">
        <v>8507</v>
      </c>
      <c r="E5756" s="1347" t="s">
        <v>8508</v>
      </c>
    </row>
    <row r="5757" spans="1:5" x14ac:dyDescent="0.45">
      <c r="A5757" s="1347">
        <v>1</v>
      </c>
      <c r="B5757" s="1347" t="s">
        <v>8509</v>
      </c>
      <c r="D5757" s="1347" t="s">
        <v>8510</v>
      </c>
      <c r="E5757" s="1347" t="s">
        <v>8511</v>
      </c>
    </row>
    <row r="5758" spans="1:5" x14ac:dyDescent="0.45">
      <c r="A5758" s="1347">
        <v>1</v>
      </c>
      <c r="B5758" s="1347" t="s">
        <v>8512</v>
      </c>
      <c r="D5758" s="1347" t="s">
        <v>8513</v>
      </c>
      <c r="E5758" s="1347" t="s">
        <v>8514</v>
      </c>
    </row>
    <row r="5759" spans="1:5" x14ac:dyDescent="0.45">
      <c r="A5759" s="1347">
        <v>-3</v>
      </c>
      <c r="B5759" s="1347" t="s">
        <v>8515</v>
      </c>
      <c r="C5759" s="1347" t="s">
        <v>1105</v>
      </c>
      <c r="D5759" s="1347" t="s">
        <v>8516</v>
      </c>
      <c r="E5759" s="1347" t="s">
        <v>8517</v>
      </c>
    </row>
    <row r="5760" spans="1:5" x14ac:dyDescent="0.45">
      <c r="B5760" s="1347" t="s">
        <v>3067</v>
      </c>
      <c r="D5760" s="1347" t="s">
        <v>1109</v>
      </c>
      <c r="E5760" s="1347" t="s">
        <v>8518</v>
      </c>
    </row>
    <row r="5761" spans="1:5" x14ac:dyDescent="0.45">
      <c r="B5761" s="1347" t="s">
        <v>8519</v>
      </c>
      <c r="D5761" s="1347" t="s">
        <v>8520</v>
      </c>
      <c r="E5761" s="1347" t="s">
        <v>8521</v>
      </c>
    </row>
    <row r="5762" spans="1:5" x14ac:dyDescent="0.45">
      <c r="A5762" s="1347">
        <v>-1</v>
      </c>
      <c r="B5762" s="1347" t="s">
        <v>8522</v>
      </c>
      <c r="C5762" s="1347" t="s">
        <v>1105</v>
      </c>
      <c r="D5762" s="1347" t="s">
        <v>8523</v>
      </c>
      <c r="E5762" s="1347" t="s">
        <v>1476</v>
      </c>
    </row>
    <row r="5763" spans="1:5" x14ac:dyDescent="0.45">
      <c r="B5763" s="1347" t="s">
        <v>8524</v>
      </c>
      <c r="D5763" s="1347" t="s">
        <v>2787</v>
      </c>
      <c r="E5763" s="1347" t="s">
        <v>8525</v>
      </c>
    </row>
    <row r="5764" spans="1:5" x14ac:dyDescent="0.45">
      <c r="B5764" s="1347" t="s">
        <v>1108</v>
      </c>
      <c r="D5764" s="1347" t="s">
        <v>8526</v>
      </c>
      <c r="E5764" s="1347" t="s">
        <v>8527</v>
      </c>
    </row>
    <row r="5765" spans="1:5" x14ac:dyDescent="0.45">
      <c r="A5765" s="1347" t="s">
        <v>1105</v>
      </c>
      <c r="B5765" s="1347" t="s">
        <v>1576</v>
      </c>
      <c r="C5765" s="1347" t="s">
        <v>1105</v>
      </c>
      <c r="D5765" s="1347" t="s">
        <v>8528</v>
      </c>
      <c r="E5765" s="1347" t="s">
        <v>8529</v>
      </c>
    </row>
    <row r="5766" spans="1:5" x14ac:dyDescent="0.45">
      <c r="B5766" s="1347" t="s">
        <v>1108</v>
      </c>
      <c r="D5766" s="1347" t="s">
        <v>8530</v>
      </c>
      <c r="E5766" s="1347" t="s">
        <v>8531</v>
      </c>
    </row>
    <row r="5767" spans="1:5" x14ac:dyDescent="0.45">
      <c r="B5767" s="1347" t="s">
        <v>8532</v>
      </c>
      <c r="D5767" s="1347" t="s">
        <v>1109</v>
      </c>
      <c r="E5767" s="1347" t="s">
        <v>8533</v>
      </c>
    </row>
    <row r="5768" spans="1:5" x14ac:dyDescent="0.45">
      <c r="B5768" s="1347" t="s">
        <v>8534</v>
      </c>
      <c r="D5768" s="1347" t="s">
        <v>8535</v>
      </c>
      <c r="E5768" s="1347" t="s">
        <v>8536</v>
      </c>
    </row>
    <row r="5769" spans="1:5" x14ac:dyDescent="0.45">
      <c r="A5769" s="1347">
        <v>-4</v>
      </c>
      <c r="B5769" s="1347" t="s">
        <v>8537</v>
      </c>
      <c r="D5769" s="1347" t="s">
        <v>8538</v>
      </c>
      <c r="E5769" s="1347" t="s">
        <v>8539</v>
      </c>
    </row>
    <row r="5770" spans="1:5" x14ac:dyDescent="0.45">
      <c r="B5770" s="1347" t="s">
        <v>2510</v>
      </c>
      <c r="D5770" s="1347" t="s">
        <v>8540</v>
      </c>
      <c r="E5770" s="1347" t="s">
        <v>1435</v>
      </c>
    </row>
    <row r="5771" spans="1:5" x14ac:dyDescent="0.45">
      <c r="B5771" s="1347" t="s">
        <v>8541</v>
      </c>
      <c r="D5771" s="1347" t="s">
        <v>8542</v>
      </c>
      <c r="E5771" s="1347" t="s">
        <v>8543</v>
      </c>
    </row>
    <row r="5772" spans="1:5" x14ac:dyDescent="0.45">
      <c r="A5772" s="1347">
        <v>-7</v>
      </c>
      <c r="B5772" s="1347" t="s">
        <v>8544</v>
      </c>
      <c r="C5772" s="1347" t="s">
        <v>1105</v>
      </c>
      <c r="D5772" s="1347" t="s">
        <v>8545</v>
      </c>
      <c r="E5772" s="1347" t="s">
        <v>8546</v>
      </c>
    </row>
    <row r="5773" spans="1:5" x14ac:dyDescent="0.45">
      <c r="B5773" s="1347" t="s">
        <v>3860</v>
      </c>
      <c r="D5773" s="1347" t="s">
        <v>8547</v>
      </c>
      <c r="E5773" s="1347" t="s">
        <v>8548</v>
      </c>
    </row>
    <row r="5774" spans="1:5" x14ac:dyDescent="0.45">
      <c r="B5774" s="1347" t="s">
        <v>1108</v>
      </c>
      <c r="D5774" s="1347" t="s">
        <v>8549</v>
      </c>
      <c r="E5774" s="1347" t="s">
        <v>8550</v>
      </c>
    </row>
    <row r="5775" spans="1:5" x14ac:dyDescent="0.45">
      <c r="B5775" s="1347" t="s">
        <v>8551</v>
      </c>
      <c r="D5775" s="1347" t="s">
        <v>8552</v>
      </c>
      <c r="E5775" s="1347" t="s">
        <v>8553</v>
      </c>
    </row>
    <row r="5776" spans="1:5" x14ac:dyDescent="0.45">
      <c r="A5776" s="1347">
        <v>-1</v>
      </c>
      <c r="B5776" s="1347" t="s">
        <v>8554</v>
      </c>
      <c r="D5776" s="1347" t="s">
        <v>8555</v>
      </c>
      <c r="E5776" s="1347" t="s">
        <v>8556</v>
      </c>
    </row>
    <row r="5777" spans="1:5" x14ac:dyDescent="0.45">
      <c r="A5777" s="1347">
        <v>1</v>
      </c>
      <c r="B5777" s="1347" t="s">
        <v>8557</v>
      </c>
      <c r="D5777" s="1347" t="s">
        <v>1109</v>
      </c>
      <c r="E5777" s="1347" t="s">
        <v>8558</v>
      </c>
    </row>
    <row r="5778" spans="1:5" x14ac:dyDescent="0.45">
      <c r="B5778" s="1347" t="s">
        <v>8559</v>
      </c>
      <c r="C5778" s="1347" t="s">
        <v>1105</v>
      </c>
      <c r="D5778" s="1347" t="s">
        <v>8560</v>
      </c>
      <c r="E5778" s="1347" t="s">
        <v>8561</v>
      </c>
    </row>
    <row r="5779" spans="1:5" x14ac:dyDescent="0.45">
      <c r="B5779" s="1347" t="s">
        <v>1108</v>
      </c>
      <c r="D5779" s="1347" t="s">
        <v>8562</v>
      </c>
      <c r="E5779" s="1347" t="s">
        <v>8563</v>
      </c>
    </row>
    <row r="5780" spans="1:5" x14ac:dyDescent="0.45">
      <c r="B5780" s="1347" t="s">
        <v>1108</v>
      </c>
      <c r="C5780" s="1347" t="s">
        <v>1105</v>
      </c>
      <c r="D5780" s="1347" t="s">
        <v>8564</v>
      </c>
      <c r="E5780" s="1347" t="s">
        <v>8565</v>
      </c>
    </row>
    <row r="5781" spans="1:5" x14ac:dyDescent="0.45">
      <c r="B5781" s="1347" t="s">
        <v>1108</v>
      </c>
      <c r="D5781" s="1347" t="s">
        <v>8566</v>
      </c>
      <c r="E5781" s="1347" t="s">
        <v>8567</v>
      </c>
    </row>
    <row r="5782" spans="1:5" x14ac:dyDescent="0.45">
      <c r="A5782" s="1347">
        <v>25</v>
      </c>
      <c r="B5782" s="1347" t="s">
        <v>8568</v>
      </c>
      <c r="C5782" s="1347">
        <v>1</v>
      </c>
      <c r="D5782" s="1347" t="s">
        <v>8569</v>
      </c>
      <c r="E5782" s="1347" t="s">
        <v>1110</v>
      </c>
    </row>
    <row r="5783" spans="1:5" x14ac:dyDescent="0.45">
      <c r="B5783" s="1347" t="s">
        <v>1108</v>
      </c>
      <c r="C5783" s="1347" t="s">
        <v>1105</v>
      </c>
      <c r="D5783" s="1347" t="s">
        <v>8570</v>
      </c>
      <c r="E5783" s="1347" t="s">
        <v>8571</v>
      </c>
    </row>
    <row r="5784" spans="1:5" x14ac:dyDescent="0.45">
      <c r="A5784" s="1347">
        <v>12</v>
      </c>
      <c r="B5784" s="1347" t="s">
        <v>8572</v>
      </c>
      <c r="D5784" s="1347" t="s">
        <v>8573</v>
      </c>
      <c r="E5784" s="1347" t="s">
        <v>8574</v>
      </c>
    </row>
    <row r="5785" spans="1:5" x14ac:dyDescent="0.45">
      <c r="A5785" s="1347">
        <v>-1</v>
      </c>
      <c r="B5785" s="1347" t="s">
        <v>8575</v>
      </c>
      <c r="D5785" s="1347" t="s">
        <v>1109</v>
      </c>
      <c r="E5785" s="1347" t="s">
        <v>1110</v>
      </c>
    </row>
    <row r="5786" spans="1:5" x14ac:dyDescent="0.45">
      <c r="B5786" s="1347" t="s">
        <v>1108</v>
      </c>
      <c r="D5786" s="1347" t="s">
        <v>1109</v>
      </c>
      <c r="E5786" s="1347" t="s">
        <v>8576</v>
      </c>
    </row>
    <row r="5787" spans="1:5" x14ac:dyDescent="0.45">
      <c r="B5787" s="1347" t="s">
        <v>1108</v>
      </c>
      <c r="D5787" s="1347" t="s">
        <v>8577</v>
      </c>
      <c r="E5787" s="1347" t="s">
        <v>8578</v>
      </c>
    </row>
    <row r="5788" spans="1:5" x14ac:dyDescent="0.45">
      <c r="A5788" s="1347" t="s">
        <v>1105</v>
      </c>
      <c r="B5788" s="1347" t="s">
        <v>8579</v>
      </c>
      <c r="D5788" s="1347" t="s">
        <v>8580</v>
      </c>
      <c r="E5788" s="1347" t="s">
        <v>8581</v>
      </c>
    </row>
    <row r="5789" spans="1:5" x14ac:dyDescent="0.45">
      <c r="B5789" s="1347" t="s">
        <v>8582</v>
      </c>
      <c r="D5789" s="1347" t="s">
        <v>8583</v>
      </c>
      <c r="E5789" s="1347" t="s">
        <v>8584</v>
      </c>
    </row>
    <row r="5790" spans="1:5" x14ac:dyDescent="0.45">
      <c r="A5790" s="1347">
        <v>3</v>
      </c>
      <c r="B5790" s="1347" t="s">
        <v>8585</v>
      </c>
      <c r="D5790" s="1347" t="s">
        <v>8586</v>
      </c>
      <c r="E5790" s="1347" t="s">
        <v>8587</v>
      </c>
    </row>
    <row r="5791" spans="1:5" x14ac:dyDescent="0.45">
      <c r="A5791" s="1347">
        <v>-2</v>
      </c>
      <c r="B5791" s="1347" t="s">
        <v>8588</v>
      </c>
      <c r="C5791" s="1347">
        <v>4</v>
      </c>
      <c r="D5791" s="1347" t="s">
        <v>8589</v>
      </c>
      <c r="E5791" s="1347" t="s">
        <v>8590</v>
      </c>
    </row>
    <row r="5792" spans="1:5" x14ac:dyDescent="0.45">
      <c r="A5792" s="1347">
        <v>3</v>
      </c>
      <c r="B5792" s="1347" t="s">
        <v>8591</v>
      </c>
      <c r="D5792" s="1347" t="s">
        <v>7926</v>
      </c>
      <c r="E5792" s="1347" t="s">
        <v>8592</v>
      </c>
    </row>
    <row r="5793" spans="1:5" x14ac:dyDescent="0.45">
      <c r="B5793" s="1347" t="s">
        <v>1108</v>
      </c>
      <c r="D5793" s="1347" t="s">
        <v>1719</v>
      </c>
      <c r="E5793" s="1347" t="s">
        <v>8593</v>
      </c>
    </row>
    <row r="5794" spans="1:5" x14ac:dyDescent="0.45">
      <c r="A5794" s="1347">
        <v>1</v>
      </c>
      <c r="B5794" s="1347" t="s">
        <v>8594</v>
      </c>
      <c r="D5794" s="1347" t="s">
        <v>8595</v>
      </c>
      <c r="E5794" s="1347" t="s">
        <v>8596</v>
      </c>
    </row>
    <row r="5795" spans="1:5" x14ac:dyDescent="0.45">
      <c r="A5795" s="1347">
        <v>3</v>
      </c>
      <c r="B5795" s="1347" t="s">
        <v>8597</v>
      </c>
      <c r="D5795" s="1347" t="s">
        <v>8598</v>
      </c>
      <c r="E5795" s="1347" t="s">
        <v>8599</v>
      </c>
    </row>
    <row r="5796" spans="1:5" x14ac:dyDescent="0.45">
      <c r="B5796" s="1347" t="s">
        <v>1108</v>
      </c>
      <c r="D5796" s="1347" t="s">
        <v>8600</v>
      </c>
      <c r="E5796" s="1347" t="s">
        <v>1476</v>
      </c>
    </row>
    <row r="5797" spans="1:5" x14ac:dyDescent="0.45">
      <c r="B5797" s="1347" t="s">
        <v>1108</v>
      </c>
      <c r="D5797" s="1347" t="s">
        <v>8601</v>
      </c>
      <c r="E5797" s="1347" t="s">
        <v>8602</v>
      </c>
    </row>
    <row r="5798" spans="1:5" x14ac:dyDescent="0.45">
      <c r="A5798" s="1347">
        <v>6</v>
      </c>
      <c r="B5798" s="1347" t="s">
        <v>1663</v>
      </c>
      <c r="D5798" s="1347" t="s">
        <v>8603</v>
      </c>
      <c r="E5798" s="1347" t="s">
        <v>8604</v>
      </c>
    </row>
    <row r="5799" spans="1:5" x14ac:dyDescent="0.45">
      <c r="A5799" s="1347" t="s">
        <v>1105</v>
      </c>
      <c r="B5799" s="1347" t="s">
        <v>8605</v>
      </c>
      <c r="D5799" s="1347" t="s">
        <v>8606</v>
      </c>
      <c r="E5799" s="1347" t="s">
        <v>8607</v>
      </c>
    </row>
    <row r="5800" spans="1:5" x14ac:dyDescent="0.45">
      <c r="B5800" s="1347" t="s">
        <v>1108</v>
      </c>
      <c r="D5800" s="1347" t="s">
        <v>8608</v>
      </c>
      <c r="E5800" s="1347" t="s">
        <v>8609</v>
      </c>
    </row>
    <row r="5801" spans="1:5" x14ac:dyDescent="0.45">
      <c r="B5801" s="1347" t="s">
        <v>8610</v>
      </c>
      <c r="D5801" s="1347">
        <f>-789  -1293  -2831  -252</f>
        <v>-5165</v>
      </c>
      <c r="E5801" s="1347" t="s">
        <v>8611</v>
      </c>
    </row>
    <row r="5802" spans="1:5" x14ac:dyDescent="0.45">
      <c r="B5802" s="1347" t="s">
        <v>3874</v>
      </c>
      <c r="D5802" s="1347" t="s">
        <v>8612</v>
      </c>
      <c r="E5802" s="1347" t="s">
        <v>8613</v>
      </c>
    </row>
    <row r="5803" spans="1:5" x14ac:dyDescent="0.45">
      <c r="A5803" s="1347" t="s">
        <v>1105</v>
      </c>
      <c r="B5803" s="1347" t="s">
        <v>8614</v>
      </c>
      <c r="D5803" s="1347" t="s">
        <v>8615</v>
      </c>
      <c r="E5803" s="1347" t="s">
        <v>8616</v>
      </c>
    </row>
    <row r="5804" spans="1:5" x14ac:dyDescent="0.45">
      <c r="B5804" s="1347" t="s">
        <v>8617</v>
      </c>
      <c r="D5804" s="1347" t="s">
        <v>8618</v>
      </c>
      <c r="E5804" s="1347" t="s">
        <v>8619</v>
      </c>
    </row>
    <row r="5805" spans="1:5" x14ac:dyDescent="0.45">
      <c r="A5805" s="1347">
        <v>3</v>
      </c>
      <c r="B5805" s="1347" t="s">
        <v>8620</v>
      </c>
      <c r="C5805" s="1347">
        <v>1</v>
      </c>
      <c r="D5805" s="1347" t="s">
        <v>8621</v>
      </c>
      <c r="E5805" s="1347" t="s">
        <v>8622</v>
      </c>
    </row>
    <row r="5806" spans="1:5" x14ac:dyDescent="0.45">
      <c r="B5806" s="1347" t="s">
        <v>2928</v>
      </c>
      <c r="D5806" s="1347" t="s">
        <v>8623</v>
      </c>
      <c r="E5806" s="1347" t="s">
        <v>8624</v>
      </c>
    </row>
    <row r="5807" spans="1:5" x14ac:dyDescent="0.45">
      <c r="B5807" s="1347" t="s">
        <v>1108</v>
      </c>
      <c r="D5807" s="1347" t="s">
        <v>8625</v>
      </c>
      <c r="E5807" s="1347" t="s">
        <v>8626</v>
      </c>
    </row>
    <row r="5808" spans="1:5" x14ac:dyDescent="0.45">
      <c r="A5808" s="1347" t="s">
        <v>1105</v>
      </c>
      <c r="B5808" s="1347" t="s">
        <v>8627</v>
      </c>
      <c r="D5808" s="1347" t="s">
        <v>8628</v>
      </c>
      <c r="E5808" s="1347" t="s">
        <v>8629</v>
      </c>
    </row>
    <row r="5809" spans="1:5" x14ac:dyDescent="0.45">
      <c r="B5809" s="1347" t="s">
        <v>8630</v>
      </c>
      <c r="D5809" s="1347" t="s">
        <v>8631</v>
      </c>
      <c r="E5809" s="1347" t="s">
        <v>8632</v>
      </c>
    </row>
    <row r="5810" spans="1:5" x14ac:dyDescent="0.45">
      <c r="B5810" s="1347" t="s">
        <v>1108</v>
      </c>
      <c r="D5810" s="1347" t="s">
        <v>1109</v>
      </c>
      <c r="E5810" s="1347" t="s">
        <v>8633</v>
      </c>
    </row>
    <row r="5811" spans="1:5" x14ac:dyDescent="0.45">
      <c r="A5811" s="1347" t="s">
        <v>1105</v>
      </c>
      <c r="B5811" s="1347" t="s">
        <v>8634</v>
      </c>
      <c r="D5811" s="1347" t="s">
        <v>8635</v>
      </c>
      <c r="E5811" s="1347" t="s">
        <v>1110</v>
      </c>
    </row>
    <row r="5812" spans="1:5" x14ac:dyDescent="0.45">
      <c r="A5812" s="1347">
        <v>10</v>
      </c>
      <c r="B5812" s="1347" t="s">
        <v>8636</v>
      </c>
      <c r="C5812" s="1347" t="s">
        <v>1105</v>
      </c>
      <c r="D5812" s="1347" t="s">
        <v>8637</v>
      </c>
      <c r="E5812" s="1347" t="s">
        <v>1435</v>
      </c>
    </row>
    <row r="5813" spans="1:5" x14ac:dyDescent="0.45">
      <c r="A5813" s="1347" t="s">
        <v>1105</v>
      </c>
      <c r="B5813" s="1347" t="s">
        <v>1668</v>
      </c>
      <c r="D5813" s="1347" t="s">
        <v>8638</v>
      </c>
      <c r="E5813" s="1347" t="s">
        <v>8639</v>
      </c>
    </row>
    <row r="5814" spans="1:5" x14ac:dyDescent="0.45">
      <c r="B5814" s="1347" t="s">
        <v>8640</v>
      </c>
      <c r="D5814" s="1347" t="s">
        <v>8641</v>
      </c>
      <c r="E5814" s="1347" t="s">
        <v>8642</v>
      </c>
    </row>
    <row r="5815" spans="1:5" x14ac:dyDescent="0.45">
      <c r="A5815" s="1347">
        <v>-16</v>
      </c>
      <c r="B5815" s="1347" t="s">
        <v>8643</v>
      </c>
      <c r="C5815" s="1347">
        <v>-2</v>
      </c>
      <c r="D5815" s="1347" t="s">
        <v>8644</v>
      </c>
      <c r="E5815" s="1347" t="s">
        <v>1110</v>
      </c>
    </row>
    <row r="5816" spans="1:5" x14ac:dyDescent="0.45">
      <c r="B5816" s="1347" t="s">
        <v>8645</v>
      </c>
      <c r="C5816" s="1347" t="s">
        <v>1105</v>
      </c>
      <c r="D5816" s="1347" t="s">
        <v>8646</v>
      </c>
      <c r="E5816" s="1347" t="s">
        <v>8647</v>
      </c>
    </row>
    <row r="5817" spans="1:5" x14ac:dyDescent="0.45">
      <c r="A5817" s="1347">
        <v>4</v>
      </c>
      <c r="B5817" s="1347" t="s">
        <v>8648</v>
      </c>
      <c r="D5817" s="1347" t="s">
        <v>1109</v>
      </c>
      <c r="E5817" s="1347" t="s">
        <v>8649</v>
      </c>
    </row>
    <row r="5818" spans="1:5" x14ac:dyDescent="0.45">
      <c r="B5818" s="1347" t="s">
        <v>1108</v>
      </c>
      <c r="D5818" s="1347" t="s">
        <v>1109</v>
      </c>
      <c r="E5818" s="1347" t="s">
        <v>1110</v>
      </c>
    </row>
    <row r="5819" spans="1:5" x14ac:dyDescent="0.45">
      <c r="B5819" s="1347" t="s">
        <v>1108</v>
      </c>
      <c r="D5819" s="1347" t="s">
        <v>1701</v>
      </c>
      <c r="E5819" s="1347" t="s">
        <v>1476</v>
      </c>
    </row>
    <row r="5820" spans="1:5" x14ac:dyDescent="0.45">
      <c r="B5820" s="1347" t="s">
        <v>1502</v>
      </c>
      <c r="D5820" s="1347" t="s">
        <v>8650</v>
      </c>
      <c r="E5820" s="1347" t="s">
        <v>8651</v>
      </c>
    </row>
    <row r="5821" spans="1:5" x14ac:dyDescent="0.45">
      <c r="A5821" s="1347">
        <v>1</v>
      </c>
      <c r="B5821" s="1347" t="s">
        <v>8652</v>
      </c>
      <c r="D5821" s="1347" t="s">
        <v>8653</v>
      </c>
      <c r="E5821" s="1347" t="s">
        <v>8654</v>
      </c>
    </row>
    <row r="5822" spans="1:5" x14ac:dyDescent="0.45">
      <c r="A5822" s="1347">
        <v>5</v>
      </c>
      <c r="B5822" s="1347" t="s">
        <v>8655</v>
      </c>
      <c r="D5822" s="1347" t="s">
        <v>8656</v>
      </c>
      <c r="E5822" s="1347" t="s">
        <v>8657</v>
      </c>
    </row>
    <row r="5823" spans="1:5" x14ac:dyDescent="0.45">
      <c r="B5823" s="1347" t="s">
        <v>8658</v>
      </c>
      <c r="D5823" s="1347" t="s">
        <v>8659</v>
      </c>
      <c r="E5823" s="1347" t="s">
        <v>8660</v>
      </c>
    </row>
    <row r="5824" spans="1:5" x14ac:dyDescent="0.45">
      <c r="A5824" s="1347">
        <v>40</v>
      </c>
      <c r="B5824" s="1347" t="s">
        <v>8661</v>
      </c>
      <c r="C5824" s="1347">
        <v>2</v>
      </c>
      <c r="D5824" s="1347" t="s">
        <v>8662</v>
      </c>
      <c r="E5824" s="1347" t="s">
        <v>8663</v>
      </c>
    </row>
    <row r="5825" spans="1:5" x14ac:dyDescent="0.45">
      <c r="B5825" s="1347" t="s">
        <v>1108</v>
      </c>
      <c r="D5825" s="1347" t="s">
        <v>8664</v>
      </c>
      <c r="E5825" s="1347" t="s">
        <v>8665</v>
      </c>
    </row>
    <row r="5826" spans="1:5" x14ac:dyDescent="0.45">
      <c r="B5826" s="1347" t="s">
        <v>1108</v>
      </c>
      <c r="D5826" s="1347" t="s">
        <v>8666</v>
      </c>
      <c r="E5826" s="1347" t="s">
        <v>8667</v>
      </c>
    </row>
    <row r="5827" spans="1:5" x14ac:dyDescent="0.45">
      <c r="B5827" s="1347" t="s">
        <v>8668</v>
      </c>
      <c r="D5827" s="1347" t="s">
        <v>8669</v>
      </c>
      <c r="E5827" s="1347" t="s">
        <v>8670</v>
      </c>
    </row>
    <row r="5828" spans="1:5" x14ac:dyDescent="0.45">
      <c r="A5828" s="1347">
        <v>1</v>
      </c>
      <c r="B5828" s="1347" t="s">
        <v>6529</v>
      </c>
      <c r="D5828" s="1347" t="s">
        <v>8671</v>
      </c>
      <c r="E5828" s="1347" t="s">
        <v>8672</v>
      </c>
    </row>
    <row r="5829" spans="1:5" x14ac:dyDescent="0.45">
      <c r="B5829" s="1347" t="s">
        <v>1108</v>
      </c>
      <c r="D5829" s="1347" t="s">
        <v>8673</v>
      </c>
      <c r="E5829" s="1347" t="s">
        <v>1110</v>
      </c>
    </row>
    <row r="5830" spans="1:5" x14ac:dyDescent="0.45">
      <c r="A5830" s="1347" t="s">
        <v>1105</v>
      </c>
      <c r="B5830" s="1347" t="s">
        <v>8674</v>
      </c>
      <c r="D5830" s="1347" t="s">
        <v>8675</v>
      </c>
      <c r="E5830" s="1347" t="s">
        <v>8676</v>
      </c>
    </row>
    <row r="5831" spans="1:5" x14ac:dyDescent="0.45">
      <c r="B5831" s="1347" t="s">
        <v>1108</v>
      </c>
      <c r="D5831" s="1347" t="s">
        <v>8677</v>
      </c>
      <c r="E5831" s="1347" t="s">
        <v>8678</v>
      </c>
    </row>
    <row r="5832" spans="1:5" x14ac:dyDescent="0.45">
      <c r="A5832" s="1347" t="s">
        <v>1105</v>
      </c>
      <c r="B5832" s="1347" t="s">
        <v>6807</v>
      </c>
      <c r="C5832" s="1347" t="s">
        <v>1105</v>
      </c>
      <c r="D5832" s="1347" t="s">
        <v>8679</v>
      </c>
      <c r="E5832" s="1347" t="s">
        <v>8680</v>
      </c>
    </row>
    <row r="5833" spans="1:5" x14ac:dyDescent="0.45">
      <c r="B5833" s="1347" t="s">
        <v>1108</v>
      </c>
      <c r="D5833" s="1347" t="s">
        <v>8681</v>
      </c>
      <c r="E5833" s="1347" t="s">
        <v>8682</v>
      </c>
    </row>
    <row r="5834" spans="1:5" x14ac:dyDescent="0.45">
      <c r="A5834" s="1347">
        <v>-6</v>
      </c>
      <c r="B5834" s="1347" t="s">
        <v>8683</v>
      </c>
      <c r="D5834" s="1347" t="s">
        <v>8684</v>
      </c>
      <c r="E5834" s="1347" t="s">
        <v>8685</v>
      </c>
    </row>
    <row r="5835" spans="1:5" x14ac:dyDescent="0.45">
      <c r="B5835" s="1347" t="s">
        <v>8686</v>
      </c>
      <c r="D5835" s="1347" t="s">
        <v>8687</v>
      </c>
      <c r="E5835" s="1347" t="s">
        <v>8688</v>
      </c>
    </row>
    <row r="5836" spans="1:5" x14ac:dyDescent="0.45">
      <c r="A5836" s="1347">
        <v>-7</v>
      </c>
      <c r="B5836" s="1347" t="s">
        <v>8689</v>
      </c>
      <c r="D5836" s="1347" t="s">
        <v>8690</v>
      </c>
      <c r="E5836" s="1347" t="s">
        <v>8691</v>
      </c>
    </row>
    <row r="5837" spans="1:5" x14ac:dyDescent="0.45">
      <c r="B5837" s="1347" t="s">
        <v>8692</v>
      </c>
      <c r="D5837" s="1347" t="s">
        <v>8693</v>
      </c>
      <c r="E5837" s="1347" t="s">
        <v>8694</v>
      </c>
    </row>
    <row r="5838" spans="1:5" x14ac:dyDescent="0.45">
      <c r="A5838" s="1347">
        <v>5</v>
      </c>
      <c r="B5838" s="1347" t="s">
        <v>8695</v>
      </c>
      <c r="D5838" s="1347" t="s">
        <v>8696</v>
      </c>
      <c r="E5838" s="1347" t="s">
        <v>8697</v>
      </c>
    </row>
    <row r="5839" spans="1:5" x14ac:dyDescent="0.45">
      <c r="B5839" s="1347" t="s">
        <v>1108</v>
      </c>
      <c r="D5839" s="1347" t="s">
        <v>8698</v>
      </c>
      <c r="E5839" s="1347" t="s">
        <v>8699</v>
      </c>
    </row>
    <row r="5840" spans="1:5" x14ac:dyDescent="0.45">
      <c r="B5840" s="1347" t="s">
        <v>1108</v>
      </c>
      <c r="D5840" s="1347" t="s">
        <v>8700</v>
      </c>
      <c r="E5840" s="1347" t="s">
        <v>8701</v>
      </c>
    </row>
    <row r="5841" spans="1:5" x14ac:dyDescent="0.45">
      <c r="A5841" s="1347" t="s">
        <v>1105</v>
      </c>
      <c r="B5841" s="1347" t="s">
        <v>8702</v>
      </c>
      <c r="D5841" s="1347" t="s">
        <v>8703</v>
      </c>
      <c r="E5841" s="1347" t="s">
        <v>8704</v>
      </c>
    </row>
    <row r="5842" spans="1:5" x14ac:dyDescent="0.45">
      <c r="B5842" s="1347" t="s">
        <v>3177</v>
      </c>
      <c r="D5842" s="1347" t="s">
        <v>8705</v>
      </c>
      <c r="E5842" s="1347" t="s">
        <v>8706</v>
      </c>
    </row>
    <row r="5843" spans="1:5" x14ac:dyDescent="0.45">
      <c r="B5843" s="1347" t="s">
        <v>1108</v>
      </c>
      <c r="D5843" s="1347" t="s">
        <v>1109</v>
      </c>
      <c r="E5843" s="1347" t="s">
        <v>8707</v>
      </c>
    </row>
    <row r="5844" spans="1:5" x14ac:dyDescent="0.45">
      <c r="B5844" s="1347" t="s">
        <v>7776</v>
      </c>
      <c r="D5844" s="1347" t="s">
        <v>8708</v>
      </c>
      <c r="E5844" s="1347" t="s">
        <v>8709</v>
      </c>
    </row>
    <row r="5845" spans="1:5" x14ac:dyDescent="0.45">
      <c r="A5845" s="1347">
        <v>-1</v>
      </c>
      <c r="B5845" s="1347" t="s">
        <v>8710</v>
      </c>
      <c r="D5845" s="1347" t="s">
        <v>8711</v>
      </c>
      <c r="E5845" s="1347" t="s">
        <v>8712</v>
      </c>
    </row>
    <row r="5846" spans="1:5" x14ac:dyDescent="0.45">
      <c r="B5846" s="1347" t="s">
        <v>2605</v>
      </c>
      <c r="D5846" s="1347" t="s">
        <v>8713</v>
      </c>
      <c r="E5846" s="1347" t="s">
        <v>1958</v>
      </c>
    </row>
    <row r="5847" spans="1:5" x14ac:dyDescent="0.45">
      <c r="A5847" s="1347">
        <v>6</v>
      </c>
      <c r="B5847" s="1347" t="s">
        <v>8714</v>
      </c>
      <c r="D5847" s="1347" t="s">
        <v>8715</v>
      </c>
      <c r="E5847" s="1347" t="s">
        <v>8716</v>
      </c>
    </row>
    <row r="5848" spans="1:5" x14ac:dyDescent="0.45">
      <c r="A5848" s="1347">
        <v>-20</v>
      </c>
      <c r="B5848" s="1347" t="s">
        <v>8717</v>
      </c>
      <c r="D5848" s="1347" t="s">
        <v>1109</v>
      </c>
      <c r="E5848" s="1347" t="s">
        <v>8718</v>
      </c>
    </row>
    <row r="5849" spans="1:5" x14ac:dyDescent="0.45">
      <c r="A5849" s="1347">
        <v>1</v>
      </c>
      <c r="B5849" s="1347" t="s">
        <v>8719</v>
      </c>
      <c r="D5849" s="1347" t="s">
        <v>8720</v>
      </c>
      <c r="E5849" s="1347" t="s">
        <v>8721</v>
      </c>
    </row>
    <row r="5850" spans="1:5" x14ac:dyDescent="0.45">
      <c r="A5850" s="1347">
        <v>-35</v>
      </c>
      <c r="B5850" s="1347" t="s">
        <v>8722</v>
      </c>
      <c r="D5850" s="1347" t="s">
        <v>8723</v>
      </c>
      <c r="E5850" s="1347" t="s">
        <v>8724</v>
      </c>
    </row>
    <row r="5851" spans="1:5" x14ac:dyDescent="0.45">
      <c r="B5851" s="1347" t="s">
        <v>1108</v>
      </c>
      <c r="D5851" s="1347" t="s">
        <v>1109</v>
      </c>
      <c r="E5851" s="1347" t="s">
        <v>1110</v>
      </c>
    </row>
    <row r="5852" spans="1:5" x14ac:dyDescent="0.45">
      <c r="B5852" s="1347" t="s">
        <v>1108</v>
      </c>
      <c r="D5852" s="1347" t="s">
        <v>8725</v>
      </c>
      <c r="E5852" s="1347" t="s">
        <v>1110</v>
      </c>
    </row>
    <row r="5853" spans="1:5" x14ac:dyDescent="0.45">
      <c r="B5853" s="1347" t="s">
        <v>8726</v>
      </c>
      <c r="D5853" s="1347" t="s">
        <v>8727</v>
      </c>
      <c r="E5853" s="1347" t="s">
        <v>8728</v>
      </c>
    </row>
    <row r="5854" spans="1:5" x14ac:dyDescent="0.45">
      <c r="A5854" s="1347">
        <v>1</v>
      </c>
      <c r="B5854" s="1347" t="s">
        <v>8729</v>
      </c>
      <c r="D5854" s="1347" t="s">
        <v>8730</v>
      </c>
      <c r="E5854" s="1347" t="s">
        <v>8731</v>
      </c>
    </row>
    <row r="5855" spans="1:5" x14ac:dyDescent="0.45">
      <c r="A5855" s="1347">
        <v>2</v>
      </c>
      <c r="B5855" s="1347" t="s">
        <v>8732</v>
      </c>
      <c r="C5855" s="1347" t="s">
        <v>1105</v>
      </c>
      <c r="D5855" s="1347" t="s">
        <v>8733</v>
      </c>
      <c r="E5855" s="1347" t="s">
        <v>8734</v>
      </c>
    </row>
    <row r="5856" spans="1:5" x14ac:dyDescent="0.45">
      <c r="B5856" s="1347" t="s">
        <v>8735</v>
      </c>
      <c r="D5856" s="1347" t="s">
        <v>8736</v>
      </c>
      <c r="E5856" s="1347" t="s">
        <v>8737</v>
      </c>
    </row>
    <row r="5857" spans="1:5" x14ac:dyDescent="0.45">
      <c r="A5857" s="1347">
        <v>37</v>
      </c>
      <c r="B5857" s="1347" t="s">
        <v>8738</v>
      </c>
      <c r="C5857" s="1347">
        <v>2</v>
      </c>
      <c r="D5857" s="1347" t="s">
        <v>8739</v>
      </c>
      <c r="E5857" s="1347" t="s">
        <v>8740</v>
      </c>
    </row>
    <row r="5858" spans="1:5" x14ac:dyDescent="0.45">
      <c r="B5858" s="1347" t="s">
        <v>1108</v>
      </c>
      <c r="D5858" s="1347" t="s">
        <v>4349</v>
      </c>
      <c r="E5858" s="1347" t="s">
        <v>8741</v>
      </c>
    </row>
    <row r="5859" spans="1:5" x14ac:dyDescent="0.45">
      <c r="B5859" s="1347" t="s">
        <v>1108</v>
      </c>
      <c r="D5859" s="1347" t="s">
        <v>8742</v>
      </c>
      <c r="E5859" s="1347" t="s">
        <v>8743</v>
      </c>
    </row>
    <row r="5860" spans="1:5" x14ac:dyDescent="0.45">
      <c r="B5860" s="1347" t="s">
        <v>8744</v>
      </c>
      <c r="D5860" s="1347" t="s">
        <v>8745</v>
      </c>
      <c r="E5860" s="1347" t="s">
        <v>8746</v>
      </c>
    </row>
    <row r="5861" spans="1:5" x14ac:dyDescent="0.45">
      <c r="B5861" s="1347" t="s">
        <v>8747</v>
      </c>
      <c r="D5861" s="1347" t="s">
        <v>1357</v>
      </c>
      <c r="E5861" s="1347" t="s">
        <v>8748</v>
      </c>
    </row>
    <row r="5862" spans="1:5" x14ac:dyDescent="0.45">
      <c r="B5862" s="1347" t="s">
        <v>1108</v>
      </c>
      <c r="D5862" s="1347" t="s">
        <v>8749</v>
      </c>
      <c r="E5862" s="1347" t="s">
        <v>1110</v>
      </c>
    </row>
    <row r="5863" spans="1:5" x14ac:dyDescent="0.45">
      <c r="A5863" s="1347" t="s">
        <v>1105</v>
      </c>
      <c r="B5863" s="1347" t="s">
        <v>6194</v>
      </c>
      <c r="D5863" s="1347" t="s">
        <v>8750</v>
      </c>
      <c r="E5863" s="1347" t="s">
        <v>8751</v>
      </c>
    </row>
    <row r="5864" spans="1:5" x14ac:dyDescent="0.45">
      <c r="B5864" s="1347" t="s">
        <v>1108</v>
      </c>
      <c r="D5864" s="1347" t="s">
        <v>8752</v>
      </c>
      <c r="E5864" s="1347" t="s">
        <v>8753</v>
      </c>
    </row>
    <row r="5865" spans="1:5" x14ac:dyDescent="0.45">
      <c r="A5865" s="1347" t="s">
        <v>1105</v>
      </c>
      <c r="B5865" s="1347" t="s">
        <v>8754</v>
      </c>
      <c r="D5865" s="1347">
        <f>-986   -857   -346   -94</f>
        <v>-2283</v>
      </c>
      <c r="E5865" s="1347" t="s">
        <v>8755</v>
      </c>
    </row>
    <row r="5866" spans="1:5" x14ac:dyDescent="0.45">
      <c r="B5866" s="1347" t="s">
        <v>1108</v>
      </c>
      <c r="D5866" s="1347" t="s">
        <v>8756</v>
      </c>
      <c r="E5866" s="1347" t="s">
        <v>8757</v>
      </c>
    </row>
    <row r="5867" spans="1:5" x14ac:dyDescent="0.45">
      <c r="A5867" s="1347">
        <v>-2</v>
      </c>
      <c r="B5867" s="1347" t="s">
        <v>8758</v>
      </c>
      <c r="C5867" s="1347" t="s">
        <v>1105</v>
      </c>
      <c r="D5867" s="1347" t="s">
        <v>8759</v>
      </c>
      <c r="E5867" s="1347" t="s">
        <v>8760</v>
      </c>
    </row>
    <row r="5868" spans="1:5" x14ac:dyDescent="0.45">
      <c r="B5868" s="1347" t="s">
        <v>8761</v>
      </c>
      <c r="D5868" s="1347" t="s">
        <v>8762</v>
      </c>
      <c r="E5868" s="1347" t="s">
        <v>8763</v>
      </c>
    </row>
    <row r="5869" spans="1:5" x14ac:dyDescent="0.45">
      <c r="A5869" s="1347">
        <v>3</v>
      </c>
      <c r="B5869" s="1347" t="s">
        <v>8764</v>
      </c>
      <c r="D5869" s="1347" t="s">
        <v>8765</v>
      </c>
      <c r="E5869" s="1347" t="s">
        <v>8766</v>
      </c>
    </row>
    <row r="5870" spans="1:5" x14ac:dyDescent="0.45">
      <c r="B5870" s="1347" t="s">
        <v>8767</v>
      </c>
      <c r="D5870" s="1347" t="s">
        <v>8768</v>
      </c>
      <c r="E5870" s="1347" t="s">
        <v>8769</v>
      </c>
    </row>
    <row r="5871" spans="1:5" x14ac:dyDescent="0.45">
      <c r="A5871" s="1347">
        <v>-17</v>
      </c>
      <c r="B5871" s="1347" t="s">
        <v>8770</v>
      </c>
      <c r="D5871" s="1347" t="s">
        <v>8771</v>
      </c>
      <c r="E5871" s="1347" t="s">
        <v>8772</v>
      </c>
    </row>
    <row r="5872" spans="1:5" x14ac:dyDescent="0.45">
      <c r="B5872" s="1347" t="s">
        <v>1108</v>
      </c>
      <c r="D5872" s="1347" t="s">
        <v>8773</v>
      </c>
      <c r="E5872" s="1347" t="s">
        <v>8774</v>
      </c>
    </row>
    <row r="5873" spans="1:5" x14ac:dyDescent="0.45">
      <c r="B5873" s="1347" t="s">
        <v>1108</v>
      </c>
      <c r="C5873" s="1347">
        <v>1</v>
      </c>
      <c r="D5873" s="1347" t="s">
        <v>8775</v>
      </c>
      <c r="E5873" s="1347" t="s">
        <v>8776</v>
      </c>
    </row>
    <row r="5874" spans="1:5" x14ac:dyDescent="0.45">
      <c r="A5874" s="1347" t="s">
        <v>1105</v>
      </c>
      <c r="B5874" s="1347" t="s">
        <v>5901</v>
      </c>
      <c r="D5874" s="1347" t="s">
        <v>8777</v>
      </c>
      <c r="E5874" s="1347" t="s">
        <v>8778</v>
      </c>
    </row>
    <row r="5875" spans="1:5" x14ac:dyDescent="0.45">
      <c r="B5875" s="1347" t="s">
        <v>8779</v>
      </c>
      <c r="D5875" s="1347" t="s">
        <v>8780</v>
      </c>
      <c r="E5875" s="1347" t="s">
        <v>8781</v>
      </c>
    </row>
    <row r="5876" spans="1:5" x14ac:dyDescent="0.45">
      <c r="B5876" s="1347" t="s">
        <v>1108</v>
      </c>
      <c r="D5876" s="1347" t="s">
        <v>1109</v>
      </c>
      <c r="E5876" s="1347" t="s">
        <v>8782</v>
      </c>
    </row>
    <row r="5877" spans="1:5" x14ac:dyDescent="0.45">
      <c r="B5877" s="1347" t="s">
        <v>5821</v>
      </c>
      <c r="D5877" s="1347" t="s">
        <v>8783</v>
      </c>
      <c r="E5877" s="1347" t="s">
        <v>8784</v>
      </c>
    </row>
    <row r="5878" spans="1:5" x14ac:dyDescent="0.45">
      <c r="A5878" s="1347">
        <v>-1</v>
      </c>
      <c r="B5878" s="1347" t="s">
        <v>8785</v>
      </c>
      <c r="D5878" s="1347" t="s">
        <v>8786</v>
      </c>
      <c r="E5878" s="1347" t="s">
        <v>3024</v>
      </c>
    </row>
    <row r="5879" spans="1:5" x14ac:dyDescent="0.45">
      <c r="B5879" s="1347" t="s">
        <v>6760</v>
      </c>
      <c r="D5879" s="1347" t="s">
        <v>8787</v>
      </c>
      <c r="E5879" s="1347" t="s">
        <v>1350</v>
      </c>
    </row>
    <row r="5880" spans="1:5" x14ac:dyDescent="0.45">
      <c r="A5880" s="1347">
        <v>7</v>
      </c>
      <c r="B5880" s="1347" t="s">
        <v>5660</v>
      </c>
      <c r="D5880" s="1347" t="s">
        <v>8788</v>
      </c>
      <c r="E5880" s="1347" t="s">
        <v>8789</v>
      </c>
    </row>
    <row r="5881" spans="1:5" x14ac:dyDescent="0.45">
      <c r="A5881" s="1347">
        <v>-16</v>
      </c>
      <c r="B5881" s="1347" t="s">
        <v>8790</v>
      </c>
      <c r="D5881" s="1347" t="s">
        <v>1109</v>
      </c>
      <c r="E5881" s="1347" t="s">
        <v>8791</v>
      </c>
    </row>
    <row r="5882" spans="1:5" x14ac:dyDescent="0.45">
      <c r="A5882" s="1347">
        <v>1</v>
      </c>
      <c r="B5882" s="1347" t="s">
        <v>8792</v>
      </c>
      <c r="D5882" s="1347" t="s">
        <v>8793</v>
      </c>
      <c r="E5882" s="1347" t="s">
        <v>8794</v>
      </c>
    </row>
    <row r="5883" spans="1:5" x14ac:dyDescent="0.45">
      <c r="A5883" s="1347">
        <v>-36</v>
      </c>
      <c r="B5883" s="1347" t="s">
        <v>8795</v>
      </c>
      <c r="D5883" s="1347" t="s">
        <v>8796</v>
      </c>
      <c r="E5883" s="1347" t="s">
        <v>8797</v>
      </c>
    </row>
    <row r="5884" spans="1:5" x14ac:dyDescent="0.45">
      <c r="B5884" s="1347" t="s">
        <v>1108</v>
      </c>
      <c r="D5884" s="1347" t="s">
        <v>1109</v>
      </c>
      <c r="E5884" s="1347" t="s">
        <v>1110</v>
      </c>
    </row>
    <row r="5885" spans="1:5" x14ac:dyDescent="0.45">
      <c r="B5885" s="1347" t="s">
        <v>1108</v>
      </c>
      <c r="D5885" s="1347" t="s">
        <v>8798</v>
      </c>
      <c r="E5885" s="1347" t="s">
        <v>1110</v>
      </c>
    </row>
    <row r="5886" spans="1:5" x14ac:dyDescent="0.45">
      <c r="B5886" s="1347" t="s">
        <v>8799</v>
      </c>
      <c r="D5886" s="1347" t="s">
        <v>8800</v>
      </c>
      <c r="E5886" s="1347" t="s">
        <v>8801</v>
      </c>
    </row>
    <row r="5887" spans="1:5" x14ac:dyDescent="0.45">
      <c r="B5887" s="1347" t="s">
        <v>8802</v>
      </c>
      <c r="D5887" s="1347" t="s">
        <v>8803</v>
      </c>
      <c r="E5887" s="1347" t="s">
        <v>8804</v>
      </c>
    </row>
    <row r="5888" spans="1:5" x14ac:dyDescent="0.45">
      <c r="A5888" s="1347">
        <v>1</v>
      </c>
      <c r="B5888" s="1347" t="s">
        <v>8805</v>
      </c>
      <c r="D5888" s="1347" t="s">
        <v>8806</v>
      </c>
      <c r="E5888" s="1347" t="s">
        <v>8807</v>
      </c>
    </row>
    <row r="5889" spans="1:5" x14ac:dyDescent="0.45">
      <c r="B5889" s="1347" t="s">
        <v>8808</v>
      </c>
      <c r="D5889" s="1347" t="s">
        <v>8809</v>
      </c>
      <c r="E5889" s="1347" t="s">
        <v>8810</v>
      </c>
    </row>
    <row r="5890" spans="1:5" x14ac:dyDescent="0.45">
      <c r="A5890" s="1347">
        <v>28</v>
      </c>
      <c r="B5890" s="1347" t="s">
        <v>8811</v>
      </c>
      <c r="C5890" s="1347">
        <v>2</v>
      </c>
      <c r="D5890" s="1347" t="s">
        <v>8812</v>
      </c>
      <c r="E5890" s="1347" t="s">
        <v>8813</v>
      </c>
    </row>
    <row r="5891" spans="1:5" x14ac:dyDescent="0.45">
      <c r="A5891" s="1347">
        <v>2</v>
      </c>
      <c r="B5891" s="1347" t="s">
        <v>8814</v>
      </c>
      <c r="D5891" s="1347" t="s">
        <v>1570</v>
      </c>
      <c r="E5891" s="1347" t="s">
        <v>8815</v>
      </c>
    </row>
    <row r="5892" spans="1:5" x14ac:dyDescent="0.45">
      <c r="B5892" s="1347" t="s">
        <v>1108</v>
      </c>
      <c r="D5892" s="1347" t="s">
        <v>1638</v>
      </c>
      <c r="E5892" s="1347" t="s">
        <v>8816</v>
      </c>
    </row>
    <row r="5893" spans="1:5" x14ac:dyDescent="0.45">
      <c r="A5893" s="1347">
        <v>1</v>
      </c>
      <c r="B5893" s="1347" t="s">
        <v>5081</v>
      </c>
      <c r="D5893" s="1347" t="s">
        <v>8817</v>
      </c>
      <c r="E5893" s="1347" t="s">
        <v>8818</v>
      </c>
    </row>
    <row r="5894" spans="1:5" x14ac:dyDescent="0.45">
      <c r="A5894" s="1347">
        <v>2</v>
      </c>
      <c r="B5894" s="1347" t="s">
        <v>8819</v>
      </c>
      <c r="D5894" s="1347" t="s">
        <v>8820</v>
      </c>
      <c r="E5894" s="1347" t="s">
        <v>8821</v>
      </c>
    </row>
    <row r="5895" spans="1:5" x14ac:dyDescent="0.45">
      <c r="B5895" s="1347" t="s">
        <v>1108</v>
      </c>
      <c r="D5895" s="1347" t="s">
        <v>8822</v>
      </c>
      <c r="E5895" s="1347" t="s">
        <v>1156</v>
      </c>
    </row>
    <row r="5896" spans="1:5" x14ac:dyDescent="0.45">
      <c r="B5896" s="1347" t="s">
        <v>8823</v>
      </c>
      <c r="D5896" s="1347" t="s">
        <v>8824</v>
      </c>
      <c r="E5896" s="1347" t="s">
        <v>8825</v>
      </c>
    </row>
    <row r="5897" spans="1:5" x14ac:dyDescent="0.45">
      <c r="A5897" s="1347">
        <v>-2</v>
      </c>
      <c r="B5897" s="1347" t="s">
        <v>3190</v>
      </c>
      <c r="D5897" s="1347" t="s">
        <v>8826</v>
      </c>
      <c r="E5897" s="1347" t="s">
        <v>8827</v>
      </c>
    </row>
    <row r="5898" spans="1:5" x14ac:dyDescent="0.45">
      <c r="B5898" s="1347" t="s">
        <v>8828</v>
      </c>
      <c r="D5898" s="1347" t="s">
        <v>8829</v>
      </c>
      <c r="E5898" s="1347" t="s">
        <v>8830</v>
      </c>
    </row>
    <row r="5899" spans="1:5" x14ac:dyDescent="0.45">
      <c r="B5899" s="1347" t="s">
        <v>1108</v>
      </c>
      <c r="D5899" s="1347" t="s">
        <v>8831</v>
      </c>
      <c r="E5899" s="1347" t="s">
        <v>8832</v>
      </c>
    </row>
    <row r="5900" spans="1:5" x14ac:dyDescent="0.45">
      <c r="B5900" s="1347" t="s">
        <v>8833</v>
      </c>
      <c r="D5900" s="1347" t="s">
        <v>8834</v>
      </c>
      <c r="E5900" s="1347" t="s">
        <v>8835</v>
      </c>
    </row>
    <row r="5901" spans="1:5" x14ac:dyDescent="0.45">
      <c r="B5901" s="1347" t="s">
        <v>8836</v>
      </c>
      <c r="D5901" s="1347" t="s">
        <v>8837</v>
      </c>
      <c r="E5901" s="1347" t="s">
        <v>8838</v>
      </c>
    </row>
    <row r="5902" spans="1:5" x14ac:dyDescent="0.45">
      <c r="A5902" s="1347" t="s">
        <v>1105</v>
      </c>
      <c r="B5902" s="1347" t="s">
        <v>8839</v>
      </c>
      <c r="D5902" s="1347" t="s">
        <v>8840</v>
      </c>
      <c r="E5902" s="1347" t="s">
        <v>8841</v>
      </c>
    </row>
    <row r="5903" spans="1:5" x14ac:dyDescent="0.45">
      <c r="B5903" s="1347" t="s">
        <v>8842</v>
      </c>
      <c r="D5903" s="1347" t="s">
        <v>8843</v>
      </c>
      <c r="E5903" s="1347" t="s">
        <v>8844</v>
      </c>
    </row>
    <row r="5904" spans="1:5" x14ac:dyDescent="0.45">
      <c r="A5904" s="1347">
        <v>4</v>
      </c>
      <c r="B5904" s="1347" t="s">
        <v>8845</v>
      </c>
      <c r="D5904" s="1347" t="s">
        <v>8846</v>
      </c>
      <c r="E5904" s="1347" t="s">
        <v>8847</v>
      </c>
    </row>
    <row r="5905" spans="1:5" x14ac:dyDescent="0.45">
      <c r="A5905" s="1347" t="s">
        <v>1105</v>
      </c>
      <c r="B5905" s="1347" t="s">
        <v>8848</v>
      </c>
      <c r="D5905" s="1347" t="s">
        <v>8849</v>
      </c>
      <c r="E5905" s="1347" t="s">
        <v>8850</v>
      </c>
    </row>
    <row r="5906" spans="1:5" x14ac:dyDescent="0.45">
      <c r="B5906" s="1347" t="s">
        <v>1108</v>
      </c>
      <c r="D5906" s="1347" t="s">
        <v>8851</v>
      </c>
      <c r="E5906" s="1347" t="s">
        <v>8852</v>
      </c>
    </row>
    <row r="5907" spans="1:5" x14ac:dyDescent="0.45">
      <c r="A5907" s="1347">
        <v>2</v>
      </c>
      <c r="B5907" s="1347" t="s">
        <v>8853</v>
      </c>
      <c r="D5907" s="1347" t="s">
        <v>8854</v>
      </c>
      <c r="E5907" s="1347" t="s">
        <v>8855</v>
      </c>
    </row>
    <row r="5908" spans="1:5" x14ac:dyDescent="0.45">
      <c r="B5908" s="1347" t="s">
        <v>8856</v>
      </c>
      <c r="D5908" s="1347" t="s">
        <v>8857</v>
      </c>
      <c r="E5908" s="1347" t="s">
        <v>8858</v>
      </c>
    </row>
    <row r="5909" spans="1:5" x14ac:dyDescent="0.45">
      <c r="B5909" s="1347" t="s">
        <v>1108</v>
      </c>
      <c r="D5909" s="1347" t="s">
        <v>1109</v>
      </c>
      <c r="E5909" s="1347" t="s">
        <v>8859</v>
      </c>
    </row>
    <row r="5910" spans="1:5" x14ac:dyDescent="0.45">
      <c r="A5910" s="1347">
        <v>3</v>
      </c>
      <c r="B5910" s="1347" t="s">
        <v>8860</v>
      </c>
      <c r="D5910" s="1347" t="s">
        <v>8861</v>
      </c>
      <c r="E5910" s="1347" t="s">
        <v>1110</v>
      </c>
    </row>
    <row r="5911" spans="1:5" x14ac:dyDescent="0.45">
      <c r="A5911" s="1347">
        <v>3</v>
      </c>
      <c r="B5911" s="1347" t="s">
        <v>8862</v>
      </c>
      <c r="D5911" s="1347" t="s">
        <v>8863</v>
      </c>
      <c r="E5911" s="1347" t="s">
        <v>1476</v>
      </c>
    </row>
    <row r="5912" spans="1:5" x14ac:dyDescent="0.45">
      <c r="B5912" s="1347" t="s">
        <v>1935</v>
      </c>
      <c r="D5912" s="1347" t="s">
        <v>8864</v>
      </c>
      <c r="E5912" s="1347" t="s">
        <v>8865</v>
      </c>
    </row>
    <row r="5913" spans="1:5" x14ac:dyDescent="0.45">
      <c r="B5913" s="1347" t="s">
        <v>8866</v>
      </c>
      <c r="D5913" s="1347" t="s">
        <v>8867</v>
      </c>
      <c r="E5913" s="1347" t="s">
        <v>8868</v>
      </c>
    </row>
    <row r="5914" spans="1:5" x14ac:dyDescent="0.45">
      <c r="A5914" s="1347">
        <v>-16</v>
      </c>
      <c r="B5914" s="1347" t="s">
        <v>8869</v>
      </c>
      <c r="C5914" s="1347">
        <v>-1</v>
      </c>
      <c r="D5914" s="1347" t="s">
        <v>8870</v>
      </c>
      <c r="E5914" s="1347" t="s">
        <v>1110</v>
      </c>
    </row>
    <row r="5915" spans="1:5" x14ac:dyDescent="0.45">
      <c r="B5915" s="1347" t="s">
        <v>8871</v>
      </c>
      <c r="D5915" s="1347" t="s">
        <v>8872</v>
      </c>
      <c r="E5915" s="1347" t="s">
        <v>8873</v>
      </c>
    </row>
    <row r="5916" spans="1:5" x14ac:dyDescent="0.45">
      <c r="A5916" s="1347">
        <v>2</v>
      </c>
      <c r="B5916" s="1347" t="s">
        <v>8874</v>
      </c>
      <c r="D5916" s="1347" t="s">
        <v>1109</v>
      </c>
      <c r="E5916" s="1347" t="s">
        <v>8875</v>
      </c>
    </row>
    <row r="5917" spans="1:5" x14ac:dyDescent="0.45">
      <c r="B5917" s="1347" t="s">
        <v>1108</v>
      </c>
      <c r="D5917" s="1347" t="s">
        <v>1109</v>
      </c>
      <c r="E5917" s="1347" t="s">
        <v>1110</v>
      </c>
    </row>
    <row r="5918" spans="1:5" x14ac:dyDescent="0.45">
      <c r="B5918" s="1347" t="s">
        <v>1108</v>
      </c>
      <c r="D5918" s="1347" t="s">
        <v>8876</v>
      </c>
      <c r="E5918" s="1347" t="s">
        <v>1958</v>
      </c>
    </row>
    <row r="5919" spans="1:5" x14ac:dyDescent="0.45">
      <c r="B5919" s="1347" t="s">
        <v>2912</v>
      </c>
      <c r="D5919" s="1347" t="s">
        <v>8877</v>
      </c>
      <c r="E5919" s="1347" t="s">
        <v>8878</v>
      </c>
    </row>
    <row r="5920" spans="1:5" x14ac:dyDescent="0.45">
      <c r="B5920" s="1347" t="s">
        <v>8879</v>
      </c>
      <c r="D5920" s="1347" t="s">
        <v>8880</v>
      </c>
      <c r="E5920" s="1347" t="s">
        <v>8881</v>
      </c>
    </row>
    <row r="5921" spans="1:5" x14ac:dyDescent="0.45">
      <c r="A5921" s="1347">
        <v>1</v>
      </c>
      <c r="B5921" s="1347" t="s">
        <v>8882</v>
      </c>
      <c r="D5921" s="1347" t="s">
        <v>8883</v>
      </c>
      <c r="E5921" s="1347" t="s">
        <v>8884</v>
      </c>
    </row>
    <row r="5922" spans="1:5" x14ac:dyDescent="0.45">
      <c r="B5922" s="1347" t="s">
        <v>8885</v>
      </c>
      <c r="D5922" s="1347" t="s">
        <v>8886</v>
      </c>
      <c r="E5922" s="1347" t="s">
        <v>8887</v>
      </c>
    </row>
    <row r="5923" spans="1:5" x14ac:dyDescent="0.45">
      <c r="A5923" s="1347">
        <v>20</v>
      </c>
      <c r="B5923" s="1347" t="s">
        <v>8888</v>
      </c>
      <c r="C5923" s="1347">
        <v>2</v>
      </c>
      <c r="D5923" s="1347" t="s">
        <v>8889</v>
      </c>
      <c r="E5923" s="1347" t="s">
        <v>8890</v>
      </c>
    </row>
    <row r="5924" spans="1:5" x14ac:dyDescent="0.45">
      <c r="A5924" s="1347">
        <v>-1</v>
      </c>
      <c r="B5924" s="1347" t="s">
        <v>8891</v>
      </c>
      <c r="D5924" s="1347" t="s">
        <v>8892</v>
      </c>
      <c r="E5924" s="1347" t="s">
        <v>8893</v>
      </c>
    </row>
    <row r="5925" spans="1:5" x14ac:dyDescent="0.45">
      <c r="B5925" s="1347" t="s">
        <v>8894</v>
      </c>
      <c r="D5925" s="1347" t="s">
        <v>1109</v>
      </c>
      <c r="E5925" s="1347" t="s">
        <v>8895</v>
      </c>
    </row>
    <row r="5926" spans="1:5" x14ac:dyDescent="0.45">
      <c r="A5926" s="1347">
        <v>-1</v>
      </c>
      <c r="B5926" s="1347" t="s">
        <v>4127</v>
      </c>
      <c r="D5926" s="1347" t="s">
        <v>8896</v>
      </c>
      <c r="E5926" s="1347" t="s">
        <v>8897</v>
      </c>
    </row>
    <row r="5927" spans="1:5" x14ac:dyDescent="0.45">
      <c r="A5927" s="1347">
        <v>2</v>
      </c>
      <c r="B5927" s="1347" t="s">
        <v>8898</v>
      </c>
      <c r="D5927" s="1347" t="s">
        <v>8899</v>
      </c>
      <c r="E5927" s="1347" t="s">
        <v>1156</v>
      </c>
    </row>
    <row r="5928" spans="1:5" x14ac:dyDescent="0.45">
      <c r="B5928" s="1347" t="s">
        <v>8900</v>
      </c>
      <c r="D5928" s="1347" t="s">
        <v>7536</v>
      </c>
      <c r="E5928" s="1347" t="s">
        <v>8901</v>
      </c>
    </row>
    <row r="5929" spans="1:5" x14ac:dyDescent="0.45">
      <c r="B5929" s="1347" t="s">
        <v>1108</v>
      </c>
      <c r="D5929" s="1347" t="s">
        <v>8902</v>
      </c>
      <c r="E5929" s="1347" t="s">
        <v>8903</v>
      </c>
    </row>
    <row r="5930" spans="1:5" x14ac:dyDescent="0.45">
      <c r="A5930" s="1347">
        <v>-1</v>
      </c>
      <c r="B5930" s="1347" t="s">
        <v>8904</v>
      </c>
      <c r="C5930" s="1347" t="s">
        <v>1105</v>
      </c>
      <c r="D5930" s="1347" t="s">
        <v>8905</v>
      </c>
      <c r="E5930" s="1347" t="s">
        <v>8906</v>
      </c>
    </row>
    <row r="5931" spans="1:5" x14ac:dyDescent="0.45">
      <c r="B5931" s="1347" t="s">
        <v>1108</v>
      </c>
      <c r="D5931" s="1347" t="s">
        <v>8907</v>
      </c>
      <c r="E5931" s="1347" t="s">
        <v>8908</v>
      </c>
    </row>
    <row r="5932" spans="1:5" x14ac:dyDescent="0.45">
      <c r="A5932" s="1347" t="s">
        <v>1105</v>
      </c>
      <c r="B5932" s="1347" t="s">
        <v>8909</v>
      </c>
      <c r="D5932" s="1347" t="s">
        <v>1109</v>
      </c>
      <c r="E5932" s="1347" t="s">
        <v>8910</v>
      </c>
    </row>
    <row r="5933" spans="1:5" x14ac:dyDescent="0.45">
      <c r="A5933" s="1347" t="s">
        <v>1105</v>
      </c>
      <c r="B5933" s="1347" t="s">
        <v>8911</v>
      </c>
      <c r="D5933" s="1347" t="s">
        <v>8912</v>
      </c>
      <c r="E5933" s="1347" t="s">
        <v>8913</v>
      </c>
    </row>
    <row r="5934" spans="1:5" x14ac:dyDescent="0.45">
      <c r="A5934" s="1347">
        <v>5</v>
      </c>
      <c r="B5934" s="1347" t="s">
        <v>8914</v>
      </c>
      <c r="D5934" s="1347" t="s">
        <v>8915</v>
      </c>
      <c r="E5934" s="1347" t="s">
        <v>8916</v>
      </c>
    </row>
    <row r="5935" spans="1:5" x14ac:dyDescent="0.45">
      <c r="B5935" s="1347" t="s">
        <v>8917</v>
      </c>
      <c r="D5935" s="1347" t="s">
        <v>8918</v>
      </c>
      <c r="E5935" s="1347" t="s">
        <v>1275</v>
      </c>
    </row>
    <row r="5936" spans="1:5" x14ac:dyDescent="0.45">
      <c r="B5936" s="1347" t="s">
        <v>8919</v>
      </c>
      <c r="D5936" s="1347" t="s">
        <v>8920</v>
      </c>
      <c r="E5936" s="1347" t="s">
        <v>8921</v>
      </c>
    </row>
    <row r="5937" spans="1:5" x14ac:dyDescent="0.45">
      <c r="A5937" s="1347">
        <v>-3</v>
      </c>
      <c r="B5937" s="1347" t="s">
        <v>8922</v>
      </c>
      <c r="D5937" s="1347" t="s">
        <v>8923</v>
      </c>
      <c r="E5937" s="1347" t="s">
        <v>8924</v>
      </c>
    </row>
    <row r="5938" spans="1:5" x14ac:dyDescent="0.45">
      <c r="B5938" s="1347" t="s">
        <v>3514</v>
      </c>
      <c r="D5938" s="1347" t="s">
        <v>8925</v>
      </c>
      <c r="E5938" s="1347" t="s">
        <v>8926</v>
      </c>
    </row>
    <row r="5939" spans="1:5" x14ac:dyDescent="0.45">
      <c r="B5939" s="1347" t="s">
        <v>1108</v>
      </c>
      <c r="D5939" s="1347" t="s">
        <v>8927</v>
      </c>
      <c r="E5939" s="1347" t="s">
        <v>8928</v>
      </c>
    </row>
    <row r="5940" spans="1:5" x14ac:dyDescent="0.45">
      <c r="B5940" s="1347" t="s">
        <v>8929</v>
      </c>
      <c r="C5940" s="1347" t="s">
        <v>1105</v>
      </c>
      <c r="D5940" s="1347" t="s">
        <v>8930</v>
      </c>
      <c r="E5940" s="1347" t="s">
        <v>8931</v>
      </c>
    </row>
    <row r="5941" spans="1:5" x14ac:dyDescent="0.45">
      <c r="A5941" s="1347" t="s">
        <v>1105</v>
      </c>
      <c r="B5941" s="1347" t="s">
        <v>8932</v>
      </c>
      <c r="D5941" s="1347" t="s">
        <v>8933</v>
      </c>
      <c r="E5941" s="1347" t="s">
        <v>8934</v>
      </c>
    </row>
    <row r="5942" spans="1:5" x14ac:dyDescent="0.45">
      <c r="A5942" s="1347" t="s">
        <v>1105</v>
      </c>
      <c r="B5942" s="1347" t="s">
        <v>8714</v>
      </c>
      <c r="D5942" s="1347" t="s">
        <v>1109</v>
      </c>
      <c r="E5942" s="1347" t="s">
        <v>8935</v>
      </c>
    </row>
    <row r="5943" spans="1:5" x14ac:dyDescent="0.45">
      <c r="B5943" s="1347" t="s">
        <v>8936</v>
      </c>
      <c r="D5943" s="1347" t="s">
        <v>8937</v>
      </c>
      <c r="E5943" s="1347" t="s">
        <v>8938</v>
      </c>
    </row>
    <row r="5944" spans="1:5" x14ac:dyDescent="0.45">
      <c r="B5944" s="1347" t="s">
        <v>1108</v>
      </c>
      <c r="C5944" s="1347">
        <v>-1</v>
      </c>
      <c r="D5944" s="1347" t="s">
        <v>8939</v>
      </c>
      <c r="E5944" s="1347" t="s">
        <v>8940</v>
      </c>
    </row>
    <row r="5945" spans="1:5" x14ac:dyDescent="0.45">
      <c r="B5945" s="1347" t="s">
        <v>1108</v>
      </c>
      <c r="D5945" s="1347" t="s">
        <v>8941</v>
      </c>
      <c r="E5945" s="1347" t="s">
        <v>8942</v>
      </c>
    </row>
    <row r="5946" spans="1:5" x14ac:dyDescent="0.45">
      <c r="B5946" s="1347" t="s">
        <v>1108</v>
      </c>
      <c r="D5946" s="1347" t="s">
        <v>8943</v>
      </c>
      <c r="E5946" s="1347" t="s">
        <v>8944</v>
      </c>
    </row>
    <row r="5947" spans="1:5" x14ac:dyDescent="0.45">
      <c r="A5947" s="1347">
        <v>9</v>
      </c>
      <c r="B5947" s="1347" t="s">
        <v>8945</v>
      </c>
      <c r="C5947" s="1347">
        <v>-2</v>
      </c>
      <c r="D5947" s="1347" t="s">
        <v>8946</v>
      </c>
      <c r="E5947" s="1347" t="s">
        <v>1110</v>
      </c>
    </row>
    <row r="5948" spans="1:5" x14ac:dyDescent="0.45">
      <c r="B5948" s="1347" t="s">
        <v>1108</v>
      </c>
      <c r="D5948" s="1347" t="s">
        <v>8947</v>
      </c>
      <c r="E5948" s="1347" t="s">
        <v>8948</v>
      </c>
    </row>
    <row r="5949" spans="1:5" x14ac:dyDescent="0.45">
      <c r="A5949" s="1347">
        <v>3</v>
      </c>
      <c r="B5949" s="1347" t="s">
        <v>8572</v>
      </c>
      <c r="D5949" s="1347" t="s">
        <v>8949</v>
      </c>
      <c r="E5949" s="1347" t="s">
        <v>8950</v>
      </c>
    </row>
    <row r="5950" spans="1:5" x14ac:dyDescent="0.45">
      <c r="A5950" s="1347">
        <v>-3</v>
      </c>
      <c r="B5950" s="1347" t="s">
        <v>8951</v>
      </c>
      <c r="D5950" s="1347" t="s">
        <v>1109</v>
      </c>
      <c r="E5950" s="1347" t="s">
        <v>1110</v>
      </c>
    </row>
    <row r="5951" spans="1:5" x14ac:dyDescent="0.45">
      <c r="B5951" s="1347" t="s">
        <v>1108</v>
      </c>
      <c r="D5951" s="1347" t="s">
        <v>1109</v>
      </c>
      <c r="E5951" s="1347" t="s">
        <v>8952</v>
      </c>
    </row>
    <row r="5952" spans="1:5" x14ac:dyDescent="0.45">
      <c r="B5952" s="1347" t="s">
        <v>1108</v>
      </c>
      <c r="D5952" s="1347" t="s">
        <v>8953</v>
      </c>
      <c r="E5952" s="1347" t="s">
        <v>8954</v>
      </c>
    </row>
    <row r="5953" spans="1:5" x14ac:dyDescent="0.45">
      <c r="A5953" s="1347">
        <v>-1</v>
      </c>
      <c r="B5953" s="1347" t="s">
        <v>8955</v>
      </c>
      <c r="D5953" s="1347" t="s">
        <v>8956</v>
      </c>
      <c r="E5953" s="1347" t="s">
        <v>8957</v>
      </c>
    </row>
    <row r="5954" spans="1:5" x14ac:dyDescent="0.45">
      <c r="B5954" s="1347" t="s">
        <v>8958</v>
      </c>
      <c r="D5954" s="1347" t="s">
        <v>8959</v>
      </c>
      <c r="E5954" s="1347" t="s">
        <v>8960</v>
      </c>
    </row>
    <row r="5955" spans="1:5" x14ac:dyDescent="0.45">
      <c r="A5955" s="1347">
        <v>3</v>
      </c>
      <c r="B5955" s="1347" t="s">
        <v>8961</v>
      </c>
      <c r="D5955" s="1347" t="s">
        <v>8962</v>
      </c>
      <c r="E5955" s="1347" t="s">
        <v>8963</v>
      </c>
    </row>
    <row r="5956" spans="1:5" x14ac:dyDescent="0.45">
      <c r="A5956" s="1347">
        <v>3</v>
      </c>
      <c r="B5956" s="1347" t="s">
        <v>8964</v>
      </c>
      <c r="C5956" s="1347">
        <v>3</v>
      </c>
      <c r="D5956" s="1347" t="s">
        <v>8965</v>
      </c>
      <c r="E5956" s="1347" t="s">
        <v>8966</v>
      </c>
    </row>
    <row r="5957" spans="1:5" x14ac:dyDescent="0.45">
      <c r="A5957" s="1347">
        <v>32</v>
      </c>
      <c r="B5957" s="1347" t="s">
        <v>8967</v>
      </c>
      <c r="D5957" s="1347">
        <f>-19   -152   -305   -52</f>
        <v>-528</v>
      </c>
      <c r="E5957" s="1347" t="s">
        <v>8968</v>
      </c>
    </row>
    <row r="5958" spans="1:5" x14ac:dyDescent="0.45">
      <c r="B5958" s="1347" t="s">
        <v>1108</v>
      </c>
      <c r="D5958" s="1347" t="s">
        <v>8969</v>
      </c>
      <c r="E5958" s="1347" t="s">
        <v>1110</v>
      </c>
    </row>
    <row r="5959" spans="1:5" x14ac:dyDescent="0.45">
      <c r="A5959" s="1347">
        <v>1</v>
      </c>
      <c r="B5959" s="1347" t="s">
        <v>8970</v>
      </c>
      <c r="D5959" s="1347" t="s">
        <v>8971</v>
      </c>
      <c r="E5959" s="1347" t="s">
        <v>8972</v>
      </c>
    </row>
    <row r="5960" spans="1:5" x14ac:dyDescent="0.45">
      <c r="B5960" s="1347" t="s">
        <v>8973</v>
      </c>
      <c r="D5960" s="1347">
        <f>-65   -111   -280   -45</f>
        <v>-501</v>
      </c>
      <c r="E5960" s="1347" t="s">
        <v>8974</v>
      </c>
    </row>
    <row r="5961" spans="1:5" x14ac:dyDescent="0.45">
      <c r="B5961" s="1347" t="s">
        <v>1108</v>
      </c>
      <c r="D5961" s="1347" t="s">
        <v>8975</v>
      </c>
      <c r="E5961" s="1347" t="s">
        <v>8976</v>
      </c>
    </row>
    <row r="5962" spans="1:5" x14ac:dyDescent="0.45">
      <c r="B5962" s="1347" t="s">
        <v>3918</v>
      </c>
      <c r="D5962" s="1347" t="s">
        <v>1109</v>
      </c>
      <c r="E5962" s="1347" t="s">
        <v>8977</v>
      </c>
    </row>
    <row r="5963" spans="1:5" x14ac:dyDescent="0.45">
      <c r="B5963" s="1347" t="s">
        <v>1108</v>
      </c>
      <c r="C5963" s="1347">
        <v>-1</v>
      </c>
      <c r="D5963" s="1347" t="s">
        <v>8978</v>
      </c>
      <c r="E5963" s="1347" t="s">
        <v>1476</v>
      </c>
    </row>
    <row r="5964" spans="1:5" x14ac:dyDescent="0.45">
      <c r="A5964" s="1347">
        <v>3</v>
      </c>
      <c r="B5964" s="1347" t="s">
        <v>8979</v>
      </c>
      <c r="D5964" s="1347" t="s">
        <v>8980</v>
      </c>
      <c r="E5964" s="1347" t="s">
        <v>8981</v>
      </c>
    </row>
    <row r="5965" spans="1:5" x14ac:dyDescent="0.45">
      <c r="B5965" s="1347" t="s">
        <v>8982</v>
      </c>
      <c r="D5965" s="1347" t="s">
        <v>8983</v>
      </c>
      <c r="E5965" s="1347" t="s">
        <v>1110</v>
      </c>
    </row>
    <row r="5966" spans="1:5" x14ac:dyDescent="0.45">
      <c r="A5966" s="1347" t="s">
        <v>1105</v>
      </c>
      <c r="B5966" s="1347" t="s">
        <v>8984</v>
      </c>
      <c r="C5966" s="1347" t="s">
        <v>1105</v>
      </c>
      <c r="D5966" s="1347" t="s">
        <v>8985</v>
      </c>
      <c r="E5966" s="1347" t="s">
        <v>8986</v>
      </c>
    </row>
    <row r="5967" spans="1:5" x14ac:dyDescent="0.45">
      <c r="B5967" s="1347" t="s">
        <v>8987</v>
      </c>
      <c r="D5967" s="1347" t="s">
        <v>8988</v>
      </c>
      <c r="E5967" s="1347" t="s">
        <v>8989</v>
      </c>
    </row>
    <row r="5968" spans="1:5" x14ac:dyDescent="0.45">
      <c r="B5968" s="1347" t="s">
        <v>1108</v>
      </c>
      <c r="C5968" s="1347" t="s">
        <v>1105</v>
      </c>
      <c r="D5968" s="1347" t="s">
        <v>8990</v>
      </c>
      <c r="E5968" s="1347" t="s">
        <v>8991</v>
      </c>
    </row>
    <row r="5969" spans="1:5" x14ac:dyDescent="0.45">
      <c r="B5969" s="1347" t="s">
        <v>1108</v>
      </c>
      <c r="D5969" s="1347" t="s">
        <v>8992</v>
      </c>
      <c r="E5969" s="1347" t="s">
        <v>8993</v>
      </c>
    </row>
    <row r="5970" spans="1:5" x14ac:dyDescent="0.45">
      <c r="A5970" s="1347">
        <v>-9</v>
      </c>
      <c r="B5970" s="1347" t="s">
        <v>8994</v>
      </c>
      <c r="D5970" s="1347" t="s">
        <v>8995</v>
      </c>
      <c r="E5970" s="1347" t="s">
        <v>8996</v>
      </c>
    </row>
    <row r="5971" spans="1:5" x14ac:dyDescent="0.45">
      <c r="B5971" s="1347" t="s">
        <v>1108</v>
      </c>
      <c r="D5971" s="1347" t="s">
        <v>8997</v>
      </c>
      <c r="E5971" s="1347" t="s">
        <v>8998</v>
      </c>
    </row>
    <row r="5972" spans="1:5" x14ac:dyDescent="0.45">
      <c r="A5972" s="1347" t="s">
        <v>1105</v>
      </c>
      <c r="B5972" s="1347" t="s">
        <v>8999</v>
      </c>
      <c r="D5972" s="1347" t="s">
        <v>9000</v>
      </c>
      <c r="E5972" s="1347" t="s">
        <v>9001</v>
      </c>
    </row>
    <row r="5973" spans="1:5" x14ac:dyDescent="0.45">
      <c r="A5973" s="1347">
        <v>-1</v>
      </c>
      <c r="B5973" s="1347" t="s">
        <v>9002</v>
      </c>
      <c r="D5973" s="1347" t="s">
        <v>9003</v>
      </c>
      <c r="E5973" s="1347" t="s">
        <v>9004</v>
      </c>
    </row>
    <row r="5974" spans="1:5" x14ac:dyDescent="0.45">
      <c r="B5974" s="1347" t="s">
        <v>9005</v>
      </c>
      <c r="D5974" s="1347" t="s">
        <v>9006</v>
      </c>
      <c r="E5974" s="1347" t="s">
        <v>9007</v>
      </c>
    </row>
    <row r="5975" spans="1:5" x14ac:dyDescent="0.45">
      <c r="B5975" s="1347" t="s">
        <v>9008</v>
      </c>
      <c r="D5975" s="1347" t="s">
        <v>9009</v>
      </c>
      <c r="E5975" s="1347" t="s">
        <v>1110</v>
      </c>
    </row>
    <row r="5976" spans="1:5" x14ac:dyDescent="0.45">
      <c r="B5976" s="1347" t="s">
        <v>1108</v>
      </c>
      <c r="C5976" s="1347" t="s">
        <v>1105</v>
      </c>
      <c r="D5976" s="1347" t="s">
        <v>9010</v>
      </c>
      <c r="E5976" s="1347" t="s">
        <v>9011</v>
      </c>
    </row>
    <row r="5977" spans="1:5" x14ac:dyDescent="0.45">
      <c r="B5977" s="1347" t="s">
        <v>1108</v>
      </c>
      <c r="D5977" s="1347" t="s">
        <v>7536</v>
      </c>
      <c r="E5977" s="1347" t="s">
        <v>9012</v>
      </c>
    </row>
    <row r="5978" spans="1:5" x14ac:dyDescent="0.45">
      <c r="B5978" s="1347" t="s">
        <v>9013</v>
      </c>
      <c r="D5978" s="1347" t="s">
        <v>9014</v>
      </c>
      <c r="E5978" s="1347" t="s">
        <v>9015</v>
      </c>
    </row>
    <row r="5979" spans="1:5" x14ac:dyDescent="0.45">
      <c r="B5979" s="1347" t="s">
        <v>9016</v>
      </c>
      <c r="D5979" s="1347" t="s">
        <v>1109</v>
      </c>
      <c r="E5979" s="1347" t="s">
        <v>9017</v>
      </c>
    </row>
    <row r="5980" spans="1:5" x14ac:dyDescent="0.45">
      <c r="A5980" s="1347" t="s">
        <v>1105</v>
      </c>
      <c r="B5980" s="1347" t="s">
        <v>9018</v>
      </c>
      <c r="D5980" s="1347" t="s">
        <v>9019</v>
      </c>
      <c r="E5980" s="1347" t="s">
        <v>9020</v>
      </c>
    </row>
    <row r="5981" spans="1:5" x14ac:dyDescent="0.45">
      <c r="B5981" s="1347" t="s">
        <v>1108</v>
      </c>
      <c r="D5981" s="1347" t="s">
        <v>6652</v>
      </c>
      <c r="E5981" s="1347" t="s">
        <v>9021</v>
      </c>
    </row>
    <row r="5982" spans="1:5" x14ac:dyDescent="0.45">
      <c r="B5982" s="1347" t="s">
        <v>9022</v>
      </c>
      <c r="D5982" s="1347" t="s">
        <v>9023</v>
      </c>
      <c r="E5982" s="1347" t="s">
        <v>9024</v>
      </c>
    </row>
    <row r="5983" spans="1:5" x14ac:dyDescent="0.45">
      <c r="B5983" s="1347" t="s">
        <v>3044</v>
      </c>
      <c r="D5983" s="1347" t="s">
        <v>9025</v>
      </c>
      <c r="E5983" s="1347" t="s">
        <v>1110</v>
      </c>
    </row>
    <row r="5984" spans="1:5" x14ac:dyDescent="0.45">
      <c r="B5984" s="1347" t="s">
        <v>1108</v>
      </c>
      <c r="D5984" s="1347" t="s">
        <v>1109</v>
      </c>
      <c r="E5984" s="1347" t="s">
        <v>1110</v>
      </c>
    </row>
    <row r="5985" spans="1:5" x14ac:dyDescent="0.45">
      <c r="A5985" s="1347" t="s">
        <v>1105</v>
      </c>
      <c r="B5985" s="1347" t="s">
        <v>9026</v>
      </c>
      <c r="D5985" s="1347" t="s">
        <v>1109</v>
      </c>
      <c r="E5985" s="1347" t="s">
        <v>9027</v>
      </c>
    </row>
    <row r="5986" spans="1:5" x14ac:dyDescent="0.45">
      <c r="A5986" s="1347">
        <v>-1</v>
      </c>
      <c r="B5986" s="1347" t="s">
        <v>9028</v>
      </c>
      <c r="C5986" s="1347" t="s">
        <v>1105</v>
      </c>
      <c r="D5986" s="1347" t="s">
        <v>9029</v>
      </c>
      <c r="E5986" s="1347" t="s">
        <v>9030</v>
      </c>
    </row>
    <row r="5987" spans="1:5" x14ac:dyDescent="0.45">
      <c r="A5987" s="1347">
        <v>-1</v>
      </c>
      <c r="B5987" s="1347" t="s">
        <v>9031</v>
      </c>
      <c r="D5987" s="1347" t="s">
        <v>9032</v>
      </c>
      <c r="E5987" s="1347" t="s">
        <v>9033</v>
      </c>
    </row>
    <row r="5988" spans="1:5" x14ac:dyDescent="0.45">
      <c r="A5988" s="1347">
        <v>-2</v>
      </c>
      <c r="B5988" s="1347" t="s">
        <v>9034</v>
      </c>
      <c r="D5988" s="1347" t="s">
        <v>9035</v>
      </c>
      <c r="E5988" s="1347" t="s">
        <v>9036</v>
      </c>
    </row>
    <row r="5989" spans="1:5" x14ac:dyDescent="0.45">
      <c r="A5989" s="1347" t="s">
        <v>1105</v>
      </c>
      <c r="B5989" s="1347" t="s">
        <v>9037</v>
      </c>
      <c r="D5989" s="1347" t="s">
        <v>9038</v>
      </c>
      <c r="E5989" s="1347" t="s">
        <v>9039</v>
      </c>
    </row>
    <row r="5990" spans="1:5" x14ac:dyDescent="0.45">
      <c r="A5990" s="1347">
        <v>21</v>
      </c>
      <c r="B5990" s="1347" t="s">
        <v>9040</v>
      </c>
      <c r="C5990" s="1347">
        <v>1</v>
      </c>
      <c r="D5990" s="1347" t="s">
        <v>9041</v>
      </c>
      <c r="E5990" s="1347" t="s">
        <v>9042</v>
      </c>
    </row>
    <row r="5991" spans="1:5" x14ac:dyDescent="0.45">
      <c r="B5991" s="1347" t="s">
        <v>1108</v>
      </c>
      <c r="D5991" s="1347" t="s">
        <v>9043</v>
      </c>
      <c r="E5991" s="1347" t="s">
        <v>9044</v>
      </c>
    </row>
    <row r="5992" spans="1:5" x14ac:dyDescent="0.45">
      <c r="B5992" s="1347" t="s">
        <v>1108</v>
      </c>
      <c r="D5992" s="1347" t="s">
        <v>9045</v>
      </c>
      <c r="E5992" s="1347" t="s">
        <v>9046</v>
      </c>
    </row>
    <row r="5993" spans="1:5" x14ac:dyDescent="0.45">
      <c r="B5993" s="1347" t="s">
        <v>9047</v>
      </c>
      <c r="D5993" s="1347" t="s">
        <v>9048</v>
      </c>
      <c r="E5993" s="1347" t="s">
        <v>9049</v>
      </c>
    </row>
    <row r="5994" spans="1:5" x14ac:dyDescent="0.45">
      <c r="A5994" s="1347">
        <v>-1</v>
      </c>
      <c r="B5994" s="1347" t="s">
        <v>9050</v>
      </c>
      <c r="D5994" s="1347" t="s">
        <v>9051</v>
      </c>
      <c r="E5994" s="1347" t="s">
        <v>9052</v>
      </c>
    </row>
    <row r="5995" spans="1:5" x14ac:dyDescent="0.45">
      <c r="B5995" s="1347" t="s">
        <v>1108</v>
      </c>
      <c r="D5995" s="1347" t="s">
        <v>9053</v>
      </c>
      <c r="E5995" s="1347" t="s">
        <v>1110</v>
      </c>
    </row>
    <row r="5996" spans="1:5" x14ac:dyDescent="0.45">
      <c r="B5996" s="1347" t="s">
        <v>9054</v>
      </c>
      <c r="D5996" s="1347" t="s">
        <v>9055</v>
      </c>
      <c r="E5996" s="1347" t="s">
        <v>9056</v>
      </c>
    </row>
    <row r="5997" spans="1:5" x14ac:dyDescent="0.45">
      <c r="B5997" s="1347" t="s">
        <v>1108</v>
      </c>
      <c r="D5997" s="1347" t="s">
        <v>9057</v>
      </c>
      <c r="E5997" s="1347" t="s">
        <v>9058</v>
      </c>
    </row>
    <row r="5998" spans="1:5" x14ac:dyDescent="0.45">
      <c r="B5998" s="1347" t="s">
        <v>9059</v>
      </c>
      <c r="D5998" s="1347" t="s">
        <v>9060</v>
      </c>
      <c r="E5998" s="1347" t="s">
        <v>9061</v>
      </c>
    </row>
    <row r="5999" spans="1:5" x14ac:dyDescent="0.45">
      <c r="B5999" s="1347" t="s">
        <v>1108</v>
      </c>
      <c r="D5999" s="1347" t="s">
        <v>9062</v>
      </c>
      <c r="E5999" s="1347" t="s">
        <v>9063</v>
      </c>
    </row>
    <row r="6000" spans="1:5" x14ac:dyDescent="0.45">
      <c r="A6000" s="1347">
        <v>-9</v>
      </c>
      <c r="B6000" s="1347" t="s">
        <v>9064</v>
      </c>
      <c r="D6000" s="1347" t="s">
        <v>9065</v>
      </c>
      <c r="E6000" s="1347" t="s">
        <v>9066</v>
      </c>
    </row>
    <row r="6001" spans="1:5" x14ac:dyDescent="0.45">
      <c r="B6001" s="1347" t="s">
        <v>3349</v>
      </c>
      <c r="D6001" s="1347" t="s">
        <v>9067</v>
      </c>
      <c r="E6001" s="1347" t="s">
        <v>9068</v>
      </c>
    </row>
    <row r="6002" spans="1:5" x14ac:dyDescent="0.45">
      <c r="B6002" s="1347">
        <f>-28    -44</f>
        <v>-72</v>
      </c>
      <c r="D6002" s="1347" t="s">
        <v>9069</v>
      </c>
      <c r="E6002" s="1347" t="s">
        <v>9070</v>
      </c>
    </row>
    <row r="6003" spans="1:5" x14ac:dyDescent="0.45">
      <c r="A6003" s="1347">
        <v>-1</v>
      </c>
      <c r="B6003" s="1347" t="s">
        <v>9071</v>
      </c>
      <c r="D6003" s="1347" t="s">
        <v>9072</v>
      </c>
      <c r="E6003" s="1347" t="s">
        <v>9073</v>
      </c>
    </row>
    <row r="6004" spans="1:5" x14ac:dyDescent="0.45">
      <c r="B6004" s="1347" t="s">
        <v>9074</v>
      </c>
      <c r="D6004" s="1347" t="s">
        <v>9075</v>
      </c>
      <c r="E6004" s="1347" t="s">
        <v>9076</v>
      </c>
    </row>
    <row r="6005" spans="1:5" x14ac:dyDescent="0.45">
      <c r="B6005" s="1347" t="s">
        <v>1108</v>
      </c>
      <c r="D6005" s="1347" t="s">
        <v>9077</v>
      </c>
      <c r="E6005" s="1347" t="s">
        <v>9078</v>
      </c>
    </row>
    <row r="6006" spans="1:5" x14ac:dyDescent="0.45">
      <c r="B6006" s="1347" t="s">
        <v>1108</v>
      </c>
      <c r="C6006" s="1347" t="s">
        <v>1105</v>
      </c>
      <c r="D6006" s="1347" t="s">
        <v>9079</v>
      </c>
      <c r="E6006" s="1347" t="s">
        <v>9080</v>
      </c>
    </row>
    <row r="6007" spans="1:5" x14ac:dyDescent="0.45">
      <c r="A6007" s="1347">
        <v>1</v>
      </c>
      <c r="B6007" s="1347" t="s">
        <v>9081</v>
      </c>
      <c r="D6007" s="1347" t="s">
        <v>9082</v>
      </c>
      <c r="E6007" s="1347" t="s">
        <v>9083</v>
      </c>
    </row>
    <row r="6008" spans="1:5" x14ac:dyDescent="0.45">
      <c r="B6008" s="1347" t="s">
        <v>4441</v>
      </c>
      <c r="D6008" s="1347" t="s">
        <v>9084</v>
      </c>
      <c r="E6008" s="1347" t="s">
        <v>9085</v>
      </c>
    </row>
    <row r="6009" spans="1:5" x14ac:dyDescent="0.45">
      <c r="B6009" s="1347" t="s">
        <v>1108</v>
      </c>
      <c r="D6009" s="1347" t="s">
        <v>1109</v>
      </c>
      <c r="E6009" s="1347" t="s">
        <v>9086</v>
      </c>
    </row>
    <row r="6010" spans="1:5" x14ac:dyDescent="0.45">
      <c r="A6010" s="1347" t="s">
        <v>1105</v>
      </c>
      <c r="B6010" s="1347" t="s">
        <v>2667</v>
      </c>
      <c r="C6010" s="1347">
        <v>-1</v>
      </c>
      <c r="D6010" s="1347" t="s">
        <v>9087</v>
      </c>
      <c r="E6010" s="1347" t="s">
        <v>9088</v>
      </c>
    </row>
    <row r="6011" spans="1:5" x14ac:dyDescent="0.45">
      <c r="B6011" s="1347" t="s">
        <v>9089</v>
      </c>
      <c r="D6011" s="1347" t="s">
        <v>9090</v>
      </c>
      <c r="E6011" s="1347" t="s">
        <v>9091</v>
      </c>
    </row>
    <row r="6012" spans="1:5" x14ac:dyDescent="0.45">
      <c r="B6012" s="1347" t="s">
        <v>9092</v>
      </c>
      <c r="D6012" s="1347" t="s">
        <v>9093</v>
      </c>
      <c r="E6012" s="1347" t="s">
        <v>1958</v>
      </c>
    </row>
    <row r="6013" spans="1:5" x14ac:dyDescent="0.45">
      <c r="A6013" s="1347">
        <v>-2</v>
      </c>
      <c r="B6013" s="1347" t="s">
        <v>9094</v>
      </c>
      <c r="D6013" s="1347">
        <f>-765  -1286   -119   -28</f>
        <v>-2198</v>
      </c>
      <c r="E6013" s="1347" t="s">
        <v>9095</v>
      </c>
    </row>
    <row r="6014" spans="1:5" x14ac:dyDescent="0.45">
      <c r="A6014" s="1347" t="s">
        <v>1105</v>
      </c>
      <c r="B6014" s="1347" t="s">
        <v>9096</v>
      </c>
      <c r="D6014" s="1347" t="s">
        <v>1109</v>
      </c>
      <c r="E6014" s="1347" t="s">
        <v>9097</v>
      </c>
    </row>
    <row r="6015" spans="1:5" x14ac:dyDescent="0.45">
      <c r="A6015" s="1347">
        <v>-2</v>
      </c>
      <c r="B6015" s="1347" t="s">
        <v>9098</v>
      </c>
      <c r="D6015" s="1347" t="s">
        <v>9099</v>
      </c>
      <c r="E6015" s="1347" t="s">
        <v>9100</v>
      </c>
    </row>
    <row r="6016" spans="1:5" x14ac:dyDescent="0.45">
      <c r="A6016" s="1347">
        <v>-20</v>
      </c>
      <c r="B6016" s="1347" t="s">
        <v>9101</v>
      </c>
      <c r="D6016" s="1347" t="s">
        <v>9102</v>
      </c>
      <c r="E6016" s="1347" t="s">
        <v>9103</v>
      </c>
    </row>
    <row r="6017" spans="1:5" x14ac:dyDescent="0.45">
      <c r="B6017" s="1347" t="s">
        <v>1108</v>
      </c>
      <c r="D6017" s="1347" t="s">
        <v>1109</v>
      </c>
      <c r="E6017" s="1347" t="s">
        <v>1110</v>
      </c>
    </row>
    <row r="6018" spans="1:5" x14ac:dyDescent="0.45">
      <c r="B6018" s="1347" t="s">
        <v>1108</v>
      </c>
      <c r="D6018" s="1347" t="s">
        <v>9104</v>
      </c>
      <c r="E6018" s="1347" t="s">
        <v>1110</v>
      </c>
    </row>
    <row r="6019" spans="1:5" x14ac:dyDescent="0.45">
      <c r="A6019" s="1347" t="s">
        <v>1105</v>
      </c>
      <c r="B6019" s="1347" t="s">
        <v>9105</v>
      </c>
      <c r="D6019" s="1347">
        <f>-111  -4551  -2991  -145</f>
        <v>-7798</v>
      </c>
      <c r="E6019" s="1347" t="s">
        <v>9106</v>
      </c>
    </row>
    <row r="6020" spans="1:5" x14ac:dyDescent="0.45">
      <c r="A6020" s="1347" t="s">
        <v>1105</v>
      </c>
      <c r="B6020" s="1347" t="s">
        <v>9107</v>
      </c>
      <c r="C6020" s="1347" t="s">
        <v>1105</v>
      </c>
      <c r="D6020" s="1347" t="s">
        <v>9108</v>
      </c>
      <c r="E6020" s="1347" t="s">
        <v>9109</v>
      </c>
    </row>
    <row r="6021" spans="1:5" x14ac:dyDescent="0.45">
      <c r="A6021" s="1347">
        <v>-4</v>
      </c>
      <c r="B6021" s="1347" t="s">
        <v>9110</v>
      </c>
      <c r="D6021" s="1347" t="s">
        <v>9111</v>
      </c>
      <c r="E6021" s="1347" t="s">
        <v>9112</v>
      </c>
    </row>
    <row r="6022" spans="1:5" x14ac:dyDescent="0.45">
      <c r="A6022" s="1347">
        <v>-1</v>
      </c>
      <c r="B6022" s="1347" t="s">
        <v>9113</v>
      </c>
      <c r="D6022" s="1347" t="s">
        <v>9114</v>
      </c>
      <c r="E6022" s="1347" t="s">
        <v>9115</v>
      </c>
    </row>
    <row r="6023" spans="1:5" x14ac:dyDescent="0.45">
      <c r="A6023" s="1347">
        <v>19</v>
      </c>
      <c r="B6023" s="1347" t="s">
        <v>9116</v>
      </c>
      <c r="C6023" s="1347">
        <v>1</v>
      </c>
      <c r="D6023" s="1347" t="s">
        <v>9117</v>
      </c>
      <c r="E6023" s="1347" t="s">
        <v>9118</v>
      </c>
    </row>
    <row r="6024" spans="1:5" x14ac:dyDescent="0.45">
      <c r="A6024" s="1347">
        <v>-1</v>
      </c>
      <c r="B6024" s="1347" t="s">
        <v>9119</v>
      </c>
      <c r="D6024" s="1347">
        <f>-273   -245   -351</f>
        <v>-869</v>
      </c>
      <c r="E6024" s="1347" t="s">
        <v>9120</v>
      </c>
    </row>
    <row r="6025" spans="1:5" x14ac:dyDescent="0.45">
      <c r="B6025" s="1347" t="s">
        <v>2272</v>
      </c>
      <c r="D6025" s="1347" t="s">
        <v>9121</v>
      </c>
      <c r="E6025" s="1347" t="s">
        <v>9122</v>
      </c>
    </row>
    <row r="6026" spans="1:5" x14ac:dyDescent="0.45">
      <c r="B6026" s="1347" t="s">
        <v>1108</v>
      </c>
      <c r="D6026" s="1347" t="s">
        <v>9123</v>
      </c>
      <c r="E6026" s="1347" t="s">
        <v>9124</v>
      </c>
    </row>
    <row r="6027" spans="1:5" x14ac:dyDescent="0.45">
      <c r="A6027" s="1347" t="s">
        <v>1105</v>
      </c>
      <c r="B6027" s="1347" t="s">
        <v>9125</v>
      </c>
      <c r="D6027" s="1347">
        <f>-66   -191   -409   -66</f>
        <v>-732</v>
      </c>
      <c r="E6027" s="1347" t="s">
        <v>9126</v>
      </c>
    </row>
    <row r="6028" spans="1:5" x14ac:dyDescent="0.45">
      <c r="B6028" s="1347" t="s">
        <v>1108</v>
      </c>
      <c r="D6028" s="1347" t="s">
        <v>9127</v>
      </c>
      <c r="E6028" s="1347" t="s">
        <v>9128</v>
      </c>
    </row>
    <row r="6029" spans="1:5" x14ac:dyDescent="0.45">
      <c r="B6029" s="1347" t="s">
        <v>1108</v>
      </c>
      <c r="D6029" s="1347" t="s">
        <v>1582</v>
      </c>
      <c r="E6029" s="1347" t="s">
        <v>9129</v>
      </c>
    </row>
    <row r="6030" spans="1:5" x14ac:dyDescent="0.45">
      <c r="B6030" s="1347" t="s">
        <v>9130</v>
      </c>
      <c r="D6030" s="1347" t="s">
        <v>9131</v>
      </c>
      <c r="E6030" s="1347" t="s">
        <v>9132</v>
      </c>
    </row>
    <row r="6031" spans="1:5" x14ac:dyDescent="0.45">
      <c r="B6031" s="1347" t="s">
        <v>9133</v>
      </c>
      <c r="D6031" s="1347" t="s">
        <v>9134</v>
      </c>
      <c r="E6031" s="1347" t="s">
        <v>9135</v>
      </c>
    </row>
    <row r="6032" spans="1:5" x14ac:dyDescent="0.45">
      <c r="A6032" s="1347">
        <v>1</v>
      </c>
      <c r="B6032" s="1347" t="s">
        <v>9136</v>
      </c>
      <c r="D6032" s="1347" t="s">
        <v>9137</v>
      </c>
      <c r="E6032" s="1347" t="s">
        <v>9138</v>
      </c>
    </row>
    <row r="6033" spans="1:5" x14ac:dyDescent="0.45">
      <c r="B6033" s="1347" t="s">
        <v>9139</v>
      </c>
      <c r="D6033" s="1347" t="s">
        <v>9140</v>
      </c>
      <c r="E6033" s="1347" t="s">
        <v>9141</v>
      </c>
    </row>
    <row r="6034" spans="1:5" x14ac:dyDescent="0.45">
      <c r="B6034" s="1347" t="s">
        <v>9142</v>
      </c>
      <c r="D6034" s="1347" t="s">
        <v>9143</v>
      </c>
      <c r="E6034" s="1347" t="s">
        <v>9144</v>
      </c>
    </row>
    <row r="6035" spans="1:5" x14ac:dyDescent="0.45">
      <c r="B6035" s="1347" t="s">
        <v>1527</v>
      </c>
      <c r="D6035" s="1347" t="s">
        <v>9145</v>
      </c>
      <c r="E6035" s="1347" t="s">
        <v>9146</v>
      </c>
    </row>
    <row r="6036" spans="1:5" x14ac:dyDescent="0.45">
      <c r="B6036" s="1347" t="s">
        <v>1108</v>
      </c>
      <c r="D6036" s="1347" t="s">
        <v>9147</v>
      </c>
      <c r="E6036" s="1347" t="s">
        <v>9148</v>
      </c>
    </row>
    <row r="6037" spans="1:5" x14ac:dyDescent="0.45">
      <c r="B6037" s="1347" t="s">
        <v>9149</v>
      </c>
      <c r="C6037" s="1347" t="s">
        <v>1105</v>
      </c>
      <c r="D6037" s="1347" t="s">
        <v>9150</v>
      </c>
      <c r="E6037" s="1347" t="s">
        <v>9151</v>
      </c>
    </row>
    <row r="6038" spans="1:5" x14ac:dyDescent="0.45">
      <c r="B6038" s="1347" t="s">
        <v>9152</v>
      </c>
      <c r="D6038" s="1347" t="s">
        <v>9153</v>
      </c>
      <c r="E6038" s="1347" t="s">
        <v>9154</v>
      </c>
    </row>
    <row r="6039" spans="1:5" x14ac:dyDescent="0.45">
      <c r="B6039" s="1358">
        <v>20636</v>
      </c>
      <c r="D6039" s="1347" t="s">
        <v>1109</v>
      </c>
      <c r="E6039" s="1347" t="s">
        <v>9155</v>
      </c>
    </row>
    <row r="6040" spans="1:5" x14ac:dyDescent="0.45">
      <c r="B6040" s="1347" t="s">
        <v>9156</v>
      </c>
      <c r="D6040" s="1347" t="s">
        <v>9157</v>
      </c>
      <c r="E6040" s="1347" t="s">
        <v>9158</v>
      </c>
    </row>
    <row r="6041" spans="1:5" x14ac:dyDescent="0.45">
      <c r="A6041" s="1347" t="s">
        <v>1105</v>
      </c>
      <c r="B6041" s="1347" t="s">
        <v>9159</v>
      </c>
      <c r="D6041" s="1347" t="s">
        <v>9160</v>
      </c>
      <c r="E6041" s="1347" t="s">
        <v>9161</v>
      </c>
    </row>
    <row r="6042" spans="1:5" x14ac:dyDescent="0.45">
      <c r="A6042" s="1347">
        <v>-8</v>
      </c>
      <c r="B6042" s="1347" t="s">
        <v>1845</v>
      </c>
      <c r="C6042" s="1347" t="s">
        <v>1105</v>
      </c>
      <c r="D6042" s="1347" t="s">
        <v>9162</v>
      </c>
      <c r="E6042" s="1347" t="s">
        <v>1110</v>
      </c>
    </row>
    <row r="6043" spans="1:5" x14ac:dyDescent="0.45">
      <c r="B6043" s="1347" t="s">
        <v>4895</v>
      </c>
      <c r="D6043" s="1347" t="s">
        <v>9163</v>
      </c>
      <c r="E6043" s="1347" t="s">
        <v>9164</v>
      </c>
    </row>
    <row r="6044" spans="1:5" x14ac:dyDescent="0.45">
      <c r="B6044" s="1347" t="s">
        <v>1108</v>
      </c>
      <c r="D6044" s="1347" t="s">
        <v>9165</v>
      </c>
      <c r="E6044" s="1347" t="s">
        <v>9166</v>
      </c>
    </row>
    <row r="6045" spans="1:5" x14ac:dyDescent="0.45">
      <c r="B6045" s="1347" t="s">
        <v>1108</v>
      </c>
      <c r="D6045" s="1347" t="s">
        <v>9167</v>
      </c>
      <c r="E6045" s="1347" t="s">
        <v>9168</v>
      </c>
    </row>
    <row r="6046" spans="1:5" x14ac:dyDescent="0.45">
      <c r="A6046" s="1347">
        <v>1</v>
      </c>
      <c r="B6046" s="1347" t="s">
        <v>9169</v>
      </c>
      <c r="D6046" s="1347" t="s">
        <v>9170</v>
      </c>
      <c r="E6046" s="1347" t="s">
        <v>9171</v>
      </c>
    </row>
    <row r="6047" spans="1:5" x14ac:dyDescent="0.45">
      <c r="A6047" s="1347" t="s">
        <v>1105</v>
      </c>
      <c r="B6047" s="1347" t="s">
        <v>9172</v>
      </c>
      <c r="D6047" s="1347" t="s">
        <v>9173</v>
      </c>
      <c r="E6047" s="1347" t="s">
        <v>9174</v>
      </c>
    </row>
    <row r="6048" spans="1:5" x14ac:dyDescent="0.45">
      <c r="B6048" s="1347" t="s">
        <v>1108</v>
      </c>
      <c r="D6048" s="1347" t="s">
        <v>9175</v>
      </c>
      <c r="E6048" s="1347" t="s">
        <v>9176</v>
      </c>
    </row>
    <row r="6049" spans="1:5" x14ac:dyDescent="0.45">
      <c r="B6049" s="1347" t="s">
        <v>1108</v>
      </c>
      <c r="C6049" s="1347" t="s">
        <v>1105</v>
      </c>
      <c r="D6049" s="1347" t="s">
        <v>9177</v>
      </c>
      <c r="E6049" s="1347" t="s">
        <v>1476</v>
      </c>
    </row>
    <row r="6050" spans="1:5" x14ac:dyDescent="0.45">
      <c r="A6050" s="1347" t="s">
        <v>1105</v>
      </c>
      <c r="B6050" s="1347" t="s">
        <v>9178</v>
      </c>
      <c r="D6050" s="1347" t="s">
        <v>9179</v>
      </c>
      <c r="E6050" s="1347" t="s">
        <v>1110</v>
      </c>
    </row>
    <row r="6051" spans="1:5" x14ac:dyDescent="0.45">
      <c r="B6051" s="1347" t="s">
        <v>1108</v>
      </c>
      <c r="D6051" s="1347" t="s">
        <v>1109</v>
      </c>
      <c r="E6051" s="1347" t="s">
        <v>9180</v>
      </c>
    </row>
    <row r="6052" spans="1:5" x14ac:dyDescent="0.45">
      <c r="B6052" s="1347" t="s">
        <v>1108</v>
      </c>
      <c r="D6052" s="1347" t="s">
        <v>2668</v>
      </c>
      <c r="E6052" s="1347" t="s">
        <v>9181</v>
      </c>
    </row>
    <row r="6053" spans="1:5" x14ac:dyDescent="0.45">
      <c r="A6053" s="1347">
        <v>-1</v>
      </c>
      <c r="B6053" s="1347" t="s">
        <v>9182</v>
      </c>
      <c r="D6053" s="1347" t="s">
        <v>9183</v>
      </c>
      <c r="E6053" s="1347" t="s">
        <v>9184</v>
      </c>
    </row>
    <row r="6054" spans="1:5" x14ac:dyDescent="0.45">
      <c r="A6054" s="1347" t="s">
        <v>1105</v>
      </c>
      <c r="B6054" s="1347" t="s">
        <v>9185</v>
      </c>
      <c r="D6054" s="1347" t="s">
        <v>9186</v>
      </c>
      <c r="E6054" s="1347" t="s">
        <v>9187</v>
      </c>
    </row>
    <row r="6055" spans="1:5" x14ac:dyDescent="0.45">
      <c r="A6055" s="1347" t="s">
        <v>1105</v>
      </c>
      <c r="B6055" s="1347" t="s">
        <v>9188</v>
      </c>
      <c r="C6055" s="1347" t="s">
        <v>1105</v>
      </c>
      <c r="D6055" s="1347" t="s">
        <v>9189</v>
      </c>
      <c r="E6055" s="1347" t="s">
        <v>9190</v>
      </c>
    </row>
    <row r="6056" spans="1:5" x14ac:dyDescent="0.45">
      <c r="A6056" s="1347" t="s">
        <v>1105</v>
      </c>
      <c r="B6056" s="1347" t="s">
        <v>9191</v>
      </c>
      <c r="D6056" s="1347" t="s">
        <v>9192</v>
      </c>
      <c r="E6056" s="1347" t="s">
        <v>9193</v>
      </c>
    </row>
    <row r="6057" spans="1:5" x14ac:dyDescent="0.45">
      <c r="A6057" s="1347">
        <v>10</v>
      </c>
      <c r="B6057" s="1347" t="s">
        <v>9194</v>
      </c>
      <c r="C6057" s="1347">
        <v>1</v>
      </c>
      <c r="D6057" s="1347" t="s">
        <v>9195</v>
      </c>
      <c r="E6057" s="1347" t="s">
        <v>9196</v>
      </c>
    </row>
    <row r="6058" spans="1:5" x14ac:dyDescent="0.45">
      <c r="A6058" s="1347" t="s">
        <v>1105</v>
      </c>
      <c r="B6058" s="1347" t="s">
        <v>1907</v>
      </c>
      <c r="D6058" s="1347" t="s">
        <v>9197</v>
      </c>
      <c r="E6058" s="1347" t="s">
        <v>9198</v>
      </c>
    </row>
    <row r="6059" spans="1:5" x14ac:dyDescent="0.45">
      <c r="B6059" s="1347" t="s">
        <v>1108</v>
      </c>
      <c r="D6059" s="1347" t="s">
        <v>7536</v>
      </c>
      <c r="E6059" s="1347" t="s">
        <v>9199</v>
      </c>
    </row>
    <row r="6060" spans="1:5" x14ac:dyDescent="0.45">
      <c r="B6060" s="1347" t="s">
        <v>7776</v>
      </c>
      <c r="D6060" s="1347" t="s">
        <v>9200</v>
      </c>
      <c r="E6060" s="1347" t="s">
        <v>9201</v>
      </c>
    </row>
    <row r="6061" spans="1:5" x14ac:dyDescent="0.45">
      <c r="B6061" s="1347" t="s">
        <v>9202</v>
      </c>
      <c r="D6061" s="1347" t="s">
        <v>9203</v>
      </c>
      <c r="E6061" s="1347" t="s">
        <v>9204</v>
      </c>
    </row>
    <row r="6062" spans="1:5" x14ac:dyDescent="0.45">
      <c r="B6062" s="1347" t="s">
        <v>1108</v>
      </c>
      <c r="D6062" s="1347" t="s">
        <v>9205</v>
      </c>
      <c r="E6062" s="1347" t="s">
        <v>1350</v>
      </c>
    </row>
    <row r="6063" spans="1:5" x14ac:dyDescent="0.45">
      <c r="B6063" s="1347" t="s">
        <v>9206</v>
      </c>
      <c r="D6063" s="1347" t="s">
        <v>9207</v>
      </c>
      <c r="E6063" s="1347" t="s">
        <v>9208</v>
      </c>
    </row>
    <row r="6064" spans="1:5" x14ac:dyDescent="0.45">
      <c r="A6064" s="1347">
        <v>-3</v>
      </c>
      <c r="B6064" s="1347" t="s">
        <v>5957</v>
      </c>
      <c r="D6064" s="1347" t="s">
        <v>9209</v>
      </c>
      <c r="E6064" s="1347" t="s">
        <v>9210</v>
      </c>
    </row>
    <row r="6065" spans="1:5" x14ac:dyDescent="0.45">
      <c r="A6065" s="1347" t="s">
        <v>1105</v>
      </c>
      <c r="B6065" s="1347" t="s">
        <v>9211</v>
      </c>
      <c r="D6065" s="1347" t="s">
        <v>9212</v>
      </c>
      <c r="E6065" s="1347" t="s">
        <v>9213</v>
      </c>
    </row>
    <row r="6066" spans="1:5" x14ac:dyDescent="0.45">
      <c r="B6066" s="1347" t="s">
        <v>1108</v>
      </c>
      <c r="D6066" s="1347" t="s">
        <v>7889</v>
      </c>
      <c r="E6066" s="1347" t="s">
        <v>9214</v>
      </c>
    </row>
    <row r="6067" spans="1:5" x14ac:dyDescent="0.45">
      <c r="B6067" s="1347" t="s">
        <v>9215</v>
      </c>
      <c r="D6067" s="1347" t="s">
        <v>9216</v>
      </c>
      <c r="E6067" s="1347" t="s">
        <v>9217</v>
      </c>
    </row>
    <row r="6068" spans="1:5" x14ac:dyDescent="0.45">
      <c r="B6068" s="1347" t="s">
        <v>3269</v>
      </c>
      <c r="D6068" s="1347" t="s">
        <v>9218</v>
      </c>
      <c r="E6068" s="1347" t="s">
        <v>9219</v>
      </c>
    </row>
    <row r="6069" spans="1:5" x14ac:dyDescent="0.45">
      <c r="B6069" s="1347" t="s">
        <v>9220</v>
      </c>
      <c r="D6069" s="1347" t="s">
        <v>9221</v>
      </c>
      <c r="E6069" s="1347" t="s">
        <v>9222</v>
      </c>
    </row>
    <row r="6070" spans="1:5" x14ac:dyDescent="0.45">
      <c r="B6070" s="1347" t="s">
        <v>9223</v>
      </c>
      <c r="D6070" s="1347" t="s">
        <v>9224</v>
      </c>
      <c r="E6070" s="1347" t="s">
        <v>9225</v>
      </c>
    </row>
    <row r="6071" spans="1:5" x14ac:dyDescent="0.45">
      <c r="B6071" s="1347" t="s">
        <v>9226</v>
      </c>
      <c r="D6071" s="1347" t="s">
        <v>9227</v>
      </c>
      <c r="E6071" s="1347" t="s">
        <v>9228</v>
      </c>
    </row>
    <row r="6072" spans="1:5" x14ac:dyDescent="0.45">
      <c r="A6072" s="1347" t="s">
        <v>1105</v>
      </c>
      <c r="B6072" s="1347" t="s">
        <v>6168</v>
      </c>
      <c r="D6072" s="1347" t="s">
        <v>9229</v>
      </c>
      <c r="E6072" s="1347" t="s">
        <v>9230</v>
      </c>
    </row>
    <row r="6073" spans="1:5" x14ac:dyDescent="0.45">
      <c r="B6073" s="1347" t="s">
        <v>1108</v>
      </c>
      <c r="D6073" s="1347" t="s">
        <v>9231</v>
      </c>
      <c r="E6073" s="1347" t="s">
        <v>9232</v>
      </c>
    </row>
    <row r="6074" spans="1:5" x14ac:dyDescent="0.45">
      <c r="B6074" s="1347" t="s">
        <v>9233</v>
      </c>
      <c r="D6074" s="1347" t="s">
        <v>9234</v>
      </c>
      <c r="E6074" s="1347" t="s">
        <v>9235</v>
      </c>
    </row>
    <row r="6075" spans="1:5" x14ac:dyDescent="0.45">
      <c r="B6075" s="1347" t="s">
        <v>9236</v>
      </c>
      <c r="D6075" s="1347" t="s">
        <v>9237</v>
      </c>
      <c r="E6075" s="1347" t="s">
        <v>9238</v>
      </c>
    </row>
    <row r="6076" spans="1:5" x14ac:dyDescent="0.45">
      <c r="B6076" s="1347" t="s">
        <v>1108</v>
      </c>
      <c r="D6076" s="1347" t="s">
        <v>1109</v>
      </c>
      <c r="E6076" s="1347" t="s">
        <v>9239</v>
      </c>
    </row>
    <row r="6077" spans="1:5" x14ac:dyDescent="0.45">
      <c r="A6077" s="1347">
        <v>-2</v>
      </c>
      <c r="B6077" s="1347" t="s">
        <v>9240</v>
      </c>
      <c r="D6077" s="1347" t="s">
        <v>9241</v>
      </c>
      <c r="E6077" s="1347" t="s">
        <v>1110</v>
      </c>
    </row>
    <row r="6078" spans="1:5" x14ac:dyDescent="0.45">
      <c r="A6078" s="1347">
        <v>-2</v>
      </c>
      <c r="B6078" s="1347" t="s">
        <v>9242</v>
      </c>
      <c r="D6078" s="1347" t="s">
        <v>9243</v>
      </c>
      <c r="E6078" s="1347" t="s">
        <v>1275</v>
      </c>
    </row>
    <row r="6079" spans="1:5" x14ac:dyDescent="0.45">
      <c r="A6079" s="1347">
        <v>-11</v>
      </c>
      <c r="B6079" s="1347" t="s">
        <v>9244</v>
      </c>
      <c r="C6079" s="1347" t="s">
        <v>1105</v>
      </c>
      <c r="D6079" s="1347" t="s">
        <v>9245</v>
      </c>
      <c r="E6079" s="1347" t="s">
        <v>9246</v>
      </c>
    </row>
    <row r="6080" spans="1:5" x14ac:dyDescent="0.45">
      <c r="B6080" s="1347" t="s">
        <v>9247</v>
      </c>
      <c r="D6080" s="1347" t="s">
        <v>9248</v>
      </c>
      <c r="E6080" s="1347" t="s">
        <v>9249</v>
      </c>
    </row>
    <row r="6081" spans="1:5" x14ac:dyDescent="0.45">
      <c r="B6081" s="1347">
        <f>-31  -1292</f>
        <v>-1323</v>
      </c>
      <c r="C6081" s="1347" t="s">
        <v>1105</v>
      </c>
      <c r="D6081" s="1347" t="s">
        <v>9250</v>
      </c>
      <c r="E6081" s="1347" t="s">
        <v>1110</v>
      </c>
    </row>
    <row r="6082" spans="1:5" x14ac:dyDescent="0.45">
      <c r="B6082" s="1347" t="s">
        <v>9251</v>
      </c>
      <c r="C6082" s="1347" t="s">
        <v>1105</v>
      </c>
      <c r="D6082" s="1347" t="s">
        <v>9252</v>
      </c>
      <c r="E6082" s="1347" t="s">
        <v>9253</v>
      </c>
    </row>
    <row r="6083" spans="1:5" x14ac:dyDescent="0.45">
      <c r="B6083" s="1347" t="s">
        <v>9254</v>
      </c>
      <c r="D6083" s="1347" t="s">
        <v>1109</v>
      </c>
      <c r="E6083" s="1347" t="s">
        <v>9255</v>
      </c>
    </row>
    <row r="6084" spans="1:5" x14ac:dyDescent="0.45">
      <c r="B6084" s="1347" t="s">
        <v>1108</v>
      </c>
      <c r="D6084" s="1347" t="s">
        <v>1109</v>
      </c>
      <c r="E6084" s="1347" t="s">
        <v>1110</v>
      </c>
    </row>
    <row r="6085" spans="1:5" x14ac:dyDescent="0.45">
      <c r="B6085" s="1347" t="s">
        <v>1108</v>
      </c>
      <c r="D6085" s="1347" t="s">
        <v>4079</v>
      </c>
      <c r="E6085" s="1347" t="s">
        <v>1156</v>
      </c>
    </row>
    <row r="6086" spans="1:5" x14ac:dyDescent="0.45">
      <c r="B6086" s="1347" t="s">
        <v>9256</v>
      </c>
      <c r="D6086" s="1347">
        <f>-228   -121  -3524  -191</f>
        <v>-4064</v>
      </c>
      <c r="E6086" s="1347" t="s">
        <v>9257</v>
      </c>
    </row>
    <row r="6087" spans="1:5" x14ac:dyDescent="0.45">
      <c r="B6087" s="1347">
        <f>-89   -217</f>
        <v>-306</v>
      </c>
      <c r="D6087" s="1347">
        <f>-42  -1618  -1575  -103</f>
        <v>-3338</v>
      </c>
      <c r="E6087" s="1347" t="s">
        <v>9258</v>
      </c>
    </row>
    <row r="6088" spans="1:5" x14ac:dyDescent="0.45">
      <c r="B6088" s="1347" t="s">
        <v>9259</v>
      </c>
      <c r="C6088" s="1347" t="s">
        <v>1105</v>
      </c>
      <c r="D6088" s="1347" t="s">
        <v>9260</v>
      </c>
      <c r="E6088" s="1347" t="s">
        <v>9261</v>
      </c>
    </row>
    <row r="6089" spans="1:5" x14ac:dyDescent="0.45">
      <c r="A6089" s="1347" t="s">
        <v>1105</v>
      </c>
      <c r="B6089" s="1347" t="s">
        <v>9262</v>
      </c>
      <c r="D6089" s="1347" t="s">
        <v>9263</v>
      </c>
      <c r="E6089" s="1347" t="s">
        <v>9264</v>
      </c>
    </row>
    <row r="6090" spans="1:5" x14ac:dyDescent="0.45">
      <c r="A6090" s="1347">
        <v>22</v>
      </c>
      <c r="B6090" s="1347" t="s">
        <v>9265</v>
      </c>
      <c r="C6090" s="1347">
        <v>1</v>
      </c>
      <c r="D6090" s="1347" t="s">
        <v>9266</v>
      </c>
      <c r="E6090" s="1347" t="s">
        <v>9267</v>
      </c>
    </row>
    <row r="6091" spans="1:5" x14ac:dyDescent="0.45">
      <c r="A6091" s="1347">
        <v>49</v>
      </c>
      <c r="B6091" s="1347" t="s">
        <v>9268</v>
      </c>
      <c r="C6091" s="1347">
        <v>3</v>
      </c>
      <c r="D6091" s="1347" t="s">
        <v>9269</v>
      </c>
      <c r="E6091" s="1347" t="s">
        <v>9270</v>
      </c>
    </row>
    <row r="6092" spans="1:5" x14ac:dyDescent="0.45">
      <c r="B6092" s="1347" t="s">
        <v>9271</v>
      </c>
      <c r="D6092" s="1347" t="s">
        <v>9272</v>
      </c>
      <c r="E6092" s="1347" t="s">
        <v>1476</v>
      </c>
    </row>
    <row r="6093" spans="1:5" x14ac:dyDescent="0.45">
      <c r="B6093" s="1347" t="s">
        <v>1108</v>
      </c>
      <c r="D6093" s="1347" t="s">
        <v>9273</v>
      </c>
      <c r="E6093" s="1347" t="s">
        <v>9274</v>
      </c>
    </row>
    <row r="6094" spans="1:5" x14ac:dyDescent="0.45">
      <c r="B6094" s="1347" t="s">
        <v>9275</v>
      </c>
      <c r="D6094" s="1347" t="s">
        <v>9276</v>
      </c>
      <c r="E6094" s="1347" t="s">
        <v>9277</v>
      </c>
    </row>
    <row r="6095" spans="1:5" x14ac:dyDescent="0.45">
      <c r="B6095" s="1347" t="s">
        <v>2094</v>
      </c>
      <c r="D6095" s="1347" t="s">
        <v>1109</v>
      </c>
      <c r="E6095" s="1347" t="s">
        <v>7783</v>
      </c>
    </row>
    <row r="6096" spans="1:5" x14ac:dyDescent="0.45">
      <c r="A6096" s="1347" t="s">
        <v>1105</v>
      </c>
      <c r="B6096" s="1347" t="s">
        <v>5007</v>
      </c>
      <c r="D6096" s="1347" t="s">
        <v>9278</v>
      </c>
      <c r="E6096" s="1347" t="s">
        <v>9279</v>
      </c>
    </row>
    <row r="6097" spans="1:5" x14ac:dyDescent="0.45">
      <c r="B6097" s="1347" t="s">
        <v>9280</v>
      </c>
      <c r="D6097" s="1347" t="s">
        <v>9281</v>
      </c>
      <c r="E6097" s="1347" t="s">
        <v>9282</v>
      </c>
    </row>
    <row r="6098" spans="1:5" x14ac:dyDescent="0.45">
      <c r="B6098" s="1347" t="s">
        <v>1108</v>
      </c>
      <c r="D6098" s="1347" t="s">
        <v>9283</v>
      </c>
      <c r="E6098" s="1347" t="s">
        <v>9284</v>
      </c>
    </row>
    <row r="6099" spans="1:5" x14ac:dyDescent="0.45">
      <c r="A6099" s="1347" t="s">
        <v>1105</v>
      </c>
      <c r="B6099" s="1347" t="s">
        <v>9285</v>
      </c>
      <c r="D6099" s="1347" t="s">
        <v>9286</v>
      </c>
      <c r="E6099" s="1347" t="s">
        <v>9287</v>
      </c>
    </row>
    <row r="6100" spans="1:5" x14ac:dyDescent="0.45">
      <c r="B6100" s="1347" t="s">
        <v>1108</v>
      </c>
      <c r="C6100" s="1347" t="s">
        <v>1105</v>
      </c>
      <c r="D6100" s="1347" t="s">
        <v>9288</v>
      </c>
      <c r="E6100" s="1347" t="s">
        <v>9289</v>
      </c>
    </row>
    <row r="6101" spans="1:5" x14ac:dyDescent="0.45">
      <c r="A6101" s="1347" t="s">
        <v>1105</v>
      </c>
      <c r="B6101" s="1347" t="s">
        <v>9290</v>
      </c>
      <c r="D6101" s="1347" t="s">
        <v>9291</v>
      </c>
      <c r="E6101" s="1347" t="s">
        <v>9292</v>
      </c>
    </row>
    <row r="6102" spans="1:5" x14ac:dyDescent="0.45">
      <c r="B6102" s="1347" t="s">
        <v>6374</v>
      </c>
      <c r="D6102" s="1347" t="s">
        <v>9293</v>
      </c>
      <c r="E6102" s="1347" t="s">
        <v>9294</v>
      </c>
    </row>
    <row r="6103" spans="1:5" x14ac:dyDescent="0.45">
      <c r="B6103" s="1347" t="s">
        <v>9295</v>
      </c>
      <c r="D6103" s="1347" t="s">
        <v>1109</v>
      </c>
      <c r="E6103" s="1347" t="s">
        <v>9296</v>
      </c>
    </row>
    <row r="6104" spans="1:5" x14ac:dyDescent="0.45">
      <c r="B6104" s="1347" t="s">
        <v>9297</v>
      </c>
      <c r="C6104" s="1347">
        <v>-1</v>
      </c>
      <c r="D6104" s="1347" t="s">
        <v>9298</v>
      </c>
      <c r="E6104" s="1347" t="s">
        <v>9299</v>
      </c>
    </row>
    <row r="6105" spans="1:5" x14ac:dyDescent="0.45">
      <c r="B6105" s="1347" t="s">
        <v>9300</v>
      </c>
      <c r="D6105" s="1347" t="s">
        <v>9301</v>
      </c>
      <c r="E6105" s="1347" t="s">
        <v>9302</v>
      </c>
    </row>
    <row r="6106" spans="1:5" x14ac:dyDescent="0.45">
      <c r="B6106" s="1347" t="s">
        <v>9303</v>
      </c>
      <c r="D6106" s="1347" t="s">
        <v>9304</v>
      </c>
      <c r="E6106" s="1347" t="s">
        <v>1110</v>
      </c>
    </row>
    <row r="6107" spans="1:5" x14ac:dyDescent="0.45">
      <c r="A6107" s="1347">
        <v>-6</v>
      </c>
      <c r="B6107" s="1347" t="s">
        <v>9305</v>
      </c>
      <c r="C6107" s="1347" t="s">
        <v>1105</v>
      </c>
      <c r="D6107" s="1347" t="s">
        <v>9306</v>
      </c>
      <c r="E6107" s="1347" t="s">
        <v>9307</v>
      </c>
    </row>
    <row r="6108" spans="1:5" x14ac:dyDescent="0.45">
      <c r="B6108" s="1347" t="s">
        <v>1108</v>
      </c>
      <c r="D6108" s="1347" t="s">
        <v>9308</v>
      </c>
      <c r="E6108" s="1347" t="s">
        <v>9309</v>
      </c>
    </row>
    <row r="6109" spans="1:5" x14ac:dyDescent="0.45">
      <c r="B6109" s="1347" t="s">
        <v>9310</v>
      </c>
      <c r="D6109" s="1347" t="s">
        <v>9311</v>
      </c>
      <c r="E6109" s="1347" t="s">
        <v>1220</v>
      </c>
    </row>
    <row r="6110" spans="1:5" x14ac:dyDescent="0.45">
      <c r="B6110" s="1347" t="s">
        <v>1108</v>
      </c>
      <c r="D6110" s="1347" t="s">
        <v>9312</v>
      </c>
      <c r="E6110" s="1347" t="s">
        <v>9313</v>
      </c>
    </row>
    <row r="6111" spans="1:5" x14ac:dyDescent="0.45">
      <c r="A6111" s="1347">
        <v>-13</v>
      </c>
      <c r="B6111" s="1347" t="s">
        <v>9314</v>
      </c>
      <c r="D6111" s="1347" t="s">
        <v>1109</v>
      </c>
      <c r="E6111" s="1347" t="s">
        <v>9315</v>
      </c>
    </row>
    <row r="6112" spans="1:5" x14ac:dyDescent="0.45">
      <c r="B6112" s="1347" t="s">
        <v>9316</v>
      </c>
      <c r="D6112" s="1347" t="s">
        <v>9317</v>
      </c>
      <c r="E6112" s="1347" t="s">
        <v>9318</v>
      </c>
    </row>
    <row r="6113" spans="1:5" x14ac:dyDescent="0.45">
      <c r="B6113" s="1347" t="s">
        <v>1108</v>
      </c>
      <c r="D6113" s="1347" t="s">
        <v>9319</v>
      </c>
      <c r="E6113" s="1347" t="s">
        <v>9320</v>
      </c>
    </row>
    <row r="6114" spans="1:5" x14ac:dyDescent="0.45">
      <c r="A6114" s="1347" t="s">
        <v>1105</v>
      </c>
      <c r="B6114" s="1347" t="s">
        <v>9321</v>
      </c>
      <c r="D6114" s="1347">
        <f>-188   -945   -828  -201</f>
        <v>-2162</v>
      </c>
      <c r="E6114" s="1347" t="s">
        <v>9322</v>
      </c>
    </row>
    <row r="6115" spans="1:5" x14ac:dyDescent="0.45">
      <c r="B6115" s="1347" t="s">
        <v>1108</v>
      </c>
      <c r="D6115" s="1347" t="s">
        <v>1109</v>
      </c>
      <c r="E6115" s="1347" t="s">
        <v>9323</v>
      </c>
    </row>
    <row r="6116" spans="1:5" x14ac:dyDescent="0.45">
      <c r="B6116" s="1347" t="s">
        <v>9324</v>
      </c>
      <c r="D6116" s="1347" t="s">
        <v>9325</v>
      </c>
      <c r="E6116" s="1347" t="s">
        <v>9326</v>
      </c>
    </row>
    <row r="6117" spans="1:5" x14ac:dyDescent="0.45">
      <c r="B6117" s="1347" t="s">
        <v>1108</v>
      </c>
      <c r="D6117" s="1347" t="s">
        <v>9327</v>
      </c>
      <c r="E6117" s="1347" t="s">
        <v>9328</v>
      </c>
    </row>
    <row r="6118" spans="1:5" x14ac:dyDescent="0.45">
      <c r="B6118" s="1347" t="s">
        <v>1108</v>
      </c>
      <c r="D6118" s="1347" t="s">
        <v>1109</v>
      </c>
      <c r="E6118" s="1347" t="s">
        <v>1110</v>
      </c>
    </row>
    <row r="6119" spans="1:5" x14ac:dyDescent="0.45">
      <c r="B6119" s="1347" t="s">
        <v>1108</v>
      </c>
      <c r="D6119" s="1347" t="s">
        <v>9329</v>
      </c>
      <c r="E6119" s="1347" t="s">
        <v>9330</v>
      </c>
    </row>
    <row r="6120" spans="1:5" x14ac:dyDescent="0.45">
      <c r="B6120" s="1347" t="s">
        <v>9331</v>
      </c>
      <c r="D6120" s="1347" t="s">
        <v>9332</v>
      </c>
      <c r="E6120" s="1347" t="s">
        <v>9333</v>
      </c>
    </row>
    <row r="6121" spans="1:5" x14ac:dyDescent="0.45">
      <c r="B6121" s="1347" t="s">
        <v>9334</v>
      </c>
      <c r="C6121" s="1347" t="s">
        <v>1105</v>
      </c>
      <c r="D6121" s="1347" t="s">
        <v>9335</v>
      </c>
      <c r="E6121" s="1347" t="s">
        <v>9336</v>
      </c>
    </row>
    <row r="6122" spans="1:5" x14ac:dyDescent="0.45">
      <c r="A6122" s="1347">
        <v>4</v>
      </c>
      <c r="B6122" s="1347" t="s">
        <v>9337</v>
      </c>
      <c r="C6122" s="1347" t="s">
        <v>1105</v>
      </c>
      <c r="D6122" s="1347" t="s">
        <v>9338</v>
      </c>
      <c r="E6122" s="1347" t="s">
        <v>9339</v>
      </c>
    </row>
    <row r="6123" spans="1:5" x14ac:dyDescent="0.45">
      <c r="B6123" s="1347" t="s">
        <v>9340</v>
      </c>
      <c r="D6123" s="1347" t="s">
        <v>9341</v>
      </c>
      <c r="E6123" s="1347" t="s">
        <v>9342</v>
      </c>
    </row>
    <row r="6124" spans="1:5" x14ac:dyDescent="0.45">
      <c r="A6124" s="1347">
        <v>12</v>
      </c>
      <c r="B6124" s="1347" t="s">
        <v>9343</v>
      </c>
      <c r="C6124" s="1347">
        <v>1</v>
      </c>
      <c r="D6124" s="1347" t="s">
        <v>9344</v>
      </c>
      <c r="E6124" s="1347" t="s">
        <v>9345</v>
      </c>
    </row>
    <row r="6125" spans="1:5" x14ac:dyDescent="0.45">
      <c r="A6125" s="1347">
        <v>47</v>
      </c>
      <c r="B6125" s="1347" t="s">
        <v>9346</v>
      </c>
      <c r="D6125" s="1347">
        <f>-204    -45   -160   -29</f>
        <v>-438</v>
      </c>
      <c r="E6125" s="1347" t="s">
        <v>9347</v>
      </c>
    </row>
    <row r="6126" spans="1:5" x14ac:dyDescent="0.45">
      <c r="B6126" s="1347" t="s">
        <v>1108</v>
      </c>
      <c r="D6126" s="1347" t="s">
        <v>9348</v>
      </c>
      <c r="E6126" s="1347" t="s">
        <v>1110</v>
      </c>
    </row>
    <row r="6127" spans="1:5" x14ac:dyDescent="0.45">
      <c r="B6127" s="1347" t="s">
        <v>9349</v>
      </c>
      <c r="D6127" s="1347" t="s">
        <v>9350</v>
      </c>
      <c r="E6127" s="1347" t="s">
        <v>9351</v>
      </c>
    </row>
    <row r="6128" spans="1:5" x14ac:dyDescent="0.45">
      <c r="B6128" s="1347" t="s">
        <v>3796</v>
      </c>
      <c r="D6128" s="1347" t="s">
        <v>9352</v>
      </c>
      <c r="E6128" s="1347" t="s">
        <v>9353</v>
      </c>
    </row>
    <row r="6129" spans="1:5" x14ac:dyDescent="0.45">
      <c r="B6129" s="1347" t="s">
        <v>1108</v>
      </c>
      <c r="D6129" s="1347" t="s">
        <v>9354</v>
      </c>
      <c r="E6129" s="1347" t="s">
        <v>9355</v>
      </c>
    </row>
    <row r="6130" spans="1:5" x14ac:dyDescent="0.45">
      <c r="B6130" s="1347" t="s">
        <v>1930</v>
      </c>
      <c r="D6130" s="1347" t="s">
        <v>1109</v>
      </c>
      <c r="E6130" s="1347" t="s">
        <v>9356</v>
      </c>
    </row>
    <row r="6131" spans="1:5" x14ac:dyDescent="0.45">
      <c r="B6131" s="1347" t="s">
        <v>1108</v>
      </c>
      <c r="C6131" s="1347">
        <v>-1</v>
      </c>
      <c r="D6131" s="1347" t="s">
        <v>9357</v>
      </c>
      <c r="E6131" s="1347" t="s">
        <v>1156</v>
      </c>
    </row>
    <row r="6132" spans="1:5" x14ac:dyDescent="0.45">
      <c r="B6132" s="1347" t="s">
        <v>9358</v>
      </c>
      <c r="D6132" s="1347" t="s">
        <v>9359</v>
      </c>
      <c r="E6132" s="1347" t="s">
        <v>9360</v>
      </c>
    </row>
    <row r="6133" spans="1:5" x14ac:dyDescent="0.45">
      <c r="A6133" s="1347" t="s">
        <v>1105</v>
      </c>
      <c r="B6133" s="1347" t="s">
        <v>9361</v>
      </c>
      <c r="D6133" s="1347">
        <f>-204   -145   -320</f>
        <v>-669</v>
      </c>
      <c r="E6133" s="1347" t="s">
        <v>1110</v>
      </c>
    </row>
    <row r="6134" spans="1:5" x14ac:dyDescent="0.45">
      <c r="A6134" s="1347">
        <v>-1</v>
      </c>
      <c r="B6134" s="1347" t="s">
        <v>2422</v>
      </c>
      <c r="D6134" s="1347" t="s">
        <v>9362</v>
      </c>
      <c r="E6134" s="1347" t="s">
        <v>9363</v>
      </c>
    </row>
    <row r="6135" spans="1:5" x14ac:dyDescent="0.45">
      <c r="B6135" s="1347" t="s">
        <v>9364</v>
      </c>
      <c r="D6135" s="1347" t="s">
        <v>9365</v>
      </c>
      <c r="E6135" s="1347" t="s">
        <v>9366</v>
      </c>
    </row>
    <row r="6136" spans="1:5" x14ac:dyDescent="0.45">
      <c r="B6136" s="1347" t="s">
        <v>1108</v>
      </c>
      <c r="D6136" s="1347" t="s">
        <v>9367</v>
      </c>
      <c r="E6136" s="1347" t="s">
        <v>9368</v>
      </c>
    </row>
    <row r="6137" spans="1:5" x14ac:dyDescent="0.45">
      <c r="B6137" s="1347" t="s">
        <v>1108</v>
      </c>
      <c r="D6137" s="1347" t="s">
        <v>9369</v>
      </c>
      <c r="E6137" s="1347" t="s">
        <v>9370</v>
      </c>
    </row>
    <row r="6138" spans="1:5" x14ac:dyDescent="0.45">
      <c r="A6138" s="1347">
        <v>-8</v>
      </c>
      <c r="B6138" s="1347" t="s">
        <v>9371</v>
      </c>
      <c r="D6138" s="1347" t="s">
        <v>9372</v>
      </c>
      <c r="E6138" s="1347" t="s">
        <v>9373</v>
      </c>
    </row>
    <row r="6139" spans="1:5" x14ac:dyDescent="0.45">
      <c r="B6139" s="1347" t="s">
        <v>1108</v>
      </c>
      <c r="D6139" s="1347" t="s">
        <v>9374</v>
      </c>
      <c r="E6139" s="1347" t="s">
        <v>9375</v>
      </c>
    </row>
    <row r="6140" spans="1:5" x14ac:dyDescent="0.45">
      <c r="B6140" s="1347" t="s">
        <v>9376</v>
      </c>
      <c r="D6140" s="1347" t="s">
        <v>9377</v>
      </c>
      <c r="E6140" s="1347" t="s">
        <v>9378</v>
      </c>
    </row>
    <row r="6141" spans="1:5" x14ac:dyDescent="0.45">
      <c r="A6141" s="1347">
        <v>-1</v>
      </c>
      <c r="B6141" s="1347" t="s">
        <v>9379</v>
      </c>
      <c r="D6141" s="1347" t="s">
        <v>9380</v>
      </c>
      <c r="E6141" s="1347" t="s">
        <v>9381</v>
      </c>
    </row>
    <row r="6142" spans="1:5" x14ac:dyDescent="0.45">
      <c r="B6142" s="1347" t="s">
        <v>9382</v>
      </c>
      <c r="D6142" s="1347" t="s">
        <v>9383</v>
      </c>
      <c r="E6142" s="1347" t="s">
        <v>9384</v>
      </c>
    </row>
    <row r="6143" spans="1:5" x14ac:dyDescent="0.45">
      <c r="B6143" s="1347" t="s">
        <v>9385</v>
      </c>
      <c r="D6143" s="1347" t="s">
        <v>9386</v>
      </c>
      <c r="E6143" s="1347" t="s">
        <v>1110</v>
      </c>
    </row>
    <row r="6144" spans="1:5" x14ac:dyDescent="0.45">
      <c r="B6144" s="1347" t="s">
        <v>1108</v>
      </c>
      <c r="C6144" s="1347" t="s">
        <v>1105</v>
      </c>
      <c r="D6144" s="1347" t="s">
        <v>9387</v>
      </c>
      <c r="E6144" s="1347" t="s">
        <v>9388</v>
      </c>
    </row>
    <row r="6145" spans="1:5" x14ac:dyDescent="0.45">
      <c r="B6145" s="1347" t="s">
        <v>1108</v>
      </c>
      <c r="D6145" s="1347" t="s">
        <v>9389</v>
      </c>
      <c r="E6145" s="1347" t="s">
        <v>9390</v>
      </c>
    </row>
    <row r="6146" spans="1:5" x14ac:dyDescent="0.45">
      <c r="A6146" s="1347">
        <v>1</v>
      </c>
      <c r="B6146" s="1347" t="s">
        <v>1591</v>
      </c>
      <c r="D6146" s="1347" t="s">
        <v>9391</v>
      </c>
      <c r="E6146" s="1347" t="s">
        <v>9392</v>
      </c>
    </row>
    <row r="6147" spans="1:5" x14ac:dyDescent="0.45">
      <c r="A6147" s="1347" t="s">
        <v>1105</v>
      </c>
      <c r="B6147" s="1347" t="s">
        <v>9393</v>
      </c>
      <c r="D6147" s="1347" t="s">
        <v>1109</v>
      </c>
      <c r="E6147" s="1347" t="s">
        <v>9394</v>
      </c>
    </row>
    <row r="6148" spans="1:5" x14ac:dyDescent="0.45">
      <c r="A6148" s="1347" t="s">
        <v>1105</v>
      </c>
      <c r="B6148" s="1347" t="s">
        <v>9395</v>
      </c>
      <c r="D6148" s="1347">
        <f>-235  -1719  -1144   -13</f>
        <v>-3111</v>
      </c>
      <c r="E6148" s="1347" t="s">
        <v>9396</v>
      </c>
    </row>
    <row r="6149" spans="1:5" x14ac:dyDescent="0.45">
      <c r="B6149" s="1347" t="s">
        <v>1108</v>
      </c>
      <c r="D6149" s="1347" t="s">
        <v>4836</v>
      </c>
      <c r="E6149" s="1347" t="s">
        <v>9397</v>
      </c>
    </row>
    <row r="6150" spans="1:5" x14ac:dyDescent="0.45">
      <c r="B6150" s="1347" t="s">
        <v>8054</v>
      </c>
      <c r="D6150" s="1347" t="s">
        <v>9398</v>
      </c>
      <c r="E6150" s="1347" t="s">
        <v>9399</v>
      </c>
    </row>
    <row r="6151" spans="1:5" x14ac:dyDescent="0.45">
      <c r="B6151" s="1347" t="s">
        <v>2356</v>
      </c>
      <c r="D6151" s="1347" t="s">
        <v>9400</v>
      </c>
      <c r="E6151" s="1347" t="s">
        <v>1110</v>
      </c>
    </row>
    <row r="6152" spans="1:5" x14ac:dyDescent="0.45">
      <c r="B6152" s="1347" t="s">
        <v>1108</v>
      </c>
      <c r="D6152" s="1347" t="s">
        <v>1109</v>
      </c>
      <c r="E6152" s="1347" t="s">
        <v>1110</v>
      </c>
    </row>
    <row r="6153" spans="1:5" x14ac:dyDescent="0.45">
      <c r="B6153" s="1347" t="s">
        <v>9401</v>
      </c>
      <c r="D6153" s="1347" t="s">
        <v>1109</v>
      </c>
      <c r="E6153" s="1347" t="s">
        <v>9402</v>
      </c>
    </row>
    <row r="6154" spans="1:5" x14ac:dyDescent="0.45">
      <c r="A6154" s="1347" t="s">
        <v>1105</v>
      </c>
      <c r="B6154" s="1347" t="s">
        <v>9403</v>
      </c>
      <c r="D6154" s="1347" t="s">
        <v>9404</v>
      </c>
      <c r="E6154" s="1347" t="s">
        <v>9405</v>
      </c>
    </row>
    <row r="6155" spans="1:5" x14ac:dyDescent="0.45">
      <c r="A6155" s="1347" t="s">
        <v>1105</v>
      </c>
      <c r="B6155" s="1347" t="s">
        <v>9406</v>
      </c>
      <c r="D6155" s="1347" t="s">
        <v>9407</v>
      </c>
      <c r="E6155" s="1347" t="s">
        <v>9408</v>
      </c>
    </row>
    <row r="6156" spans="1:5" x14ac:dyDescent="0.45">
      <c r="A6156" s="1347">
        <v>-2</v>
      </c>
      <c r="B6156" s="1347" t="s">
        <v>9409</v>
      </c>
      <c r="D6156" s="1347" t="s">
        <v>9410</v>
      </c>
      <c r="E6156" s="1347" t="s">
        <v>9411</v>
      </c>
    </row>
    <row r="6157" spans="1:5" x14ac:dyDescent="0.45">
      <c r="A6157" s="1347">
        <v>1</v>
      </c>
      <c r="B6157" s="1347" t="s">
        <v>9412</v>
      </c>
      <c r="D6157" s="1347" t="s">
        <v>9413</v>
      </c>
      <c r="E6157" s="1347" t="s">
        <v>9414</v>
      </c>
    </row>
    <row r="6158" spans="1:5" x14ac:dyDescent="0.45">
      <c r="A6158" s="1347">
        <v>11</v>
      </c>
      <c r="B6158" s="1347" t="s">
        <v>9415</v>
      </c>
      <c r="C6158" s="1347">
        <v>1</v>
      </c>
      <c r="D6158" s="1347" t="s">
        <v>9416</v>
      </c>
      <c r="E6158" s="1347" t="s">
        <v>9417</v>
      </c>
    </row>
    <row r="6159" spans="1:5" x14ac:dyDescent="0.45">
      <c r="A6159" s="1347">
        <v>-1</v>
      </c>
      <c r="B6159" s="1347" t="s">
        <v>9418</v>
      </c>
      <c r="D6159" s="1347">
        <f>-357   -323   -397</f>
        <v>-1077</v>
      </c>
      <c r="E6159" s="1347" t="s">
        <v>9419</v>
      </c>
    </row>
    <row r="6160" spans="1:5" x14ac:dyDescent="0.45">
      <c r="B6160" s="1347" t="s">
        <v>9420</v>
      </c>
      <c r="D6160" s="1347" t="s">
        <v>9421</v>
      </c>
      <c r="E6160" s="1347" t="s">
        <v>9422</v>
      </c>
    </row>
    <row r="6161" spans="1:5" x14ac:dyDescent="0.45">
      <c r="B6161" s="1347" t="s">
        <v>1108</v>
      </c>
      <c r="D6161" s="1347" t="s">
        <v>9423</v>
      </c>
      <c r="E6161" s="1347" t="s">
        <v>9424</v>
      </c>
    </row>
    <row r="6162" spans="1:5" x14ac:dyDescent="0.45">
      <c r="A6162" s="1347" t="s">
        <v>1105</v>
      </c>
      <c r="B6162" s="1347" t="s">
        <v>9425</v>
      </c>
      <c r="D6162" s="1347">
        <f>-90   -174   -179   -89</f>
        <v>-532</v>
      </c>
      <c r="E6162" s="1347" t="s">
        <v>9426</v>
      </c>
    </row>
    <row r="6163" spans="1:5" x14ac:dyDescent="0.45">
      <c r="B6163" s="1347" t="s">
        <v>1108</v>
      </c>
      <c r="D6163" s="1347" t="s">
        <v>7711</v>
      </c>
      <c r="E6163" s="1347" t="s">
        <v>9427</v>
      </c>
    </row>
    <row r="6164" spans="1:5" x14ac:dyDescent="0.45">
      <c r="B6164" s="1347" t="s">
        <v>1108</v>
      </c>
      <c r="D6164" s="1347" t="s">
        <v>9428</v>
      </c>
      <c r="E6164" s="1347" t="s">
        <v>9429</v>
      </c>
    </row>
    <row r="6165" spans="1:5" x14ac:dyDescent="0.45">
      <c r="B6165" s="1347" t="s">
        <v>9430</v>
      </c>
      <c r="D6165" s="1347" t="s">
        <v>9431</v>
      </c>
      <c r="E6165" s="1347" t="s">
        <v>9432</v>
      </c>
    </row>
    <row r="6166" spans="1:5" x14ac:dyDescent="0.45">
      <c r="B6166" s="1347" t="s">
        <v>9433</v>
      </c>
      <c r="D6166" s="1347" t="s">
        <v>9434</v>
      </c>
      <c r="E6166" s="1347" t="s">
        <v>9435</v>
      </c>
    </row>
    <row r="6167" spans="1:5" x14ac:dyDescent="0.45">
      <c r="B6167" s="1347" t="s">
        <v>9436</v>
      </c>
      <c r="D6167" s="1347" t="s">
        <v>9437</v>
      </c>
      <c r="E6167" s="1347" t="s">
        <v>9438</v>
      </c>
    </row>
    <row r="6168" spans="1:5" x14ac:dyDescent="0.45">
      <c r="B6168" s="1347" t="s">
        <v>9439</v>
      </c>
      <c r="D6168" s="1347" t="s">
        <v>9440</v>
      </c>
      <c r="E6168" s="1347" t="s">
        <v>9441</v>
      </c>
    </row>
    <row r="6169" spans="1:5" x14ac:dyDescent="0.45">
      <c r="B6169" s="1347" t="s">
        <v>9442</v>
      </c>
      <c r="C6169" s="1347" t="s">
        <v>1105</v>
      </c>
      <c r="D6169" s="1347" t="s">
        <v>9443</v>
      </c>
      <c r="E6169" s="1347" t="s">
        <v>9444</v>
      </c>
    </row>
    <row r="6170" spans="1:5" x14ac:dyDescent="0.45">
      <c r="B6170" s="1347" t="s">
        <v>9445</v>
      </c>
      <c r="D6170" s="1347" t="s">
        <v>9446</v>
      </c>
      <c r="E6170" s="1347" t="s">
        <v>9447</v>
      </c>
    </row>
    <row r="6171" spans="1:5" x14ac:dyDescent="0.45">
      <c r="B6171" s="1347" t="s">
        <v>1108</v>
      </c>
      <c r="D6171" s="1347" t="s">
        <v>9448</v>
      </c>
      <c r="E6171" s="1347" t="s">
        <v>9449</v>
      </c>
    </row>
    <row r="6172" spans="1:5" x14ac:dyDescent="0.45">
      <c r="B6172" s="1347" t="s">
        <v>9450</v>
      </c>
      <c r="D6172" s="1347" t="s">
        <v>9451</v>
      </c>
      <c r="E6172" s="1347" t="s">
        <v>9452</v>
      </c>
    </row>
    <row r="6173" spans="1:5" x14ac:dyDescent="0.45">
      <c r="B6173" s="1347" t="s">
        <v>5417</v>
      </c>
      <c r="D6173" s="1347" t="s">
        <v>9453</v>
      </c>
      <c r="E6173" s="1347" t="s">
        <v>9454</v>
      </c>
    </row>
    <row r="6174" spans="1:5" x14ac:dyDescent="0.45">
      <c r="B6174" s="1347">
        <f>-48    -34</f>
        <v>-82</v>
      </c>
      <c r="D6174" s="1347" t="s">
        <v>1109</v>
      </c>
      <c r="E6174" s="1347" t="s">
        <v>9455</v>
      </c>
    </row>
    <row r="6175" spans="1:5" x14ac:dyDescent="0.45">
      <c r="A6175" s="1347" t="s">
        <v>1105</v>
      </c>
      <c r="B6175" s="1347" t="s">
        <v>9456</v>
      </c>
      <c r="D6175" s="1347" t="s">
        <v>9457</v>
      </c>
      <c r="E6175" s="1347" t="s">
        <v>9458</v>
      </c>
    </row>
    <row r="6176" spans="1:5" x14ac:dyDescent="0.45">
      <c r="A6176" s="1347">
        <v>1</v>
      </c>
      <c r="B6176" s="1347" t="s">
        <v>9459</v>
      </c>
      <c r="D6176" s="1347" t="s">
        <v>9460</v>
      </c>
      <c r="E6176" s="1347" t="s">
        <v>9461</v>
      </c>
    </row>
    <row r="6177" spans="1:5" x14ac:dyDescent="0.45">
      <c r="B6177" s="1347" t="s">
        <v>6908</v>
      </c>
      <c r="D6177" s="1347" t="s">
        <v>9462</v>
      </c>
      <c r="E6177" s="1347" t="s">
        <v>1110</v>
      </c>
    </row>
    <row r="6178" spans="1:5" x14ac:dyDescent="0.45">
      <c r="B6178" s="1347" t="s">
        <v>9463</v>
      </c>
      <c r="D6178" s="1347" t="s">
        <v>9464</v>
      </c>
      <c r="E6178" s="1347" t="s">
        <v>9465</v>
      </c>
    </row>
    <row r="6179" spans="1:5" x14ac:dyDescent="0.45">
      <c r="B6179" s="1347" t="s">
        <v>1108</v>
      </c>
      <c r="D6179" s="1347" t="s">
        <v>9466</v>
      </c>
      <c r="E6179" s="1347" t="s">
        <v>9467</v>
      </c>
    </row>
    <row r="6180" spans="1:5" x14ac:dyDescent="0.45">
      <c r="B6180" s="1347" t="s">
        <v>1108</v>
      </c>
      <c r="D6180" s="1347" t="s">
        <v>9468</v>
      </c>
      <c r="E6180" s="1347" t="s">
        <v>9469</v>
      </c>
    </row>
    <row r="6181" spans="1:5" x14ac:dyDescent="0.45">
      <c r="A6181" s="1347" t="s">
        <v>1105</v>
      </c>
      <c r="B6181" s="1347" t="s">
        <v>9470</v>
      </c>
      <c r="D6181" s="1347" t="s">
        <v>9471</v>
      </c>
      <c r="E6181" s="1347" t="s">
        <v>9472</v>
      </c>
    </row>
    <row r="6182" spans="1:5" x14ac:dyDescent="0.45">
      <c r="A6182" s="1347">
        <v>1</v>
      </c>
      <c r="B6182" s="1347" t="s">
        <v>9473</v>
      </c>
      <c r="D6182" s="1347" t="s">
        <v>9474</v>
      </c>
      <c r="E6182" s="1347" t="s">
        <v>9475</v>
      </c>
    </row>
    <row r="6183" spans="1:5" x14ac:dyDescent="0.45">
      <c r="B6183" s="1347" t="s">
        <v>1108</v>
      </c>
      <c r="D6183" s="1347" t="s">
        <v>9476</v>
      </c>
      <c r="E6183" s="1347" t="s">
        <v>9477</v>
      </c>
    </row>
    <row r="6184" spans="1:5" x14ac:dyDescent="0.45">
      <c r="B6184" s="1347" t="s">
        <v>1108</v>
      </c>
      <c r="D6184" s="1347" t="s">
        <v>9478</v>
      </c>
      <c r="E6184" s="1347" t="s">
        <v>1110</v>
      </c>
    </row>
    <row r="6185" spans="1:5" x14ac:dyDescent="0.45">
      <c r="B6185" s="1347" t="s">
        <v>9479</v>
      </c>
      <c r="D6185" s="1347" t="s">
        <v>9480</v>
      </c>
      <c r="E6185" s="1347" t="s">
        <v>1110</v>
      </c>
    </row>
    <row r="6186" spans="1:5" x14ac:dyDescent="0.45">
      <c r="B6186" s="1347" t="s">
        <v>1108</v>
      </c>
      <c r="D6186" s="1347" t="s">
        <v>1109</v>
      </c>
      <c r="E6186" s="1347" t="s">
        <v>9481</v>
      </c>
    </row>
    <row r="6187" spans="1:5" x14ac:dyDescent="0.45">
      <c r="B6187" s="1347" t="s">
        <v>1108</v>
      </c>
      <c r="D6187" s="1347" t="s">
        <v>4345</v>
      </c>
      <c r="E6187" s="1347" t="s">
        <v>9482</v>
      </c>
    </row>
    <row r="6188" spans="1:5" x14ac:dyDescent="0.45">
      <c r="A6188" s="1347" t="s">
        <v>1105</v>
      </c>
      <c r="B6188" s="1347" t="s">
        <v>9483</v>
      </c>
      <c r="D6188" s="1347" t="s">
        <v>9484</v>
      </c>
      <c r="E6188" s="1347" t="s">
        <v>9485</v>
      </c>
    </row>
    <row r="6189" spans="1:5" x14ac:dyDescent="0.45">
      <c r="A6189" s="1347">
        <v>-1</v>
      </c>
      <c r="B6189" s="1347" t="s">
        <v>9486</v>
      </c>
      <c r="D6189" s="1347" t="s">
        <v>9487</v>
      </c>
      <c r="E6189" s="1347" t="s">
        <v>9488</v>
      </c>
    </row>
    <row r="6190" spans="1:5" x14ac:dyDescent="0.45">
      <c r="A6190" s="1347">
        <v>-2</v>
      </c>
      <c r="B6190" s="1347" t="s">
        <v>9489</v>
      </c>
      <c r="D6190" s="1347" t="s">
        <v>9490</v>
      </c>
      <c r="E6190" s="1347" t="s">
        <v>9491</v>
      </c>
    </row>
    <row r="6191" spans="1:5" x14ac:dyDescent="0.45">
      <c r="B6191" s="1347" t="s">
        <v>9492</v>
      </c>
      <c r="C6191" s="1347" t="s">
        <v>1105</v>
      </c>
      <c r="D6191" s="1347" t="s">
        <v>9493</v>
      </c>
      <c r="E6191" s="1347" t="s">
        <v>9494</v>
      </c>
    </row>
    <row r="6192" spans="1:5" x14ac:dyDescent="0.45">
      <c r="A6192" s="1347">
        <v>16</v>
      </c>
      <c r="B6192" s="1347" t="s">
        <v>9495</v>
      </c>
      <c r="D6192" s="1347" t="s">
        <v>9496</v>
      </c>
      <c r="E6192" s="1347" t="s">
        <v>9497</v>
      </c>
    </row>
    <row r="6193" spans="1:5" x14ac:dyDescent="0.45">
      <c r="A6193" s="1347">
        <v>-1</v>
      </c>
      <c r="B6193" s="1347" t="s">
        <v>9498</v>
      </c>
      <c r="D6193" s="1347">
        <f>-146   -134   -281</f>
        <v>-561</v>
      </c>
      <c r="E6193" s="1347" t="s">
        <v>9499</v>
      </c>
    </row>
    <row r="6194" spans="1:5" x14ac:dyDescent="0.45">
      <c r="B6194" s="1347" t="s">
        <v>3031</v>
      </c>
      <c r="D6194" s="1347" t="s">
        <v>9500</v>
      </c>
      <c r="E6194" s="1347" t="s">
        <v>9501</v>
      </c>
    </row>
    <row r="6195" spans="1:5" x14ac:dyDescent="0.45">
      <c r="B6195" s="1347" t="s">
        <v>1108</v>
      </c>
      <c r="D6195" s="1347" t="s">
        <v>9502</v>
      </c>
      <c r="E6195" s="1347" t="s">
        <v>9503</v>
      </c>
    </row>
    <row r="6196" spans="1:5" x14ac:dyDescent="0.45">
      <c r="A6196" s="1347" t="s">
        <v>1105</v>
      </c>
      <c r="B6196" s="1347" t="s">
        <v>9504</v>
      </c>
      <c r="D6196" s="1347" t="s">
        <v>9505</v>
      </c>
      <c r="E6196" s="1347" t="s">
        <v>9506</v>
      </c>
    </row>
    <row r="6197" spans="1:5" x14ac:dyDescent="0.45">
      <c r="B6197" s="1347" t="s">
        <v>1108</v>
      </c>
      <c r="D6197" s="1347" t="s">
        <v>4397</v>
      </c>
      <c r="E6197" s="1347" t="s">
        <v>9507</v>
      </c>
    </row>
    <row r="6198" spans="1:5" x14ac:dyDescent="0.45">
      <c r="B6198" s="1347" t="s">
        <v>1108</v>
      </c>
      <c r="D6198" s="1347" t="s">
        <v>6597</v>
      </c>
      <c r="E6198" s="1347" t="s">
        <v>9508</v>
      </c>
    </row>
    <row r="6199" spans="1:5" x14ac:dyDescent="0.45">
      <c r="B6199" s="1347" t="s">
        <v>9509</v>
      </c>
      <c r="D6199" s="1347" t="s">
        <v>9510</v>
      </c>
      <c r="E6199" s="1347" t="s">
        <v>9511</v>
      </c>
    </row>
    <row r="6200" spans="1:5" x14ac:dyDescent="0.45">
      <c r="B6200" s="1347" t="s">
        <v>9512</v>
      </c>
      <c r="D6200" s="1347" t="s">
        <v>9513</v>
      </c>
      <c r="E6200" s="1347" t="s">
        <v>9514</v>
      </c>
    </row>
    <row r="6201" spans="1:5" x14ac:dyDescent="0.45">
      <c r="B6201" s="1347" t="s">
        <v>9515</v>
      </c>
      <c r="D6201" s="1347" t="s">
        <v>9516</v>
      </c>
      <c r="E6201" s="1347" t="s">
        <v>9517</v>
      </c>
    </row>
    <row r="6202" spans="1:5" x14ac:dyDescent="0.45">
      <c r="B6202" s="1347" t="s">
        <v>9518</v>
      </c>
      <c r="D6202" s="1347" t="s">
        <v>9519</v>
      </c>
      <c r="E6202" s="1347" t="s">
        <v>9520</v>
      </c>
    </row>
    <row r="6203" spans="1:5" x14ac:dyDescent="0.45">
      <c r="B6203" s="1347" t="s">
        <v>2596</v>
      </c>
      <c r="D6203" s="1347" t="s">
        <v>9521</v>
      </c>
      <c r="E6203" s="1347" t="s">
        <v>9522</v>
      </c>
    </row>
    <row r="6204" spans="1:5" x14ac:dyDescent="0.45">
      <c r="B6204" s="1347" t="s">
        <v>9523</v>
      </c>
      <c r="D6204" s="1347" t="s">
        <v>9524</v>
      </c>
      <c r="E6204" s="1347" t="s">
        <v>9525</v>
      </c>
    </row>
    <row r="6205" spans="1:5" x14ac:dyDescent="0.45">
      <c r="B6205" s="1347" t="s">
        <v>1108</v>
      </c>
      <c r="D6205" s="1347" t="s">
        <v>9526</v>
      </c>
      <c r="E6205" s="1347" t="s">
        <v>9527</v>
      </c>
    </row>
    <row r="6206" spans="1:5" x14ac:dyDescent="0.45">
      <c r="B6206" s="1347" t="s">
        <v>9528</v>
      </c>
      <c r="D6206" s="1347" t="s">
        <v>9529</v>
      </c>
      <c r="E6206" s="1347" t="s">
        <v>9530</v>
      </c>
    </row>
    <row r="6207" spans="1:5" x14ac:dyDescent="0.45">
      <c r="B6207" s="1347" t="s">
        <v>9531</v>
      </c>
      <c r="D6207" s="1347" t="s">
        <v>9532</v>
      </c>
      <c r="E6207" s="1347" t="s">
        <v>9533</v>
      </c>
    </row>
    <row r="6208" spans="1:5" x14ac:dyDescent="0.45">
      <c r="B6208" s="1347">
        <f>-1    -60</f>
        <v>-61</v>
      </c>
      <c r="D6208" s="1347" t="s">
        <v>1109</v>
      </c>
      <c r="E6208" s="1347" t="s">
        <v>9534</v>
      </c>
    </row>
    <row r="6209" spans="1:5" x14ac:dyDescent="0.45">
      <c r="A6209" s="1347">
        <v>2</v>
      </c>
      <c r="B6209" s="1347" t="s">
        <v>9535</v>
      </c>
      <c r="D6209" s="1347" t="s">
        <v>9536</v>
      </c>
      <c r="E6209" s="1347" t="s">
        <v>9537</v>
      </c>
    </row>
    <row r="6210" spans="1:5" x14ac:dyDescent="0.45">
      <c r="A6210" s="1347">
        <v>2</v>
      </c>
      <c r="B6210" s="1347" t="s">
        <v>9538</v>
      </c>
      <c r="D6210" s="1347" t="s">
        <v>9539</v>
      </c>
      <c r="E6210" s="1347" t="s">
        <v>9540</v>
      </c>
    </row>
    <row r="6211" spans="1:5" x14ac:dyDescent="0.45">
      <c r="A6211" s="1347" t="s">
        <v>1105</v>
      </c>
      <c r="B6211" s="1347" t="s">
        <v>9541</v>
      </c>
      <c r="D6211" s="1347" t="s">
        <v>9542</v>
      </c>
      <c r="E6211" s="1347" t="s">
        <v>1110</v>
      </c>
    </row>
    <row r="6212" spans="1:5" x14ac:dyDescent="0.45">
      <c r="B6212" s="1347" t="s">
        <v>9543</v>
      </c>
      <c r="D6212" s="1347" t="s">
        <v>9544</v>
      </c>
      <c r="E6212" s="1347" t="s">
        <v>9545</v>
      </c>
    </row>
    <row r="6213" spans="1:5" x14ac:dyDescent="0.45">
      <c r="B6213" s="1347" t="s">
        <v>1108</v>
      </c>
      <c r="D6213" s="1347" t="s">
        <v>9546</v>
      </c>
      <c r="E6213" s="1347" t="s">
        <v>9547</v>
      </c>
    </row>
    <row r="6214" spans="1:5" x14ac:dyDescent="0.45">
      <c r="B6214" s="1347" t="s">
        <v>1108</v>
      </c>
      <c r="D6214" s="1347" t="s">
        <v>9548</v>
      </c>
      <c r="E6214" s="1347" t="s">
        <v>9549</v>
      </c>
    </row>
    <row r="6215" spans="1:5" x14ac:dyDescent="0.45">
      <c r="B6215" s="1347" t="s">
        <v>9550</v>
      </c>
      <c r="D6215" s="1347" t="s">
        <v>2782</v>
      </c>
      <c r="E6215" s="1347" t="s">
        <v>9551</v>
      </c>
    </row>
    <row r="6216" spans="1:5" x14ac:dyDescent="0.45">
      <c r="A6216" s="1347" t="s">
        <v>1105</v>
      </c>
      <c r="B6216" s="1347" t="s">
        <v>9552</v>
      </c>
      <c r="D6216" s="1347" t="s">
        <v>9553</v>
      </c>
      <c r="E6216" s="1347" t="s">
        <v>9554</v>
      </c>
    </row>
    <row r="6217" spans="1:5" x14ac:dyDescent="0.45">
      <c r="B6217" s="1347" t="s">
        <v>1108</v>
      </c>
      <c r="D6217" s="1347" t="s">
        <v>9555</v>
      </c>
      <c r="E6217" s="1347" t="s">
        <v>9556</v>
      </c>
    </row>
    <row r="6218" spans="1:5" x14ac:dyDescent="0.45">
      <c r="B6218" s="1347" t="s">
        <v>1108</v>
      </c>
      <c r="C6218" s="1347" t="s">
        <v>1105</v>
      </c>
      <c r="D6218" s="1347" t="s">
        <v>9557</v>
      </c>
      <c r="E6218" s="1347" t="s">
        <v>1220</v>
      </c>
    </row>
    <row r="6219" spans="1:5" x14ac:dyDescent="0.45">
      <c r="A6219" s="1347" t="s">
        <v>1105</v>
      </c>
      <c r="B6219" s="1347" t="s">
        <v>1286</v>
      </c>
      <c r="D6219" s="1347" t="s">
        <v>9558</v>
      </c>
      <c r="E6219" s="1347" t="s">
        <v>1110</v>
      </c>
    </row>
    <row r="6220" spans="1:5" x14ac:dyDescent="0.45">
      <c r="B6220" s="1347" t="s">
        <v>1108</v>
      </c>
      <c r="D6220" s="1347" t="s">
        <v>1109</v>
      </c>
      <c r="E6220" s="1347" t="s">
        <v>9559</v>
      </c>
    </row>
    <row r="6221" spans="1:5" x14ac:dyDescent="0.45">
      <c r="B6221" s="1347" t="s">
        <v>1108</v>
      </c>
      <c r="D6221" s="1347" t="s">
        <v>6375</v>
      </c>
      <c r="E6221" s="1347" t="s">
        <v>9560</v>
      </c>
    </row>
    <row r="6222" spans="1:5" x14ac:dyDescent="0.45">
      <c r="A6222" s="1347">
        <v>-1</v>
      </c>
      <c r="B6222" s="1347" t="s">
        <v>9561</v>
      </c>
      <c r="D6222" s="1347" t="s">
        <v>9562</v>
      </c>
      <c r="E6222" s="1347" t="s">
        <v>9563</v>
      </c>
    </row>
    <row r="6223" spans="1:5" x14ac:dyDescent="0.45">
      <c r="A6223" s="1347" t="s">
        <v>1105</v>
      </c>
      <c r="B6223" s="1347" t="s">
        <v>9564</v>
      </c>
      <c r="D6223" s="1347" t="s">
        <v>9565</v>
      </c>
      <c r="E6223" s="1347" t="s">
        <v>9566</v>
      </c>
    </row>
    <row r="6224" spans="1:5" x14ac:dyDescent="0.45">
      <c r="B6224" s="1347" t="s">
        <v>9567</v>
      </c>
      <c r="C6224" s="1347" t="s">
        <v>1105</v>
      </c>
      <c r="D6224" s="1347" t="s">
        <v>9568</v>
      </c>
      <c r="E6224" s="1347" t="s">
        <v>9569</v>
      </c>
    </row>
    <row r="6225" spans="1:5" x14ac:dyDescent="0.45">
      <c r="B6225" s="1347" t="s">
        <v>9570</v>
      </c>
      <c r="D6225" s="1347" t="s">
        <v>9571</v>
      </c>
      <c r="E6225" s="1347" t="s">
        <v>9572</v>
      </c>
    </row>
    <row r="6226" spans="1:5" x14ac:dyDescent="0.45">
      <c r="A6226" s="1347">
        <v>10</v>
      </c>
      <c r="B6226" s="1347" t="s">
        <v>9573</v>
      </c>
      <c r="C6226" s="1347">
        <v>1</v>
      </c>
      <c r="D6226" s="1347" t="s">
        <v>9574</v>
      </c>
      <c r="E6226" s="1347" t="s">
        <v>9575</v>
      </c>
    </row>
    <row r="6227" spans="1:5" x14ac:dyDescent="0.45">
      <c r="A6227" s="1347">
        <v>35</v>
      </c>
      <c r="B6227" s="1347" t="s">
        <v>9576</v>
      </c>
      <c r="D6227" s="1347">
        <f>-288   -378   -294   -44</f>
        <v>-1004</v>
      </c>
      <c r="E6227" s="1347" t="s">
        <v>9577</v>
      </c>
    </row>
    <row r="6228" spans="1:5" x14ac:dyDescent="0.45">
      <c r="B6228" s="1347" t="s">
        <v>1108</v>
      </c>
      <c r="D6228" s="1347" t="s">
        <v>9578</v>
      </c>
      <c r="E6228" s="1347" t="s">
        <v>1110</v>
      </c>
    </row>
    <row r="6229" spans="1:5" x14ac:dyDescent="0.45">
      <c r="B6229" s="1347" t="s">
        <v>9579</v>
      </c>
      <c r="D6229" s="1347" t="s">
        <v>9580</v>
      </c>
      <c r="E6229" s="1347" t="s">
        <v>9581</v>
      </c>
    </row>
    <row r="6230" spans="1:5" x14ac:dyDescent="0.45">
      <c r="B6230" s="1347" t="s">
        <v>9582</v>
      </c>
      <c r="D6230" s="1347">
        <f>-265    -95   -218   -33</f>
        <v>-611</v>
      </c>
      <c r="E6230" s="1347" t="s">
        <v>9583</v>
      </c>
    </row>
    <row r="6231" spans="1:5" x14ac:dyDescent="0.45">
      <c r="B6231" s="1347" t="s">
        <v>1108</v>
      </c>
      <c r="D6231" s="1347" t="s">
        <v>9584</v>
      </c>
      <c r="E6231" s="1347" t="s">
        <v>9585</v>
      </c>
    </row>
    <row r="6232" spans="1:5" x14ac:dyDescent="0.45">
      <c r="B6232" s="1347" t="s">
        <v>9586</v>
      </c>
      <c r="D6232" s="1347" t="s">
        <v>1109</v>
      </c>
      <c r="E6232" s="1347" t="s">
        <v>9587</v>
      </c>
    </row>
    <row r="6233" spans="1:5" x14ac:dyDescent="0.45">
      <c r="B6233" s="1347" t="s">
        <v>1108</v>
      </c>
      <c r="C6233" s="1347">
        <v>-1</v>
      </c>
      <c r="D6233" s="1347" t="s">
        <v>9588</v>
      </c>
      <c r="E6233" s="1347" t="s">
        <v>1435</v>
      </c>
    </row>
    <row r="6234" spans="1:5" x14ac:dyDescent="0.45">
      <c r="B6234" s="1347" t="s">
        <v>9589</v>
      </c>
      <c r="D6234" s="1347" t="s">
        <v>9590</v>
      </c>
      <c r="E6234" s="1347" t="s">
        <v>9591</v>
      </c>
    </row>
    <row r="6235" spans="1:5" x14ac:dyDescent="0.45">
      <c r="A6235" s="1347" t="s">
        <v>1105</v>
      </c>
      <c r="B6235" s="1347" t="s">
        <v>9592</v>
      </c>
      <c r="D6235" s="1347">
        <f>-119   -180   -540</f>
        <v>-839</v>
      </c>
      <c r="E6235" s="1347" t="s">
        <v>1110</v>
      </c>
    </row>
    <row r="6236" spans="1:5" x14ac:dyDescent="0.45">
      <c r="A6236" s="1347">
        <v>-1</v>
      </c>
      <c r="B6236" s="1347" t="s">
        <v>5593</v>
      </c>
      <c r="D6236" s="1347" t="s">
        <v>9593</v>
      </c>
      <c r="E6236" s="1347" t="s">
        <v>9594</v>
      </c>
    </row>
    <row r="6237" spans="1:5" x14ac:dyDescent="0.45">
      <c r="A6237" s="1347" t="s">
        <v>1105</v>
      </c>
      <c r="B6237" s="1347" t="s">
        <v>6382</v>
      </c>
      <c r="D6237" s="1347" t="s">
        <v>9595</v>
      </c>
      <c r="E6237" s="1347" t="s">
        <v>9596</v>
      </c>
    </row>
    <row r="6238" spans="1:5" x14ac:dyDescent="0.45">
      <c r="B6238" s="1347" t="s">
        <v>1108</v>
      </c>
      <c r="D6238" s="1347" t="s">
        <v>9597</v>
      </c>
      <c r="E6238" s="1347" t="s">
        <v>9598</v>
      </c>
    </row>
    <row r="6239" spans="1:5" x14ac:dyDescent="0.45">
      <c r="B6239" s="1347" t="s">
        <v>1108</v>
      </c>
      <c r="D6239" s="1347" t="s">
        <v>9599</v>
      </c>
      <c r="E6239" s="1347" t="s">
        <v>9600</v>
      </c>
    </row>
    <row r="6240" spans="1:5" x14ac:dyDescent="0.45">
      <c r="A6240" s="1347">
        <v>-13</v>
      </c>
      <c r="B6240" s="1347" t="s">
        <v>9601</v>
      </c>
      <c r="D6240" s="1347" t="s">
        <v>9602</v>
      </c>
      <c r="E6240" s="1347" t="s">
        <v>9603</v>
      </c>
    </row>
    <row r="6241" spans="1:5" x14ac:dyDescent="0.45">
      <c r="B6241" s="1347" t="s">
        <v>1108</v>
      </c>
      <c r="D6241" s="1347" t="s">
        <v>9604</v>
      </c>
      <c r="E6241" s="1347" t="s">
        <v>9605</v>
      </c>
    </row>
    <row r="6242" spans="1:5" x14ac:dyDescent="0.45">
      <c r="A6242" s="1347" t="s">
        <v>1105</v>
      </c>
      <c r="B6242" s="1347" t="s">
        <v>9606</v>
      </c>
      <c r="D6242" s="1347" t="s">
        <v>9607</v>
      </c>
      <c r="E6242" s="1347" t="s">
        <v>9608</v>
      </c>
    </row>
    <row r="6243" spans="1:5" x14ac:dyDescent="0.45">
      <c r="A6243" s="1347">
        <v>-1</v>
      </c>
      <c r="B6243" s="1347" t="s">
        <v>9609</v>
      </c>
      <c r="D6243" s="1347" t="s">
        <v>9610</v>
      </c>
      <c r="E6243" s="1347" t="s">
        <v>9611</v>
      </c>
    </row>
    <row r="6244" spans="1:5" x14ac:dyDescent="0.45">
      <c r="B6244" s="1347" t="s">
        <v>9612</v>
      </c>
      <c r="D6244" s="1347" t="s">
        <v>9613</v>
      </c>
      <c r="E6244" s="1347" t="s">
        <v>9614</v>
      </c>
    </row>
    <row r="6245" spans="1:5" x14ac:dyDescent="0.45">
      <c r="B6245" s="1347" t="s">
        <v>9615</v>
      </c>
      <c r="D6245" s="1347" t="s">
        <v>9616</v>
      </c>
      <c r="E6245" s="1347" t="s">
        <v>1110</v>
      </c>
    </row>
    <row r="6246" spans="1:5" x14ac:dyDescent="0.45">
      <c r="B6246" s="1347" t="s">
        <v>1108</v>
      </c>
      <c r="C6246" s="1347" t="s">
        <v>1105</v>
      </c>
      <c r="D6246" s="1347" t="s">
        <v>9617</v>
      </c>
      <c r="E6246" s="1347" t="s">
        <v>9618</v>
      </c>
    </row>
    <row r="6247" spans="1:5" x14ac:dyDescent="0.45">
      <c r="B6247" s="1347" t="s">
        <v>1108</v>
      </c>
      <c r="D6247" s="1347" t="s">
        <v>1608</v>
      </c>
      <c r="E6247" s="1347" t="s">
        <v>9619</v>
      </c>
    </row>
    <row r="6248" spans="1:5" x14ac:dyDescent="0.45">
      <c r="A6248" s="1347" t="s">
        <v>1105</v>
      </c>
      <c r="B6248" s="1347" t="s">
        <v>8166</v>
      </c>
      <c r="D6248" s="1347" t="s">
        <v>9620</v>
      </c>
      <c r="E6248" s="1347" t="s">
        <v>9621</v>
      </c>
    </row>
    <row r="6249" spans="1:5" x14ac:dyDescent="0.45">
      <c r="A6249" s="1347" t="s">
        <v>1105</v>
      </c>
      <c r="B6249" s="1347" t="s">
        <v>9622</v>
      </c>
      <c r="D6249" s="1347" t="s">
        <v>1109</v>
      </c>
      <c r="E6249" s="1347" t="s">
        <v>9623</v>
      </c>
    </row>
    <row r="6250" spans="1:5" x14ac:dyDescent="0.45">
      <c r="B6250" s="1347" t="s">
        <v>9624</v>
      </c>
      <c r="D6250" s="1347" t="s">
        <v>9625</v>
      </c>
      <c r="E6250" s="1347" t="s">
        <v>9626</v>
      </c>
    </row>
    <row r="6251" spans="1:5" x14ac:dyDescent="0.45">
      <c r="B6251" s="1347" t="s">
        <v>1108</v>
      </c>
      <c r="D6251" s="1347" t="s">
        <v>9627</v>
      </c>
      <c r="E6251" s="1347" t="s">
        <v>9628</v>
      </c>
    </row>
    <row r="6252" spans="1:5" x14ac:dyDescent="0.45">
      <c r="B6252" s="1347" t="s">
        <v>8894</v>
      </c>
      <c r="D6252" s="1347" t="s">
        <v>9629</v>
      </c>
      <c r="E6252" s="1347" t="s">
        <v>9630</v>
      </c>
    </row>
    <row r="6253" spans="1:5" x14ac:dyDescent="0.45">
      <c r="B6253" s="1347" t="s">
        <v>8038</v>
      </c>
      <c r="D6253" s="1347" t="s">
        <v>9631</v>
      </c>
      <c r="E6253" s="1347" t="s">
        <v>1110</v>
      </c>
    </row>
    <row r="6254" spans="1:5" x14ac:dyDescent="0.45">
      <c r="B6254" s="1347" t="s">
        <v>1108</v>
      </c>
      <c r="D6254" s="1347" t="s">
        <v>1109</v>
      </c>
      <c r="E6254" s="1347" t="s">
        <v>1110</v>
      </c>
    </row>
    <row r="6255" spans="1:5" x14ac:dyDescent="0.45">
      <c r="B6255" s="1347" t="s">
        <v>2383</v>
      </c>
      <c r="D6255" s="1347" t="s">
        <v>1109</v>
      </c>
      <c r="E6255" s="1347" t="s">
        <v>9632</v>
      </c>
    </row>
    <row r="6256" spans="1:5" x14ac:dyDescent="0.45">
      <c r="A6256" s="1347" t="s">
        <v>1105</v>
      </c>
      <c r="B6256" s="1347" t="s">
        <v>9633</v>
      </c>
      <c r="D6256" s="1347" t="s">
        <v>9634</v>
      </c>
      <c r="E6256" s="1347" t="s">
        <v>9635</v>
      </c>
    </row>
    <row r="6257" spans="1:5" x14ac:dyDescent="0.45">
      <c r="B6257" s="1347" t="s">
        <v>9636</v>
      </c>
      <c r="D6257" s="1347" t="s">
        <v>9637</v>
      </c>
      <c r="E6257" s="1347" t="s">
        <v>9638</v>
      </c>
    </row>
    <row r="6258" spans="1:5" x14ac:dyDescent="0.45">
      <c r="A6258" s="1347" t="s">
        <v>1105</v>
      </c>
      <c r="B6258" s="1347" t="s">
        <v>9639</v>
      </c>
      <c r="D6258" s="1347" t="s">
        <v>9640</v>
      </c>
      <c r="E6258" s="1347" t="s">
        <v>9641</v>
      </c>
    </row>
    <row r="6259" spans="1:5" x14ac:dyDescent="0.45">
      <c r="A6259" s="1347">
        <v>3</v>
      </c>
      <c r="B6259" s="1347" t="s">
        <v>9642</v>
      </c>
      <c r="C6259" s="1347" t="s">
        <v>1105</v>
      </c>
      <c r="D6259" s="1347" t="s">
        <v>9643</v>
      </c>
      <c r="E6259" s="1347" t="s">
        <v>9644</v>
      </c>
    </row>
    <row r="6260" spans="1:5" x14ac:dyDescent="0.45">
      <c r="A6260" s="1347">
        <v>12</v>
      </c>
      <c r="B6260" s="1347" t="s">
        <v>9645</v>
      </c>
      <c r="C6260" s="1347">
        <v>1</v>
      </c>
      <c r="D6260" s="1347" t="s">
        <v>9646</v>
      </c>
      <c r="E6260" s="1347" t="s">
        <v>9647</v>
      </c>
    </row>
    <row r="6261" spans="1:5" x14ac:dyDescent="0.45">
      <c r="A6261" s="1347">
        <v>42</v>
      </c>
      <c r="B6261" s="1347" t="s">
        <v>9648</v>
      </c>
      <c r="C6261" s="1347">
        <v>3</v>
      </c>
      <c r="D6261" s="1347" t="s">
        <v>9649</v>
      </c>
      <c r="E6261" s="1347" t="s">
        <v>9650</v>
      </c>
    </row>
    <row r="6262" spans="1:5" x14ac:dyDescent="0.45">
      <c r="B6262" s="1347" t="s">
        <v>9651</v>
      </c>
      <c r="D6262" s="1347" t="s">
        <v>9652</v>
      </c>
      <c r="E6262" s="1347" t="s">
        <v>1402</v>
      </c>
    </row>
    <row r="6263" spans="1:5" x14ac:dyDescent="0.45">
      <c r="B6263" s="1347" t="s">
        <v>1108</v>
      </c>
      <c r="D6263" s="1347" t="s">
        <v>9653</v>
      </c>
      <c r="E6263" s="1347" t="s">
        <v>9654</v>
      </c>
    </row>
    <row r="6264" spans="1:5" x14ac:dyDescent="0.45">
      <c r="B6264" s="1347" t="s">
        <v>9655</v>
      </c>
      <c r="D6264" s="1347" t="s">
        <v>9656</v>
      </c>
      <c r="E6264" s="1347" t="s">
        <v>9657</v>
      </c>
    </row>
    <row r="6265" spans="1:5" x14ac:dyDescent="0.45">
      <c r="B6265" s="1347" t="s">
        <v>9658</v>
      </c>
      <c r="D6265" s="1347" t="s">
        <v>1109</v>
      </c>
      <c r="E6265" s="1347" t="s">
        <v>9659</v>
      </c>
    </row>
    <row r="6266" spans="1:5" x14ac:dyDescent="0.45">
      <c r="B6266" s="1347" t="s">
        <v>1541</v>
      </c>
      <c r="D6266" s="1347" t="s">
        <v>3287</v>
      </c>
      <c r="E6266" s="1347" t="s">
        <v>9660</v>
      </c>
    </row>
    <row r="6267" spans="1:5" x14ac:dyDescent="0.45">
      <c r="A6267" s="1347" t="s">
        <v>1105</v>
      </c>
      <c r="B6267" s="1347" t="s">
        <v>9661</v>
      </c>
      <c r="D6267" s="1347" t="s">
        <v>9662</v>
      </c>
      <c r="E6267" s="1347" t="s">
        <v>9663</v>
      </c>
    </row>
    <row r="6268" spans="1:5" x14ac:dyDescent="0.45">
      <c r="B6268" s="1347" t="s">
        <v>1108</v>
      </c>
      <c r="D6268" s="1347">
        <f>-400   -300    -59</f>
        <v>-759</v>
      </c>
      <c r="E6268" s="1347" t="s">
        <v>9664</v>
      </c>
    </row>
    <row r="6269" spans="1:5" x14ac:dyDescent="0.45">
      <c r="B6269" s="1347" t="s">
        <v>9665</v>
      </c>
      <c r="D6269" s="1347" t="s">
        <v>9666</v>
      </c>
      <c r="E6269" s="1347" t="s">
        <v>9667</v>
      </c>
    </row>
    <row r="6270" spans="1:5" x14ac:dyDescent="0.45">
      <c r="B6270" s="1347" t="s">
        <v>1108</v>
      </c>
      <c r="D6270" s="1347" t="s">
        <v>9668</v>
      </c>
      <c r="E6270" s="1347" t="s">
        <v>9669</v>
      </c>
    </row>
    <row r="6271" spans="1:5" x14ac:dyDescent="0.45">
      <c r="B6271" s="1347" t="s">
        <v>9670</v>
      </c>
      <c r="D6271" s="1347" t="s">
        <v>9671</v>
      </c>
      <c r="E6271" s="1347" t="s">
        <v>9672</v>
      </c>
    </row>
    <row r="6272" spans="1:5" x14ac:dyDescent="0.45">
      <c r="B6272" s="1347" t="s">
        <v>9673</v>
      </c>
      <c r="D6272" s="1347" t="s">
        <v>9674</v>
      </c>
      <c r="E6272" s="1347" t="s">
        <v>9675</v>
      </c>
    </row>
    <row r="6273" spans="1:5" x14ac:dyDescent="0.45">
      <c r="B6273" s="1347" t="s">
        <v>2491</v>
      </c>
      <c r="D6273" s="1347" t="s">
        <v>1109</v>
      </c>
      <c r="E6273" s="1347" t="s">
        <v>9676</v>
      </c>
    </row>
    <row r="6274" spans="1:5" x14ac:dyDescent="0.45">
      <c r="B6274" s="1347" t="s">
        <v>4339</v>
      </c>
      <c r="C6274" s="1347" t="s">
        <v>1105</v>
      </c>
      <c r="D6274" s="1347" t="s">
        <v>9677</v>
      </c>
      <c r="E6274" s="1347" t="s">
        <v>9678</v>
      </c>
    </row>
    <row r="6275" spans="1:5" x14ac:dyDescent="0.45">
      <c r="B6275" s="1347" t="s">
        <v>9679</v>
      </c>
      <c r="D6275" s="1347" t="s">
        <v>9680</v>
      </c>
      <c r="E6275" s="1347" t="s">
        <v>9681</v>
      </c>
    </row>
    <row r="6276" spans="1:5" x14ac:dyDescent="0.45">
      <c r="B6276" s="1347" t="s">
        <v>3304</v>
      </c>
      <c r="D6276" s="1347" t="s">
        <v>9682</v>
      </c>
      <c r="E6276" s="1347" t="s">
        <v>1110</v>
      </c>
    </row>
    <row r="6277" spans="1:5" x14ac:dyDescent="0.45">
      <c r="A6277" s="1347">
        <v>1</v>
      </c>
      <c r="B6277" s="1347" t="s">
        <v>8251</v>
      </c>
      <c r="D6277" s="1347" t="s">
        <v>9683</v>
      </c>
      <c r="E6277" s="1347" t="s">
        <v>9684</v>
      </c>
    </row>
    <row r="6278" spans="1:5" x14ac:dyDescent="0.45">
      <c r="B6278" s="1347" t="s">
        <v>1108</v>
      </c>
      <c r="D6278" s="1347" t="s">
        <v>9685</v>
      </c>
      <c r="E6278" s="1347" t="s">
        <v>9686</v>
      </c>
    </row>
    <row r="6279" spans="1:5" x14ac:dyDescent="0.45">
      <c r="B6279" s="1347" t="s">
        <v>9687</v>
      </c>
      <c r="D6279" s="1347" t="s">
        <v>9688</v>
      </c>
      <c r="E6279" s="1347" t="s">
        <v>1476</v>
      </c>
    </row>
    <row r="6280" spans="1:5" x14ac:dyDescent="0.45">
      <c r="B6280" s="1347" t="s">
        <v>1108</v>
      </c>
      <c r="D6280" s="1347" t="s">
        <v>9689</v>
      </c>
      <c r="E6280" s="1347" t="s">
        <v>9690</v>
      </c>
    </row>
    <row r="6281" spans="1:5" x14ac:dyDescent="0.45">
      <c r="A6281" s="1347" t="s">
        <v>1105</v>
      </c>
      <c r="B6281" s="1347" t="s">
        <v>9691</v>
      </c>
      <c r="D6281" s="1347" t="s">
        <v>1109</v>
      </c>
      <c r="E6281" s="1347" t="s">
        <v>9692</v>
      </c>
    </row>
    <row r="6282" spans="1:5" x14ac:dyDescent="0.45">
      <c r="A6282" s="1347" t="s">
        <v>1105</v>
      </c>
      <c r="B6282" s="1347" t="s">
        <v>9693</v>
      </c>
      <c r="D6282" s="1347" t="s">
        <v>9694</v>
      </c>
      <c r="E6282" s="1347" t="s">
        <v>9695</v>
      </c>
    </row>
    <row r="6283" spans="1:5" x14ac:dyDescent="0.45">
      <c r="B6283" s="1347" t="s">
        <v>1108</v>
      </c>
      <c r="D6283" s="1347" t="s">
        <v>9696</v>
      </c>
      <c r="E6283" s="1347" t="s">
        <v>9697</v>
      </c>
    </row>
    <row r="6284" spans="1:5" x14ac:dyDescent="0.45">
      <c r="A6284" s="1347">
        <v>5</v>
      </c>
      <c r="B6284" s="1347" t="s">
        <v>9698</v>
      </c>
      <c r="D6284" s="1347" t="s">
        <v>9699</v>
      </c>
      <c r="E6284" s="1347" t="s">
        <v>9700</v>
      </c>
    </row>
    <row r="6285" spans="1:5" x14ac:dyDescent="0.45">
      <c r="B6285" s="1347" t="s">
        <v>1108</v>
      </c>
      <c r="D6285" s="1347" t="s">
        <v>1109</v>
      </c>
      <c r="E6285" s="1347" t="s">
        <v>9701</v>
      </c>
    </row>
    <row r="6286" spans="1:5" x14ac:dyDescent="0.45">
      <c r="B6286" s="1347" t="s">
        <v>9702</v>
      </c>
      <c r="D6286" s="1347" t="s">
        <v>9703</v>
      </c>
      <c r="E6286" s="1347" t="s">
        <v>9704</v>
      </c>
    </row>
    <row r="6287" spans="1:5" x14ac:dyDescent="0.45">
      <c r="B6287" s="1347" t="s">
        <v>1108</v>
      </c>
      <c r="D6287" s="1347" t="s">
        <v>9705</v>
      </c>
      <c r="E6287" s="1347" t="s">
        <v>9706</v>
      </c>
    </row>
    <row r="6288" spans="1:5" x14ac:dyDescent="0.45">
      <c r="B6288" s="1347" t="s">
        <v>1108</v>
      </c>
      <c r="D6288" s="1347" t="s">
        <v>1109</v>
      </c>
      <c r="E6288" s="1347" t="s">
        <v>1110</v>
      </c>
    </row>
    <row r="6289" spans="1:5" x14ac:dyDescent="0.45">
      <c r="B6289" s="1347" t="s">
        <v>1108</v>
      </c>
      <c r="C6289" s="1347" t="s">
        <v>1105</v>
      </c>
      <c r="D6289" s="1347" t="s">
        <v>9707</v>
      </c>
      <c r="E6289" s="1347" t="s">
        <v>9708</v>
      </c>
    </row>
    <row r="6290" spans="1:5" x14ac:dyDescent="0.45">
      <c r="A6290" s="1347" t="s">
        <v>1105</v>
      </c>
      <c r="B6290" s="1347" t="s">
        <v>9709</v>
      </c>
      <c r="C6290" s="1347" t="s">
        <v>1105</v>
      </c>
      <c r="D6290" s="1347" t="s">
        <v>9710</v>
      </c>
      <c r="E6290" s="1347" t="s">
        <v>9711</v>
      </c>
    </row>
    <row r="6291" spans="1:5" x14ac:dyDescent="0.45">
      <c r="A6291" s="1347">
        <v>-3</v>
      </c>
      <c r="B6291" s="1347" t="s">
        <v>9712</v>
      </c>
      <c r="D6291" s="1347" t="s">
        <v>9713</v>
      </c>
      <c r="E6291" s="1347" t="s">
        <v>9714</v>
      </c>
    </row>
    <row r="6292" spans="1:5" x14ac:dyDescent="0.45">
      <c r="B6292" s="1347" t="s">
        <v>9715</v>
      </c>
      <c r="D6292" s="1347" t="s">
        <v>9716</v>
      </c>
      <c r="E6292" s="1347" t="s">
        <v>9717</v>
      </c>
    </row>
    <row r="6293" spans="1:5" x14ac:dyDescent="0.45">
      <c r="B6293" s="1347" t="s">
        <v>9718</v>
      </c>
      <c r="D6293" s="1347" t="s">
        <v>9719</v>
      </c>
      <c r="E6293" s="1347" t="s">
        <v>9720</v>
      </c>
    </row>
    <row r="6294" spans="1:5" x14ac:dyDescent="0.45">
      <c r="A6294" s="1347" t="s">
        <v>1105</v>
      </c>
      <c r="B6294" s="1347" t="s">
        <v>9721</v>
      </c>
      <c r="D6294" s="1347" t="s">
        <v>9722</v>
      </c>
      <c r="E6294" s="1347" t="s">
        <v>9723</v>
      </c>
    </row>
    <row r="6295" spans="1:5" x14ac:dyDescent="0.45">
      <c r="B6295" s="1347" t="s">
        <v>9724</v>
      </c>
      <c r="D6295" s="1347" t="s">
        <v>9725</v>
      </c>
      <c r="E6295" s="1347" t="s">
        <v>9726</v>
      </c>
    </row>
    <row r="6296" spans="1:5" x14ac:dyDescent="0.45">
      <c r="A6296" s="1347" t="s">
        <v>1105</v>
      </c>
      <c r="B6296" s="1347" t="s">
        <v>3860</v>
      </c>
      <c r="D6296" s="1347" t="s">
        <v>9727</v>
      </c>
      <c r="E6296" s="1347" t="s">
        <v>9728</v>
      </c>
    </row>
    <row r="6297" spans="1:5" x14ac:dyDescent="0.45">
      <c r="B6297" s="1347" t="s">
        <v>1108</v>
      </c>
      <c r="D6297" s="1347" t="s">
        <v>5585</v>
      </c>
      <c r="E6297" s="1347" t="s">
        <v>9729</v>
      </c>
    </row>
    <row r="6298" spans="1:5" x14ac:dyDescent="0.45">
      <c r="B6298" s="1347" t="s">
        <v>2482</v>
      </c>
      <c r="D6298" s="1347" t="s">
        <v>9730</v>
      </c>
      <c r="E6298" s="1347" t="s">
        <v>9731</v>
      </c>
    </row>
    <row r="6299" spans="1:5" x14ac:dyDescent="0.45">
      <c r="A6299" s="1347" t="s">
        <v>1105</v>
      </c>
      <c r="B6299" s="1347" t="s">
        <v>9732</v>
      </c>
      <c r="D6299" s="1347" t="s">
        <v>9733</v>
      </c>
      <c r="E6299" s="1347" t="s">
        <v>9734</v>
      </c>
    </row>
    <row r="6300" spans="1:5" x14ac:dyDescent="0.45">
      <c r="B6300" s="1347" t="s">
        <v>1108</v>
      </c>
      <c r="D6300" s="1347" t="s">
        <v>9735</v>
      </c>
      <c r="E6300" s="1347" t="s">
        <v>1958</v>
      </c>
    </row>
    <row r="6301" spans="1:5" x14ac:dyDescent="0.45">
      <c r="B6301" s="1347" t="s">
        <v>9736</v>
      </c>
      <c r="D6301" s="1347" t="s">
        <v>9737</v>
      </c>
      <c r="E6301" s="1347" t="s">
        <v>9738</v>
      </c>
    </row>
    <row r="6302" spans="1:5" x14ac:dyDescent="0.45">
      <c r="B6302" s="1347" t="s">
        <v>5702</v>
      </c>
      <c r="D6302" s="1347" t="s">
        <v>9739</v>
      </c>
      <c r="E6302" s="1347" t="s">
        <v>9740</v>
      </c>
    </row>
    <row r="6303" spans="1:5" x14ac:dyDescent="0.45">
      <c r="B6303" s="1347" t="s">
        <v>9741</v>
      </c>
      <c r="D6303" s="1347" t="s">
        <v>9742</v>
      </c>
      <c r="E6303" s="1347" t="s">
        <v>9743</v>
      </c>
    </row>
    <row r="6304" spans="1:5" x14ac:dyDescent="0.45">
      <c r="B6304" s="1347" t="s">
        <v>1108</v>
      </c>
      <c r="D6304" s="1347" t="s">
        <v>9744</v>
      </c>
      <c r="E6304" s="1347" t="s">
        <v>9745</v>
      </c>
    </row>
    <row r="6305" spans="1:5" x14ac:dyDescent="0.45">
      <c r="B6305" s="1347" t="s">
        <v>9746</v>
      </c>
      <c r="C6305" s="1347">
        <v>-4</v>
      </c>
      <c r="D6305" s="1347" t="s">
        <v>9747</v>
      </c>
      <c r="E6305" s="1347" t="s">
        <v>9748</v>
      </c>
    </row>
    <row r="6306" spans="1:5" x14ac:dyDescent="0.45">
      <c r="B6306" s="1347" t="s">
        <v>3539</v>
      </c>
      <c r="D6306" s="1347" t="s">
        <v>9749</v>
      </c>
      <c r="E6306" s="1347" t="s">
        <v>9750</v>
      </c>
    </row>
    <row r="6307" spans="1:5" x14ac:dyDescent="0.45">
      <c r="B6307" s="1347" t="s">
        <v>9751</v>
      </c>
      <c r="D6307" s="1347" t="s">
        <v>9752</v>
      </c>
      <c r="E6307" s="1347" t="s">
        <v>9753</v>
      </c>
    </row>
    <row r="6308" spans="1:5" x14ac:dyDescent="0.45">
      <c r="B6308" s="1347" t="s">
        <v>9754</v>
      </c>
      <c r="D6308" s="1347" t="s">
        <v>9755</v>
      </c>
      <c r="E6308" s="1347" t="s">
        <v>9756</v>
      </c>
    </row>
    <row r="6309" spans="1:5" x14ac:dyDescent="0.45">
      <c r="A6309" s="1347" t="s">
        <v>1105</v>
      </c>
      <c r="B6309" s="1347" t="s">
        <v>9757</v>
      </c>
      <c r="D6309" s="1347" t="s">
        <v>9758</v>
      </c>
      <c r="E6309" s="1347" t="s">
        <v>9759</v>
      </c>
    </row>
    <row r="6310" spans="1:5" x14ac:dyDescent="0.45">
      <c r="B6310" s="1347" t="s">
        <v>1327</v>
      </c>
      <c r="D6310" s="1347" t="s">
        <v>9760</v>
      </c>
      <c r="E6310" s="1347" t="s">
        <v>9761</v>
      </c>
    </row>
    <row r="6311" spans="1:5" x14ac:dyDescent="0.45">
      <c r="B6311" s="1347" t="s">
        <v>1108</v>
      </c>
      <c r="D6311" s="1347" t="s">
        <v>9762</v>
      </c>
      <c r="E6311" s="1347" t="s">
        <v>9763</v>
      </c>
    </row>
    <row r="6312" spans="1:5" x14ac:dyDescent="0.45">
      <c r="A6312" s="1347">
        <v>-41</v>
      </c>
      <c r="B6312" s="1347" t="s">
        <v>9764</v>
      </c>
      <c r="D6312" s="1347" t="s">
        <v>9765</v>
      </c>
      <c r="E6312" s="1347" t="s">
        <v>9766</v>
      </c>
    </row>
    <row r="6313" spans="1:5" x14ac:dyDescent="0.45">
      <c r="B6313" s="1347" t="s">
        <v>9767</v>
      </c>
      <c r="D6313" s="1347" t="s">
        <v>9768</v>
      </c>
      <c r="E6313" s="1347" t="s">
        <v>9769</v>
      </c>
    </row>
    <row r="6314" spans="1:5" x14ac:dyDescent="0.45">
      <c r="B6314" s="1347" t="s">
        <v>1108</v>
      </c>
      <c r="D6314" s="1347" t="s">
        <v>1109</v>
      </c>
      <c r="E6314" s="1347" t="s">
        <v>9770</v>
      </c>
    </row>
    <row r="6315" spans="1:5" x14ac:dyDescent="0.45">
      <c r="A6315" s="1347">
        <v>-1</v>
      </c>
      <c r="B6315" s="1347" t="s">
        <v>9771</v>
      </c>
      <c r="D6315" s="1347" t="s">
        <v>9772</v>
      </c>
      <c r="E6315" s="1347" t="s">
        <v>1110</v>
      </c>
    </row>
    <row r="6316" spans="1:5" x14ac:dyDescent="0.45">
      <c r="A6316" s="1347">
        <v>-2</v>
      </c>
      <c r="B6316" s="1347" t="s">
        <v>9773</v>
      </c>
      <c r="D6316" s="1347">
        <f>-513   -504   -215   -16</f>
        <v>-1248</v>
      </c>
      <c r="E6316" s="1347" t="s">
        <v>1958</v>
      </c>
    </row>
    <row r="6317" spans="1:5" x14ac:dyDescent="0.45">
      <c r="A6317" s="1347">
        <v>-1</v>
      </c>
      <c r="B6317" s="1347" t="s">
        <v>9774</v>
      </c>
      <c r="C6317" s="1347" t="s">
        <v>1105</v>
      </c>
      <c r="D6317" s="1347" t="s">
        <v>9775</v>
      </c>
      <c r="E6317" s="1347" t="s">
        <v>9776</v>
      </c>
    </row>
    <row r="6318" spans="1:5" x14ac:dyDescent="0.45">
      <c r="B6318" s="1347" t="s">
        <v>4876</v>
      </c>
      <c r="D6318" s="1347" t="s">
        <v>9777</v>
      </c>
      <c r="E6318" s="1347" t="s">
        <v>9778</v>
      </c>
    </row>
    <row r="6319" spans="1:5" x14ac:dyDescent="0.45">
      <c r="B6319" s="1347">
        <f>-11   -322</f>
        <v>-333</v>
      </c>
      <c r="D6319" s="1347" t="s">
        <v>9779</v>
      </c>
      <c r="E6319" s="1347" t="s">
        <v>1110</v>
      </c>
    </row>
    <row r="6320" spans="1:5" x14ac:dyDescent="0.45">
      <c r="A6320" s="1347" t="s">
        <v>1105</v>
      </c>
      <c r="B6320" s="1347" t="s">
        <v>9780</v>
      </c>
      <c r="D6320" s="1347" t="s">
        <v>9781</v>
      </c>
      <c r="E6320" s="1347" t="s">
        <v>9782</v>
      </c>
    </row>
    <row r="6321" spans="1:5" x14ac:dyDescent="0.45">
      <c r="B6321" s="1347" t="s">
        <v>9783</v>
      </c>
      <c r="D6321" s="1347" t="s">
        <v>1109</v>
      </c>
      <c r="E6321" s="1347" t="s">
        <v>9784</v>
      </c>
    </row>
    <row r="6322" spans="1:5" x14ac:dyDescent="0.45">
      <c r="B6322" s="1347" t="s">
        <v>1108</v>
      </c>
      <c r="D6322" s="1347" t="s">
        <v>1109</v>
      </c>
      <c r="E6322" s="1347" t="s">
        <v>1110</v>
      </c>
    </row>
    <row r="6323" spans="1:5" x14ac:dyDescent="0.45">
      <c r="B6323" s="1347" t="s">
        <v>1108</v>
      </c>
      <c r="D6323" s="1347" t="s">
        <v>9785</v>
      </c>
      <c r="E6323" s="1347" t="s">
        <v>1435</v>
      </c>
    </row>
    <row r="6324" spans="1:5" x14ac:dyDescent="0.45">
      <c r="B6324" s="1347" t="s">
        <v>9786</v>
      </c>
      <c r="D6324" s="1347">
        <f>-67   -401  -3469 -1393</f>
        <v>-5330</v>
      </c>
      <c r="E6324" s="1347" t="s">
        <v>9787</v>
      </c>
    </row>
    <row r="6325" spans="1:5" x14ac:dyDescent="0.45">
      <c r="B6325" s="1347" t="s">
        <v>9788</v>
      </c>
      <c r="D6325" s="1347" t="s">
        <v>9789</v>
      </c>
      <c r="E6325" s="1347" t="s">
        <v>9790</v>
      </c>
    </row>
    <row r="6326" spans="1:5" x14ac:dyDescent="0.45">
      <c r="B6326" s="1347" t="s">
        <v>9791</v>
      </c>
      <c r="C6326" s="1347" t="s">
        <v>1105</v>
      </c>
      <c r="D6326" s="1347" t="s">
        <v>9792</v>
      </c>
      <c r="E6326" s="1347" t="s">
        <v>9793</v>
      </c>
    </row>
    <row r="6327" spans="1:5" x14ac:dyDescent="0.45">
      <c r="A6327" s="1347">
        <v>-1</v>
      </c>
      <c r="B6327" s="1347" t="s">
        <v>9794</v>
      </c>
      <c r="D6327" s="1347" t="s">
        <v>9795</v>
      </c>
      <c r="E6327" s="1347" t="s">
        <v>9796</v>
      </c>
    </row>
    <row r="6328" spans="1:5" x14ac:dyDescent="0.45">
      <c r="A6328" s="1347" t="s">
        <v>1105</v>
      </c>
      <c r="B6328" s="1347" t="s">
        <v>9797</v>
      </c>
      <c r="D6328" s="1347">
        <f>-236   -296   -498   -11</f>
        <v>-1041</v>
      </c>
      <c r="E6328" s="1347" t="s">
        <v>9798</v>
      </c>
    </row>
    <row r="6329" spans="1:5" x14ac:dyDescent="0.45">
      <c r="B6329" s="1347" t="s">
        <v>9799</v>
      </c>
      <c r="D6329" s="1347" t="s">
        <v>9800</v>
      </c>
      <c r="E6329" s="1347" t="s">
        <v>9801</v>
      </c>
    </row>
    <row r="6330" spans="1:5" x14ac:dyDescent="0.45">
      <c r="A6330" s="1347" t="s">
        <v>1105</v>
      </c>
      <c r="B6330" s="1347" t="s">
        <v>9802</v>
      </c>
      <c r="D6330" s="1347" t="s">
        <v>9803</v>
      </c>
      <c r="E6330" s="1347" t="s">
        <v>9804</v>
      </c>
    </row>
    <row r="6331" spans="1:5" x14ac:dyDescent="0.45">
      <c r="B6331" s="1347" t="s">
        <v>2031</v>
      </c>
      <c r="D6331" s="1347" t="s">
        <v>7216</v>
      </c>
      <c r="E6331" s="1347" t="s">
        <v>9805</v>
      </c>
    </row>
    <row r="6332" spans="1:5" x14ac:dyDescent="0.45">
      <c r="B6332" s="1347" t="s">
        <v>1108</v>
      </c>
      <c r="D6332" s="1347" t="s">
        <v>9806</v>
      </c>
      <c r="E6332" s="1347" t="s">
        <v>9807</v>
      </c>
    </row>
    <row r="6333" spans="1:5" x14ac:dyDescent="0.45">
      <c r="B6333" s="1347" t="s">
        <v>9808</v>
      </c>
      <c r="D6333" s="1347">
        <f>-38   -181   -390   -67</f>
        <v>-676</v>
      </c>
      <c r="E6333" s="1347" t="s">
        <v>9809</v>
      </c>
    </row>
    <row r="6334" spans="1:5" x14ac:dyDescent="0.45">
      <c r="B6334" s="1347" t="s">
        <v>1108</v>
      </c>
      <c r="D6334" s="1347" t="s">
        <v>9810</v>
      </c>
      <c r="E6334" s="1347" t="s">
        <v>9811</v>
      </c>
    </row>
    <row r="6335" spans="1:5" x14ac:dyDescent="0.45">
      <c r="B6335" s="1347" t="s">
        <v>1108</v>
      </c>
      <c r="D6335" s="1347" t="s">
        <v>2041</v>
      </c>
      <c r="E6335" s="1347" t="s">
        <v>9812</v>
      </c>
    </row>
    <row r="6336" spans="1:5" x14ac:dyDescent="0.45">
      <c r="B6336" s="1347" t="s">
        <v>9813</v>
      </c>
      <c r="C6336" s="1347">
        <v>-3</v>
      </c>
      <c r="D6336" s="1347" t="s">
        <v>9814</v>
      </c>
      <c r="E6336" s="1347" t="s">
        <v>9815</v>
      </c>
    </row>
    <row r="6337" spans="1:5" x14ac:dyDescent="0.45">
      <c r="A6337" s="1347" t="s">
        <v>1105</v>
      </c>
      <c r="B6337" s="1347" t="s">
        <v>9816</v>
      </c>
      <c r="D6337" s="1347" t="s">
        <v>9817</v>
      </c>
      <c r="E6337" s="1347" t="s">
        <v>9818</v>
      </c>
    </row>
    <row r="6338" spans="1:5" x14ac:dyDescent="0.45">
      <c r="A6338" s="1347" t="s">
        <v>1105</v>
      </c>
      <c r="B6338" s="1347" t="s">
        <v>9819</v>
      </c>
      <c r="D6338" s="1347" t="s">
        <v>9820</v>
      </c>
      <c r="E6338" s="1347" t="s">
        <v>8821</v>
      </c>
    </row>
    <row r="6339" spans="1:5" x14ac:dyDescent="0.45">
      <c r="B6339" s="1347" t="s">
        <v>9821</v>
      </c>
      <c r="D6339" s="1347" t="s">
        <v>9822</v>
      </c>
      <c r="E6339" s="1347" t="s">
        <v>9823</v>
      </c>
    </row>
    <row r="6340" spans="1:5" x14ac:dyDescent="0.45">
      <c r="B6340" s="1347" t="s">
        <v>9824</v>
      </c>
      <c r="C6340" s="1347" t="s">
        <v>1105</v>
      </c>
      <c r="D6340" s="1347" t="s">
        <v>9825</v>
      </c>
      <c r="E6340" s="1347" t="s">
        <v>9826</v>
      </c>
    </row>
    <row r="6341" spans="1:5" x14ac:dyDescent="0.45">
      <c r="B6341" s="1347" t="s">
        <v>8761</v>
      </c>
      <c r="D6341" s="1347" t="s">
        <v>9827</v>
      </c>
      <c r="E6341" s="1347" t="s">
        <v>9828</v>
      </c>
    </row>
    <row r="6342" spans="1:5" x14ac:dyDescent="0.45">
      <c r="B6342" s="1347" t="s">
        <v>1108</v>
      </c>
      <c r="D6342" s="1347" t="s">
        <v>9829</v>
      </c>
      <c r="E6342" s="1347" t="s">
        <v>9830</v>
      </c>
    </row>
    <row r="6343" spans="1:5" x14ac:dyDescent="0.45">
      <c r="A6343" s="1347">
        <v>-39</v>
      </c>
      <c r="B6343" s="1347" t="s">
        <v>9831</v>
      </c>
      <c r="D6343" s="1347" t="s">
        <v>9832</v>
      </c>
      <c r="E6343" s="1347" t="s">
        <v>9833</v>
      </c>
    </row>
    <row r="6344" spans="1:5" x14ac:dyDescent="0.45">
      <c r="B6344" s="1347" t="s">
        <v>9834</v>
      </c>
      <c r="D6344" s="1347" t="s">
        <v>9835</v>
      </c>
      <c r="E6344" s="1347" t="s">
        <v>9836</v>
      </c>
    </row>
    <row r="6345" spans="1:5" x14ac:dyDescent="0.45">
      <c r="A6345" s="1347" t="s">
        <v>1105</v>
      </c>
      <c r="B6345" s="1347" t="s">
        <v>9837</v>
      </c>
      <c r="D6345" s="1347" t="s">
        <v>1109</v>
      </c>
      <c r="E6345" s="1347" t="s">
        <v>9838</v>
      </c>
    </row>
    <row r="6346" spans="1:5" x14ac:dyDescent="0.45">
      <c r="B6346" s="1347" t="s">
        <v>9839</v>
      </c>
      <c r="D6346" s="1347" t="s">
        <v>9840</v>
      </c>
      <c r="E6346" s="1347" t="s">
        <v>9841</v>
      </c>
    </row>
    <row r="6347" spans="1:5" x14ac:dyDescent="0.45">
      <c r="B6347" s="1347" t="s">
        <v>9842</v>
      </c>
      <c r="C6347" s="1347" t="s">
        <v>1105</v>
      </c>
      <c r="D6347" s="1347" t="s">
        <v>9843</v>
      </c>
      <c r="E6347" s="1347" t="s">
        <v>9844</v>
      </c>
    </row>
    <row r="6348" spans="1:5" x14ac:dyDescent="0.45">
      <c r="A6348" s="1347" t="s">
        <v>1105</v>
      </c>
      <c r="B6348" s="1347" t="s">
        <v>1914</v>
      </c>
      <c r="D6348" s="1347" t="s">
        <v>9845</v>
      </c>
      <c r="E6348" s="1347" t="s">
        <v>1110</v>
      </c>
    </row>
    <row r="6349" spans="1:5" x14ac:dyDescent="0.45">
      <c r="B6349" s="1347" t="s">
        <v>9846</v>
      </c>
      <c r="D6349" s="1347" t="s">
        <v>9847</v>
      </c>
      <c r="E6349" s="1347" t="s">
        <v>9848</v>
      </c>
    </row>
    <row r="6350" spans="1:5" x14ac:dyDescent="0.45">
      <c r="B6350" s="1347" t="s">
        <v>1108</v>
      </c>
      <c r="D6350" s="1347" t="s">
        <v>9849</v>
      </c>
      <c r="E6350" s="1347" t="s">
        <v>9850</v>
      </c>
    </row>
    <row r="6351" spans="1:5" x14ac:dyDescent="0.45">
      <c r="B6351" s="1347" t="s">
        <v>1108</v>
      </c>
      <c r="D6351" s="1347" t="s">
        <v>9851</v>
      </c>
      <c r="E6351" s="1347" t="s">
        <v>9852</v>
      </c>
    </row>
    <row r="6352" spans="1:5" x14ac:dyDescent="0.45">
      <c r="B6352" s="1347" t="s">
        <v>2667</v>
      </c>
      <c r="D6352" s="1347" t="s">
        <v>6917</v>
      </c>
      <c r="E6352" s="1347" t="s">
        <v>9853</v>
      </c>
    </row>
    <row r="6353" spans="1:5" x14ac:dyDescent="0.45">
      <c r="B6353" s="1347" t="s">
        <v>9854</v>
      </c>
      <c r="D6353" s="1347">
        <f>-254   -396    -19   -27</f>
        <v>-696</v>
      </c>
      <c r="E6353" s="1347" t="s">
        <v>9855</v>
      </c>
    </row>
    <row r="6354" spans="1:5" x14ac:dyDescent="0.45">
      <c r="B6354" s="1347" t="s">
        <v>1108</v>
      </c>
      <c r="D6354" s="1347" t="s">
        <v>9856</v>
      </c>
      <c r="E6354" s="1347" t="s">
        <v>9857</v>
      </c>
    </row>
    <row r="6355" spans="1:5" x14ac:dyDescent="0.45">
      <c r="B6355" s="1347" t="s">
        <v>1108</v>
      </c>
      <c r="D6355" s="1347" t="s">
        <v>9858</v>
      </c>
      <c r="E6355" s="1347" t="s">
        <v>1958</v>
      </c>
    </row>
    <row r="6356" spans="1:5" x14ac:dyDescent="0.45">
      <c r="A6356" s="1347">
        <v>-1</v>
      </c>
      <c r="B6356" s="1347" t="s">
        <v>1237</v>
      </c>
      <c r="D6356" s="1347" t="s">
        <v>9859</v>
      </c>
      <c r="E6356" s="1347" t="s">
        <v>1110</v>
      </c>
    </row>
    <row r="6357" spans="1:5" x14ac:dyDescent="0.45">
      <c r="B6357" s="1347" t="s">
        <v>1108</v>
      </c>
      <c r="D6357" s="1347" t="s">
        <v>1109</v>
      </c>
      <c r="E6357" s="1347" t="s">
        <v>9860</v>
      </c>
    </row>
    <row r="6358" spans="1:5" x14ac:dyDescent="0.45">
      <c r="B6358" s="1347" t="s">
        <v>1108</v>
      </c>
      <c r="D6358" s="1347" t="s">
        <v>9861</v>
      </c>
      <c r="E6358" s="1347" t="s">
        <v>9862</v>
      </c>
    </row>
    <row r="6359" spans="1:5" x14ac:dyDescent="0.45">
      <c r="A6359" s="1347">
        <v>-14</v>
      </c>
      <c r="B6359" s="1347" t="s">
        <v>9863</v>
      </c>
      <c r="D6359" s="1347" t="s">
        <v>9864</v>
      </c>
      <c r="E6359" s="1347" t="s">
        <v>9865</v>
      </c>
    </row>
    <row r="6360" spans="1:5" x14ac:dyDescent="0.45">
      <c r="A6360" s="1347" t="s">
        <v>1105</v>
      </c>
      <c r="B6360" s="1347" t="s">
        <v>9866</v>
      </c>
      <c r="D6360" s="1347" t="s">
        <v>9867</v>
      </c>
      <c r="E6360" s="1347" t="s">
        <v>9868</v>
      </c>
    </row>
    <row r="6361" spans="1:5" x14ac:dyDescent="0.45">
      <c r="A6361" s="1347">
        <v>-1</v>
      </c>
      <c r="B6361" s="1347" t="s">
        <v>9869</v>
      </c>
      <c r="D6361" s="1347" t="s">
        <v>9870</v>
      </c>
      <c r="E6361" s="1347" t="s">
        <v>9871</v>
      </c>
    </row>
    <row r="6362" spans="1:5" x14ac:dyDescent="0.45">
      <c r="A6362" s="1347" t="s">
        <v>1105</v>
      </c>
      <c r="B6362" s="1347" t="s">
        <v>9872</v>
      </c>
      <c r="D6362" s="1347">
        <f>-778   -762    -13    -5</f>
        <v>-1558</v>
      </c>
      <c r="E6362" s="1347" t="s">
        <v>9873</v>
      </c>
    </row>
    <row r="6363" spans="1:5" x14ac:dyDescent="0.45">
      <c r="B6363" s="1347" t="s">
        <v>9874</v>
      </c>
      <c r="D6363" s="1347" t="s">
        <v>9875</v>
      </c>
      <c r="E6363" s="1347" t="s">
        <v>9876</v>
      </c>
    </row>
    <row r="6364" spans="1:5" x14ac:dyDescent="0.45">
      <c r="B6364" s="1347" t="s">
        <v>9877</v>
      </c>
      <c r="D6364" s="1347" t="s">
        <v>9878</v>
      </c>
      <c r="E6364" s="1347" t="s">
        <v>9879</v>
      </c>
    </row>
    <row r="6365" spans="1:5" x14ac:dyDescent="0.45">
      <c r="B6365" s="1347" t="s">
        <v>1108</v>
      </c>
      <c r="D6365" s="1347" t="s">
        <v>9880</v>
      </c>
      <c r="E6365" s="1347" t="s">
        <v>9881</v>
      </c>
    </row>
    <row r="6366" spans="1:5" x14ac:dyDescent="0.45">
      <c r="B6366" s="1347" t="s">
        <v>1108</v>
      </c>
      <c r="D6366" s="1347" t="s">
        <v>9882</v>
      </c>
      <c r="E6366" s="1347" t="s">
        <v>9883</v>
      </c>
    </row>
    <row r="6367" spans="1:5" x14ac:dyDescent="0.45">
      <c r="B6367" s="1347" t="s">
        <v>9821</v>
      </c>
      <c r="D6367" s="1347" t="s">
        <v>9884</v>
      </c>
      <c r="E6367" s="1347" t="s">
        <v>9885</v>
      </c>
    </row>
    <row r="6368" spans="1:5" x14ac:dyDescent="0.45">
      <c r="A6368" s="1347" t="s">
        <v>1105</v>
      </c>
      <c r="B6368" s="1347" t="s">
        <v>4555</v>
      </c>
      <c r="D6368" s="1347" t="s">
        <v>9886</v>
      </c>
      <c r="E6368" s="1347" t="s">
        <v>9887</v>
      </c>
    </row>
    <row r="6369" spans="1:5" x14ac:dyDescent="0.45">
      <c r="B6369" s="1347" t="s">
        <v>1108</v>
      </c>
      <c r="D6369" s="1347" t="s">
        <v>9888</v>
      </c>
      <c r="E6369" s="1347" t="s">
        <v>1110</v>
      </c>
    </row>
    <row r="6370" spans="1:5" x14ac:dyDescent="0.45">
      <c r="A6370" s="1347" t="s">
        <v>1105</v>
      </c>
      <c r="B6370" s="1347" t="s">
        <v>6382</v>
      </c>
      <c r="D6370" s="1347" t="s">
        <v>9889</v>
      </c>
      <c r="E6370" s="1347" t="s">
        <v>9890</v>
      </c>
    </row>
    <row r="6371" spans="1:5" x14ac:dyDescent="0.45">
      <c r="B6371" s="1347" t="s">
        <v>1108</v>
      </c>
      <c r="D6371" s="1347" t="s">
        <v>9891</v>
      </c>
      <c r="E6371" s="1347" t="s">
        <v>9892</v>
      </c>
    </row>
    <row r="6372" spans="1:5" x14ac:dyDescent="0.45">
      <c r="B6372" s="1347" t="s">
        <v>9893</v>
      </c>
      <c r="D6372" s="1347" t="s">
        <v>9894</v>
      </c>
      <c r="E6372" s="1347" t="s">
        <v>9895</v>
      </c>
    </row>
    <row r="6373" spans="1:5" x14ac:dyDescent="0.45">
      <c r="B6373" s="1347" t="s">
        <v>1108</v>
      </c>
      <c r="D6373" s="1347" t="s">
        <v>9896</v>
      </c>
      <c r="E6373" s="1347" t="s">
        <v>9897</v>
      </c>
    </row>
    <row r="6374" spans="1:5" x14ac:dyDescent="0.45">
      <c r="A6374" s="1347">
        <v>-1</v>
      </c>
      <c r="B6374" s="1347" t="s">
        <v>9898</v>
      </c>
      <c r="D6374" s="1347" t="s">
        <v>9899</v>
      </c>
      <c r="E6374" s="1347" t="s">
        <v>9900</v>
      </c>
    </row>
    <row r="6375" spans="1:5" x14ac:dyDescent="0.45">
      <c r="B6375" s="1347" t="s">
        <v>2544</v>
      </c>
      <c r="D6375" s="1347" t="s">
        <v>9901</v>
      </c>
      <c r="E6375" s="1347" t="s">
        <v>9902</v>
      </c>
    </row>
    <row r="6376" spans="1:5" x14ac:dyDescent="0.45">
      <c r="B6376" s="1347" t="s">
        <v>9903</v>
      </c>
      <c r="D6376" s="1347" t="s">
        <v>9904</v>
      </c>
      <c r="E6376" s="1347" t="s">
        <v>9905</v>
      </c>
    </row>
    <row r="6377" spans="1:5" x14ac:dyDescent="0.45">
      <c r="A6377" s="1347">
        <v>9</v>
      </c>
      <c r="B6377" s="1347" t="s">
        <v>9906</v>
      </c>
      <c r="D6377" s="1347" t="s">
        <v>9907</v>
      </c>
      <c r="E6377" s="1347" t="s">
        <v>9908</v>
      </c>
    </row>
    <row r="6378" spans="1:5" x14ac:dyDescent="0.45">
      <c r="A6378" s="1347" t="s">
        <v>1105</v>
      </c>
      <c r="B6378" s="1347" t="s">
        <v>9909</v>
      </c>
      <c r="D6378" s="1347" t="s">
        <v>9910</v>
      </c>
      <c r="E6378" s="1347" t="s">
        <v>9911</v>
      </c>
    </row>
    <row r="6379" spans="1:5" x14ac:dyDescent="0.45">
      <c r="B6379" s="1347" t="s">
        <v>1108</v>
      </c>
      <c r="D6379" s="1347" t="s">
        <v>9912</v>
      </c>
      <c r="E6379" s="1347" t="s">
        <v>9913</v>
      </c>
    </row>
    <row r="6380" spans="1:5" x14ac:dyDescent="0.45">
      <c r="B6380" s="1347" t="s">
        <v>1108</v>
      </c>
      <c r="D6380" s="1347" t="s">
        <v>9914</v>
      </c>
      <c r="E6380" s="1347" t="s">
        <v>9915</v>
      </c>
    </row>
    <row r="6381" spans="1:5" x14ac:dyDescent="0.45">
      <c r="B6381" s="1347" t="s">
        <v>8112</v>
      </c>
      <c r="D6381" s="1347" t="s">
        <v>9916</v>
      </c>
      <c r="E6381" s="1347" t="s">
        <v>9917</v>
      </c>
    </row>
    <row r="6382" spans="1:5" x14ac:dyDescent="0.45">
      <c r="B6382" s="1347" t="s">
        <v>4884</v>
      </c>
      <c r="D6382" s="1347" t="s">
        <v>9918</v>
      </c>
      <c r="E6382" s="1347" t="s">
        <v>9919</v>
      </c>
    </row>
    <row r="6383" spans="1:5" x14ac:dyDescent="0.45">
      <c r="B6383" s="1347" t="s">
        <v>1108</v>
      </c>
      <c r="D6383" s="1347" t="s">
        <v>1109</v>
      </c>
      <c r="E6383" s="1347" t="s">
        <v>9920</v>
      </c>
    </row>
    <row r="6384" spans="1:5" x14ac:dyDescent="0.45">
      <c r="A6384" s="1347" t="s">
        <v>1105</v>
      </c>
      <c r="B6384" s="1347" t="s">
        <v>6489</v>
      </c>
      <c r="D6384" s="1347" t="s">
        <v>9921</v>
      </c>
      <c r="E6384" s="1347" t="s">
        <v>9922</v>
      </c>
    </row>
    <row r="6385" spans="1:5" x14ac:dyDescent="0.45">
      <c r="A6385" s="1347">
        <v>-1</v>
      </c>
      <c r="B6385" s="1347" t="s">
        <v>9923</v>
      </c>
      <c r="D6385" s="1347" t="s">
        <v>9924</v>
      </c>
      <c r="E6385" s="1347" t="s">
        <v>9925</v>
      </c>
    </row>
    <row r="6386" spans="1:5" x14ac:dyDescent="0.45">
      <c r="B6386" s="1347" t="s">
        <v>9926</v>
      </c>
      <c r="D6386" s="1347" t="s">
        <v>9927</v>
      </c>
      <c r="E6386" s="1347" t="s">
        <v>1958</v>
      </c>
    </row>
    <row r="6387" spans="1:5" x14ac:dyDescent="0.45">
      <c r="B6387" s="1347" t="s">
        <v>9928</v>
      </c>
      <c r="D6387" s="1347" t="s">
        <v>9929</v>
      </c>
      <c r="E6387" s="1347" t="s">
        <v>9930</v>
      </c>
    </row>
    <row r="6388" spans="1:5" x14ac:dyDescent="0.45">
      <c r="A6388" s="1347" t="s">
        <v>1105</v>
      </c>
      <c r="B6388" s="1347" t="s">
        <v>9931</v>
      </c>
      <c r="D6388" s="1347" t="s">
        <v>1109</v>
      </c>
      <c r="E6388" s="1347" t="s">
        <v>9932</v>
      </c>
    </row>
    <row r="6389" spans="1:5" x14ac:dyDescent="0.45">
      <c r="B6389" s="1347" t="s">
        <v>9933</v>
      </c>
      <c r="D6389" s="1347" t="s">
        <v>9934</v>
      </c>
      <c r="E6389" s="1347" t="s">
        <v>9935</v>
      </c>
    </row>
    <row r="6390" spans="1:5" x14ac:dyDescent="0.45">
      <c r="B6390" s="1347" t="s">
        <v>9936</v>
      </c>
      <c r="D6390" s="1347" t="s">
        <v>9937</v>
      </c>
      <c r="E6390" s="1347" t="s">
        <v>9938</v>
      </c>
    </row>
    <row r="6391" spans="1:5" x14ac:dyDescent="0.45">
      <c r="B6391" s="1347" t="s">
        <v>1108</v>
      </c>
      <c r="D6391" s="1347" t="s">
        <v>1109</v>
      </c>
      <c r="E6391" s="1347" t="s">
        <v>1110</v>
      </c>
    </row>
    <row r="6392" spans="1:5" x14ac:dyDescent="0.45">
      <c r="B6392" s="1347" t="s">
        <v>1108</v>
      </c>
      <c r="D6392" s="1347" t="s">
        <v>9939</v>
      </c>
      <c r="E6392" s="1347" t="s">
        <v>1110</v>
      </c>
    </row>
    <row r="6393" spans="1:5" x14ac:dyDescent="0.45">
      <c r="B6393" s="1347" t="s">
        <v>9940</v>
      </c>
      <c r="D6393" s="1347">
        <f>-207  -3926  -4755  -533</f>
        <v>-9421</v>
      </c>
      <c r="E6393" s="1347" t="s">
        <v>9941</v>
      </c>
    </row>
    <row r="6394" spans="1:5" x14ac:dyDescent="0.45">
      <c r="A6394" s="1347">
        <v>1</v>
      </c>
      <c r="B6394" s="1347" t="s">
        <v>9942</v>
      </c>
      <c r="C6394" s="1347" t="s">
        <v>1105</v>
      </c>
      <c r="D6394" s="1347" t="s">
        <v>9943</v>
      </c>
      <c r="E6394" s="1347" t="s">
        <v>9944</v>
      </c>
    </row>
    <row r="6395" spans="1:5" x14ac:dyDescent="0.45">
      <c r="A6395" s="1347" t="s">
        <v>1105</v>
      </c>
      <c r="B6395" s="1347" t="s">
        <v>9945</v>
      </c>
      <c r="D6395" s="1347">
        <f>-822   -383   -653   -62</f>
        <v>-1920</v>
      </c>
      <c r="E6395" s="1347" t="s">
        <v>9946</v>
      </c>
    </row>
    <row r="6396" spans="1:5" x14ac:dyDescent="0.45">
      <c r="A6396" s="1347" t="s">
        <v>1105</v>
      </c>
      <c r="B6396" s="1347" t="s">
        <v>9947</v>
      </c>
      <c r="D6396" s="1347">
        <f>-615   -414   -878   -92</f>
        <v>-1999</v>
      </c>
      <c r="E6396" s="1347" t="s">
        <v>9948</v>
      </c>
    </row>
    <row r="6397" spans="1:5" x14ac:dyDescent="0.45">
      <c r="A6397" s="1347" t="s">
        <v>1105</v>
      </c>
      <c r="B6397" s="1347" t="s">
        <v>9949</v>
      </c>
      <c r="D6397" s="1347" t="s">
        <v>9950</v>
      </c>
      <c r="E6397" s="1347" t="s">
        <v>9951</v>
      </c>
    </row>
    <row r="6398" spans="1:5" x14ac:dyDescent="0.45">
      <c r="B6398" s="1347" t="s">
        <v>9952</v>
      </c>
      <c r="D6398" s="1347" t="s">
        <v>9953</v>
      </c>
      <c r="E6398" s="1347" t="s">
        <v>9954</v>
      </c>
    </row>
    <row r="6399" spans="1:5" x14ac:dyDescent="0.45">
      <c r="A6399" s="1347">
        <v>49</v>
      </c>
      <c r="B6399" s="1347" t="s">
        <v>9955</v>
      </c>
      <c r="C6399" s="1347">
        <v>-3</v>
      </c>
      <c r="D6399" s="1347" t="s">
        <v>9956</v>
      </c>
      <c r="E6399" s="1347" t="s">
        <v>9957</v>
      </c>
    </row>
    <row r="6400" spans="1:5" x14ac:dyDescent="0.45">
      <c r="B6400" s="1347" t="s">
        <v>1108</v>
      </c>
      <c r="D6400" s="1347" t="s">
        <v>9958</v>
      </c>
      <c r="E6400" s="1347" t="s">
        <v>1110</v>
      </c>
    </row>
    <row r="6401" spans="1:5" x14ac:dyDescent="0.45">
      <c r="B6401" s="1347" t="s">
        <v>3413</v>
      </c>
      <c r="D6401" s="1347" t="s">
        <v>9959</v>
      </c>
      <c r="E6401" s="1347" t="s">
        <v>9960</v>
      </c>
    </row>
    <row r="6402" spans="1:5" x14ac:dyDescent="0.45">
      <c r="B6402" s="1347" t="s">
        <v>9961</v>
      </c>
      <c r="C6402" s="1347">
        <v>-2</v>
      </c>
      <c r="D6402" s="1347" t="s">
        <v>9962</v>
      </c>
      <c r="E6402" s="1347" t="s">
        <v>9963</v>
      </c>
    </row>
    <row r="6403" spans="1:5" x14ac:dyDescent="0.45">
      <c r="B6403" s="1347" t="s">
        <v>1108</v>
      </c>
      <c r="D6403" s="1347" t="s">
        <v>9964</v>
      </c>
      <c r="E6403" s="1347" t="s">
        <v>9965</v>
      </c>
    </row>
    <row r="6404" spans="1:5" x14ac:dyDescent="0.45">
      <c r="B6404" s="1347" t="s">
        <v>5831</v>
      </c>
      <c r="D6404" s="1347" t="s">
        <v>1109</v>
      </c>
      <c r="E6404" s="1347" t="s">
        <v>9966</v>
      </c>
    </row>
    <row r="6405" spans="1:5" x14ac:dyDescent="0.45">
      <c r="B6405" s="1347" t="s">
        <v>1108</v>
      </c>
      <c r="D6405" s="1347" t="s">
        <v>9967</v>
      </c>
      <c r="E6405" s="1347" t="s">
        <v>1402</v>
      </c>
    </row>
    <row r="6406" spans="1:5" x14ac:dyDescent="0.45">
      <c r="A6406" s="1347" t="s">
        <v>1105</v>
      </c>
      <c r="B6406" s="1347" t="s">
        <v>9968</v>
      </c>
      <c r="D6406" s="1347" t="s">
        <v>9969</v>
      </c>
      <c r="E6406" s="1347" t="s">
        <v>9970</v>
      </c>
    </row>
    <row r="6407" spans="1:5" x14ac:dyDescent="0.45">
      <c r="B6407" s="1347" t="s">
        <v>9971</v>
      </c>
      <c r="D6407" s="1347" t="s">
        <v>9972</v>
      </c>
      <c r="E6407" s="1347" t="s">
        <v>1110</v>
      </c>
    </row>
    <row r="6408" spans="1:5" x14ac:dyDescent="0.45">
      <c r="B6408" s="1347" t="s">
        <v>9973</v>
      </c>
      <c r="D6408" s="1347" t="s">
        <v>9974</v>
      </c>
      <c r="E6408" s="1347" t="s">
        <v>9975</v>
      </c>
    </row>
    <row r="6409" spans="1:5" x14ac:dyDescent="0.45">
      <c r="A6409" s="1347" t="s">
        <v>1105</v>
      </c>
      <c r="B6409" s="1347" t="s">
        <v>9976</v>
      </c>
      <c r="D6409" s="1347" t="s">
        <v>9977</v>
      </c>
      <c r="E6409" s="1347" t="s">
        <v>9978</v>
      </c>
    </row>
    <row r="6410" spans="1:5" x14ac:dyDescent="0.45">
      <c r="B6410" s="1347" t="s">
        <v>1108</v>
      </c>
      <c r="D6410" s="1347" t="s">
        <v>9979</v>
      </c>
      <c r="E6410" s="1347" t="s">
        <v>9980</v>
      </c>
    </row>
    <row r="6411" spans="1:5" x14ac:dyDescent="0.45">
      <c r="B6411" s="1347" t="s">
        <v>1108</v>
      </c>
      <c r="D6411" s="1347" t="s">
        <v>9981</v>
      </c>
      <c r="E6411" s="1347" t="s">
        <v>9982</v>
      </c>
    </row>
    <row r="6412" spans="1:5" x14ac:dyDescent="0.45">
      <c r="A6412" s="1347" t="s">
        <v>1105</v>
      </c>
      <c r="B6412" s="1347" t="s">
        <v>9983</v>
      </c>
      <c r="D6412" s="1347" t="s">
        <v>9984</v>
      </c>
      <c r="E6412" s="1347" t="s">
        <v>9985</v>
      </c>
    </row>
    <row r="6413" spans="1:5" x14ac:dyDescent="0.45">
      <c r="B6413" s="1347" t="s">
        <v>1108</v>
      </c>
      <c r="D6413" s="1347" t="s">
        <v>9986</v>
      </c>
      <c r="E6413" s="1347" t="s">
        <v>9987</v>
      </c>
    </row>
    <row r="6414" spans="1:5" x14ac:dyDescent="0.45">
      <c r="B6414" s="1347" t="s">
        <v>9988</v>
      </c>
      <c r="D6414" s="1347" t="s">
        <v>1365</v>
      </c>
      <c r="E6414" s="1347" t="s">
        <v>9989</v>
      </c>
    </row>
    <row r="6415" spans="1:5" x14ac:dyDescent="0.45">
      <c r="A6415" s="1347">
        <v>7</v>
      </c>
      <c r="B6415" s="1347" t="s">
        <v>9990</v>
      </c>
      <c r="D6415" s="1347" t="s">
        <v>9991</v>
      </c>
      <c r="E6415" s="1347" t="s">
        <v>9992</v>
      </c>
    </row>
    <row r="6416" spans="1:5" x14ac:dyDescent="0.45">
      <c r="A6416" s="1347">
        <v>1</v>
      </c>
      <c r="B6416" s="1347" t="s">
        <v>9993</v>
      </c>
      <c r="D6416" s="1347" t="s">
        <v>9994</v>
      </c>
      <c r="E6416" s="1347" t="s">
        <v>9995</v>
      </c>
    </row>
    <row r="6417" spans="1:5" x14ac:dyDescent="0.45">
      <c r="B6417" s="1347" t="s">
        <v>9996</v>
      </c>
      <c r="D6417" s="1347" t="s">
        <v>9997</v>
      </c>
      <c r="E6417" s="1347" t="s">
        <v>1110</v>
      </c>
    </row>
    <row r="6418" spans="1:5" x14ac:dyDescent="0.45">
      <c r="B6418" s="1347" t="s">
        <v>1108</v>
      </c>
      <c r="D6418" s="1347" t="s">
        <v>9998</v>
      </c>
      <c r="E6418" s="1347" t="s">
        <v>9999</v>
      </c>
    </row>
    <row r="6419" spans="1:5" x14ac:dyDescent="0.45">
      <c r="B6419" s="1347" t="s">
        <v>1108</v>
      </c>
      <c r="D6419" s="1347" t="s">
        <v>10000</v>
      </c>
      <c r="E6419" s="1347" t="s">
        <v>10001</v>
      </c>
    </row>
    <row r="6420" spans="1:5" x14ac:dyDescent="0.45">
      <c r="A6420" s="1347">
        <v>-1</v>
      </c>
      <c r="B6420" s="1347" t="s">
        <v>10002</v>
      </c>
      <c r="D6420" s="1347" t="s">
        <v>10003</v>
      </c>
      <c r="E6420" s="1347" t="s">
        <v>10004</v>
      </c>
    </row>
    <row r="6421" spans="1:5" x14ac:dyDescent="0.45">
      <c r="A6421" s="1347" t="s">
        <v>1105</v>
      </c>
      <c r="B6421" s="1347" t="s">
        <v>10005</v>
      </c>
      <c r="D6421" s="1347" t="s">
        <v>1109</v>
      </c>
      <c r="E6421" s="1347" t="s">
        <v>10006</v>
      </c>
    </row>
    <row r="6422" spans="1:5" x14ac:dyDescent="0.45">
      <c r="A6422" s="1347">
        <v>-1</v>
      </c>
      <c r="B6422" s="1347" t="s">
        <v>10007</v>
      </c>
      <c r="C6422" s="1347" t="s">
        <v>1105</v>
      </c>
      <c r="D6422" s="1347" t="s">
        <v>10008</v>
      </c>
      <c r="E6422" s="1347" t="s">
        <v>10009</v>
      </c>
    </row>
    <row r="6423" spans="1:5" x14ac:dyDescent="0.45">
      <c r="B6423" s="1347" t="s">
        <v>1108</v>
      </c>
      <c r="D6423" s="1347" t="s">
        <v>2668</v>
      </c>
      <c r="E6423" s="1347" t="s">
        <v>10010</v>
      </c>
    </row>
    <row r="6424" spans="1:5" x14ac:dyDescent="0.45">
      <c r="B6424" s="1347" t="s">
        <v>1279</v>
      </c>
      <c r="D6424" s="1347" t="s">
        <v>10011</v>
      </c>
      <c r="E6424" s="1347" t="s">
        <v>10012</v>
      </c>
    </row>
    <row r="6425" spans="1:5" x14ac:dyDescent="0.45">
      <c r="B6425" s="1347" t="s">
        <v>10013</v>
      </c>
      <c r="D6425" s="1347" t="s">
        <v>10014</v>
      </c>
      <c r="E6425" s="1347" t="s">
        <v>1110</v>
      </c>
    </row>
    <row r="6426" spans="1:5" x14ac:dyDescent="0.45">
      <c r="B6426" s="1347" t="s">
        <v>1108</v>
      </c>
      <c r="D6426" s="1347" t="s">
        <v>1109</v>
      </c>
      <c r="E6426" s="1347" t="s">
        <v>1110</v>
      </c>
    </row>
    <row r="6427" spans="1:5" x14ac:dyDescent="0.45">
      <c r="B6427" s="1347" t="s">
        <v>7726</v>
      </c>
      <c r="D6427" s="1347" t="s">
        <v>1109</v>
      </c>
      <c r="E6427" s="1347" t="s">
        <v>10015</v>
      </c>
    </row>
    <row r="6428" spans="1:5" x14ac:dyDescent="0.45">
      <c r="A6428" s="1347">
        <v>-2</v>
      </c>
      <c r="B6428" s="1347" t="s">
        <v>10016</v>
      </c>
      <c r="C6428" s="1347" t="s">
        <v>1105</v>
      </c>
      <c r="D6428" s="1347" t="s">
        <v>10017</v>
      </c>
      <c r="E6428" s="1347" t="s">
        <v>10018</v>
      </c>
    </row>
    <row r="6429" spans="1:5" x14ac:dyDescent="0.45">
      <c r="A6429" s="1347" t="s">
        <v>1105</v>
      </c>
      <c r="B6429" s="1347" t="s">
        <v>10019</v>
      </c>
      <c r="D6429" s="1347" t="s">
        <v>10020</v>
      </c>
      <c r="E6429" s="1347" t="s">
        <v>10021</v>
      </c>
    </row>
    <row r="6430" spans="1:5" x14ac:dyDescent="0.45">
      <c r="A6430" s="1347">
        <v>-1</v>
      </c>
      <c r="B6430" s="1347" t="s">
        <v>10022</v>
      </c>
      <c r="C6430" s="1347" t="s">
        <v>1105</v>
      </c>
      <c r="D6430" s="1347" t="s">
        <v>10023</v>
      </c>
      <c r="E6430" s="1347" t="s">
        <v>10024</v>
      </c>
    </row>
    <row r="6431" spans="1:5" x14ac:dyDescent="0.45">
      <c r="A6431" s="1347">
        <v>-1</v>
      </c>
      <c r="B6431" s="1347" t="s">
        <v>10025</v>
      </c>
      <c r="C6431" s="1347" t="s">
        <v>1105</v>
      </c>
      <c r="D6431" s="1347" t="s">
        <v>10026</v>
      </c>
      <c r="E6431" s="1347" t="s">
        <v>10027</v>
      </c>
    </row>
    <row r="6432" spans="1:5" x14ac:dyDescent="0.45">
      <c r="B6432" s="1347" t="s">
        <v>10028</v>
      </c>
      <c r="D6432" s="1347" t="s">
        <v>10029</v>
      </c>
      <c r="E6432" s="1347" t="s">
        <v>10030</v>
      </c>
    </row>
    <row r="6433" spans="1:5" x14ac:dyDescent="0.45">
      <c r="B6433" s="1347" t="s">
        <v>10031</v>
      </c>
      <c r="D6433" s="1347" t="s">
        <v>10032</v>
      </c>
      <c r="E6433" s="1347" t="s">
        <v>10033</v>
      </c>
    </row>
    <row r="6434" spans="1:5" x14ac:dyDescent="0.45">
      <c r="B6434" s="1347" t="s">
        <v>10034</v>
      </c>
      <c r="D6434" s="1347" t="s">
        <v>10035</v>
      </c>
      <c r="E6434" s="1347" t="s">
        <v>10036</v>
      </c>
    </row>
    <row r="6435" spans="1:5" x14ac:dyDescent="0.45">
      <c r="B6435" s="1347" t="s">
        <v>4022</v>
      </c>
      <c r="D6435" s="1347" t="s">
        <v>1109</v>
      </c>
      <c r="E6435" s="1347" t="s">
        <v>10037</v>
      </c>
    </row>
    <row r="6436" spans="1:5" x14ac:dyDescent="0.45">
      <c r="B6436" s="1347" t="s">
        <v>1311</v>
      </c>
      <c r="D6436" s="1347" t="s">
        <v>10038</v>
      </c>
      <c r="E6436" s="1347" t="s">
        <v>10039</v>
      </c>
    </row>
    <row r="6437" spans="1:5" x14ac:dyDescent="0.45">
      <c r="B6437" s="1347" t="s">
        <v>10040</v>
      </c>
      <c r="D6437" s="1347" t="s">
        <v>10041</v>
      </c>
      <c r="E6437" s="1347" t="s">
        <v>1220</v>
      </c>
    </row>
    <row r="6438" spans="1:5" x14ac:dyDescent="0.45">
      <c r="B6438" s="1347" t="s">
        <v>10042</v>
      </c>
      <c r="D6438" s="1347" t="s">
        <v>10043</v>
      </c>
      <c r="E6438" s="1347" t="s">
        <v>10044</v>
      </c>
    </row>
    <row r="6439" spans="1:5" x14ac:dyDescent="0.45">
      <c r="B6439" s="1347" t="s">
        <v>1108</v>
      </c>
      <c r="D6439" s="1347" t="s">
        <v>10045</v>
      </c>
      <c r="E6439" s="1347" t="s">
        <v>10046</v>
      </c>
    </row>
    <row r="6440" spans="1:5" x14ac:dyDescent="0.45">
      <c r="A6440" s="1347">
        <v>-15</v>
      </c>
      <c r="B6440" s="1347" t="s">
        <v>3887</v>
      </c>
      <c r="D6440" s="1347" t="s">
        <v>8393</v>
      </c>
      <c r="E6440" s="1347" t="s">
        <v>10047</v>
      </c>
    </row>
    <row r="6441" spans="1:5" x14ac:dyDescent="0.45">
      <c r="B6441" s="1347" t="s">
        <v>1108</v>
      </c>
      <c r="D6441" s="1347" t="s">
        <v>10048</v>
      </c>
      <c r="E6441" s="1347" t="s">
        <v>10049</v>
      </c>
    </row>
    <row r="6442" spans="1:5" x14ac:dyDescent="0.45">
      <c r="B6442" s="1347" t="s">
        <v>10050</v>
      </c>
      <c r="D6442" s="1347" t="s">
        <v>1109</v>
      </c>
      <c r="E6442" s="1347" t="s">
        <v>10051</v>
      </c>
    </row>
    <row r="6443" spans="1:5" x14ac:dyDescent="0.45">
      <c r="B6443" s="1347" t="s">
        <v>10052</v>
      </c>
      <c r="D6443" s="1347" t="s">
        <v>10053</v>
      </c>
      <c r="E6443" s="1347" t="s">
        <v>10054</v>
      </c>
    </row>
    <row r="6444" spans="1:5" x14ac:dyDescent="0.45">
      <c r="B6444" s="1347" t="s">
        <v>10055</v>
      </c>
      <c r="D6444" s="1347" t="s">
        <v>10056</v>
      </c>
      <c r="E6444" s="1347" t="s">
        <v>7692</v>
      </c>
    </row>
    <row r="6445" spans="1:5" x14ac:dyDescent="0.45">
      <c r="A6445" s="1347" t="s">
        <v>1105</v>
      </c>
      <c r="B6445" s="1347" t="s">
        <v>5980</v>
      </c>
      <c r="D6445" s="1347" t="s">
        <v>10057</v>
      </c>
      <c r="E6445" s="1347" t="s">
        <v>1110</v>
      </c>
    </row>
    <row r="6446" spans="1:5" x14ac:dyDescent="0.45">
      <c r="B6446" s="1347" t="s">
        <v>10058</v>
      </c>
      <c r="D6446" s="1347" t="s">
        <v>10059</v>
      </c>
      <c r="E6446" s="1347" t="s">
        <v>10060</v>
      </c>
    </row>
    <row r="6447" spans="1:5" x14ac:dyDescent="0.45">
      <c r="A6447" s="1347" t="s">
        <v>1105</v>
      </c>
      <c r="B6447" s="1347" t="s">
        <v>10061</v>
      </c>
      <c r="D6447" s="1347" t="s">
        <v>10062</v>
      </c>
      <c r="E6447" s="1347" t="s">
        <v>10063</v>
      </c>
    </row>
    <row r="6448" spans="1:5" x14ac:dyDescent="0.45">
      <c r="B6448" s="1347" t="s">
        <v>2585</v>
      </c>
      <c r="D6448" s="1347" t="s">
        <v>10064</v>
      </c>
      <c r="E6448" s="1347" t="s">
        <v>10065</v>
      </c>
    </row>
    <row r="6449" spans="1:5" x14ac:dyDescent="0.45">
      <c r="B6449" s="1347" t="s">
        <v>1108</v>
      </c>
      <c r="D6449" s="1347" t="s">
        <v>2329</v>
      </c>
      <c r="E6449" s="1347" t="s">
        <v>10066</v>
      </c>
    </row>
    <row r="6450" spans="1:5" x14ac:dyDescent="0.45">
      <c r="B6450" s="1347" t="s">
        <v>10067</v>
      </c>
      <c r="C6450" s="1347">
        <v>-1</v>
      </c>
      <c r="D6450" s="1347" t="s">
        <v>10068</v>
      </c>
      <c r="E6450" s="1347" t="s">
        <v>10069</v>
      </c>
    </row>
    <row r="6451" spans="1:5" x14ac:dyDescent="0.45">
      <c r="A6451" s="1347" t="s">
        <v>1105</v>
      </c>
      <c r="B6451" s="1347" t="s">
        <v>10070</v>
      </c>
      <c r="D6451" s="1347" t="s">
        <v>10071</v>
      </c>
      <c r="E6451" s="1347" t="s">
        <v>10072</v>
      </c>
    </row>
    <row r="6452" spans="1:5" x14ac:dyDescent="0.45">
      <c r="A6452" s="1347" t="s">
        <v>1105</v>
      </c>
      <c r="B6452" s="1347" t="s">
        <v>2288</v>
      </c>
      <c r="D6452" s="1347" t="s">
        <v>1109</v>
      </c>
      <c r="E6452" s="1347" t="s">
        <v>10073</v>
      </c>
    </row>
    <row r="6453" spans="1:5" x14ac:dyDescent="0.45">
      <c r="B6453" s="1347" t="s">
        <v>10074</v>
      </c>
      <c r="D6453" s="1347" t="s">
        <v>10075</v>
      </c>
      <c r="E6453" s="1347" t="s">
        <v>10076</v>
      </c>
    </row>
    <row r="6454" spans="1:5" x14ac:dyDescent="0.45">
      <c r="B6454" s="1347" t="s">
        <v>1108</v>
      </c>
      <c r="C6454" s="1347" t="s">
        <v>1105</v>
      </c>
      <c r="D6454" s="1347" t="s">
        <v>10077</v>
      </c>
      <c r="E6454" s="1347" t="s">
        <v>10078</v>
      </c>
    </row>
    <row r="6455" spans="1:5" x14ac:dyDescent="0.45">
      <c r="B6455" s="1347" t="s">
        <v>1108</v>
      </c>
      <c r="D6455" s="1347" t="s">
        <v>10079</v>
      </c>
      <c r="E6455" s="1347" t="s">
        <v>10080</v>
      </c>
    </row>
    <row r="6456" spans="1:5" x14ac:dyDescent="0.45">
      <c r="B6456" s="1347" t="s">
        <v>1108</v>
      </c>
      <c r="D6456" s="1347" t="s">
        <v>10081</v>
      </c>
      <c r="E6456" s="1347" t="s">
        <v>10082</v>
      </c>
    </row>
    <row r="6457" spans="1:5" x14ac:dyDescent="0.45">
      <c r="B6457" s="1347" t="s">
        <v>10083</v>
      </c>
      <c r="D6457" s="1347" t="s">
        <v>10084</v>
      </c>
      <c r="E6457" s="1347" t="s">
        <v>1110</v>
      </c>
    </row>
    <row r="6458" spans="1:5" x14ac:dyDescent="0.45">
      <c r="B6458" s="1347" t="s">
        <v>1108</v>
      </c>
      <c r="D6458" s="1347" t="s">
        <v>10085</v>
      </c>
      <c r="E6458" s="1347" t="s">
        <v>10086</v>
      </c>
    </row>
    <row r="6459" spans="1:5" x14ac:dyDescent="0.45">
      <c r="B6459" s="1347" t="s">
        <v>7017</v>
      </c>
      <c r="D6459" s="1347" t="s">
        <v>10087</v>
      </c>
      <c r="E6459" s="1347" t="s">
        <v>10088</v>
      </c>
    </row>
    <row r="6460" spans="1:5" x14ac:dyDescent="0.45">
      <c r="A6460" s="1347">
        <v>-3</v>
      </c>
      <c r="B6460" s="1347" t="s">
        <v>10089</v>
      </c>
      <c r="D6460" s="1347" t="s">
        <v>1109</v>
      </c>
      <c r="E6460" s="1347" t="s">
        <v>1110</v>
      </c>
    </row>
    <row r="6461" spans="1:5" x14ac:dyDescent="0.45">
      <c r="B6461" s="1347" t="s">
        <v>1108</v>
      </c>
      <c r="D6461" s="1347" t="s">
        <v>1109</v>
      </c>
      <c r="E6461" s="1347" t="s">
        <v>10090</v>
      </c>
    </row>
    <row r="6462" spans="1:5" x14ac:dyDescent="0.45">
      <c r="B6462" s="1347" t="s">
        <v>1108</v>
      </c>
      <c r="D6462" s="1347" t="s">
        <v>10091</v>
      </c>
      <c r="E6462" s="1347" t="s">
        <v>10092</v>
      </c>
    </row>
    <row r="6463" spans="1:5" x14ac:dyDescent="0.45">
      <c r="A6463" s="1347">
        <v>2</v>
      </c>
      <c r="B6463" s="1347" t="s">
        <v>10093</v>
      </c>
      <c r="D6463" s="1347">
        <f>-174  -1457  -5075  -885</f>
        <v>-7591</v>
      </c>
      <c r="E6463" s="1347" t="s">
        <v>10094</v>
      </c>
    </row>
    <row r="6464" spans="1:5" x14ac:dyDescent="0.45">
      <c r="B6464" s="1347" t="s">
        <v>10058</v>
      </c>
      <c r="D6464" s="1347" t="s">
        <v>10095</v>
      </c>
      <c r="E6464" s="1347" t="s">
        <v>10096</v>
      </c>
    </row>
    <row r="6465" spans="1:5" x14ac:dyDescent="0.45">
      <c r="A6465" s="1347" t="s">
        <v>1105</v>
      </c>
      <c r="B6465" s="1347" t="s">
        <v>10097</v>
      </c>
      <c r="C6465" s="1347" t="s">
        <v>1105</v>
      </c>
      <c r="D6465" s="1347" t="s">
        <v>10098</v>
      </c>
      <c r="E6465" s="1347" t="s">
        <v>10099</v>
      </c>
    </row>
    <row r="6466" spans="1:5" x14ac:dyDescent="0.45">
      <c r="A6466" s="1347" t="s">
        <v>1105</v>
      </c>
      <c r="B6466" s="1347" t="s">
        <v>10100</v>
      </c>
      <c r="D6466" s="1347" t="s">
        <v>10101</v>
      </c>
      <c r="E6466" s="1347" t="s">
        <v>10102</v>
      </c>
    </row>
    <row r="6467" spans="1:5" x14ac:dyDescent="0.45">
      <c r="A6467" s="1347" t="s">
        <v>1105</v>
      </c>
      <c r="B6467" s="1347" t="s">
        <v>10103</v>
      </c>
      <c r="D6467" s="1347" t="s">
        <v>10104</v>
      </c>
      <c r="E6467" s="1347" t="s">
        <v>10105</v>
      </c>
    </row>
    <row r="6468" spans="1:5" x14ac:dyDescent="0.45">
      <c r="B6468" s="1347" t="s">
        <v>10106</v>
      </c>
      <c r="C6468" s="1347">
        <v>2</v>
      </c>
      <c r="D6468" s="1347" t="s">
        <v>10107</v>
      </c>
      <c r="E6468" s="1347" t="s">
        <v>10108</v>
      </c>
    </row>
    <row r="6469" spans="1:5" x14ac:dyDescent="0.45">
      <c r="B6469" s="1347" t="s">
        <v>2708</v>
      </c>
      <c r="D6469" s="1347" t="s">
        <v>10109</v>
      </c>
      <c r="E6469" s="1347" t="s">
        <v>10110</v>
      </c>
    </row>
    <row r="6470" spans="1:5" x14ac:dyDescent="0.45">
      <c r="B6470" s="1347" t="s">
        <v>1108</v>
      </c>
      <c r="D6470" s="1347" t="s">
        <v>4649</v>
      </c>
      <c r="E6470" s="1347" t="s">
        <v>10111</v>
      </c>
    </row>
    <row r="6471" spans="1:5" x14ac:dyDescent="0.45">
      <c r="A6471" s="1347" t="s">
        <v>1105</v>
      </c>
      <c r="B6471" s="1347" t="s">
        <v>10112</v>
      </c>
      <c r="D6471" s="1347" t="s">
        <v>10113</v>
      </c>
      <c r="E6471" s="1347" t="s">
        <v>10114</v>
      </c>
    </row>
    <row r="6472" spans="1:5" x14ac:dyDescent="0.45">
      <c r="B6472" s="1347" t="s">
        <v>10115</v>
      </c>
      <c r="D6472" s="1347" t="s">
        <v>6795</v>
      </c>
      <c r="E6472" s="1347" t="s">
        <v>10116</v>
      </c>
    </row>
    <row r="6473" spans="1:5" x14ac:dyDescent="0.45">
      <c r="B6473" s="1347" t="s">
        <v>1108</v>
      </c>
      <c r="D6473" s="1347" t="s">
        <v>10117</v>
      </c>
      <c r="E6473" s="1347" t="s">
        <v>1113</v>
      </c>
    </row>
    <row r="6474" spans="1:5" x14ac:dyDescent="0.45">
      <c r="B6474" s="1347" t="s">
        <v>1502</v>
      </c>
      <c r="D6474" s="1347" t="s">
        <v>10118</v>
      </c>
      <c r="E6474" s="1347" t="s">
        <v>10119</v>
      </c>
    </row>
    <row r="6475" spans="1:5" x14ac:dyDescent="0.45">
      <c r="A6475" s="1347" t="s">
        <v>1105</v>
      </c>
      <c r="B6475" s="1347" t="s">
        <v>10120</v>
      </c>
      <c r="D6475" s="1347" t="s">
        <v>10121</v>
      </c>
      <c r="E6475" s="1347" t="s">
        <v>10122</v>
      </c>
    </row>
    <row r="6476" spans="1:5" x14ac:dyDescent="0.45">
      <c r="B6476" s="1347" t="s">
        <v>10123</v>
      </c>
      <c r="D6476" s="1347" t="s">
        <v>10124</v>
      </c>
      <c r="E6476" s="1347" t="s">
        <v>10125</v>
      </c>
    </row>
    <row r="6477" spans="1:5" x14ac:dyDescent="0.45">
      <c r="B6477" s="1347" t="s">
        <v>1108</v>
      </c>
      <c r="D6477" s="1347" t="s">
        <v>9861</v>
      </c>
      <c r="E6477" s="1347" t="s">
        <v>10126</v>
      </c>
    </row>
    <row r="6478" spans="1:5" x14ac:dyDescent="0.45">
      <c r="B6478" s="1347" t="s">
        <v>10127</v>
      </c>
      <c r="C6478" s="1347">
        <v>-2</v>
      </c>
      <c r="D6478" s="1347" t="s">
        <v>10128</v>
      </c>
      <c r="E6478" s="1347" t="s">
        <v>10129</v>
      </c>
    </row>
    <row r="6479" spans="1:5" x14ac:dyDescent="0.45">
      <c r="A6479" s="1347" t="s">
        <v>1105</v>
      </c>
      <c r="B6479" s="1347" t="s">
        <v>10130</v>
      </c>
      <c r="D6479" s="1347" t="s">
        <v>10131</v>
      </c>
      <c r="E6479" s="1347" t="s">
        <v>10132</v>
      </c>
    </row>
    <row r="6480" spans="1:5" x14ac:dyDescent="0.45">
      <c r="B6480" s="1347" t="s">
        <v>10133</v>
      </c>
      <c r="D6480" s="1347" t="s">
        <v>10134</v>
      </c>
      <c r="E6480" s="1347" t="s">
        <v>10135</v>
      </c>
    </row>
    <row r="6481" spans="1:5" x14ac:dyDescent="0.45">
      <c r="B6481" s="1347" t="s">
        <v>10136</v>
      </c>
      <c r="D6481" s="1347" t="s">
        <v>10137</v>
      </c>
      <c r="E6481" s="1347" t="s">
        <v>10138</v>
      </c>
    </row>
    <row r="6482" spans="1:5" x14ac:dyDescent="0.45">
      <c r="A6482" s="1347" t="s">
        <v>1105</v>
      </c>
      <c r="B6482" s="1347" t="s">
        <v>10139</v>
      </c>
      <c r="D6482" s="1347" t="s">
        <v>10140</v>
      </c>
      <c r="E6482" s="1347" t="s">
        <v>10141</v>
      </c>
    </row>
    <row r="6483" spans="1:5" x14ac:dyDescent="0.45">
      <c r="B6483" s="1347" t="s">
        <v>2189</v>
      </c>
      <c r="D6483" s="1347" t="s">
        <v>10142</v>
      </c>
      <c r="E6483" s="1347" t="s">
        <v>10143</v>
      </c>
    </row>
    <row r="6484" spans="1:5" x14ac:dyDescent="0.45">
      <c r="B6484" s="1347" t="s">
        <v>1108</v>
      </c>
      <c r="D6484" s="1347" t="s">
        <v>10144</v>
      </c>
      <c r="E6484" s="1347" t="s">
        <v>10145</v>
      </c>
    </row>
    <row r="6485" spans="1:5" x14ac:dyDescent="0.45">
      <c r="A6485" s="1347">
        <v>-22</v>
      </c>
      <c r="B6485" s="1347" t="s">
        <v>10146</v>
      </c>
      <c r="D6485" s="1347" t="s">
        <v>10147</v>
      </c>
      <c r="E6485" s="1347" t="s">
        <v>10148</v>
      </c>
    </row>
    <row r="6486" spans="1:5" x14ac:dyDescent="0.45">
      <c r="B6486" s="1347" t="s">
        <v>10149</v>
      </c>
      <c r="D6486" s="1347" t="s">
        <v>10150</v>
      </c>
      <c r="E6486" s="1347" t="s">
        <v>10151</v>
      </c>
    </row>
    <row r="6487" spans="1:5" x14ac:dyDescent="0.45">
      <c r="B6487" s="1347" t="s">
        <v>1108</v>
      </c>
      <c r="D6487" s="1347" t="s">
        <v>1109</v>
      </c>
      <c r="E6487" s="1347" t="s">
        <v>10152</v>
      </c>
    </row>
    <row r="6488" spans="1:5" x14ac:dyDescent="0.45">
      <c r="A6488" s="1347">
        <v>-1</v>
      </c>
      <c r="B6488" s="1347" t="s">
        <v>10153</v>
      </c>
      <c r="D6488" s="1347" t="s">
        <v>10154</v>
      </c>
      <c r="E6488" s="1347" t="s">
        <v>1110</v>
      </c>
    </row>
    <row r="6489" spans="1:5" x14ac:dyDescent="0.45">
      <c r="A6489" s="1347">
        <v>-1</v>
      </c>
      <c r="B6489" s="1347" t="s">
        <v>10155</v>
      </c>
      <c r="D6489" s="1347">
        <f>-345   -318   -130   -31</f>
        <v>-824</v>
      </c>
      <c r="E6489" s="1347" t="s">
        <v>1275</v>
      </c>
    </row>
    <row r="6490" spans="1:5" x14ac:dyDescent="0.45">
      <c r="A6490" s="1347">
        <v>-1</v>
      </c>
      <c r="B6490" s="1347" t="s">
        <v>10156</v>
      </c>
      <c r="D6490" s="1347" t="s">
        <v>10157</v>
      </c>
      <c r="E6490" s="1347" t="s">
        <v>10158</v>
      </c>
    </row>
    <row r="6491" spans="1:5" x14ac:dyDescent="0.45">
      <c r="B6491" s="1347" t="s">
        <v>10159</v>
      </c>
      <c r="D6491" s="1347" t="s">
        <v>10160</v>
      </c>
      <c r="E6491" s="1347" t="s">
        <v>10161</v>
      </c>
    </row>
    <row r="6492" spans="1:5" x14ac:dyDescent="0.45">
      <c r="B6492" s="1347" t="s">
        <v>10162</v>
      </c>
      <c r="D6492" s="1347" t="s">
        <v>10163</v>
      </c>
      <c r="E6492" s="1347" t="s">
        <v>1110</v>
      </c>
    </row>
    <row r="6493" spans="1:5" x14ac:dyDescent="0.45">
      <c r="A6493" s="1347" t="s">
        <v>1105</v>
      </c>
      <c r="B6493" s="1347" t="s">
        <v>10164</v>
      </c>
      <c r="D6493" s="1347" t="s">
        <v>10165</v>
      </c>
      <c r="E6493" s="1347" t="s">
        <v>10166</v>
      </c>
    </row>
    <row r="6494" spans="1:5" x14ac:dyDescent="0.45">
      <c r="B6494" s="1347" t="s">
        <v>10167</v>
      </c>
      <c r="D6494" s="1347" t="s">
        <v>1109</v>
      </c>
      <c r="E6494" s="1347" t="s">
        <v>10168</v>
      </c>
    </row>
    <row r="6495" spans="1:5" x14ac:dyDescent="0.45">
      <c r="B6495" s="1347" t="s">
        <v>1108</v>
      </c>
      <c r="D6495" s="1347" t="s">
        <v>1109</v>
      </c>
      <c r="E6495" s="1347" t="s">
        <v>1110</v>
      </c>
    </row>
    <row r="6496" spans="1:5" x14ac:dyDescent="0.45">
      <c r="B6496" s="1347" t="s">
        <v>1108</v>
      </c>
      <c r="D6496" s="1347" t="s">
        <v>10169</v>
      </c>
      <c r="E6496" s="1347" t="s">
        <v>1110</v>
      </c>
    </row>
    <row r="6497" spans="1:5" x14ac:dyDescent="0.45">
      <c r="B6497" s="1347" t="s">
        <v>10170</v>
      </c>
      <c r="D6497" s="1347" t="s">
        <v>10171</v>
      </c>
      <c r="E6497" s="1347" t="s">
        <v>10172</v>
      </c>
    </row>
    <row r="6498" spans="1:5" x14ac:dyDescent="0.45">
      <c r="A6498" s="1347" t="s">
        <v>1105</v>
      </c>
      <c r="B6498" s="1347" t="s">
        <v>10173</v>
      </c>
      <c r="D6498" s="1347" t="s">
        <v>10174</v>
      </c>
      <c r="E6498" s="1347" t="s">
        <v>10175</v>
      </c>
    </row>
    <row r="6499" spans="1:5" x14ac:dyDescent="0.45">
      <c r="B6499" s="1347" t="s">
        <v>10176</v>
      </c>
      <c r="C6499" s="1347" t="s">
        <v>1105</v>
      </c>
      <c r="D6499" s="1347" t="s">
        <v>10177</v>
      </c>
      <c r="E6499" s="1347" t="s">
        <v>10178</v>
      </c>
    </row>
    <row r="6500" spans="1:5" x14ac:dyDescent="0.45">
      <c r="A6500" s="1347">
        <v>-1</v>
      </c>
      <c r="B6500" s="1347" t="s">
        <v>10179</v>
      </c>
      <c r="D6500" s="1347" t="s">
        <v>10180</v>
      </c>
      <c r="E6500" s="1347" t="s">
        <v>10181</v>
      </c>
    </row>
    <row r="6501" spans="1:5" x14ac:dyDescent="0.45">
      <c r="B6501" s="1347" t="s">
        <v>10182</v>
      </c>
      <c r="D6501" s="1347" t="s">
        <v>10183</v>
      </c>
      <c r="E6501" s="1347" t="s">
        <v>10184</v>
      </c>
    </row>
    <row r="6502" spans="1:5" x14ac:dyDescent="0.45">
      <c r="B6502" s="1347" t="s">
        <v>10185</v>
      </c>
      <c r="D6502" s="1347" t="s">
        <v>10186</v>
      </c>
      <c r="E6502" s="1347" t="s">
        <v>10187</v>
      </c>
    </row>
    <row r="6503" spans="1:5" x14ac:dyDescent="0.45">
      <c r="A6503" s="1347">
        <v>30</v>
      </c>
      <c r="B6503" s="1347" t="s">
        <v>10188</v>
      </c>
      <c r="C6503" s="1347">
        <v>2</v>
      </c>
      <c r="D6503" s="1347" t="s">
        <v>10189</v>
      </c>
      <c r="E6503" s="1347" t="s">
        <v>10190</v>
      </c>
    </row>
    <row r="6504" spans="1:5" x14ac:dyDescent="0.45">
      <c r="B6504" s="1347" t="s">
        <v>1108</v>
      </c>
      <c r="D6504" s="1347" t="s">
        <v>10191</v>
      </c>
      <c r="E6504" s="1347" t="s">
        <v>10192</v>
      </c>
    </row>
    <row r="6505" spans="1:5" x14ac:dyDescent="0.45">
      <c r="B6505" s="1347" t="s">
        <v>1108</v>
      </c>
      <c r="D6505" s="1347" t="s">
        <v>10193</v>
      </c>
      <c r="E6505" s="1347" t="s">
        <v>10194</v>
      </c>
    </row>
    <row r="6506" spans="1:5" x14ac:dyDescent="0.45">
      <c r="B6506" s="1347" t="s">
        <v>10195</v>
      </c>
      <c r="D6506" s="1347" t="s">
        <v>10196</v>
      </c>
      <c r="E6506" s="1347" t="s">
        <v>10197</v>
      </c>
    </row>
    <row r="6507" spans="1:5" x14ac:dyDescent="0.45">
      <c r="A6507" s="1347" t="s">
        <v>1105</v>
      </c>
      <c r="B6507" s="1347" t="s">
        <v>1454</v>
      </c>
      <c r="D6507" s="1347" t="s">
        <v>5297</v>
      </c>
      <c r="E6507" s="1347" t="s">
        <v>10198</v>
      </c>
    </row>
    <row r="6508" spans="1:5" x14ac:dyDescent="0.45">
      <c r="B6508" s="1347" t="s">
        <v>1108</v>
      </c>
      <c r="D6508" s="1347" t="s">
        <v>10199</v>
      </c>
      <c r="E6508" s="1347" t="s">
        <v>1110</v>
      </c>
    </row>
    <row r="6509" spans="1:5" x14ac:dyDescent="0.45">
      <c r="B6509" s="1347" t="s">
        <v>7726</v>
      </c>
      <c r="C6509" s="1347" t="s">
        <v>1105</v>
      </c>
      <c r="D6509" s="1347" t="s">
        <v>10200</v>
      </c>
      <c r="E6509" s="1347" t="s">
        <v>10201</v>
      </c>
    </row>
    <row r="6510" spans="1:5" x14ac:dyDescent="0.45">
      <c r="B6510" s="1347" t="s">
        <v>1108</v>
      </c>
      <c r="D6510" s="1347" t="s">
        <v>10202</v>
      </c>
      <c r="E6510" s="1347" t="s">
        <v>10203</v>
      </c>
    </row>
    <row r="6511" spans="1:5" x14ac:dyDescent="0.45">
      <c r="B6511" s="1347" t="s">
        <v>3539</v>
      </c>
      <c r="D6511" s="1347" t="s">
        <v>10204</v>
      </c>
      <c r="E6511" s="1347" t="s">
        <v>10205</v>
      </c>
    </row>
    <row r="6512" spans="1:5" x14ac:dyDescent="0.45">
      <c r="B6512" s="1347" t="s">
        <v>1108</v>
      </c>
      <c r="D6512" s="1347" t="s">
        <v>10206</v>
      </c>
      <c r="E6512" s="1347" t="s">
        <v>10207</v>
      </c>
    </row>
    <row r="6513" spans="1:5" x14ac:dyDescent="0.45">
      <c r="A6513" s="1347" t="s">
        <v>1105</v>
      </c>
      <c r="B6513" s="1347" t="s">
        <v>10208</v>
      </c>
      <c r="D6513" s="1347" t="s">
        <v>10209</v>
      </c>
      <c r="E6513" s="1347" t="s">
        <v>10210</v>
      </c>
    </row>
    <row r="6514" spans="1:5" x14ac:dyDescent="0.45">
      <c r="B6514" s="1347" t="s">
        <v>8392</v>
      </c>
      <c r="D6514" s="1347" t="s">
        <v>5297</v>
      </c>
      <c r="E6514" s="1347" t="s">
        <v>10211</v>
      </c>
    </row>
    <row r="6515" spans="1:5" x14ac:dyDescent="0.45">
      <c r="B6515" s="1347" t="s">
        <v>10212</v>
      </c>
      <c r="D6515" s="1347" t="s">
        <v>10213</v>
      </c>
      <c r="E6515" s="1347" t="s">
        <v>10214</v>
      </c>
    </row>
    <row r="6516" spans="1:5" x14ac:dyDescent="0.45">
      <c r="A6516" s="1347">
        <v>3</v>
      </c>
      <c r="B6516" s="1347" t="s">
        <v>10215</v>
      </c>
      <c r="D6516" s="1347" t="s">
        <v>10216</v>
      </c>
      <c r="E6516" s="1347" t="s">
        <v>10217</v>
      </c>
    </row>
    <row r="6517" spans="1:5" x14ac:dyDescent="0.45">
      <c r="A6517" s="1347">
        <v>-6</v>
      </c>
      <c r="B6517" s="1347" t="s">
        <v>10218</v>
      </c>
      <c r="D6517" s="1347" t="s">
        <v>10219</v>
      </c>
      <c r="E6517" s="1347" t="s">
        <v>10220</v>
      </c>
    </row>
    <row r="6518" spans="1:5" x14ac:dyDescent="0.45">
      <c r="B6518" s="1347" t="s">
        <v>1108</v>
      </c>
      <c r="D6518" s="1347" t="s">
        <v>10221</v>
      </c>
      <c r="E6518" s="1347" t="s">
        <v>10222</v>
      </c>
    </row>
    <row r="6519" spans="1:5" x14ac:dyDescent="0.45">
      <c r="B6519" s="1347" t="s">
        <v>1108</v>
      </c>
      <c r="D6519" s="1347" t="s">
        <v>10223</v>
      </c>
      <c r="E6519" s="1347" t="s">
        <v>10224</v>
      </c>
    </row>
    <row r="6520" spans="1:5" x14ac:dyDescent="0.45">
      <c r="B6520" s="1347" t="s">
        <v>2826</v>
      </c>
      <c r="D6520" s="1347" t="s">
        <v>10225</v>
      </c>
      <c r="E6520" s="1347" t="s">
        <v>10226</v>
      </c>
    </row>
    <row r="6521" spans="1:5" x14ac:dyDescent="0.45">
      <c r="B6521" s="1347" t="s">
        <v>1548</v>
      </c>
      <c r="D6521" s="1347" t="s">
        <v>10227</v>
      </c>
      <c r="E6521" s="1347" t="s">
        <v>10228</v>
      </c>
    </row>
    <row r="6522" spans="1:5" x14ac:dyDescent="0.45">
      <c r="B6522" s="1347" t="s">
        <v>1108</v>
      </c>
      <c r="D6522" s="1347" t="s">
        <v>1109</v>
      </c>
      <c r="E6522" s="1347" t="s">
        <v>10229</v>
      </c>
    </row>
    <row r="6523" spans="1:5" x14ac:dyDescent="0.45">
      <c r="A6523" s="1347" t="s">
        <v>1105</v>
      </c>
      <c r="B6523" s="1347" t="s">
        <v>10230</v>
      </c>
      <c r="D6523" s="1347" t="s">
        <v>10231</v>
      </c>
      <c r="E6523" s="1347" t="s">
        <v>10232</v>
      </c>
    </row>
    <row r="6524" spans="1:5" x14ac:dyDescent="0.45">
      <c r="A6524" s="1347" t="s">
        <v>1105</v>
      </c>
      <c r="B6524" s="1347" t="s">
        <v>10233</v>
      </c>
      <c r="D6524" s="1347">
        <f>-283   -123   -231</f>
        <v>-637</v>
      </c>
      <c r="E6524" s="1347" t="s">
        <v>10234</v>
      </c>
    </row>
    <row r="6525" spans="1:5" x14ac:dyDescent="0.45">
      <c r="B6525" s="1347" t="s">
        <v>10235</v>
      </c>
      <c r="D6525" s="1347" t="s">
        <v>10236</v>
      </c>
      <c r="E6525" s="1347" t="s">
        <v>1113</v>
      </c>
    </row>
    <row r="6526" spans="1:5" x14ac:dyDescent="0.45">
      <c r="A6526" s="1347" t="s">
        <v>1105</v>
      </c>
      <c r="B6526" s="1347" t="s">
        <v>10237</v>
      </c>
      <c r="D6526" s="1347" t="s">
        <v>10238</v>
      </c>
      <c r="E6526" s="1347" t="s">
        <v>10239</v>
      </c>
    </row>
    <row r="6527" spans="1:5" x14ac:dyDescent="0.45">
      <c r="A6527" s="1347">
        <v>1</v>
      </c>
      <c r="B6527" s="1347" t="s">
        <v>10240</v>
      </c>
      <c r="D6527" s="1347" t="s">
        <v>1109</v>
      </c>
      <c r="E6527" s="1347" t="s">
        <v>10241</v>
      </c>
    </row>
    <row r="6528" spans="1:5" x14ac:dyDescent="0.45">
      <c r="B6528" s="1347" t="s">
        <v>10242</v>
      </c>
      <c r="D6528" s="1347" t="s">
        <v>10243</v>
      </c>
      <c r="E6528" s="1347" t="s">
        <v>10244</v>
      </c>
    </row>
    <row r="6529" spans="1:5" x14ac:dyDescent="0.45">
      <c r="A6529" s="1347" t="s">
        <v>1105</v>
      </c>
      <c r="B6529" s="1347" t="s">
        <v>10245</v>
      </c>
      <c r="D6529" s="1347" t="s">
        <v>10246</v>
      </c>
      <c r="E6529" s="1347" t="s">
        <v>10247</v>
      </c>
    </row>
    <row r="6530" spans="1:5" x14ac:dyDescent="0.45">
      <c r="B6530" s="1347" t="s">
        <v>1108</v>
      </c>
      <c r="D6530" s="1347" t="s">
        <v>1109</v>
      </c>
      <c r="E6530" s="1347" t="s">
        <v>1110</v>
      </c>
    </row>
    <row r="6531" spans="1:5" x14ac:dyDescent="0.45">
      <c r="B6531" s="1347" t="s">
        <v>1108</v>
      </c>
      <c r="D6531" s="1347" t="s">
        <v>10248</v>
      </c>
      <c r="E6531" s="1347" t="s">
        <v>1110</v>
      </c>
    </row>
    <row r="6532" spans="1:5" x14ac:dyDescent="0.45">
      <c r="B6532" s="1347" t="s">
        <v>10249</v>
      </c>
      <c r="D6532" s="1347" t="s">
        <v>10250</v>
      </c>
      <c r="E6532" s="1347" t="s">
        <v>10251</v>
      </c>
    </row>
    <row r="6533" spans="1:5" x14ac:dyDescent="0.45">
      <c r="A6533" s="1347" t="s">
        <v>1105</v>
      </c>
      <c r="B6533" s="1347" t="s">
        <v>10252</v>
      </c>
      <c r="C6533" s="1347" t="s">
        <v>1105</v>
      </c>
      <c r="D6533" s="1347" t="s">
        <v>10253</v>
      </c>
      <c r="E6533" s="1347" t="s">
        <v>10254</v>
      </c>
    </row>
    <row r="6534" spans="1:5" x14ac:dyDescent="0.45">
      <c r="B6534" s="1347" t="s">
        <v>10255</v>
      </c>
      <c r="D6534" s="1347" t="s">
        <v>10256</v>
      </c>
      <c r="E6534" s="1347" t="s">
        <v>10257</v>
      </c>
    </row>
    <row r="6535" spans="1:5" x14ac:dyDescent="0.45">
      <c r="A6535" s="1347" t="s">
        <v>1105</v>
      </c>
      <c r="B6535" s="1347" t="s">
        <v>10258</v>
      </c>
      <c r="D6535" s="1347" t="s">
        <v>10259</v>
      </c>
      <c r="E6535" s="1347" t="s">
        <v>10260</v>
      </c>
    </row>
    <row r="6536" spans="1:5" x14ac:dyDescent="0.45">
      <c r="B6536" s="1347" t="s">
        <v>10261</v>
      </c>
      <c r="D6536" s="1347" t="s">
        <v>10262</v>
      </c>
      <c r="E6536" s="1347" t="s">
        <v>10263</v>
      </c>
    </row>
    <row r="6537" spans="1:5" x14ac:dyDescent="0.45">
      <c r="B6537" s="1347" t="s">
        <v>10264</v>
      </c>
      <c r="D6537" s="1347" t="s">
        <v>10265</v>
      </c>
      <c r="E6537" s="1347" t="s">
        <v>10266</v>
      </c>
    </row>
    <row r="6538" spans="1:5" x14ac:dyDescent="0.45">
      <c r="A6538" s="1347">
        <v>24</v>
      </c>
      <c r="B6538" s="1347" t="s">
        <v>10267</v>
      </c>
      <c r="C6538" s="1347">
        <v>1</v>
      </c>
      <c r="D6538" s="1347" t="s">
        <v>10268</v>
      </c>
      <c r="E6538" s="1347" t="s">
        <v>10269</v>
      </c>
    </row>
    <row r="6539" spans="1:5" x14ac:dyDescent="0.45">
      <c r="B6539" s="1347" t="s">
        <v>1108</v>
      </c>
      <c r="D6539" s="1347" t="s">
        <v>10270</v>
      </c>
      <c r="E6539" s="1347" t="s">
        <v>10271</v>
      </c>
    </row>
    <row r="6540" spans="1:5" x14ac:dyDescent="0.45">
      <c r="B6540" s="1347" t="s">
        <v>1108</v>
      </c>
      <c r="D6540" s="1347" t="s">
        <v>10272</v>
      </c>
      <c r="E6540" s="1347" t="s">
        <v>10273</v>
      </c>
    </row>
    <row r="6541" spans="1:5" x14ac:dyDescent="0.45">
      <c r="B6541" s="1347" t="s">
        <v>10274</v>
      </c>
      <c r="D6541" s="1347" t="s">
        <v>10275</v>
      </c>
      <c r="E6541" s="1347" t="s">
        <v>10276</v>
      </c>
    </row>
    <row r="6542" spans="1:5" x14ac:dyDescent="0.45">
      <c r="A6542" s="1347" t="s">
        <v>1105</v>
      </c>
      <c r="B6542" s="1347" t="s">
        <v>10277</v>
      </c>
      <c r="D6542" s="1347" t="s">
        <v>10278</v>
      </c>
      <c r="E6542" s="1347" t="s">
        <v>10279</v>
      </c>
    </row>
    <row r="6543" spans="1:5" x14ac:dyDescent="0.45">
      <c r="B6543" s="1347" t="s">
        <v>1108</v>
      </c>
      <c r="D6543" s="1347" t="s">
        <v>10280</v>
      </c>
      <c r="E6543" s="1347" t="s">
        <v>1110</v>
      </c>
    </row>
    <row r="6544" spans="1:5" x14ac:dyDescent="0.45">
      <c r="A6544" s="1347" t="s">
        <v>1105</v>
      </c>
      <c r="B6544" s="1347" t="s">
        <v>10281</v>
      </c>
      <c r="D6544" s="1347" t="s">
        <v>10282</v>
      </c>
      <c r="E6544" s="1347" t="s">
        <v>10283</v>
      </c>
    </row>
    <row r="6545" spans="1:5" x14ac:dyDescent="0.45">
      <c r="B6545" s="1347" t="s">
        <v>1108</v>
      </c>
      <c r="D6545" s="1347" t="s">
        <v>10284</v>
      </c>
      <c r="E6545" s="1347" t="s">
        <v>10285</v>
      </c>
    </row>
    <row r="6546" spans="1:5" x14ac:dyDescent="0.45">
      <c r="B6546" s="1347" t="s">
        <v>2189</v>
      </c>
      <c r="D6546" s="1347" t="s">
        <v>10286</v>
      </c>
      <c r="E6546" s="1347" t="s">
        <v>10287</v>
      </c>
    </row>
    <row r="6547" spans="1:5" x14ac:dyDescent="0.45">
      <c r="B6547" s="1347" t="s">
        <v>1108</v>
      </c>
      <c r="D6547" s="1347" t="s">
        <v>2174</v>
      </c>
      <c r="E6547" s="1347" t="s">
        <v>10288</v>
      </c>
    </row>
    <row r="6548" spans="1:5" x14ac:dyDescent="0.45">
      <c r="A6548" s="1347" t="s">
        <v>1105</v>
      </c>
      <c r="B6548" s="1347" t="s">
        <v>10289</v>
      </c>
      <c r="D6548" s="1347" t="s">
        <v>10290</v>
      </c>
      <c r="E6548" s="1347" t="s">
        <v>10291</v>
      </c>
    </row>
    <row r="6549" spans="1:5" x14ac:dyDescent="0.45">
      <c r="B6549" s="1347" t="s">
        <v>10292</v>
      </c>
      <c r="D6549" s="1347" t="s">
        <v>6321</v>
      </c>
      <c r="E6549" s="1347" t="s">
        <v>10293</v>
      </c>
    </row>
    <row r="6550" spans="1:5" x14ac:dyDescent="0.45">
      <c r="B6550" s="1347">
        <f>-37     -9</f>
        <v>-46</v>
      </c>
      <c r="D6550" s="1347" t="s">
        <v>1109</v>
      </c>
      <c r="E6550" s="1347" t="s">
        <v>10294</v>
      </c>
    </row>
    <row r="6551" spans="1:5" x14ac:dyDescent="0.45">
      <c r="A6551" s="1347">
        <v>5</v>
      </c>
      <c r="B6551" s="1347" t="s">
        <v>10295</v>
      </c>
      <c r="D6551" s="1347" t="s">
        <v>10296</v>
      </c>
      <c r="E6551" s="1347" t="s">
        <v>10297</v>
      </c>
    </row>
    <row r="6552" spans="1:5" x14ac:dyDescent="0.45">
      <c r="B6552" s="1347" t="s">
        <v>10298</v>
      </c>
      <c r="D6552" s="1347" t="s">
        <v>10299</v>
      </c>
      <c r="E6552" s="1347" t="s">
        <v>10300</v>
      </c>
    </row>
    <row r="6553" spans="1:5" x14ac:dyDescent="0.45">
      <c r="B6553" s="1347" t="s">
        <v>1108</v>
      </c>
      <c r="D6553" s="1347" t="s">
        <v>10301</v>
      </c>
      <c r="E6553" s="1347" t="s">
        <v>10302</v>
      </c>
    </row>
    <row r="6554" spans="1:5" x14ac:dyDescent="0.45">
      <c r="B6554" s="1347" t="s">
        <v>1108</v>
      </c>
      <c r="D6554" s="1347" t="s">
        <v>10303</v>
      </c>
      <c r="E6554" s="1347" t="s">
        <v>10304</v>
      </c>
    </row>
    <row r="6555" spans="1:5" x14ac:dyDescent="0.45">
      <c r="A6555" s="1347">
        <v>2</v>
      </c>
      <c r="B6555" s="1347" t="s">
        <v>10305</v>
      </c>
      <c r="D6555" s="1347" t="s">
        <v>10306</v>
      </c>
      <c r="E6555" s="1347" t="s">
        <v>10307</v>
      </c>
    </row>
    <row r="6556" spans="1:5" x14ac:dyDescent="0.45">
      <c r="A6556" s="1347" t="s">
        <v>1105</v>
      </c>
      <c r="B6556" s="1347" t="s">
        <v>6464</v>
      </c>
      <c r="D6556" s="1347" t="s">
        <v>10308</v>
      </c>
      <c r="E6556" s="1347" t="s">
        <v>10309</v>
      </c>
    </row>
    <row r="6557" spans="1:5" x14ac:dyDescent="0.45">
      <c r="B6557" s="1347" t="s">
        <v>1108</v>
      </c>
      <c r="D6557" s="1347" t="s">
        <v>1109</v>
      </c>
      <c r="E6557" s="1347" t="s">
        <v>10310</v>
      </c>
    </row>
    <row r="6558" spans="1:5" x14ac:dyDescent="0.45">
      <c r="A6558" s="1347">
        <v>-1</v>
      </c>
      <c r="B6558" s="1347" t="s">
        <v>10311</v>
      </c>
      <c r="D6558" s="1347" t="s">
        <v>10312</v>
      </c>
      <c r="E6558" s="1347" t="s">
        <v>10313</v>
      </c>
    </row>
    <row r="6559" spans="1:5" x14ac:dyDescent="0.45">
      <c r="A6559" s="1347" t="s">
        <v>1105</v>
      </c>
      <c r="B6559" s="1347" t="s">
        <v>10314</v>
      </c>
      <c r="D6559" s="1347">
        <f>-298    -83   -243</f>
        <v>-624</v>
      </c>
      <c r="E6559" s="1347" t="s">
        <v>10315</v>
      </c>
    </row>
    <row r="6560" spans="1:5" x14ac:dyDescent="0.45">
      <c r="B6560" s="1347" t="s">
        <v>10316</v>
      </c>
      <c r="D6560" s="1347" t="s">
        <v>10317</v>
      </c>
      <c r="E6560" s="1347" t="s">
        <v>1110</v>
      </c>
    </row>
    <row r="6561" spans="1:5" x14ac:dyDescent="0.45">
      <c r="B6561" s="1347" t="s">
        <v>10318</v>
      </c>
      <c r="D6561" s="1347" t="s">
        <v>10319</v>
      </c>
      <c r="E6561" s="1347" t="s">
        <v>10320</v>
      </c>
    </row>
    <row r="6562" spans="1:5" x14ac:dyDescent="0.45">
      <c r="A6562" s="1347">
        <v>1</v>
      </c>
      <c r="B6562" s="1347" t="s">
        <v>10321</v>
      </c>
      <c r="D6562" s="1347" t="s">
        <v>1109</v>
      </c>
      <c r="E6562" s="1347" t="s">
        <v>4897</v>
      </c>
    </row>
    <row r="6563" spans="1:5" x14ac:dyDescent="0.45">
      <c r="B6563" s="1347" t="s">
        <v>10322</v>
      </c>
      <c r="D6563" s="1347" t="s">
        <v>10323</v>
      </c>
      <c r="E6563" s="1347" t="s">
        <v>10324</v>
      </c>
    </row>
    <row r="6564" spans="1:5" x14ac:dyDescent="0.45">
      <c r="A6564" s="1347" t="s">
        <v>1105</v>
      </c>
      <c r="B6564" s="1347" t="s">
        <v>10325</v>
      </c>
      <c r="D6564" s="1347" t="s">
        <v>10326</v>
      </c>
      <c r="E6564" s="1347" t="s">
        <v>10327</v>
      </c>
    </row>
    <row r="6565" spans="1:5" x14ac:dyDescent="0.45">
      <c r="B6565" s="1347" t="s">
        <v>1108</v>
      </c>
      <c r="D6565" s="1347" t="s">
        <v>1109</v>
      </c>
      <c r="E6565" s="1347" t="s">
        <v>1110</v>
      </c>
    </row>
    <row r="6566" spans="1:5" x14ac:dyDescent="0.45">
      <c r="B6566" s="1347" t="s">
        <v>1108</v>
      </c>
      <c r="D6566" s="1347" t="s">
        <v>10328</v>
      </c>
      <c r="E6566" s="1347" t="s">
        <v>1110</v>
      </c>
    </row>
    <row r="6567" spans="1:5" x14ac:dyDescent="0.45">
      <c r="B6567" s="1347" t="s">
        <v>10329</v>
      </c>
      <c r="C6567" s="1347" t="s">
        <v>1105</v>
      </c>
      <c r="D6567" s="1347" t="s">
        <v>10330</v>
      </c>
      <c r="E6567" s="1347" t="s">
        <v>10331</v>
      </c>
    </row>
    <row r="6568" spans="1:5" x14ac:dyDescent="0.45">
      <c r="A6568" s="1347" t="s">
        <v>1105</v>
      </c>
      <c r="B6568" s="1347" t="s">
        <v>10332</v>
      </c>
      <c r="C6568" s="1347" t="s">
        <v>1105</v>
      </c>
      <c r="D6568" s="1347" t="s">
        <v>10333</v>
      </c>
      <c r="E6568" s="1347" t="s">
        <v>10334</v>
      </c>
    </row>
    <row r="6569" spans="1:5" x14ac:dyDescent="0.45">
      <c r="A6569" s="1347" t="s">
        <v>1105</v>
      </c>
      <c r="B6569" s="1347" t="s">
        <v>10335</v>
      </c>
      <c r="D6569" s="1347">
        <f>-415    -86   -467   -60</f>
        <v>-1028</v>
      </c>
      <c r="E6569" s="1347" t="s">
        <v>10336</v>
      </c>
    </row>
    <row r="6570" spans="1:5" x14ac:dyDescent="0.45">
      <c r="A6570" s="1347" t="s">
        <v>1105</v>
      </c>
      <c r="B6570" s="1347" t="s">
        <v>10337</v>
      </c>
      <c r="D6570" s="1347">
        <f>-532  -1281   -359   -47</f>
        <v>-2219</v>
      </c>
      <c r="E6570" s="1347" t="s">
        <v>10338</v>
      </c>
    </row>
    <row r="6571" spans="1:5" x14ac:dyDescent="0.45">
      <c r="B6571" s="1347" t="s">
        <v>10339</v>
      </c>
      <c r="D6571" s="1347">
        <f>-482   -401   -343   -54</f>
        <v>-1280</v>
      </c>
      <c r="E6571" s="1347" t="s">
        <v>10340</v>
      </c>
    </row>
    <row r="6572" spans="1:5" x14ac:dyDescent="0.45">
      <c r="B6572" s="1347" t="s">
        <v>10341</v>
      </c>
      <c r="D6572" s="1347" t="s">
        <v>10342</v>
      </c>
      <c r="E6572" s="1347" t="s">
        <v>10343</v>
      </c>
    </row>
    <row r="6573" spans="1:5" x14ac:dyDescent="0.45">
      <c r="A6573" s="1347">
        <v>29</v>
      </c>
      <c r="B6573" s="1347" t="s">
        <v>10344</v>
      </c>
      <c r="C6573" s="1347">
        <v>2</v>
      </c>
      <c r="D6573" s="1347" t="s">
        <v>10345</v>
      </c>
      <c r="E6573" s="1347" t="s">
        <v>10346</v>
      </c>
    </row>
    <row r="6574" spans="1:5" x14ac:dyDescent="0.45">
      <c r="B6574" s="1347" t="s">
        <v>6157</v>
      </c>
      <c r="D6574" s="1347" t="s">
        <v>9203</v>
      </c>
      <c r="E6574" s="1347" t="s">
        <v>10347</v>
      </c>
    </row>
    <row r="6575" spans="1:5" x14ac:dyDescent="0.45">
      <c r="B6575" s="1347" t="s">
        <v>1108</v>
      </c>
      <c r="D6575" s="1347" t="s">
        <v>1949</v>
      </c>
      <c r="E6575" s="1347" t="s">
        <v>10348</v>
      </c>
    </row>
    <row r="6576" spans="1:5" x14ac:dyDescent="0.45">
      <c r="A6576" s="1347" t="s">
        <v>1105</v>
      </c>
      <c r="B6576" s="1347" t="s">
        <v>10349</v>
      </c>
      <c r="D6576" s="1347" t="s">
        <v>10350</v>
      </c>
      <c r="E6576" s="1347" t="s">
        <v>10351</v>
      </c>
    </row>
    <row r="6577" spans="1:5" x14ac:dyDescent="0.45">
      <c r="A6577" s="1347" t="s">
        <v>1105</v>
      </c>
      <c r="B6577" s="1347" t="s">
        <v>10352</v>
      </c>
      <c r="D6577" s="1347" t="s">
        <v>10353</v>
      </c>
      <c r="E6577" s="1347" t="s">
        <v>10354</v>
      </c>
    </row>
    <row r="6578" spans="1:5" x14ac:dyDescent="0.45">
      <c r="B6578" s="1347" t="s">
        <v>1108</v>
      </c>
      <c r="D6578" s="1347" t="s">
        <v>10355</v>
      </c>
      <c r="E6578" s="1347" t="s">
        <v>1113</v>
      </c>
    </row>
    <row r="6579" spans="1:5" x14ac:dyDescent="0.45">
      <c r="B6579" s="1347" t="s">
        <v>7155</v>
      </c>
      <c r="D6579" s="1347" t="s">
        <v>10356</v>
      </c>
      <c r="E6579" s="1347" t="s">
        <v>10357</v>
      </c>
    </row>
    <row r="6580" spans="1:5" x14ac:dyDescent="0.45">
      <c r="A6580" s="1347" t="s">
        <v>1105</v>
      </c>
      <c r="B6580" s="1347" t="s">
        <v>10358</v>
      </c>
      <c r="D6580" s="1347" t="s">
        <v>10359</v>
      </c>
      <c r="E6580" s="1347" t="s">
        <v>10360</v>
      </c>
    </row>
    <row r="6581" spans="1:5" x14ac:dyDescent="0.45">
      <c r="B6581" s="1347" t="s">
        <v>10361</v>
      </c>
      <c r="D6581" s="1347" t="s">
        <v>10362</v>
      </c>
      <c r="E6581" s="1347" t="s">
        <v>10363</v>
      </c>
    </row>
    <row r="6582" spans="1:5" x14ac:dyDescent="0.45">
      <c r="B6582" s="1347" t="s">
        <v>1108</v>
      </c>
      <c r="D6582" s="1347" t="s">
        <v>9765</v>
      </c>
      <c r="E6582" s="1347" t="s">
        <v>10364</v>
      </c>
    </row>
    <row r="6583" spans="1:5" x14ac:dyDescent="0.45">
      <c r="B6583" s="1347" t="s">
        <v>10365</v>
      </c>
      <c r="C6583" s="1347">
        <v>-2</v>
      </c>
      <c r="D6583" s="1347" t="s">
        <v>10366</v>
      </c>
      <c r="E6583" s="1347" t="s">
        <v>10367</v>
      </c>
    </row>
    <row r="6584" spans="1:5" x14ac:dyDescent="0.45">
      <c r="B6584" s="1347" t="s">
        <v>10368</v>
      </c>
      <c r="D6584" s="1347" t="s">
        <v>10369</v>
      </c>
      <c r="E6584" s="1347" t="s">
        <v>10370</v>
      </c>
    </row>
    <row r="6585" spans="1:5" x14ac:dyDescent="0.45">
      <c r="B6585" s="1347">
        <f>-49    -35</f>
        <v>-84</v>
      </c>
      <c r="D6585" s="1347" t="s">
        <v>10371</v>
      </c>
      <c r="E6585" s="1347" t="s">
        <v>10372</v>
      </c>
    </row>
    <row r="6586" spans="1:5" x14ac:dyDescent="0.45">
      <c r="B6586" s="1347" t="s">
        <v>10373</v>
      </c>
      <c r="D6586" s="1347" t="s">
        <v>10374</v>
      </c>
      <c r="E6586" s="1347" t="s">
        <v>10375</v>
      </c>
    </row>
    <row r="6587" spans="1:5" x14ac:dyDescent="0.45">
      <c r="A6587" s="1347" t="s">
        <v>1105</v>
      </c>
      <c r="B6587" s="1347" t="s">
        <v>10376</v>
      </c>
      <c r="D6587" s="1347" t="s">
        <v>10377</v>
      </c>
      <c r="E6587" s="1347" t="s">
        <v>10378</v>
      </c>
    </row>
    <row r="6588" spans="1:5" x14ac:dyDescent="0.45">
      <c r="B6588" s="1347" t="s">
        <v>10379</v>
      </c>
      <c r="D6588" s="1347" t="s">
        <v>10380</v>
      </c>
      <c r="E6588" s="1347" t="s">
        <v>10381</v>
      </c>
    </row>
    <row r="6589" spans="1:5" x14ac:dyDescent="0.45">
      <c r="B6589" s="1347" t="s">
        <v>1108</v>
      </c>
      <c r="D6589" s="1347" t="s">
        <v>10382</v>
      </c>
      <c r="E6589" s="1347" t="s">
        <v>10383</v>
      </c>
    </row>
    <row r="6590" spans="1:5" x14ac:dyDescent="0.45">
      <c r="A6590" s="1347">
        <v>-27</v>
      </c>
      <c r="B6590" s="1347" t="s">
        <v>10384</v>
      </c>
      <c r="D6590" s="1347" t="s">
        <v>10385</v>
      </c>
      <c r="E6590" s="1347" t="s">
        <v>10386</v>
      </c>
    </row>
    <row r="6591" spans="1:5" x14ac:dyDescent="0.45">
      <c r="B6591" s="1347" t="s">
        <v>8312</v>
      </c>
      <c r="D6591" s="1347" t="s">
        <v>10387</v>
      </c>
      <c r="E6591" s="1347" t="s">
        <v>10388</v>
      </c>
    </row>
    <row r="6592" spans="1:5" x14ac:dyDescent="0.45">
      <c r="B6592" s="1347" t="s">
        <v>1108</v>
      </c>
      <c r="D6592" s="1347" t="s">
        <v>1109</v>
      </c>
      <c r="E6592" s="1347" t="s">
        <v>10389</v>
      </c>
    </row>
    <row r="6593" spans="1:5" x14ac:dyDescent="0.45">
      <c r="A6593" s="1347">
        <v>-1</v>
      </c>
      <c r="B6593" s="1347" t="s">
        <v>10390</v>
      </c>
      <c r="D6593" s="1347" t="s">
        <v>10391</v>
      </c>
      <c r="E6593" s="1347" t="s">
        <v>1110</v>
      </c>
    </row>
    <row r="6594" spans="1:5" x14ac:dyDescent="0.45">
      <c r="A6594" s="1347">
        <v>-1</v>
      </c>
      <c r="B6594" s="1347" t="s">
        <v>10392</v>
      </c>
      <c r="D6594" s="1347">
        <f>-681   -330   -788  -151</f>
        <v>-1950</v>
      </c>
      <c r="E6594" s="1347" t="s">
        <v>1350</v>
      </c>
    </row>
    <row r="6595" spans="1:5" x14ac:dyDescent="0.45">
      <c r="A6595" s="1347" t="s">
        <v>1105</v>
      </c>
      <c r="B6595" s="1347" t="s">
        <v>10393</v>
      </c>
      <c r="D6595" s="1347" t="s">
        <v>10394</v>
      </c>
      <c r="E6595" s="1347" t="s">
        <v>10395</v>
      </c>
    </row>
    <row r="6596" spans="1:5" x14ac:dyDescent="0.45">
      <c r="B6596" s="1347" t="s">
        <v>6886</v>
      </c>
      <c r="D6596" s="1347" t="s">
        <v>10396</v>
      </c>
      <c r="E6596" s="1347" t="s">
        <v>10397</v>
      </c>
    </row>
    <row r="6597" spans="1:5" x14ac:dyDescent="0.45">
      <c r="A6597" s="1347">
        <v>1</v>
      </c>
      <c r="B6597" s="1347" t="s">
        <v>10398</v>
      </c>
      <c r="D6597" s="1347" t="s">
        <v>10399</v>
      </c>
      <c r="E6597" s="1347" t="s">
        <v>1110</v>
      </c>
    </row>
    <row r="6598" spans="1:5" x14ac:dyDescent="0.45">
      <c r="A6598" s="1347" t="s">
        <v>1105</v>
      </c>
      <c r="B6598" s="1347" t="s">
        <v>10400</v>
      </c>
      <c r="D6598" s="1347" t="s">
        <v>10401</v>
      </c>
      <c r="E6598" s="1347" t="s">
        <v>10402</v>
      </c>
    </row>
    <row r="6599" spans="1:5" x14ac:dyDescent="0.45">
      <c r="B6599" s="1347" t="s">
        <v>10403</v>
      </c>
      <c r="D6599" s="1347" t="s">
        <v>1109</v>
      </c>
      <c r="E6599" s="1347" t="s">
        <v>10404</v>
      </c>
    </row>
    <row r="6600" spans="1:5" x14ac:dyDescent="0.45">
      <c r="B6600" s="1347" t="s">
        <v>1108</v>
      </c>
      <c r="D6600" s="1347" t="s">
        <v>1109</v>
      </c>
      <c r="E6600" s="1347" t="s">
        <v>1110</v>
      </c>
    </row>
    <row r="6601" spans="1:5" x14ac:dyDescent="0.45">
      <c r="B6601" s="1347" t="s">
        <v>1108</v>
      </c>
      <c r="D6601" s="1347" t="s">
        <v>3640</v>
      </c>
      <c r="E6601" s="1347" t="s">
        <v>1156</v>
      </c>
    </row>
    <row r="6602" spans="1:5" x14ac:dyDescent="0.45">
      <c r="B6602" s="1347" t="s">
        <v>10405</v>
      </c>
      <c r="D6602" s="1347" t="s">
        <v>10406</v>
      </c>
      <c r="E6602" s="1347" t="s">
        <v>10407</v>
      </c>
    </row>
    <row r="6603" spans="1:5" x14ac:dyDescent="0.45">
      <c r="A6603" s="1347" t="s">
        <v>1105</v>
      </c>
      <c r="B6603" s="1347" t="s">
        <v>10408</v>
      </c>
      <c r="D6603" s="1347" t="s">
        <v>10409</v>
      </c>
      <c r="E6603" s="1347" t="s">
        <v>10410</v>
      </c>
    </row>
    <row r="6604" spans="1:5" x14ac:dyDescent="0.45">
      <c r="A6604" s="1347">
        <v>-1</v>
      </c>
      <c r="B6604" s="1347" t="s">
        <v>10411</v>
      </c>
      <c r="C6604" s="1347" t="s">
        <v>1105</v>
      </c>
      <c r="D6604" s="1347" t="s">
        <v>10412</v>
      </c>
      <c r="E6604" s="1347" t="s">
        <v>10413</v>
      </c>
    </row>
    <row r="6605" spans="1:5" x14ac:dyDescent="0.45">
      <c r="A6605" s="1347">
        <v>-2</v>
      </c>
      <c r="B6605" s="1347" t="s">
        <v>10414</v>
      </c>
      <c r="C6605" s="1347" t="s">
        <v>1105</v>
      </c>
      <c r="D6605" s="1347" t="s">
        <v>10415</v>
      </c>
      <c r="E6605" s="1347" t="s">
        <v>10416</v>
      </c>
    </row>
    <row r="6606" spans="1:5" x14ac:dyDescent="0.45">
      <c r="A6606" s="1347" t="s">
        <v>1105</v>
      </c>
      <c r="B6606" s="1347" t="s">
        <v>10417</v>
      </c>
      <c r="D6606" s="1347" t="s">
        <v>10418</v>
      </c>
      <c r="E6606" s="1347" t="s">
        <v>10419</v>
      </c>
    </row>
    <row r="6607" spans="1:5" x14ac:dyDescent="0.45">
      <c r="B6607" s="1347" t="s">
        <v>10420</v>
      </c>
      <c r="D6607" s="1347" t="s">
        <v>10421</v>
      </c>
      <c r="E6607" s="1347" t="s">
        <v>10422</v>
      </c>
    </row>
    <row r="6608" spans="1:5" x14ac:dyDescent="0.45">
      <c r="A6608" s="1347">
        <v>31</v>
      </c>
      <c r="B6608" s="1347" t="s">
        <v>10423</v>
      </c>
      <c r="C6608" s="1347">
        <v>2</v>
      </c>
      <c r="D6608" s="1347" t="s">
        <v>10424</v>
      </c>
      <c r="E6608" s="1347" t="s">
        <v>10425</v>
      </c>
    </row>
    <row r="6609" spans="1:5" x14ac:dyDescent="0.45">
      <c r="A6609" s="1347" t="s">
        <v>1105</v>
      </c>
      <c r="B6609" s="1347" t="s">
        <v>10426</v>
      </c>
      <c r="D6609" s="1347" t="s">
        <v>10427</v>
      </c>
      <c r="E6609" s="1347" t="s">
        <v>10428</v>
      </c>
    </row>
    <row r="6610" spans="1:5" x14ac:dyDescent="0.45">
      <c r="B6610" s="1347" t="s">
        <v>10429</v>
      </c>
      <c r="D6610" s="1347" t="s">
        <v>1109</v>
      </c>
      <c r="E6610" s="1347" t="s">
        <v>10430</v>
      </c>
    </row>
    <row r="6611" spans="1:5" x14ac:dyDescent="0.45">
      <c r="B6611" s="1347" t="s">
        <v>5964</v>
      </c>
      <c r="D6611" s="1347" t="s">
        <v>10431</v>
      </c>
      <c r="E6611" s="1347" t="s">
        <v>10432</v>
      </c>
    </row>
    <row r="6612" spans="1:5" x14ac:dyDescent="0.45">
      <c r="B6612" s="1347">
        <f>-36    -20</f>
        <v>-56</v>
      </c>
      <c r="D6612" s="1347" t="s">
        <v>10433</v>
      </c>
      <c r="E6612" s="1347" t="s">
        <v>1220</v>
      </c>
    </row>
    <row r="6613" spans="1:5" x14ac:dyDescent="0.45">
      <c r="B6613" s="1347" t="s">
        <v>5227</v>
      </c>
      <c r="D6613" s="1347" t="s">
        <v>6132</v>
      </c>
      <c r="E6613" s="1347" t="s">
        <v>10434</v>
      </c>
    </row>
    <row r="6614" spans="1:5" x14ac:dyDescent="0.45">
      <c r="B6614" s="1347" t="s">
        <v>1108</v>
      </c>
      <c r="D6614" s="1347" t="s">
        <v>10435</v>
      </c>
      <c r="E6614" s="1347" t="s">
        <v>10436</v>
      </c>
    </row>
    <row r="6615" spans="1:5" x14ac:dyDescent="0.45">
      <c r="A6615" s="1347">
        <v>-45</v>
      </c>
      <c r="B6615" s="1347" t="s">
        <v>10437</v>
      </c>
      <c r="D6615" s="1347" t="s">
        <v>10438</v>
      </c>
      <c r="E6615" s="1347" t="s">
        <v>10439</v>
      </c>
    </row>
    <row r="6616" spans="1:5" x14ac:dyDescent="0.45">
      <c r="B6616" s="1347" t="s">
        <v>1108</v>
      </c>
      <c r="D6616" s="1347" t="s">
        <v>10440</v>
      </c>
      <c r="E6616" s="1347" t="s">
        <v>10441</v>
      </c>
    </row>
    <row r="6617" spans="1:5" x14ac:dyDescent="0.45">
      <c r="B6617" s="1347" t="s">
        <v>10442</v>
      </c>
      <c r="D6617" s="1347" t="s">
        <v>1109</v>
      </c>
      <c r="E6617" s="1347" t="s">
        <v>10443</v>
      </c>
    </row>
    <row r="6618" spans="1:5" x14ac:dyDescent="0.45">
      <c r="A6618" s="1347">
        <v>3</v>
      </c>
      <c r="B6618" s="1347" t="s">
        <v>10444</v>
      </c>
      <c r="D6618" s="1347" t="s">
        <v>10445</v>
      </c>
      <c r="E6618" s="1347" t="s">
        <v>10446</v>
      </c>
    </row>
    <row r="6619" spans="1:5" x14ac:dyDescent="0.45">
      <c r="A6619" s="1347" t="s">
        <v>1105</v>
      </c>
      <c r="B6619" s="1347" t="s">
        <v>10447</v>
      </c>
      <c r="D6619" s="1347" t="s">
        <v>10448</v>
      </c>
      <c r="E6619" s="1347" t="s">
        <v>10449</v>
      </c>
    </row>
    <row r="6620" spans="1:5" x14ac:dyDescent="0.45">
      <c r="A6620" s="1347">
        <v>-7</v>
      </c>
      <c r="B6620" s="1347" t="s">
        <v>2928</v>
      </c>
      <c r="C6620" s="1347" t="s">
        <v>1105</v>
      </c>
      <c r="D6620" s="1347" t="s">
        <v>10450</v>
      </c>
      <c r="E6620" s="1347" t="s">
        <v>1156</v>
      </c>
    </row>
    <row r="6621" spans="1:5" x14ac:dyDescent="0.45">
      <c r="B6621" s="1347" t="s">
        <v>10451</v>
      </c>
      <c r="D6621" s="1347" t="s">
        <v>10452</v>
      </c>
      <c r="E6621" s="1347" t="s">
        <v>10453</v>
      </c>
    </row>
    <row r="6622" spans="1:5" x14ac:dyDescent="0.45">
      <c r="B6622" s="1347" t="s">
        <v>10454</v>
      </c>
      <c r="D6622" s="1347" t="s">
        <v>10455</v>
      </c>
      <c r="E6622" s="1347" t="s">
        <v>10456</v>
      </c>
    </row>
    <row r="6623" spans="1:5" x14ac:dyDescent="0.45">
      <c r="B6623" s="1347" t="s">
        <v>10457</v>
      </c>
      <c r="D6623" s="1347" t="s">
        <v>10458</v>
      </c>
      <c r="E6623" s="1347" t="s">
        <v>10459</v>
      </c>
    </row>
    <row r="6624" spans="1:5" x14ac:dyDescent="0.45">
      <c r="B6624" s="1347" t="s">
        <v>1108</v>
      </c>
      <c r="D6624" s="1347" t="s">
        <v>2603</v>
      </c>
      <c r="E6624" s="1347" t="s">
        <v>10460</v>
      </c>
    </row>
    <row r="6625" spans="1:5" x14ac:dyDescent="0.45">
      <c r="B6625" s="1347" t="s">
        <v>10461</v>
      </c>
      <c r="C6625" s="1347">
        <v>-4</v>
      </c>
      <c r="D6625" s="1347" t="s">
        <v>10462</v>
      </c>
      <c r="E6625" s="1347" t="s">
        <v>10463</v>
      </c>
    </row>
    <row r="6626" spans="1:5" x14ac:dyDescent="0.45">
      <c r="A6626" s="1347">
        <v>-1</v>
      </c>
      <c r="B6626" s="1347" t="s">
        <v>10464</v>
      </c>
      <c r="D6626" s="1347" t="s">
        <v>10465</v>
      </c>
      <c r="E6626" s="1347" t="s">
        <v>10466</v>
      </c>
    </row>
    <row r="6627" spans="1:5" x14ac:dyDescent="0.45">
      <c r="A6627" s="1347">
        <v>-1</v>
      </c>
      <c r="B6627" s="1347" t="s">
        <v>8848</v>
      </c>
      <c r="D6627" s="1347" t="s">
        <v>1109</v>
      </c>
      <c r="E6627" s="1347" t="s">
        <v>10467</v>
      </c>
    </row>
    <row r="6628" spans="1:5" x14ac:dyDescent="0.45">
      <c r="B6628" s="1347" t="s">
        <v>10468</v>
      </c>
      <c r="C6628" s="1347" t="s">
        <v>1105</v>
      </c>
      <c r="D6628" s="1347" t="s">
        <v>10469</v>
      </c>
      <c r="E6628" s="1347" t="s">
        <v>10470</v>
      </c>
    </row>
    <row r="6629" spans="1:5" x14ac:dyDescent="0.45">
      <c r="B6629" s="1347" t="s">
        <v>1108</v>
      </c>
      <c r="C6629" s="1347" t="s">
        <v>1105</v>
      </c>
      <c r="D6629" s="1347" t="s">
        <v>10471</v>
      </c>
      <c r="E6629" s="1347" t="s">
        <v>10472</v>
      </c>
    </row>
    <row r="6630" spans="1:5" x14ac:dyDescent="0.45">
      <c r="B6630" s="1347" t="s">
        <v>1108</v>
      </c>
      <c r="C6630" s="1347" t="s">
        <v>1105</v>
      </c>
      <c r="D6630" s="1347" t="s">
        <v>10473</v>
      </c>
      <c r="E6630" s="1347" t="s">
        <v>10474</v>
      </c>
    </row>
    <row r="6631" spans="1:5" x14ac:dyDescent="0.45">
      <c r="B6631" s="1347" t="s">
        <v>1108</v>
      </c>
      <c r="D6631" s="1347" t="s">
        <v>10475</v>
      </c>
      <c r="E6631" s="1347" t="s">
        <v>10476</v>
      </c>
    </row>
    <row r="6632" spans="1:5" x14ac:dyDescent="0.45">
      <c r="B6632" s="1347" t="s">
        <v>10477</v>
      </c>
      <c r="D6632" s="1347" t="s">
        <v>10478</v>
      </c>
      <c r="E6632" s="1347" t="s">
        <v>1110</v>
      </c>
    </row>
    <row r="6633" spans="1:5" x14ac:dyDescent="0.45">
      <c r="B6633" s="1347" t="s">
        <v>1108</v>
      </c>
      <c r="D6633" s="1347" t="s">
        <v>10479</v>
      </c>
      <c r="E6633" s="1347" t="s">
        <v>10480</v>
      </c>
    </row>
    <row r="6634" spans="1:5" x14ac:dyDescent="0.45">
      <c r="B6634" s="1347" t="s">
        <v>1524</v>
      </c>
      <c r="D6634" s="1347" t="s">
        <v>10481</v>
      </c>
      <c r="E6634" s="1347" t="s">
        <v>10482</v>
      </c>
    </row>
    <row r="6635" spans="1:5" x14ac:dyDescent="0.45">
      <c r="A6635" s="1347">
        <v>-2</v>
      </c>
      <c r="B6635" s="1347" t="s">
        <v>10483</v>
      </c>
      <c r="D6635" s="1347" t="s">
        <v>1109</v>
      </c>
      <c r="E6635" s="1347" t="s">
        <v>1110</v>
      </c>
    </row>
    <row r="6636" spans="1:5" x14ac:dyDescent="0.45">
      <c r="B6636" s="1347" t="s">
        <v>1108</v>
      </c>
      <c r="D6636" s="1347" t="s">
        <v>1109</v>
      </c>
      <c r="E6636" s="1347" t="s">
        <v>10484</v>
      </c>
    </row>
    <row r="6637" spans="1:5" x14ac:dyDescent="0.45">
      <c r="B6637" s="1347" t="s">
        <v>1108</v>
      </c>
      <c r="D6637" s="1347" t="s">
        <v>10485</v>
      </c>
      <c r="E6637" s="1347" t="s">
        <v>10486</v>
      </c>
    </row>
    <row r="6638" spans="1:5" x14ac:dyDescent="0.45">
      <c r="A6638" s="1347">
        <v>1</v>
      </c>
      <c r="B6638" s="1347" t="s">
        <v>10487</v>
      </c>
      <c r="D6638" s="1347" t="s">
        <v>10488</v>
      </c>
      <c r="E6638" s="1347" t="s">
        <v>10489</v>
      </c>
    </row>
    <row r="6639" spans="1:5" x14ac:dyDescent="0.45">
      <c r="B6639" s="1347" t="s">
        <v>10490</v>
      </c>
      <c r="C6639" s="1347">
        <v>-1</v>
      </c>
      <c r="D6639" s="1347" t="s">
        <v>10491</v>
      </c>
      <c r="E6639" s="1347" t="s">
        <v>10492</v>
      </c>
    </row>
    <row r="6640" spans="1:5" x14ac:dyDescent="0.45">
      <c r="A6640" s="1347">
        <v>3</v>
      </c>
      <c r="B6640" s="1347" t="s">
        <v>10493</v>
      </c>
      <c r="C6640" s="1347" t="s">
        <v>1105</v>
      </c>
      <c r="D6640" s="1347" t="s">
        <v>10494</v>
      </c>
      <c r="E6640" s="1347" t="s">
        <v>10495</v>
      </c>
    </row>
    <row r="6641" spans="1:5" x14ac:dyDescent="0.45">
      <c r="A6641" s="1347" t="s">
        <v>1105</v>
      </c>
      <c r="B6641" s="1347" t="s">
        <v>10496</v>
      </c>
      <c r="D6641" s="1347" t="s">
        <v>10497</v>
      </c>
      <c r="E6641" s="1347" t="s">
        <v>10498</v>
      </c>
    </row>
    <row r="6642" spans="1:5" x14ac:dyDescent="0.45">
      <c r="A6642" s="1347">
        <v>-1</v>
      </c>
      <c r="B6642" s="1347" t="s">
        <v>10499</v>
      </c>
      <c r="D6642" s="1347" t="s">
        <v>10500</v>
      </c>
      <c r="E6642" s="1347" t="s">
        <v>10501</v>
      </c>
    </row>
    <row r="6643" spans="1:5" x14ac:dyDescent="0.45">
      <c r="B6643" s="1347" t="s">
        <v>10502</v>
      </c>
      <c r="C6643" s="1347">
        <v>4</v>
      </c>
      <c r="D6643" s="1347" t="s">
        <v>10503</v>
      </c>
      <c r="E6643" s="1347" t="s">
        <v>10504</v>
      </c>
    </row>
    <row r="6644" spans="1:5" x14ac:dyDescent="0.45">
      <c r="A6644" s="1347">
        <v>26</v>
      </c>
      <c r="B6644" s="1347" t="s">
        <v>10505</v>
      </c>
      <c r="C6644" s="1347">
        <v>-3</v>
      </c>
      <c r="D6644" s="1347" t="s">
        <v>10506</v>
      </c>
      <c r="E6644" s="1347" t="s">
        <v>10507</v>
      </c>
    </row>
    <row r="6645" spans="1:5" x14ac:dyDescent="0.45">
      <c r="B6645" s="1347" t="s">
        <v>1108</v>
      </c>
      <c r="D6645" s="1347" t="s">
        <v>10508</v>
      </c>
      <c r="E6645" s="1347" t="s">
        <v>1110</v>
      </c>
    </row>
    <row r="6646" spans="1:5" x14ac:dyDescent="0.45">
      <c r="B6646" s="1347" t="s">
        <v>3829</v>
      </c>
      <c r="D6646" s="1347" t="s">
        <v>10509</v>
      </c>
      <c r="E6646" s="1347" t="s">
        <v>10510</v>
      </c>
    </row>
    <row r="6647" spans="1:5" x14ac:dyDescent="0.45">
      <c r="B6647" s="1347" t="s">
        <v>6494</v>
      </c>
      <c r="C6647" s="1347">
        <v>-2</v>
      </c>
      <c r="D6647" s="1347" t="s">
        <v>10511</v>
      </c>
      <c r="E6647" s="1347" t="s">
        <v>10512</v>
      </c>
    </row>
    <row r="6648" spans="1:5" x14ac:dyDescent="0.45">
      <c r="B6648" s="1347" t="s">
        <v>1108</v>
      </c>
      <c r="D6648" s="1347" t="s">
        <v>10513</v>
      </c>
      <c r="E6648" s="1347" t="s">
        <v>10514</v>
      </c>
    </row>
    <row r="6649" spans="1:5" x14ac:dyDescent="0.45">
      <c r="B6649" s="1347" t="s">
        <v>1750</v>
      </c>
      <c r="D6649" s="1347" t="s">
        <v>1109</v>
      </c>
      <c r="E6649" s="1347" t="s">
        <v>10515</v>
      </c>
    </row>
    <row r="6650" spans="1:5" x14ac:dyDescent="0.45">
      <c r="B6650" s="1347" t="s">
        <v>1108</v>
      </c>
      <c r="D6650" s="1347" t="s">
        <v>10516</v>
      </c>
      <c r="E6650" s="1347" t="s">
        <v>1110</v>
      </c>
    </row>
    <row r="6651" spans="1:5" x14ac:dyDescent="0.45">
      <c r="A6651" s="1347" t="s">
        <v>1105</v>
      </c>
      <c r="B6651" s="1347" t="s">
        <v>10517</v>
      </c>
      <c r="D6651" s="1347" t="s">
        <v>10518</v>
      </c>
      <c r="E6651" s="1347" t="s">
        <v>10519</v>
      </c>
    </row>
    <row r="6652" spans="1:5" x14ac:dyDescent="0.45">
      <c r="A6652" s="1347">
        <v>1</v>
      </c>
      <c r="B6652" s="1347" t="s">
        <v>10520</v>
      </c>
      <c r="D6652" s="1347" t="s">
        <v>10521</v>
      </c>
      <c r="E6652" s="1347" t="s">
        <v>1110</v>
      </c>
    </row>
    <row r="6653" spans="1:5" x14ac:dyDescent="0.45">
      <c r="A6653" s="1347">
        <v>-1</v>
      </c>
      <c r="B6653" s="1347" t="s">
        <v>1610</v>
      </c>
      <c r="D6653" s="1347" t="s">
        <v>10522</v>
      </c>
      <c r="E6653" s="1347" t="s">
        <v>10523</v>
      </c>
    </row>
    <row r="6654" spans="1:5" x14ac:dyDescent="0.45">
      <c r="B6654" s="1347" t="s">
        <v>2391</v>
      </c>
      <c r="D6654" s="1347" t="s">
        <v>10524</v>
      </c>
      <c r="E6654" s="1347" t="s">
        <v>10525</v>
      </c>
    </row>
    <row r="6655" spans="1:5" x14ac:dyDescent="0.45">
      <c r="B6655" s="1347" t="s">
        <v>1108</v>
      </c>
      <c r="D6655" s="1347" t="s">
        <v>10526</v>
      </c>
      <c r="E6655" s="1347" t="s">
        <v>10527</v>
      </c>
    </row>
    <row r="6656" spans="1:5" x14ac:dyDescent="0.45">
      <c r="B6656" s="1347" t="s">
        <v>1108</v>
      </c>
      <c r="D6656" s="1347" t="s">
        <v>10528</v>
      </c>
      <c r="E6656" s="1347" t="s">
        <v>10529</v>
      </c>
    </row>
    <row r="6657" spans="1:5" x14ac:dyDescent="0.45">
      <c r="A6657" s="1347" t="s">
        <v>1105</v>
      </c>
      <c r="B6657" s="1347" t="s">
        <v>10530</v>
      </c>
      <c r="C6657" s="1347" t="s">
        <v>1105</v>
      </c>
      <c r="D6657" s="1347" t="s">
        <v>10531</v>
      </c>
      <c r="E6657" s="1347" t="s">
        <v>10532</v>
      </c>
    </row>
    <row r="6658" spans="1:5" x14ac:dyDescent="0.45">
      <c r="B6658" s="1347" t="s">
        <v>1108</v>
      </c>
      <c r="D6658" s="1347" t="s">
        <v>10533</v>
      </c>
      <c r="E6658" s="1347" t="s">
        <v>10534</v>
      </c>
    </row>
    <row r="6659" spans="1:5" x14ac:dyDescent="0.45">
      <c r="A6659" s="1347">
        <v>2</v>
      </c>
      <c r="B6659" s="1347" t="s">
        <v>10535</v>
      </c>
      <c r="D6659" s="1347" t="s">
        <v>10536</v>
      </c>
      <c r="E6659" s="1347" t="s">
        <v>10537</v>
      </c>
    </row>
    <row r="6660" spans="1:5" x14ac:dyDescent="0.45">
      <c r="B6660" s="1347" t="s">
        <v>10538</v>
      </c>
      <c r="D6660" s="1347" t="s">
        <v>10539</v>
      </c>
      <c r="E6660" s="1347" t="s">
        <v>10540</v>
      </c>
    </row>
    <row r="6661" spans="1:5" x14ac:dyDescent="0.45">
      <c r="A6661" s="1347">
        <v>2</v>
      </c>
      <c r="B6661" s="1347" t="s">
        <v>10541</v>
      </c>
      <c r="D6661" s="1347" t="s">
        <v>10542</v>
      </c>
      <c r="E6661" s="1347" t="s">
        <v>10543</v>
      </c>
    </row>
    <row r="6662" spans="1:5" x14ac:dyDescent="0.45">
      <c r="B6662" s="1347" t="s">
        <v>10544</v>
      </c>
      <c r="D6662" s="1347" t="s">
        <v>10545</v>
      </c>
      <c r="E6662" s="1347" t="s">
        <v>1110</v>
      </c>
    </row>
    <row r="6663" spans="1:5" x14ac:dyDescent="0.45">
      <c r="B6663" s="1347" t="s">
        <v>1108</v>
      </c>
      <c r="D6663" s="1347" t="s">
        <v>10546</v>
      </c>
      <c r="E6663" s="1347" t="s">
        <v>10547</v>
      </c>
    </row>
    <row r="6664" spans="1:5" x14ac:dyDescent="0.45">
      <c r="B6664" s="1347" t="s">
        <v>1108</v>
      </c>
      <c r="D6664" s="1347" t="s">
        <v>10548</v>
      </c>
      <c r="E6664" s="1347" t="s">
        <v>10549</v>
      </c>
    </row>
    <row r="6665" spans="1:5" x14ac:dyDescent="0.45">
      <c r="B6665" s="1347" t="s">
        <v>10550</v>
      </c>
      <c r="D6665" s="1347" t="s">
        <v>10551</v>
      </c>
      <c r="E6665" s="1347" t="s">
        <v>10552</v>
      </c>
    </row>
    <row r="6666" spans="1:5" x14ac:dyDescent="0.45">
      <c r="B6666" s="1347" t="s">
        <v>2017</v>
      </c>
      <c r="D6666" s="1347" t="s">
        <v>1109</v>
      </c>
      <c r="E6666" s="1347" t="s">
        <v>10553</v>
      </c>
    </row>
    <row r="6667" spans="1:5" x14ac:dyDescent="0.45">
      <c r="A6667" s="1347" t="s">
        <v>1105</v>
      </c>
      <c r="B6667" s="1347" t="s">
        <v>10554</v>
      </c>
      <c r="D6667" s="1347" t="s">
        <v>10555</v>
      </c>
      <c r="E6667" s="1347" t="s">
        <v>10556</v>
      </c>
    </row>
    <row r="6668" spans="1:5" x14ac:dyDescent="0.45">
      <c r="B6668" s="1347" t="s">
        <v>1108</v>
      </c>
      <c r="D6668" s="1347" t="s">
        <v>10557</v>
      </c>
      <c r="E6668" s="1347" t="s">
        <v>10558</v>
      </c>
    </row>
    <row r="6669" spans="1:5" x14ac:dyDescent="0.45">
      <c r="A6669" s="1347" t="s">
        <v>1105</v>
      </c>
      <c r="B6669" s="1347" t="s">
        <v>5821</v>
      </c>
      <c r="D6669" s="1347" t="s">
        <v>10559</v>
      </c>
      <c r="E6669" s="1347" t="s">
        <v>10560</v>
      </c>
    </row>
    <row r="6670" spans="1:5" x14ac:dyDescent="0.45">
      <c r="B6670" s="1347" t="s">
        <v>10561</v>
      </c>
      <c r="D6670" s="1347" t="s">
        <v>10562</v>
      </c>
      <c r="E6670" s="1347" t="s">
        <v>1110</v>
      </c>
    </row>
    <row r="6671" spans="1:5" x14ac:dyDescent="0.45">
      <c r="B6671" s="1347" t="s">
        <v>1108</v>
      </c>
      <c r="D6671" s="1347" t="s">
        <v>1109</v>
      </c>
      <c r="E6671" s="1347" t="s">
        <v>1110</v>
      </c>
    </row>
    <row r="6672" spans="1:5" x14ac:dyDescent="0.45">
      <c r="A6672" s="1347">
        <v>-1</v>
      </c>
      <c r="B6672" s="1347" t="s">
        <v>3446</v>
      </c>
      <c r="D6672" s="1347" t="s">
        <v>1109</v>
      </c>
      <c r="E6672" s="1347" t="s">
        <v>10563</v>
      </c>
    </row>
    <row r="6673" spans="1:5" x14ac:dyDescent="0.45">
      <c r="B6673" s="1347" t="s">
        <v>10564</v>
      </c>
      <c r="C6673" s="1347" t="s">
        <v>1105</v>
      </c>
      <c r="D6673" s="1347" t="s">
        <v>10565</v>
      </c>
      <c r="E6673" s="1347" t="s">
        <v>10566</v>
      </c>
    </row>
    <row r="6674" spans="1:5" x14ac:dyDescent="0.45">
      <c r="A6674" s="1347">
        <v>-2</v>
      </c>
      <c r="B6674" s="1347" t="s">
        <v>10567</v>
      </c>
      <c r="C6674" s="1347" t="s">
        <v>1105</v>
      </c>
      <c r="D6674" s="1347" t="s">
        <v>10568</v>
      </c>
      <c r="E6674" s="1347" t="s">
        <v>10569</v>
      </c>
    </row>
    <row r="6675" spans="1:5" x14ac:dyDescent="0.45">
      <c r="A6675" s="1347">
        <v>4</v>
      </c>
      <c r="B6675" s="1347" t="s">
        <v>10570</v>
      </c>
      <c r="C6675" s="1347" t="s">
        <v>1105</v>
      </c>
      <c r="D6675" s="1347" t="s">
        <v>10571</v>
      </c>
      <c r="E6675" s="1347" t="s">
        <v>10572</v>
      </c>
    </row>
    <row r="6676" spans="1:5" x14ac:dyDescent="0.45">
      <c r="A6676" s="1347">
        <v>1</v>
      </c>
      <c r="B6676" s="1347" t="s">
        <v>10573</v>
      </c>
      <c r="D6676" s="1347" t="s">
        <v>10574</v>
      </c>
      <c r="E6676" s="1347" t="s">
        <v>10575</v>
      </c>
    </row>
    <row r="6677" spans="1:5" x14ac:dyDescent="0.45">
      <c r="A6677" s="1347" t="s">
        <v>1105</v>
      </c>
      <c r="B6677" s="1347" t="s">
        <v>10576</v>
      </c>
      <c r="D6677" s="1347" t="s">
        <v>10577</v>
      </c>
      <c r="E6677" s="1347" t="s">
        <v>10578</v>
      </c>
    </row>
    <row r="6678" spans="1:5" x14ac:dyDescent="0.45">
      <c r="B6678" s="1347">
        <f>-57   -131</f>
        <v>-188</v>
      </c>
      <c r="D6678" s="1347" t="s">
        <v>10579</v>
      </c>
      <c r="E6678" s="1347" t="s">
        <v>10580</v>
      </c>
    </row>
    <row r="6679" spans="1:5" x14ac:dyDescent="0.45">
      <c r="A6679" s="1347">
        <v>21</v>
      </c>
      <c r="B6679" s="1347" t="s">
        <v>10581</v>
      </c>
      <c r="C6679" s="1347">
        <v>2</v>
      </c>
      <c r="D6679" s="1347" t="s">
        <v>10582</v>
      </c>
      <c r="E6679" s="1347" t="s">
        <v>10583</v>
      </c>
    </row>
    <row r="6680" spans="1:5" x14ac:dyDescent="0.45">
      <c r="B6680" s="1347" t="s">
        <v>1108</v>
      </c>
      <c r="D6680" s="1347" t="s">
        <v>10584</v>
      </c>
      <c r="E6680" s="1347" t="s">
        <v>10585</v>
      </c>
    </row>
    <row r="6681" spans="1:5" x14ac:dyDescent="0.45">
      <c r="B6681" s="1347" t="s">
        <v>1108</v>
      </c>
      <c r="D6681" s="1347" t="s">
        <v>10586</v>
      </c>
      <c r="E6681" s="1347" t="s">
        <v>10587</v>
      </c>
    </row>
    <row r="6682" spans="1:5" x14ac:dyDescent="0.45">
      <c r="B6682" s="1347" t="s">
        <v>10588</v>
      </c>
      <c r="D6682" s="1347" t="s">
        <v>10589</v>
      </c>
      <c r="E6682" s="1347" t="s">
        <v>10590</v>
      </c>
    </row>
    <row r="6683" spans="1:5" x14ac:dyDescent="0.45">
      <c r="A6683" s="1347" t="s">
        <v>1105</v>
      </c>
      <c r="B6683" s="1347" t="s">
        <v>4639</v>
      </c>
      <c r="D6683" s="1347" t="s">
        <v>10591</v>
      </c>
      <c r="E6683" s="1347" t="s">
        <v>10592</v>
      </c>
    </row>
    <row r="6684" spans="1:5" x14ac:dyDescent="0.45">
      <c r="B6684" s="1347" t="s">
        <v>1108</v>
      </c>
      <c r="D6684" s="1347" t="s">
        <v>10593</v>
      </c>
      <c r="E6684" s="1347" t="s">
        <v>1110</v>
      </c>
    </row>
    <row r="6685" spans="1:5" x14ac:dyDescent="0.45">
      <c r="B6685" s="1347" t="s">
        <v>6462</v>
      </c>
      <c r="D6685" s="1347" t="s">
        <v>10594</v>
      </c>
      <c r="E6685" s="1347" t="s">
        <v>10595</v>
      </c>
    </row>
    <row r="6686" spans="1:5" x14ac:dyDescent="0.45">
      <c r="B6686" s="1347" t="s">
        <v>1108</v>
      </c>
      <c r="D6686" s="1347" t="s">
        <v>10596</v>
      </c>
      <c r="E6686" s="1347" t="s">
        <v>10597</v>
      </c>
    </row>
    <row r="6687" spans="1:5" x14ac:dyDescent="0.45">
      <c r="A6687" s="1347" t="s">
        <v>1105</v>
      </c>
      <c r="B6687" s="1347" t="s">
        <v>5306</v>
      </c>
      <c r="D6687" s="1347" t="s">
        <v>10598</v>
      </c>
      <c r="E6687" s="1347" t="s">
        <v>10599</v>
      </c>
    </row>
    <row r="6688" spans="1:5" x14ac:dyDescent="0.45">
      <c r="B6688" s="1347" t="s">
        <v>1108</v>
      </c>
      <c r="D6688" s="1347" t="s">
        <v>10600</v>
      </c>
      <c r="E6688" s="1347" t="s">
        <v>10601</v>
      </c>
    </row>
    <row r="6689" spans="1:5" x14ac:dyDescent="0.45">
      <c r="A6689" s="1347" t="s">
        <v>1105</v>
      </c>
      <c r="B6689" s="1347" t="s">
        <v>10602</v>
      </c>
      <c r="D6689" s="1347" t="s">
        <v>10603</v>
      </c>
      <c r="E6689" s="1347" t="s">
        <v>10604</v>
      </c>
    </row>
    <row r="6690" spans="1:5" x14ac:dyDescent="0.45">
      <c r="B6690" s="1347" t="s">
        <v>10605</v>
      </c>
      <c r="D6690" s="1347" t="s">
        <v>10606</v>
      </c>
      <c r="E6690" s="1347" t="s">
        <v>10607</v>
      </c>
    </row>
    <row r="6691" spans="1:5" x14ac:dyDescent="0.45">
      <c r="B6691" s="1358">
        <v>14731</v>
      </c>
      <c r="D6691" s="1347" t="s">
        <v>10608</v>
      </c>
      <c r="E6691" s="1347" t="s">
        <v>10609</v>
      </c>
    </row>
    <row r="6692" spans="1:5" x14ac:dyDescent="0.45">
      <c r="B6692" s="1347" t="s">
        <v>10610</v>
      </c>
      <c r="D6692" s="1347" t="s">
        <v>10611</v>
      </c>
      <c r="E6692" s="1347" t="s">
        <v>10612</v>
      </c>
    </row>
    <row r="6693" spans="1:5" x14ac:dyDescent="0.45">
      <c r="B6693" s="1347" t="s">
        <v>10613</v>
      </c>
      <c r="D6693" s="1347" t="s">
        <v>10614</v>
      </c>
      <c r="E6693" s="1347" t="s">
        <v>10615</v>
      </c>
    </row>
    <row r="6694" spans="1:5" x14ac:dyDescent="0.45">
      <c r="B6694" s="1347" t="s">
        <v>1108</v>
      </c>
      <c r="D6694" s="1347" t="s">
        <v>10616</v>
      </c>
      <c r="E6694" s="1347" t="s">
        <v>10617</v>
      </c>
    </row>
    <row r="6695" spans="1:5" x14ac:dyDescent="0.45">
      <c r="B6695" s="1347" t="s">
        <v>1108</v>
      </c>
      <c r="D6695" s="1347" t="s">
        <v>10618</v>
      </c>
      <c r="E6695" s="1347" t="s">
        <v>10619</v>
      </c>
    </row>
    <row r="6696" spans="1:5" x14ac:dyDescent="0.45">
      <c r="A6696" s="1347" t="s">
        <v>1105</v>
      </c>
      <c r="B6696" s="1347" t="s">
        <v>6382</v>
      </c>
      <c r="D6696" s="1347" t="s">
        <v>10620</v>
      </c>
      <c r="E6696" s="1347" t="s">
        <v>10621</v>
      </c>
    </row>
    <row r="6697" spans="1:5" x14ac:dyDescent="0.45">
      <c r="A6697" s="1347">
        <v>1</v>
      </c>
      <c r="B6697" s="1347" t="s">
        <v>6201</v>
      </c>
      <c r="D6697" s="1347" t="s">
        <v>10622</v>
      </c>
      <c r="E6697" s="1347" t="s">
        <v>10623</v>
      </c>
    </row>
    <row r="6698" spans="1:5" x14ac:dyDescent="0.45">
      <c r="B6698" s="1347" t="s">
        <v>1108</v>
      </c>
      <c r="D6698" s="1347" t="s">
        <v>1109</v>
      </c>
      <c r="E6698" s="1347" t="s">
        <v>10624</v>
      </c>
    </row>
    <row r="6699" spans="1:5" x14ac:dyDescent="0.45">
      <c r="B6699" s="1347" t="s">
        <v>10625</v>
      </c>
      <c r="D6699" s="1347" t="s">
        <v>10626</v>
      </c>
      <c r="E6699" s="1347" t="s">
        <v>10627</v>
      </c>
    </row>
    <row r="6700" spans="1:5" x14ac:dyDescent="0.45">
      <c r="A6700" s="1347" t="s">
        <v>1105</v>
      </c>
      <c r="B6700" s="1347" t="s">
        <v>10628</v>
      </c>
      <c r="D6700" s="1347">
        <f>-737    -80    -34</f>
        <v>-851</v>
      </c>
      <c r="E6700" s="1347" t="s">
        <v>10629</v>
      </c>
    </row>
    <row r="6701" spans="1:5" x14ac:dyDescent="0.45">
      <c r="B6701" s="1347" t="s">
        <v>10630</v>
      </c>
      <c r="D6701" s="1347" t="s">
        <v>10631</v>
      </c>
      <c r="E6701" s="1347" t="s">
        <v>1435</v>
      </c>
    </row>
    <row r="6702" spans="1:5" x14ac:dyDescent="0.45">
      <c r="A6702" s="1347" t="s">
        <v>1105</v>
      </c>
      <c r="B6702" s="1347" t="s">
        <v>3525</v>
      </c>
      <c r="D6702" s="1347" t="s">
        <v>10632</v>
      </c>
      <c r="E6702" s="1347" t="s">
        <v>10633</v>
      </c>
    </row>
    <row r="6703" spans="1:5" x14ac:dyDescent="0.45">
      <c r="A6703" s="1347" t="s">
        <v>1105</v>
      </c>
      <c r="B6703" s="1347" t="s">
        <v>10634</v>
      </c>
      <c r="D6703" s="1347" t="s">
        <v>1109</v>
      </c>
      <c r="E6703" s="1347" t="s">
        <v>10635</v>
      </c>
    </row>
    <row r="6704" spans="1:5" x14ac:dyDescent="0.45">
      <c r="A6704" s="1347" t="s">
        <v>1105</v>
      </c>
      <c r="B6704" s="1347" t="s">
        <v>10636</v>
      </c>
      <c r="D6704" s="1347" t="s">
        <v>10637</v>
      </c>
      <c r="E6704" s="1347" t="s">
        <v>10638</v>
      </c>
    </row>
    <row r="6705" spans="1:5" x14ac:dyDescent="0.45">
      <c r="A6705" s="1347" t="s">
        <v>1105</v>
      </c>
      <c r="B6705" s="1347" t="s">
        <v>3484</v>
      </c>
      <c r="D6705" s="1347" t="s">
        <v>2041</v>
      </c>
      <c r="E6705" s="1347" t="s">
        <v>10639</v>
      </c>
    </row>
    <row r="6706" spans="1:5" x14ac:dyDescent="0.45">
      <c r="B6706" s="1347" t="s">
        <v>1108</v>
      </c>
      <c r="D6706" s="1347" t="s">
        <v>1109</v>
      </c>
      <c r="E6706" s="1347" t="s">
        <v>1110</v>
      </c>
    </row>
    <row r="6707" spans="1:5" x14ac:dyDescent="0.45">
      <c r="B6707" s="1347" t="s">
        <v>1108</v>
      </c>
      <c r="D6707" s="1347" t="s">
        <v>10640</v>
      </c>
      <c r="E6707" s="1347" t="s">
        <v>1110</v>
      </c>
    </row>
    <row r="6708" spans="1:5" x14ac:dyDescent="0.45">
      <c r="B6708" s="1347" t="s">
        <v>10641</v>
      </c>
      <c r="D6708" s="1347" t="s">
        <v>10642</v>
      </c>
      <c r="E6708" s="1347" t="s">
        <v>10643</v>
      </c>
    </row>
    <row r="6709" spans="1:5" x14ac:dyDescent="0.45">
      <c r="B6709" s="1347" t="s">
        <v>10644</v>
      </c>
      <c r="D6709" s="1347" t="s">
        <v>10645</v>
      </c>
      <c r="E6709" s="1347" t="s">
        <v>10646</v>
      </c>
    </row>
    <row r="6710" spans="1:5" x14ac:dyDescent="0.45">
      <c r="A6710" s="1347">
        <v>2</v>
      </c>
      <c r="B6710" s="1347" t="s">
        <v>10647</v>
      </c>
      <c r="D6710" s="1347" t="s">
        <v>10648</v>
      </c>
      <c r="E6710" s="1347" t="s">
        <v>10649</v>
      </c>
    </row>
    <row r="6711" spans="1:5" x14ac:dyDescent="0.45">
      <c r="A6711" s="1347">
        <v>2</v>
      </c>
      <c r="B6711" s="1347" t="s">
        <v>10650</v>
      </c>
      <c r="D6711" s="1347" t="s">
        <v>10651</v>
      </c>
      <c r="E6711" s="1347" t="s">
        <v>10652</v>
      </c>
    </row>
    <row r="6712" spans="1:5" x14ac:dyDescent="0.45">
      <c r="A6712" s="1347" t="s">
        <v>1105</v>
      </c>
      <c r="B6712" s="1347" t="s">
        <v>10653</v>
      </c>
      <c r="D6712" s="1347" t="s">
        <v>10654</v>
      </c>
      <c r="E6712" s="1347" t="s">
        <v>10655</v>
      </c>
    </row>
    <row r="6713" spans="1:5" x14ac:dyDescent="0.45">
      <c r="A6713" s="1347" t="s">
        <v>1105</v>
      </c>
      <c r="B6713" s="1347" t="s">
        <v>10656</v>
      </c>
      <c r="D6713" s="1347" t="s">
        <v>10657</v>
      </c>
      <c r="E6713" s="1347" t="s">
        <v>10658</v>
      </c>
    </row>
    <row r="6714" spans="1:5" x14ac:dyDescent="0.45">
      <c r="A6714" s="1347">
        <v>38</v>
      </c>
      <c r="B6714" s="1347" t="s">
        <v>10659</v>
      </c>
      <c r="C6714" s="1347">
        <v>3</v>
      </c>
      <c r="D6714" s="1347" t="s">
        <v>10660</v>
      </c>
      <c r="E6714" s="1347" t="s">
        <v>10661</v>
      </c>
    </row>
    <row r="6715" spans="1:5" x14ac:dyDescent="0.45">
      <c r="B6715" s="1347" t="s">
        <v>10662</v>
      </c>
      <c r="D6715" s="1347" t="s">
        <v>10663</v>
      </c>
      <c r="E6715" s="1347" t="s">
        <v>10664</v>
      </c>
    </row>
    <row r="6716" spans="1:5" x14ac:dyDescent="0.45">
      <c r="B6716" s="1347" t="s">
        <v>10665</v>
      </c>
      <c r="D6716" s="1347" t="s">
        <v>10666</v>
      </c>
      <c r="E6716" s="1347" t="s">
        <v>1773</v>
      </c>
    </row>
    <row r="6717" spans="1:5" x14ac:dyDescent="0.45">
      <c r="B6717" s="1347" t="s">
        <v>1108</v>
      </c>
      <c r="D6717" s="1347" t="s">
        <v>10667</v>
      </c>
      <c r="E6717" s="1347" t="s">
        <v>10668</v>
      </c>
    </row>
    <row r="6718" spans="1:5" x14ac:dyDescent="0.45">
      <c r="A6718" s="1347" t="s">
        <v>1105</v>
      </c>
      <c r="B6718" s="1347" t="s">
        <v>10669</v>
      </c>
      <c r="D6718" s="1347" t="s">
        <v>10670</v>
      </c>
      <c r="E6718" s="1347" t="s">
        <v>8300</v>
      </c>
    </row>
    <row r="6719" spans="1:5" x14ac:dyDescent="0.45">
      <c r="B6719" s="1347" t="s">
        <v>1108</v>
      </c>
      <c r="D6719" s="1347" t="s">
        <v>10671</v>
      </c>
      <c r="E6719" s="1347" t="s">
        <v>10672</v>
      </c>
    </row>
    <row r="6720" spans="1:5" x14ac:dyDescent="0.45">
      <c r="B6720" s="1347" t="s">
        <v>1108</v>
      </c>
      <c r="D6720" s="1347" t="s">
        <v>10673</v>
      </c>
      <c r="E6720" s="1347" t="s">
        <v>10674</v>
      </c>
    </row>
    <row r="6721" spans="1:5" x14ac:dyDescent="0.45">
      <c r="B6721" s="1347" t="s">
        <v>10675</v>
      </c>
      <c r="C6721" s="1347">
        <v>-4</v>
      </c>
      <c r="D6721" s="1347" t="s">
        <v>10676</v>
      </c>
      <c r="E6721" s="1347" t="s">
        <v>10677</v>
      </c>
    </row>
    <row r="6722" spans="1:5" x14ac:dyDescent="0.45">
      <c r="A6722" s="1347">
        <v>1</v>
      </c>
      <c r="B6722" s="1347" t="s">
        <v>10678</v>
      </c>
      <c r="D6722" s="1347" t="s">
        <v>10679</v>
      </c>
      <c r="E6722" s="1347" t="s">
        <v>10680</v>
      </c>
    </row>
    <row r="6723" spans="1:5" x14ac:dyDescent="0.45">
      <c r="A6723" s="1347">
        <v>1</v>
      </c>
      <c r="B6723" s="1347" t="s">
        <v>10681</v>
      </c>
      <c r="D6723" s="1347" t="s">
        <v>10682</v>
      </c>
      <c r="E6723" s="1347" t="s">
        <v>10683</v>
      </c>
    </row>
    <row r="6724" spans="1:5" x14ac:dyDescent="0.45">
      <c r="B6724" s="1347" t="s">
        <v>10684</v>
      </c>
      <c r="D6724" s="1347" t="s">
        <v>10685</v>
      </c>
      <c r="E6724" s="1347" t="s">
        <v>10686</v>
      </c>
    </row>
    <row r="6725" spans="1:5" x14ac:dyDescent="0.45">
      <c r="B6725" s="1347" t="s">
        <v>10687</v>
      </c>
      <c r="D6725" s="1347" t="s">
        <v>10688</v>
      </c>
      <c r="E6725" s="1347" t="s">
        <v>10689</v>
      </c>
    </row>
    <row r="6726" spans="1:5" x14ac:dyDescent="0.45">
      <c r="B6726" s="1347" t="s">
        <v>4863</v>
      </c>
      <c r="C6726" s="1347" t="s">
        <v>1105</v>
      </c>
      <c r="D6726" s="1347" t="s">
        <v>10690</v>
      </c>
      <c r="E6726" s="1347" t="s">
        <v>10691</v>
      </c>
    </row>
    <row r="6727" spans="1:5" x14ac:dyDescent="0.45">
      <c r="B6727" s="1347" t="s">
        <v>1108</v>
      </c>
      <c r="D6727" s="1347" t="s">
        <v>10692</v>
      </c>
      <c r="E6727" s="1347" t="s">
        <v>10693</v>
      </c>
    </row>
    <row r="6728" spans="1:5" x14ac:dyDescent="0.45">
      <c r="A6728" s="1347">
        <v>-40</v>
      </c>
      <c r="B6728" s="1347" t="s">
        <v>10694</v>
      </c>
      <c r="D6728" s="1347" t="s">
        <v>10695</v>
      </c>
      <c r="E6728" s="1347" t="s">
        <v>10696</v>
      </c>
    </row>
    <row r="6729" spans="1:5" x14ac:dyDescent="0.45">
      <c r="B6729" s="1347" t="s">
        <v>10697</v>
      </c>
      <c r="D6729" s="1347" t="s">
        <v>10698</v>
      </c>
      <c r="E6729" s="1347" t="s">
        <v>10699</v>
      </c>
    </row>
    <row r="6730" spans="1:5" x14ac:dyDescent="0.45">
      <c r="B6730" s="1347" t="s">
        <v>10700</v>
      </c>
      <c r="D6730" s="1347" t="s">
        <v>1109</v>
      </c>
      <c r="E6730" s="1347" t="s">
        <v>10701</v>
      </c>
    </row>
    <row r="6731" spans="1:5" x14ac:dyDescent="0.45">
      <c r="B6731" s="1347" t="s">
        <v>10702</v>
      </c>
      <c r="D6731" s="1347" t="s">
        <v>10703</v>
      </c>
      <c r="E6731" s="1347" t="s">
        <v>10704</v>
      </c>
    </row>
    <row r="6732" spans="1:5" x14ac:dyDescent="0.45">
      <c r="A6732" s="1347">
        <v>5</v>
      </c>
      <c r="B6732" s="1347" t="s">
        <v>10705</v>
      </c>
      <c r="C6732" s="1347" t="s">
        <v>1105</v>
      </c>
      <c r="D6732" s="1347" t="s">
        <v>10706</v>
      </c>
      <c r="E6732" s="1347" t="s">
        <v>10707</v>
      </c>
    </row>
    <row r="6733" spans="1:5" x14ac:dyDescent="0.45">
      <c r="A6733" s="1347" t="s">
        <v>1105</v>
      </c>
      <c r="B6733" s="1347" t="s">
        <v>10708</v>
      </c>
      <c r="C6733" s="1347" t="s">
        <v>1105</v>
      </c>
      <c r="D6733" s="1347" t="s">
        <v>10709</v>
      </c>
      <c r="E6733" s="1347" t="s">
        <v>1110</v>
      </c>
    </row>
    <row r="6734" spans="1:5" x14ac:dyDescent="0.45">
      <c r="B6734" s="1347" t="s">
        <v>3159</v>
      </c>
      <c r="D6734" s="1347" t="s">
        <v>10710</v>
      </c>
      <c r="E6734" s="1347" t="s">
        <v>10711</v>
      </c>
    </row>
    <row r="6735" spans="1:5" x14ac:dyDescent="0.45">
      <c r="B6735" s="1347" t="s">
        <v>1108</v>
      </c>
      <c r="D6735" s="1347" t="s">
        <v>10712</v>
      </c>
      <c r="E6735" s="1347" t="s">
        <v>10713</v>
      </c>
    </row>
    <row r="6736" spans="1:5" x14ac:dyDescent="0.45">
      <c r="B6736" s="1347" t="s">
        <v>1108</v>
      </c>
      <c r="D6736" s="1347" t="s">
        <v>10714</v>
      </c>
      <c r="E6736" s="1347" t="s">
        <v>10715</v>
      </c>
    </row>
    <row r="6737" spans="1:5" x14ac:dyDescent="0.45">
      <c r="A6737" s="1347" t="s">
        <v>1105</v>
      </c>
      <c r="B6737" s="1347" t="s">
        <v>4884</v>
      </c>
      <c r="D6737" s="1347" t="s">
        <v>10716</v>
      </c>
      <c r="E6737" s="1347" t="s">
        <v>10717</v>
      </c>
    </row>
    <row r="6738" spans="1:5" x14ac:dyDescent="0.45">
      <c r="B6738" s="1347" t="s">
        <v>10718</v>
      </c>
      <c r="D6738" s="1347">
        <f>-657   -514   -126  -182</f>
        <v>-1479</v>
      </c>
      <c r="E6738" s="1347" t="s">
        <v>10719</v>
      </c>
    </row>
    <row r="6739" spans="1:5" x14ac:dyDescent="0.45">
      <c r="B6739" s="1347" t="s">
        <v>1108</v>
      </c>
      <c r="D6739" s="1347" t="s">
        <v>10720</v>
      </c>
      <c r="E6739" s="1347" t="s">
        <v>10721</v>
      </c>
    </row>
    <row r="6740" spans="1:5" x14ac:dyDescent="0.45">
      <c r="B6740" s="1347" t="s">
        <v>1108</v>
      </c>
      <c r="D6740" s="1347" t="s">
        <v>10722</v>
      </c>
      <c r="E6740" s="1347" t="s">
        <v>1435</v>
      </c>
    </row>
    <row r="6741" spans="1:5" x14ac:dyDescent="0.45">
      <c r="B6741" s="1347" t="s">
        <v>3413</v>
      </c>
      <c r="C6741" s="1347" t="s">
        <v>1105</v>
      </c>
      <c r="D6741" s="1347" t="s">
        <v>10723</v>
      </c>
      <c r="E6741" s="1347" t="s">
        <v>1110</v>
      </c>
    </row>
    <row r="6742" spans="1:5" x14ac:dyDescent="0.45">
      <c r="B6742" s="1347" t="s">
        <v>1108</v>
      </c>
      <c r="D6742" s="1347" t="s">
        <v>1109</v>
      </c>
      <c r="E6742" s="1347" t="s">
        <v>10724</v>
      </c>
    </row>
    <row r="6743" spans="1:5" x14ac:dyDescent="0.45">
      <c r="B6743" s="1347" t="s">
        <v>1108</v>
      </c>
      <c r="D6743" s="1347" t="s">
        <v>10725</v>
      </c>
      <c r="E6743" s="1347" t="s">
        <v>10726</v>
      </c>
    </row>
    <row r="6744" spans="1:5" x14ac:dyDescent="0.45">
      <c r="A6744" s="1347">
        <v>1</v>
      </c>
      <c r="B6744" s="1347" t="s">
        <v>10727</v>
      </c>
      <c r="D6744" s="1347" t="s">
        <v>10728</v>
      </c>
      <c r="E6744" s="1347" t="s">
        <v>10729</v>
      </c>
    </row>
    <row r="6745" spans="1:5" x14ac:dyDescent="0.45">
      <c r="A6745" s="1347">
        <v>1</v>
      </c>
      <c r="B6745" s="1347" t="s">
        <v>10730</v>
      </c>
      <c r="D6745" s="1347" t="s">
        <v>10731</v>
      </c>
      <c r="E6745" s="1347" t="s">
        <v>10732</v>
      </c>
    </row>
    <row r="6746" spans="1:5" x14ac:dyDescent="0.45">
      <c r="A6746" s="1347" t="s">
        <v>1105</v>
      </c>
      <c r="B6746" s="1347" t="s">
        <v>10733</v>
      </c>
      <c r="D6746" s="1347" t="s">
        <v>10734</v>
      </c>
      <c r="E6746" s="1347" t="s">
        <v>10735</v>
      </c>
    </row>
    <row r="6747" spans="1:5" x14ac:dyDescent="0.45">
      <c r="B6747" s="1347" t="s">
        <v>10736</v>
      </c>
      <c r="D6747" s="1347">
        <f>-60   -167   -934   -28</f>
        <v>-1189</v>
      </c>
      <c r="E6747" s="1347" t="s">
        <v>10737</v>
      </c>
    </row>
    <row r="6748" spans="1:5" x14ac:dyDescent="0.45">
      <c r="A6748" s="1347" t="s">
        <v>1105</v>
      </c>
      <c r="B6748" s="1347" t="s">
        <v>10738</v>
      </c>
      <c r="C6748" s="1347" t="s">
        <v>1105</v>
      </c>
      <c r="D6748" s="1347" t="s">
        <v>10739</v>
      </c>
      <c r="E6748" s="1347" t="s">
        <v>10740</v>
      </c>
    </row>
    <row r="6749" spans="1:5" x14ac:dyDescent="0.45">
      <c r="B6749" s="1347" t="s">
        <v>10741</v>
      </c>
      <c r="D6749" s="1347" t="s">
        <v>10742</v>
      </c>
      <c r="E6749" s="1347" t="s">
        <v>10743</v>
      </c>
    </row>
    <row r="6750" spans="1:5" x14ac:dyDescent="0.45">
      <c r="A6750" s="1347">
        <v>17</v>
      </c>
      <c r="B6750" s="1347" t="s">
        <v>10744</v>
      </c>
      <c r="C6750" s="1347">
        <v>2</v>
      </c>
      <c r="D6750" s="1347" t="s">
        <v>10745</v>
      </c>
      <c r="E6750" s="1347" t="s">
        <v>10746</v>
      </c>
    </row>
    <row r="6751" spans="1:5" x14ac:dyDescent="0.45">
      <c r="B6751" s="1347" t="s">
        <v>3223</v>
      </c>
      <c r="D6751" s="1347" t="s">
        <v>10747</v>
      </c>
      <c r="E6751" s="1347" t="s">
        <v>10748</v>
      </c>
    </row>
    <row r="6752" spans="1:5" x14ac:dyDescent="0.45">
      <c r="B6752" s="1347" t="s">
        <v>1108</v>
      </c>
      <c r="D6752" s="1347" t="s">
        <v>2982</v>
      </c>
      <c r="E6752" s="1347" t="s">
        <v>10749</v>
      </c>
    </row>
    <row r="6753" spans="1:5" x14ac:dyDescent="0.45">
      <c r="B6753" s="1347" t="s">
        <v>10750</v>
      </c>
      <c r="D6753" s="1347">
        <f>-5   -279     -5</f>
        <v>-289</v>
      </c>
      <c r="E6753" s="1347" t="s">
        <v>10751</v>
      </c>
    </row>
    <row r="6754" spans="1:5" x14ac:dyDescent="0.45">
      <c r="A6754" s="1347" t="s">
        <v>1105</v>
      </c>
      <c r="B6754" s="1347" t="s">
        <v>10752</v>
      </c>
      <c r="D6754" s="1347" t="s">
        <v>10753</v>
      </c>
      <c r="E6754" s="1347" t="s">
        <v>10754</v>
      </c>
    </row>
    <row r="6755" spans="1:5" x14ac:dyDescent="0.45">
      <c r="B6755" s="1347" t="s">
        <v>1108</v>
      </c>
      <c r="D6755" s="1347" t="s">
        <v>10755</v>
      </c>
      <c r="E6755" s="1347" t="s">
        <v>1402</v>
      </c>
    </row>
    <row r="6756" spans="1:5" x14ac:dyDescent="0.45">
      <c r="B6756" s="1347" t="s">
        <v>10756</v>
      </c>
      <c r="D6756" s="1347" t="s">
        <v>10757</v>
      </c>
      <c r="E6756" s="1347" t="s">
        <v>10758</v>
      </c>
    </row>
    <row r="6757" spans="1:5" x14ac:dyDescent="0.45">
      <c r="A6757" s="1347" t="s">
        <v>1105</v>
      </c>
      <c r="B6757" s="1347" t="s">
        <v>10759</v>
      </c>
      <c r="D6757" s="1347" t="s">
        <v>1109</v>
      </c>
      <c r="E6757" s="1347" t="s">
        <v>10760</v>
      </c>
    </row>
    <row r="6758" spans="1:5" x14ac:dyDescent="0.45">
      <c r="A6758" s="1347" t="s">
        <v>1105</v>
      </c>
      <c r="B6758" s="1347" t="s">
        <v>10761</v>
      </c>
      <c r="D6758" s="1347" t="s">
        <v>10762</v>
      </c>
      <c r="E6758" s="1347" t="s">
        <v>10763</v>
      </c>
    </row>
    <row r="6759" spans="1:5" x14ac:dyDescent="0.45">
      <c r="B6759" s="1347" t="s">
        <v>1108</v>
      </c>
      <c r="D6759" s="1347" t="s">
        <v>10764</v>
      </c>
      <c r="E6759" s="1347" t="s">
        <v>10765</v>
      </c>
    </row>
    <row r="6760" spans="1:5" x14ac:dyDescent="0.45">
      <c r="B6760" s="1347" t="s">
        <v>10766</v>
      </c>
      <c r="C6760" s="1347">
        <v>-4</v>
      </c>
      <c r="D6760" s="1347" t="s">
        <v>10767</v>
      </c>
      <c r="E6760" s="1347" t="s">
        <v>10768</v>
      </c>
    </row>
    <row r="6761" spans="1:5" x14ac:dyDescent="0.45">
      <c r="B6761" s="1347" t="s">
        <v>8674</v>
      </c>
      <c r="D6761" s="1347" t="s">
        <v>10769</v>
      </c>
      <c r="E6761" s="1347" t="s">
        <v>10770</v>
      </c>
    </row>
    <row r="6762" spans="1:5" x14ac:dyDescent="0.45">
      <c r="B6762" s="1347" t="s">
        <v>10771</v>
      </c>
      <c r="D6762" s="1347" t="s">
        <v>10772</v>
      </c>
      <c r="E6762" s="1347" t="s">
        <v>10773</v>
      </c>
    </row>
    <row r="6763" spans="1:5" x14ac:dyDescent="0.45">
      <c r="B6763" s="1347" t="s">
        <v>10774</v>
      </c>
      <c r="D6763" s="1347" t="s">
        <v>10775</v>
      </c>
      <c r="E6763" s="1347" t="s">
        <v>10776</v>
      </c>
    </row>
    <row r="6764" spans="1:5" x14ac:dyDescent="0.45">
      <c r="A6764" s="1347" t="s">
        <v>1105</v>
      </c>
      <c r="B6764" s="1347" t="s">
        <v>10777</v>
      </c>
      <c r="D6764" s="1347" t="s">
        <v>10778</v>
      </c>
      <c r="E6764" s="1347" t="s">
        <v>10779</v>
      </c>
    </row>
    <row r="6765" spans="1:5" x14ac:dyDescent="0.45">
      <c r="A6765" s="1347" t="s">
        <v>1105</v>
      </c>
      <c r="B6765" s="1347" t="s">
        <v>10780</v>
      </c>
      <c r="D6765" s="1347" t="s">
        <v>10781</v>
      </c>
      <c r="E6765" s="1347" t="s">
        <v>10782</v>
      </c>
    </row>
    <row r="6766" spans="1:5" x14ac:dyDescent="0.45">
      <c r="B6766" s="1347" t="s">
        <v>1108</v>
      </c>
      <c r="D6766" s="1347" t="s">
        <v>10783</v>
      </c>
      <c r="E6766" s="1347" t="s">
        <v>10784</v>
      </c>
    </row>
    <row r="6767" spans="1:5" x14ac:dyDescent="0.45">
      <c r="A6767" s="1347">
        <v>-54</v>
      </c>
      <c r="B6767" s="1347" t="s">
        <v>10785</v>
      </c>
      <c r="D6767" s="1347" t="s">
        <v>10786</v>
      </c>
      <c r="E6767" s="1347" t="s">
        <v>10787</v>
      </c>
    </row>
    <row r="6768" spans="1:5" x14ac:dyDescent="0.45">
      <c r="B6768" s="1347" t="s">
        <v>10788</v>
      </c>
      <c r="D6768" s="1347" t="s">
        <v>10789</v>
      </c>
      <c r="E6768" s="1347" t="s">
        <v>10790</v>
      </c>
    </row>
    <row r="6769" spans="1:5" x14ac:dyDescent="0.45">
      <c r="B6769" s="1347" t="s">
        <v>1108</v>
      </c>
      <c r="D6769" s="1347" t="s">
        <v>1109</v>
      </c>
      <c r="E6769" s="1347" t="s">
        <v>10791</v>
      </c>
    </row>
    <row r="6770" spans="1:5" x14ac:dyDescent="0.45">
      <c r="A6770" s="1347">
        <v>-3</v>
      </c>
      <c r="B6770" s="1347" t="s">
        <v>10792</v>
      </c>
      <c r="D6770" s="1347" t="s">
        <v>10793</v>
      </c>
      <c r="E6770" s="1347" t="s">
        <v>1110</v>
      </c>
    </row>
    <row r="6771" spans="1:5" x14ac:dyDescent="0.45">
      <c r="A6771" s="1347">
        <v>-3</v>
      </c>
      <c r="B6771" s="1347" t="s">
        <v>10794</v>
      </c>
      <c r="D6771" s="1347" t="s">
        <v>10795</v>
      </c>
      <c r="E6771" s="1347" t="s">
        <v>1402</v>
      </c>
    </row>
    <row r="6772" spans="1:5" x14ac:dyDescent="0.45">
      <c r="A6772" s="1347">
        <v>-2</v>
      </c>
      <c r="B6772" s="1347" t="s">
        <v>10245</v>
      </c>
      <c r="C6772" s="1347" t="s">
        <v>1105</v>
      </c>
      <c r="D6772" s="1347" t="s">
        <v>10796</v>
      </c>
      <c r="E6772" s="1347" t="s">
        <v>10797</v>
      </c>
    </row>
    <row r="6773" spans="1:5" x14ac:dyDescent="0.45">
      <c r="B6773" s="1347" t="s">
        <v>10798</v>
      </c>
      <c r="D6773" s="1347" t="s">
        <v>10799</v>
      </c>
      <c r="E6773" s="1347" t="s">
        <v>10800</v>
      </c>
    </row>
    <row r="6774" spans="1:5" x14ac:dyDescent="0.45">
      <c r="B6774" s="1347" t="s">
        <v>10801</v>
      </c>
      <c r="D6774" s="1347" t="s">
        <v>10802</v>
      </c>
      <c r="E6774" s="1347" t="s">
        <v>1110</v>
      </c>
    </row>
    <row r="6775" spans="1:5" x14ac:dyDescent="0.45">
      <c r="B6775" s="1347" t="s">
        <v>10803</v>
      </c>
      <c r="D6775" s="1347" t="s">
        <v>10804</v>
      </c>
      <c r="E6775" s="1347" t="s">
        <v>10805</v>
      </c>
    </row>
    <row r="6776" spans="1:5" x14ac:dyDescent="0.45">
      <c r="B6776" s="1347" t="s">
        <v>10806</v>
      </c>
      <c r="D6776" s="1347" t="s">
        <v>1109</v>
      </c>
      <c r="E6776" s="1347" t="s">
        <v>10807</v>
      </c>
    </row>
    <row r="6777" spans="1:5" x14ac:dyDescent="0.45">
      <c r="B6777" s="1347" t="s">
        <v>1108</v>
      </c>
      <c r="D6777" s="1347" t="s">
        <v>1109</v>
      </c>
      <c r="E6777" s="1347" t="s">
        <v>1110</v>
      </c>
    </row>
    <row r="6778" spans="1:5" x14ac:dyDescent="0.45">
      <c r="B6778" s="1347" t="s">
        <v>1108</v>
      </c>
      <c r="D6778" s="1347" t="s">
        <v>3913</v>
      </c>
      <c r="E6778" s="1347" t="s">
        <v>1156</v>
      </c>
    </row>
    <row r="6779" spans="1:5" x14ac:dyDescent="0.45">
      <c r="B6779" s="1347" t="s">
        <v>10808</v>
      </c>
      <c r="D6779" s="1347" t="s">
        <v>10809</v>
      </c>
      <c r="E6779" s="1347" t="s">
        <v>10810</v>
      </c>
    </row>
    <row r="6780" spans="1:5" x14ac:dyDescent="0.45">
      <c r="B6780" s="1347" t="s">
        <v>10811</v>
      </c>
      <c r="D6780" s="1347" t="s">
        <v>10812</v>
      </c>
      <c r="E6780" s="1347" t="s">
        <v>10813</v>
      </c>
    </row>
    <row r="6781" spans="1:5" x14ac:dyDescent="0.45">
      <c r="A6781" s="1347" t="s">
        <v>1105</v>
      </c>
      <c r="B6781" s="1347" t="s">
        <v>10814</v>
      </c>
      <c r="C6781" s="1347" t="s">
        <v>1105</v>
      </c>
      <c r="D6781" s="1347" t="s">
        <v>10815</v>
      </c>
      <c r="E6781" s="1347" t="s">
        <v>10816</v>
      </c>
    </row>
    <row r="6782" spans="1:5" x14ac:dyDescent="0.45">
      <c r="A6782" s="1347">
        <v>-1</v>
      </c>
      <c r="B6782" s="1347" t="s">
        <v>10817</v>
      </c>
      <c r="D6782" s="1347" t="s">
        <v>10818</v>
      </c>
      <c r="E6782" s="1347" t="s">
        <v>10819</v>
      </c>
    </row>
    <row r="6783" spans="1:5" x14ac:dyDescent="0.45">
      <c r="B6783" s="1347" t="s">
        <v>10820</v>
      </c>
      <c r="D6783" s="1347" t="s">
        <v>10821</v>
      </c>
      <c r="E6783" s="1347" t="s">
        <v>10822</v>
      </c>
    </row>
    <row r="6784" spans="1:5" x14ac:dyDescent="0.45">
      <c r="B6784" s="1347" t="s">
        <v>10823</v>
      </c>
      <c r="D6784" s="1347" t="s">
        <v>10824</v>
      </c>
      <c r="E6784" s="1347" t="s">
        <v>10825</v>
      </c>
    </row>
    <row r="6785" spans="1:5" x14ac:dyDescent="0.45">
      <c r="A6785" s="1347">
        <v>40</v>
      </c>
      <c r="B6785" s="1347" t="s">
        <v>10826</v>
      </c>
      <c r="C6785" s="1347">
        <v>3</v>
      </c>
      <c r="D6785" s="1347" t="s">
        <v>10827</v>
      </c>
      <c r="E6785" s="1347" t="s">
        <v>10828</v>
      </c>
    </row>
    <row r="6786" spans="1:5" x14ac:dyDescent="0.45">
      <c r="A6786" s="1347">
        <v>58</v>
      </c>
      <c r="B6786" s="1347" t="s">
        <v>10829</v>
      </c>
      <c r="C6786" s="1347">
        <v>5</v>
      </c>
      <c r="D6786" s="1347" t="s">
        <v>10830</v>
      </c>
      <c r="E6786" s="1347" t="s">
        <v>10831</v>
      </c>
    </row>
    <row r="6787" spans="1:5" x14ac:dyDescent="0.45">
      <c r="B6787" s="1347" t="s">
        <v>10832</v>
      </c>
      <c r="D6787" s="1347" t="s">
        <v>10833</v>
      </c>
      <c r="E6787" s="1347" t="s">
        <v>1156</v>
      </c>
    </row>
    <row r="6788" spans="1:5" x14ac:dyDescent="0.45">
      <c r="B6788" s="1347" t="s">
        <v>1108</v>
      </c>
      <c r="D6788" s="1347" t="s">
        <v>10834</v>
      </c>
      <c r="E6788" s="1347" t="s">
        <v>10835</v>
      </c>
    </row>
    <row r="6789" spans="1:5" x14ac:dyDescent="0.45">
      <c r="A6789" s="1347" t="s">
        <v>1105</v>
      </c>
      <c r="B6789" s="1347" t="s">
        <v>10836</v>
      </c>
      <c r="D6789" s="1347" t="s">
        <v>10837</v>
      </c>
      <c r="E6789" s="1347" t="s">
        <v>10838</v>
      </c>
    </row>
    <row r="6790" spans="1:5" x14ac:dyDescent="0.45">
      <c r="B6790" s="1347" t="s">
        <v>10839</v>
      </c>
      <c r="D6790" s="1347" t="s">
        <v>1109</v>
      </c>
      <c r="E6790" s="1347" t="s">
        <v>10840</v>
      </c>
    </row>
    <row r="6791" spans="1:5" x14ac:dyDescent="0.45">
      <c r="B6791" s="1347" t="s">
        <v>10841</v>
      </c>
      <c r="D6791" s="1347" t="s">
        <v>10842</v>
      </c>
      <c r="E6791" s="1347" t="s">
        <v>10843</v>
      </c>
    </row>
    <row r="6792" spans="1:5" x14ac:dyDescent="0.45">
      <c r="B6792" s="1347" t="s">
        <v>10844</v>
      </c>
      <c r="D6792" s="1347" t="s">
        <v>10845</v>
      </c>
      <c r="E6792" s="1347" t="s">
        <v>10846</v>
      </c>
    </row>
    <row r="6793" spans="1:5" x14ac:dyDescent="0.45">
      <c r="B6793" s="1347" t="s">
        <v>1108</v>
      </c>
      <c r="D6793" s="1347" t="s">
        <v>10847</v>
      </c>
      <c r="E6793" s="1347" t="s">
        <v>10848</v>
      </c>
    </row>
    <row r="6794" spans="1:5" x14ac:dyDescent="0.45">
      <c r="B6794" s="1347">
        <f>-23   -405</f>
        <v>-428</v>
      </c>
      <c r="D6794" s="1347">
        <f>-54   -287    -92    -8</f>
        <v>-441</v>
      </c>
      <c r="E6794" s="1347" t="s">
        <v>10849</v>
      </c>
    </row>
    <row r="6795" spans="1:5" x14ac:dyDescent="0.45">
      <c r="B6795" s="1347" t="s">
        <v>1108</v>
      </c>
      <c r="D6795" s="1347" t="s">
        <v>10850</v>
      </c>
      <c r="E6795" s="1347" t="s">
        <v>10851</v>
      </c>
    </row>
    <row r="6796" spans="1:5" x14ac:dyDescent="0.45">
      <c r="A6796" s="1347">
        <v>1</v>
      </c>
      <c r="B6796" s="1347" t="s">
        <v>10852</v>
      </c>
      <c r="D6796" s="1347" t="s">
        <v>10853</v>
      </c>
      <c r="E6796" s="1347" t="s">
        <v>10854</v>
      </c>
    </row>
    <row r="6797" spans="1:5" x14ac:dyDescent="0.45">
      <c r="A6797" s="1347" t="s">
        <v>1105</v>
      </c>
      <c r="B6797" s="1347" t="s">
        <v>2510</v>
      </c>
      <c r="D6797" s="1347" t="s">
        <v>10855</v>
      </c>
      <c r="E6797" s="1347" t="s">
        <v>10856</v>
      </c>
    </row>
    <row r="6798" spans="1:5" x14ac:dyDescent="0.45">
      <c r="B6798" s="1347" t="s">
        <v>10857</v>
      </c>
      <c r="D6798" s="1347" t="s">
        <v>1109</v>
      </c>
      <c r="E6798" s="1347" t="s">
        <v>10858</v>
      </c>
    </row>
    <row r="6799" spans="1:5" x14ac:dyDescent="0.45">
      <c r="B6799" s="1347" t="s">
        <v>10859</v>
      </c>
      <c r="D6799" s="1347" t="s">
        <v>10860</v>
      </c>
      <c r="E6799" s="1347" t="s">
        <v>10861</v>
      </c>
    </row>
    <row r="6800" spans="1:5" x14ac:dyDescent="0.45">
      <c r="B6800" s="1347" t="s">
        <v>6494</v>
      </c>
      <c r="D6800" s="1347" t="s">
        <v>10862</v>
      </c>
      <c r="E6800" s="1347" t="s">
        <v>10863</v>
      </c>
    </row>
    <row r="6801" spans="1:5" x14ac:dyDescent="0.45">
      <c r="B6801" s="1347" t="s">
        <v>10864</v>
      </c>
      <c r="D6801" s="1347" t="s">
        <v>10865</v>
      </c>
      <c r="E6801" s="1347" t="s">
        <v>1110</v>
      </c>
    </row>
    <row r="6802" spans="1:5" x14ac:dyDescent="0.45">
      <c r="A6802" s="1347" t="s">
        <v>1105</v>
      </c>
      <c r="B6802" s="1347" t="s">
        <v>10866</v>
      </c>
      <c r="D6802" s="1347">
        <f>-276   -190    -90</f>
        <v>-556</v>
      </c>
      <c r="E6802" s="1347" t="s">
        <v>10867</v>
      </c>
    </row>
    <row r="6803" spans="1:5" x14ac:dyDescent="0.45">
      <c r="B6803" s="1347" t="s">
        <v>1108</v>
      </c>
      <c r="D6803" s="1347" t="s">
        <v>10868</v>
      </c>
      <c r="E6803" s="1347" t="s">
        <v>10869</v>
      </c>
    </row>
    <row r="6804" spans="1:5" x14ac:dyDescent="0.45">
      <c r="B6804" s="1347" t="s">
        <v>3726</v>
      </c>
      <c r="D6804" s="1347" t="s">
        <v>10870</v>
      </c>
      <c r="E6804" s="1347" t="s">
        <v>1156</v>
      </c>
    </row>
    <row r="6805" spans="1:5" x14ac:dyDescent="0.45">
      <c r="B6805" s="1347" t="s">
        <v>1108</v>
      </c>
      <c r="D6805" s="1347" t="s">
        <v>10871</v>
      </c>
      <c r="E6805" s="1347" t="s">
        <v>10872</v>
      </c>
    </row>
    <row r="6806" spans="1:5" x14ac:dyDescent="0.45">
      <c r="A6806" s="1347">
        <v>1</v>
      </c>
      <c r="B6806" s="1347" t="s">
        <v>10873</v>
      </c>
      <c r="D6806" s="1347" t="s">
        <v>1109</v>
      </c>
      <c r="E6806" s="1347" t="s">
        <v>10874</v>
      </c>
    </row>
    <row r="6807" spans="1:5" x14ac:dyDescent="0.45">
      <c r="A6807" s="1347" t="s">
        <v>1105</v>
      </c>
      <c r="B6807" s="1347" t="s">
        <v>10875</v>
      </c>
      <c r="D6807" s="1347" t="s">
        <v>10876</v>
      </c>
      <c r="E6807" s="1347" t="s">
        <v>10877</v>
      </c>
    </row>
    <row r="6808" spans="1:5" x14ac:dyDescent="0.45">
      <c r="B6808" s="1347" t="s">
        <v>1108</v>
      </c>
      <c r="D6808" s="1347" t="s">
        <v>10878</v>
      </c>
      <c r="E6808" s="1347" t="s">
        <v>10879</v>
      </c>
    </row>
    <row r="6809" spans="1:5" x14ac:dyDescent="0.45">
      <c r="A6809" s="1347" t="s">
        <v>1105</v>
      </c>
      <c r="B6809" s="1347" t="s">
        <v>10880</v>
      </c>
      <c r="D6809" s="1347" t="s">
        <v>10881</v>
      </c>
      <c r="E6809" s="1347" t="s">
        <v>10882</v>
      </c>
    </row>
    <row r="6810" spans="1:5" x14ac:dyDescent="0.45">
      <c r="B6810" s="1347" t="s">
        <v>1108</v>
      </c>
      <c r="D6810" s="1347" t="s">
        <v>1109</v>
      </c>
      <c r="E6810" s="1347" t="s">
        <v>10883</v>
      </c>
    </row>
    <row r="6811" spans="1:5" x14ac:dyDescent="0.45">
      <c r="B6811" s="1358">
        <v>30316</v>
      </c>
      <c r="D6811" s="1347" t="s">
        <v>10884</v>
      </c>
      <c r="E6811" s="1347" t="s">
        <v>10885</v>
      </c>
    </row>
    <row r="6812" spans="1:5" x14ac:dyDescent="0.45">
      <c r="B6812" s="1347" t="s">
        <v>1108</v>
      </c>
      <c r="D6812" s="1347" t="s">
        <v>10886</v>
      </c>
      <c r="E6812" s="1347" t="s">
        <v>10887</v>
      </c>
    </row>
    <row r="6813" spans="1:5" x14ac:dyDescent="0.45">
      <c r="B6813" s="1347" t="s">
        <v>1108</v>
      </c>
      <c r="D6813" s="1347" t="s">
        <v>1109</v>
      </c>
      <c r="E6813" s="1347" t="s">
        <v>1110</v>
      </c>
    </row>
    <row r="6814" spans="1:5" x14ac:dyDescent="0.45">
      <c r="B6814" s="1347" t="s">
        <v>1108</v>
      </c>
      <c r="C6814" s="1347" t="s">
        <v>1105</v>
      </c>
      <c r="D6814" s="1347" t="s">
        <v>10888</v>
      </c>
      <c r="E6814" s="1347" t="s">
        <v>10889</v>
      </c>
    </row>
    <row r="6815" spans="1:5" x14ac:dyDescent="0.45">
      <c r="B6815" s="1347" t="s">
        <v>10890</v>
      </c>
      <c r="D6815" s="1347" t="s">
        <v>10891</v>
      </c>
      <c r="E6815" s="1347" t="s">
        <v>10892</v>
      </c>
    </row>
    <row r="6816" spans="1:5" x14ac:dyDescent="0.45">
      <c r="A6816" s="1347">
        <v>2</v>
      </c>
      <c r="B6816" s="1347" t="s">
        <v>10893</v>
      </c>
      <c r="D6816" s="1347" t="s">
        <v>10894</v>
      </c>
      <c r="E6816" s="1347" t="s">
        <v>10895</v>
      </c>
    </row>
    <row r="6817" spans="1:5" x14ac:dyDescent="0.45">
      <c r="B6817" s="1347" t="s">
        <v>10896</v>
      </c>
      <c r="D6817" s="1347" t="s">
        <v>10897</v>
      </c>
      <c r="E6817" s="1347" t="s">
        <v>10898</v>
      </c>
    </row>
    <row r="6818" spans="1:5" x14ac:dyDescent="0.45">
      <c r="B6818" s="1347" t="s">
        <v>10899</v>
      </c>
      <c r="D6818" s="1347" t="s">
        <v>10900</v>
      </c>
      <c r="E6818" s="1347" t="s">
        <v>10901</v>
      </c>
    </row>
    <row r="6819" spans="1:5" x14ac:dyDescent="0.45">
      <c r="B6819" s="1347" t="s">
        <v>10902</v>
      </c>
      <c r="D6819" s="1347">
        <f>-342   -332    -26  -181</f>
        <v>-881</v>
      </c>
      <c r="E6819" s="1347" t="s">
        <v>10903</v>
      </c>
    </row>
    <row r="6820" spans="1:5" x14ac:dyDescent="0.45">
      <c r="B6820" s="1347" t="s">
        <v>10904</v>
      </c>
      <c r="D6820" s="1347" t="s">
        <v>10905</v>
      </c>
      <c r="E6820" s="1347" t="s">
        <v>10906</v>
      </c>
    </row>
    <row r="6821" spans="1:5" x14ac:dyDescent="0.45">
      <c r="A6821" s="1347">
        <v>34</v>
      </c>
      <c r="B6821" s="1347" t="s">
        <v>10907</v>
      </c>
      <c r="C6821" s="1347">
        <v>1</v>
      </c>
      <c r="D6821" s="1347" t="s">
        <v>10908</v>
      </c>
      <c r="E6821" s="1347" t="s">
        <v>10909</v>
      </c>
    </row>
    <row r="6822" spans="1:5" x14ac:dyDescent="0.45">
      <c r="A6822" s="1347">
        <v>60</v>
      </c>
      <c r="B6822" s="1347" t="s">
        <v>10910</v>
      </c>
      <c r="C6822" s="1347">
        <v>-3</v>
      </c>
      <c r="D6822" s="1347" t="s">
        <v>10911</v>
      </c>
      <c r="E6822" s="1347" t="s">
        <v>10912</v>
      </c>
    </row>
    <row r="6823" spans="1:5" x14ac:dyDescent="0.45">
      <c r="B6823" s="1347" t="s">
        <v>1108</v>
      </c>
      <c r="D6823" s="1347" t="s">
        <v>10913</v>
      </c>
      <c r="E6823" s="1347" t="s">
        <v>1110</v>
      </c>
    </row>
    <row r="6824" spans="1:5" x14ac:dyDescent="0.45">
      <c r="A6824" s="1347" t="s">
        <v>1105</v>
      </c>
      <c r="B6824" s="1347" t="s">
        <v>10914</v>
      </c>
      <c r="D6824" s="1347" t="s">
        <v>10915</v>
      </c>
      <c r="E6824" s="1347" t="s">
        <v>10916</v>
      </c>
    </row>
    <row r="6825" spans="1:5" x14ac:dyDescent="0.45">
      <c r="B6825" s="1347" t="s">
        <v>10917</v>
      </c>
      <c r="C6825" s="1347">
        <v>-2</v>
      </c>
      <c r="D6825" s="1347" t="s">
        <v>10918</v>
      </c>
      <c r="E6825" s="1347" t="s">
        <v>10919</v>
      </c>
    </row>
    <row r="6826" spans="1:5" x14ac:dyDescent="0.45">
      <c r="B6826" s="1347" t="s">
        <v>1108</v>
      </c>
      <c r="D6826" s="1347" t="s">
        <v>10528</v>
      </c>
      <c r="E6826" s="1347" t="s">
        <v>3849</v>
      </c>
    </row>
    <row r="6827" spans="1:5" x14ac:dyDescent="0.45">
      <c r="B6827" s="1347" t="s">
        <v>10920</v>
      </c>
      <c r="D6827" s="1347" t="s">
        <v>1109</v>
      </c>
      <c r="E6827" s="1347" t="s">
        <v>10921</v>
      </c>
    </row>
    <row r="6828" spans="1:5" x14ac:dyDescent="0.45">
      <c r="B6828" s="1347" t="s">
        <v>1108</v>
      </c>
      <c r="D6828" s="1347" t="s">
        <v>10922</v>
      </c>
      <c r="E6828" s="1347" t="s">
        <v>1110</v>
      </c>
    </row>
    <row r="6829" spans="1:5" x14ac:dyDescent="0.45">
      <c r="A6829" s="1347" t="s">
        <v>1105</v>
      </c>
      <c r="B6829" s="1347" t="s">
        <v>10923</v>
      </c>
      <c r="D6829" s="1347" t="s">
        <v>10924</v>
      </c>
      <c r="E6829" s="1347" t="s">
        <v>10925</v>
      </c>
    </row>
    <row r="6830" spans="1:5" x14ac:dyDescent="0.45">
      <c r="B6830" s="1347" t="s">
        <v>10926</v>
      </c>
      <c r="D6830" s="1347" t="s">
        <v>10927</v>
      </c>
      <c r="E6830" s="1347" t="s">
        <v>1110</v>
      </c>
    </row>
    <row r="6831" spans="1:5" x14ac:dyDescent="0.45">
      <c r="B6831" s="1347" t="s">
        <v>10928</v>
      </c>
      <c r="D6831" s="1347" t="s">
        <v>10929</v>
      </c>
      <c r="E6831" s="1347" t="s">
        <v>10930</v>
      </c>
    </row>
    <row r="6832" spans="1:5" x14ac:dyDescent="0.45">
      <c r="A6832" s="1347" t="s">
        <v>1105</v>
      </c>
      <c r="B6832" s="1347" t="s">
        <v>5994</v>
      </c>
      <c r="C6832" s="1347" t="s">
        <v>1105</v>
      </c>
      <c r="D6832" s="1347" t="s">
        <v>10931</v>
      </c>
      <c r="E6832" s="1347" t="s">
        <v>10932</v>
      </c>
    </row>
    <row r="6833" spans="1:5" x14ac:dyDescent="0.45">
      <c r="B6833" s="1347" t="s">
        <v>1108</v>
      </c>
      <c r="D6833" s="1347" t="s">
        <v>10933</v>
      </c>
      <c r="E6833" s="1347" t="s">
        <v>10934</v>
      </c>
    </row>
    <row r="6834" spans="1:5" x14ac:dyDescent="0.45">
      <c r="B6834" s="1347" t="s">
        <v>1108</v>
      </c>
      <c r="D6834" s="1347" t="s">
        <v>10935</v>
      </c>
      <c r="E6834" s="1347" t="s">
        <v>10936</v>
      </c>
    </row>
    <row r="6835" spans="1:5" x14ac:dyDescent="0.45">
      <c r="A6835" s="1347" t="s">
        <v>1105</v>
      </c>
      <c r="B6835" s="1347" t="s">
        <v>10937</v>
      </c>
      <c r="D6835" s="1347" t="s">
        <v>10938</v>
      </c>
      <c r="E6835" s="1347" t="s">
        <v>10939</v>
      </c>
    </row>
    <row r="6836" spans="1:5" x14ac:dyDescent="0.45">
      <c r="B6836" s="1347" t="s">
        <v>1108</v>
      </c>
      <c r="D6836" s="1347" t="s">
        <v>10940</v>
      </c>
      <c r="E6836" s="1347" t="s">
        <v>10941</v>
      </c>
    </row>
    <row r="6837" spans="1:5" x14ac:dyDescent="0.45">
      <c r="B6837" s="1347" t="s">
        <v>10942</v>
      </c>
      <c r="D6837" s="1347" t="s">
        <v>10943</v>
      </c>
      <c r="E6837" s="1347" t="s">
        <v>10944</v>
      </c>
    </row>
    <row r="6838" spans="1:5" x14ac:dyDescent="0.45">
      <c r="B6838" s="1347" t="s">
        <v>10945</v>
      </c>
      <c r="D6838" s="1347" t="s">
        <v>10946</v>
      </c>
      <c r="E6838" s="1347" t="s">
        <v>10947</v>
      </c>
    </row>
    <row r="6839" spans="1:5" x14ac:dyDescent="0.45">
      <c r="A6839" s="1347">
        <v>2</v>
      </c>
      <c r="B6839" s="1347" t="s">
        <v>10948</v>
      </c>
      <c r="D6839" s="1347" t="s">
        <v>10949</v>
      </c>
      <c r="E6839" s="1347" t="s">
        <v>10950</v>
      </c>
    </row>
    <row r="6840" spans="1:5" x14ac:dyDescent="0.45">
      <c r="B6840" s="1347" t="s">
        <v>10951</v>
      </c>
      <c r="D6840" s="1347" t="s">
        <v>10952</v>
      </c>
      <c r="E6840" s="1347" t="s">
        <v>1110</v>
      </c>
    </row>
    <row r="6841" spans="1:5" x14ac:dyDescent="0.45">
      <c r="B6841" s="1347" t="s">
        <v>1108</v>
      </c>
      <c r="D6841" s="1347" t="s">
        <v>10953</v>
      </c>
      <c r="E6841" s="1347" t="s">
        <v>10954</v>
      </c>
    </row>
    <row r="6842" spans="1:5" x14ac:dyDescent="0.45">
      <c r="B6842" s="1347" t="s">
        <v>1108</v>
      </c>
      <c r="D6842" s="1347" t="s">
        <v>10955</v>
      </c>
      <c r="E6842" s="1347" t="s">
        <v>10956</v>
      </c>
    </row>
    <row r="6843" spans="1:5" x14ac:dyDescent="0.45">
      <c r="A6843" s="1347">
        <v>-1</v>
      </c>
      <c r="B6843" s="1347" t="s">
        <v>10112</v>
      </c>
      <c r="D6843" s="1347" t="s">
        <v>10957</v>
      </c>
      <c r="E6843" s="1347" t="s">
        <v>10958</v>
      </c>
    </row>
    <row r="6844" spans="1:5" x14ac:dyDescent="0.45">
      <c r="A6844" s="1347">
        <v>-1</v>
      </c>
      <c r="B6844" s="1347" t="s">
        <v>10959</v>
      </c>
      <c r="D6844" s="1347" t="s">
        <v>1109</v>
      </c>
      <c r="E6844" s="1347" t="s">
        <v>10960</v>
      </c>
    </row>
    <row r="6845" spans="1:5" x14ac:dyDescent="0.45">
      <c r="B6845" s="1347" t="s">
        <v>10961</v>
      </c>
      <c r="D6845" s="1347" t="s">
        <v>10962</v>
      </c>
      <c r="E6845" s="1347" t="s">
        <v>10963</v>
      </c>
    </row>
    <row r="6846" spans="1:5" x14ac:dyDescent="0.45">
      <c r="B6846" s="1347" t="s">
        <v>1108</v>
      </c>
      <c r="D6846" s="1347" t="s">
        <v>1848</v>
      </c>
      <c r="E6846" s="1347" t="s">
        <v>10964</v>
      </c>
    </row>
    <row r="6847" spans="1:5" x14ac:dyDescent="0.45">
      <c r="B6847" s="1347" t="s">
        <v>10965</v>
      </c>
      <c r="D6847" s="1347" t="s">
        <v>10966</v>
      </c>
      <c r="E6847" s="1347" t="s">
        <v>10967</v>
      </c>
    </row>
    <row r="6848" spans="1:5" x14ac:dyDescent="0.45">
      <c r="B6848" s="1347" t="s">
        <v>10968</v>
      </c>
      <c r="D6848" s="1347" t="s">
        <v>10969</v>
      </c>
      <c r="E6848" s="1347" t="s">
        <v>1110</v>
      </c>
    </row>
    <row r="6849" spans="1:5" x14ac:dyDescent="0.45">
      <c r="B6849" s="1347" t="s">
        <v>1108</v>
      </c>
      <c r="D6849" s="1347" t="s">
        <v>1109</v>
      </c>
      <c r="E6849" s="1347" t="s">
        <v>1110</v>
      </c>
    </row>
    <row r="6850" spans="1:5" x14ac:dyDescent="0.45">
      <c r="A6850" s="1347" t="s">
        <v>1105</v>
      </c>
      <c r="B6850" s="1347" t="s">
        <v>10970</v>
      </c>
      <c r="D6850" s="1347" t="s">
        <v>1109</v>
      </c>
      <c r="E6850" s="1347" t="s">
        <v>10971</v>
      </c>
    </row>
    <row r="6851" spans="1:5" x14ac:dyDescent="0.45">
      <c r="A6851" s="1347">
        <v>1</v>
      </c>
      <c r="B6851" s="1347" t="s">
        <v>10972</v>
      </c>
      <c r="C6851" s="1347" t="s">
        <v>1105</v>
      </c>
      <c r="D6851" s="1347" t="s">
        <v>10973</v>
      </c>
      <c r="E6851" s="1347" t="s">
        <v>10974</v>
      </c>
    </row>
    <row r="6852" spans="1:5" x14ac:dyDescent="0.45">
      <c r="B6852" s="1347" t="s">
        <v>10975</v>
      </c>
      <c r="D6852" s="1347" t="s">
        <v>10976</v>
      </c>
      <c r="E6852" s="1347" t="s">
        <v>10977</v>
      </c>
    </row>
    <row r="6853" spans="1:5" x14ac:dyDescent="0.45">
      <c r="A6853" s="1347" t="s">
        <v>1105</v>
      </c>
      <c r="B6853" s="1347" t="s">
        <v>10978</v>
      </c>
      <c r="D6853" s="1347" t="s">
        <v>10979</v>
      </c>
      <c r="E6853" s="1347" t="s">
        <v>10980</v>
      </c>
    </row>
    <row r="6854" spans="1:5" x14ac:dyDescent="0.45">
      <c r="A6854" s="1347" t="s">
        <v>1105</v>
      </c>
      <c r="B6854" s="1347" t="s">
        <v>10981</v>
      </c>
      <c r="D6854" s="1347" t="s">
        <v>10982</v>
      </c>
      <c r="E6854" s="1347" t="s">
        <v>10983</v>
      </c>
    </row>
    <row r="6855" spans="1:5" x14ac:dyDescent="0.45">
      <c r="B6855" s="1347" t="s">
        <v>10984</v>
      </c>
      <c r="D6855" s="1347" t="s">
        <v>10985</v>
      </c>
      <c r="E6855" s="1347" t="s">
        <v>10986</v>
      </c>
    </row>
    <row r="6856" spans="1:5" x14ac:dyDescent="0.45">
      <c r="B6856" s="1347" t="s">
        <v>10987</v>
      </c>
      <c r="D6856" s="1347" t="s">
        <v>10988</v>
      </c>
      <c r="E6856" s="1347" t="s">
        <v>10989</v>
      </c>
    </row>
    <row r="6857" spans="1:5" x14ac:dyDescent="0.45">
      <c r="A6857" s="1347">
        <v>21</v>
      </c>
      <c r="B6857" s="1347" t="s">
        <v>10990</v>
      </c>
      <c r="C6857" s="1347">
        <v>2</v>
      </c>
      <c r="D6857" s="1347" t="s">
        <v>10991</v>
      </c>
      <c r="E6857" s="1347" t="s">
        <v>10992</v>
      </c>
    </row>
    <row r="6858" spans="1:5" x14ac:dyDescent="0.45">
      <c r="B6858" s="1347" t="s">
        <v>10993</v>
      </c>
      <c r="D6858" s="1347" t="s">
        <v>10994</v>
      </c>
      <c r="E6858" s="1347" t="s">
        <v>10995</v>
      </c>
    </row>
    <row r="6859" spans="1:5" x14ac:dyDescent="0.45">
      <c r="B6859" s="1347" t="s">
        <v>3383</v>
      </c>
      <c r="D6859" s="1347" t="s">
        <v>1584</v>
      </c>
      <c r="E6859" s="1347" t="s">
        <v>10996</v>
      </c>
    </row>
    <row r="6860" spans="1:5" x14ac:dyDescent="0.45">
      <c r="B6860" s="1347" t="s">
        <v>1108</v>
      </c>
      <c r="D6860" s="1347" t="s">
        <v>10997</v>
      </c>
      <c r="E6860" s="1347" t="s">
        <v>10998</v>
      </c>
    </row>
    <row r="6861" spans="1:5" x14ac:dyDescent="0.45">
      <c r="B6861" s="1347" t="s">
        <v>10999</v>
      </c>
      <c r="D6861" s="1347">
        <f>-93   -133    -94   -34</f>
        <v>-354</v>
      </c>
      <c r="E6861" s="1347" t="s">
        <v>11000</v>
      </c>
    </row>
    <row r="6862" spans="1:5" x14ac:dyDescent="0.45">
      <c r="B6862" s="1347" t="s">
        <v>1108</v>
      </c>
      <c r="D6862" s="1347" t="s">
        <v>11001</v>
      </c>
      <c r="E6862" s="1347" t="s">
        <v>11002</v>
      </c>
    </row>
    <row r="6863" spans="1:5" x14ac:dyDescent="0.45">
      <c r="B6863" s="1347" t="s">
        <v>1108</v>
      </c>
      <c r="D6863" s="1347" t="s">
        <v>3954</v>
      </c>
      <c r="E6863" s="1347" t="s">
        <v>11003</v>
      </c>
    </row>
    <row r="6864" spans="1:5" x14ac:dyDescent="0.45">
      <c r="B6864" s="1347" t="s">
        <v>11004</v>
      </c>
      <c r="C6864" s="1347">
        <v>-4</v>
      </c>
      <c r="D6864" s="1347" t="s">
        <v>11005</v>
      </c>
      <c r="E6864" s="1347" t="s">
        <v>11006</v>
      </c>
    </row>
    <row r="6865" spans="1:5" x14ac:dyDescent="0.45">
      <c r="B6865" s="1347" t="s">
        <v>11007</v>
      </c>
      <c r="D6865" s="1347" t="s">
        <v>11008</v>
      </c>
      <c r="E6865" s="1347" t="s">
        <v>11009</v>
      </c>
    </row>
    <row r="6866" spans="1:5" x14ac:dyDescent="0.45">
      <c r="A6866" s="1347" t="s">
        <v>1105</v>
      </c>
      <c r="B6866" s="1347" t="s">
        <v>11010</v>
      </c>
      <c r="D6866" s="1347" t="s">
        <v>11011</v>
      </c>
      <c r="E6866" s="1347" t="s">
        <v>11012</v>
      </c>
    </row>
    <row r="6867" spans="1:5" x14ac:dyDescent="0.45">
      <c r="B6867" s="1347" t="s">
        <v>11013</v>
      </c>
      <c r="D6867" s="1347" t="s">
        <v>11014</v>
      </c>
      <c r="E6867" s="1347" t="s">
        <v>11015</v>
      </c>
    </row>
    <row r="6868" spans="1:5" x14ac:dyDescent="0.45">
      <c r="B6868" s="1347" t="s">
        <v>11016</v>
      </c>
      <c r="D6868" s="1347" t="s">
        <v>11017</v>
      </c>
      <c r="E6868" s="1347" t="s">
        <v>11018</v>
      </c>
    </row>
    <row r="6869" spans="1:5" x14ac:dyDescent="0.45">
      <c r="B6869" s="1347" t="s">
        <v>11019</v>
      </c>
      <c r="D6869" s="1347" t="s">
        <v>11020</v>
      </c>
      <c r="E6869" s="1347" t="s">
        <v>11021</v>
      </c>
    </row>
    <row r="6870" spans="1:5" x14ac:dyDescent="0.45">
      <c r="B6870" s="1347" t="s">
        <v>1108</v>
      </c>
      <c r="D6870" s="1347" t="s">
        <v>11022</v>
      </c>
      <c r="E6870" s="1347" t="s">
        <v>11023</v>
      </c>
    </row>
    <row r="6871" spans="1:5" x14ac:dyDescent="0.45">
      <c r="A6871" s="1347">
        <v>-46</v>
      </c>
      <c r="B6871" s="1347" t="s">
        <v>11024</v>
      </c>
      <c r="D6871" s="1347" t="s">
        <v>11025</v>
      </c>
      <c r="E6871" s="1347" t="s">
        <v>11026</v>
      </c>
    </row>
    <row r="6872" spans="1:5" x14ac:dyDescent="0.45">
      <c r="B6872" s="1347" t="s">
        <v>11027</v>
      </c>
      <c r="D6872" s="1347" t="s">
        <v>11028</v>
      </c>
      <c r="E6872" s="1347" t="s">
        <v>11029</v>
      </c>
    </row>
    <row r="6873" spans="1:5" x14ac:dyDescent="0.45">
      <c r="B6873" s="1347">
        <f>-83   -859</f>
        <v>-942</v>
      </c>
      <c r="D6873" s="1347" t="s">
        <v>1109</v>
      </c>
      <c r="E6873" s="1347" t="s">
        <v>11030</v>
      </c>
    </row>
    <row r="6874" spans="1:5" x14ac:dyDescent="0.45">
      <c r="A6874" s="1347">
        <v>2</v>
      </c>
      <c r="B6874" s="1347" t="s">
        <v>11031</v>
      </c>
      <c r="D6874" s="1347" t="s">
        <v>11032</v>
      </c>
      <c r="E6874" s="1347" t="s">
        <v>11033</v>
      </c>
    </row>
    <row r="6875" spans="1:5" x14ac:dyDescent="0.45">
      <c r="A6875" s="1347">
        <v>4</v>
      </c>
      <c r="B6875" s="1347" t="s">
        <v>11034</v>
      </c>
      <c r="D6875" s="1347" t="s">
        <v>11035</v>
      </c>
      <c r="E6875" s="1347" t="s">
        <v>11036</v>
      </c>
    </row>
    <row r="6876" spans="1:5" x14ac:dyDescent="0.45">
      <c r="A6876" s="1347">
        <v>-1</v>
      </c>
      <c r="B6876" s="1347" t="s">
        <v>2264</v>
      </c>
      <c r="C6876" s="1347" t="s">
        <v>1105</v>
      </c>
      <c r="D6876" s="1347" t="s">
        <v>11037</v>
      </c>
      <c r="E6876" s="1347" t="s">
        <v>1110</v>
      </c>
    </row>
    <row r="6877" spans="1:5" x14ac:dyDescent="0.45">
      <c r="B6877" s="1347" t="s">
        <v>3141</v>
      </c>
      <c r="D6877" s="1347" t="s">
        <v>11038</v>
      </c>
      <c r="E6877" s="1347" t="s">
        <v>11039</v>
      </c>
    </row>
    <row r="6878" spans="1:5" x14ac:dyDescent="0.45">
      <c r="B6878" s="1347" t="s">
        <v>1108</v>
      </c>
      <c r="D6878" s="1347" t="s">
        <v>11040</v>
      </c>
      <c r="E6878" s="1347" t="s">
        <v>11041</v>
      </c>
    </row>
    <row r="6879" spans="1:5" x14ac:dyDescent="0.45">
      <c r="B6879" s="1347" t="s">
        <v>1108</v>
      </c>
      <c r="D6879" s="1347" t="s">
        <v>11042</v>
      </c>
      <c r="E6879" s="1347" t="s">
        <v>11043</v>
      </c>
    </row>
    <row r="6880" spans="1:5" x14ac:dyDescent="0.45">
      <c r="B6880" s="1347" t="s">
        <v>11044</v>
      </c>
      <c r="D6880" s="1347" t="s">
        <v>11045</v>
      </c>
      <c r="E6880" s="1347" t="s">
        <v>11046</v>
      </c>
    </row>
    <row r="6881" spans="1:5" x14ac:dyDescent="0.45">
      <c r="A6881" s="1347">
        <v>2</v>
      </c>
      <c r="B6881" s="1347" t="s">
        <v>11047</v>
      </c>
      <c r="D6881" s="1347" t="s">
        <v>11048</v>
      </c>
      <c r="E6881" s="1347" t="s">
        <v>11049</v>
      </c>
    </row>
    <row r="6882" spans="1:5" x14ac:dyDescent="0.45">
      <c r="B6882" s="1347" t="s">
        <v>1108</v>
      </c>
      <c r="D6882" s="1347" t="s">
        <v>11050</v>
      </c>
      <c r="E6882" s="1347" t="s">
        <v>11051</v>
      </c>
    </row>
    <row r="6883" spans="1:5" x14ac:dyDescent="0.45">
      <c r="B6883" s="1347" t="s">
        <v>1108</v>
      </c>
      <c r="D6883" s="1347" t="s">
        <v>11052</v>
      </c>
      <c r="E6883" s="1347" t="s">
        <v>1350</v>
      </c>
    </row>
    <row r="6884" spans="1:5" x14ac:dyDescent="0.45">
      <c r="A6884" s="1347">
        <v>-1</v>
      </c>
      <c r="B6884" s="1347" t="s">
        <v>5994</v>
      </c>
      <c r="D6884" s="1347" t="s">
        <v>11053</v>
      </c>
      <c r="E6884" s="1347" t="s">
        <v>1110</v>
      </c>
    </row>
    <row r="6885" spans="1:5" x14ac:dyDescent="0.45">
      <c r="B6885" s="1347" t="s">
        <v>1108</v>
      </c>
      <c r="D6885" s="1347" t="s">
        <v>1109</v>
      </c>
      <c r="E6885" s="1347" t="s">
        <v>11054</v>
      </c>
    </row>
    <row r="6886" spans="1:5" x14ac:dyDescent="0.45">
      <c r="B6886" s="1347" t="s">
        <v>1108</v>
      </c>
      <c r="D6886" s="1347" t="s">
        <v>8001</v>
      </c>
      <c r="E6886" s="1347" t="s">
        <v>11055</v>
      </c>
    </row>
    <row r="6887" spans="1:5" x14ac:dyDescent="0.45">
      <c r="A6887" s="1347" t="s">
        <v>1105</v>
      </c>
      <c r="B6887" s="1347" t="s">
        <v>11056</v>
      </c>
      <c r="D6887" s="1347" t="s">
        <v>11057</v>
      </c>
      <c r="E6887" s="1347" t="s">
        <v>11058</v>
      </c>
    </row>
    <row r="6888" spans="1:5" x14ac:dyDescent="0.45">
      <c r="A6888" s="1347">
        <v>7</v>
      </c>
      <c r="B6888" s="1347" t="s">
        <v>11059</v>
      </c>
      <c r="D6888" s="1347" t="s">
        <v>11060</v>
      </c>
      <c r="E6888" s="1347" t="s">
        <v>11061</v>
      </c>
    </row>
    <row r="6889" spans="1:5" x14ac:dyDescent="0.45">
      <c r="A6889" s="1347">
        <v>-1</v>
      </c>
      <c r="B6889" s="1347" t="s">
        <v>11062</v>
      </c>
      <c r="D6889" s="1347" t="s">
        <v>11063</v>
      </c>
      <c r="E6889" s="1347" t="s">
        <v>11064</v>
      </c>
    </row>
    <row r="6890" spans="1:5" x14ac:dyDescent="0.45">
      <c r="B6890" s="1347" t="s">
        <v>11065</v>
      </c>
      <c r="D6890" s="1347" t="s">
        <v>11066</v>
      </c>
      <c r="E6890" s="1347" t="s">
        <v>11067</v>
      </c>
    </row>
    <row r="6891" spans="1:5" x14ac:dyDescent="0.45">
      <c r="A6891" s="1347" t="s">
        <v>1105</v>
      </c>
      <c r="B6891" s="1347" t="s">
        <v>11068</v>
      </c>
      <c r="C6891" s="1347" t="s">
        <v>1105</v>
      </c>
      <c r="D6891" s="1347" t="s">
        <v>11069</v>
      </c>
      <c r="E6891" s="1347" t="s">
        <v>11070</v>
      </c>
    </row>
    <row r="6892" spans="1:5" x14ac:dyDescent="0.45">
      <c r="B6892" s="1347" t="s">
        <v>11071</v>
      </c>
      <c r="D6892" s="1347" t="s">
        <v>11072</v>
      </c>
      <c r="E6892" s="1347" t="s">
        <v>11073</v>
      </c>
    </row>
    <row r="6893" spans="1:5" x14ac:dyDescent="0.45">
      <c r="A6893" s="1347">
        <v>16</v>
      </c>
      <c r="B6893" s="1347" t="s">
        <v>11074</v>
      </c>
      <c r="C6893" s="1347">
        <v>2</v>
      </c>
      <c r="D6893" s="1347" t="s">
        <v>11075</v>
      </c>
      <c r="E6893" s="1347" t="s">
        <v>11076</v>
      </c>
    </row>
    <row r="6894" spans="1:5" x14ac:dyDescent="0.45">
      <c r="B6894" s="1347" t="s">
        <v>11077</v>
      </c>
      <c r="D6894" s="1347" t="s">
        <v>11078</v>
      </c>
      <c r="E6894" s="1347" t="s">
        <v>11079</v>
      </c>
    </row>
    <row r="6895" spans="1:5" x14ac:dyDescent="0.45">
      <c r="B6895" s="1347" t="s">
        <v>9420</v>
      </c>
      <c r="D6895" s="1347" t="s">
        <v>10584</v>
      </c>
      <c r="E6895" s="1347" t="s">
        <v>11080</v>
      </c>
    </row>
    <row r="6896" spans="1:5" x14ac:dyDescent="0.45">
      <c r="B6896" s="1347" t="s">
        <v>1108</v>
      </c>
      <c r="D6896" s="1347" t="s">
        <v>11081</v>
      </c>
      <c r="E6896" s="1347" t="s">
        <v>11082</v>
      </c>
    </row>
    <row r="6897" spans="1:5" x14ac:dyDescent="0.45">
      <c r="B6897" s="1347" t="s">
        <v>11083</v>
      </c>
      <c r="D6897" s="1347">
        <f>-138   -179    -58    -1</f>
        <v>-376</v>
      </c>
      <c r="E6897" s="1347" t="s">
        <v>11084</v>
      </c>
    </row>
    <row r="6898" spans="1:5" x14ac:dyDescent="0.45">
      <c r="B6898" s="1347" t="s">
        <v>1108</v>
      </c>
      <c r="D6898" s="1347" t="s">
        <v>4165</v>
      </c>
      <c r="E6898" s="1347" t="s">
        <v>11085</v>
      </c>
    </row>
    <row r="6899" spans="1:5" x14ac:dyDescent="0.45">
      <c r="B6899" s="1347" t="s">
        <v>1108</v>
      </c>
      <c r="D6899" s="1347" t="s">
        <v>11086</v>
      </c>
      <c r="E6899" s="1347" t="s">
        <v>11087</v>
      </c>
    </row>
    <row r="6900" spans="1:5" x14ac:dyDescent="0.45">
      <c r="B6900" s="1347" t="s">
        <v>11088</v>
      </c>
      <c r="C6900" s="1347">
        <v>-4</v>
      </c>
      <c r="D6900" s="1347" t="s">
        <v>11089</v>
      </c>
      <c r="E6900" s="1347" t="s">
        <v>11090</v>
      </c>
    </row>
    <row r="6901" spans="1:5" x14ac:dyDescent="0.45">
      <c r="B6901" s="1347" t="s">
        <v>11091</v>
      </c>
      <c r="D6901" s="1347" t="s">
        <v>11092</v>
      </c>
      <c r="E6901" s="1347" t="s">
        <v>11093</v>
      </c>
    </row>
    <row r="6902" spans="1:5" x14ac:dyDescent="0.45">
      <c r="B6902" s="1347" t="s">
        <v>11094</v>
      </c>
      <c r="D6902" s="1347" t="s">
        <v>11095</v>
      </c>
      <c r="E6902" s="1347" t="s">
        <v>11096</v>
      </c>
    </row>
    <row r="6903" spans="1:5" x14ac:dyDescent="0.45">
      <c r="B6903" s="1347" t="s">
        <v>6346</v>
      </c>
      <c r="D6903" s="1347" t="s">
        <v>11097</v>
      </c>
      <c r="E6903" s="1347" t="s">
        <v>11098</v>
      </c>
    </row>
    <row r="6904" spans="1:5" x14ac:dyDescent="0.45">
      <c r="B6904" s="1347" t="s">
        <v>11099</v>
      </c>
      <c r="D6904" s="1347" t="s">
        <v>11100</v>
      </c>
      <c r="E6904" s="1347" t="s">
        <v>11101</v>
      </c>
    </row>
    <row r="6905" spans="1:5" x14ac:dyDescent="0.45">
      <c r="B6905" s="1347" t="s">
        <v>11102</v>
      </c>
      <c r="D6905" s="1347" t="s">
        <v>11103</v>
      </c>
      <c r="E6905" s="1347" t="s">
        <v>11104</v>
      </c>
    </row>
    <row r="6906" spans="1:5" x14ac:dyDescent="0.45">
      <c r="B6906" s="1347" t="s">
        <v>1108</v>
      </c>
      <c r="D6906" s="1347" t="s">
        <v>11105</v>
      </c>
      <c r="E6906" s="1347" t="s">
        <v>11106</v>
      </c>
    </row>
    <row r="6907" spans="1:5" x14ac:dyDescent="0.45">
      <c r="A6907" s="1347">
        <v>-47</v>
      </c>
      <c r="B6907" s="1347" t="s">
        <v>11107</v>
      </c>
      <c r="D6907" s="1347" t="s">
        <v>11108</v>
      </c>
      <c r="E6907" s="1347" t="s">
        <v>11109</v>
      </c>
    </row>
    <row r="6908" spans="1:5" x14ac:dyDescent="0.45">
      <c r="B6908" s="1347" t="s">
        <v>11110</v>
      </c>
      <c r="D6908" s="1347" t="s">
        <v>11111</v>
      </c>
      <c r="E6908" s="1347" t="s">
        <v>11112</v>
      </c>
    </row>
    <row r="6909" spans="1:5" x14ac:dyDescent="0.45">
      <c r="B6909" s="1347" t="s">
        <v>11113</v>
      </c>
      <c r="D6909" s="1347" t="s">
        <v>1109</v>
      </c>
      <c r="E6909" s="1347" t="s">
        <v>11114</v>
      </c>
    </row>
    <row r="6910" spans="1:5" x14ac:dyDescent="0.45">
      <c r="A6910" s="1347">
        <v>2</v>
      </c>
      <c r="B6910" s="1347" t="s">
        <v>11115</v>
      </c>
      <c r="D6910" s="1347" t="s">
        <v>11116</v>
      </c>
      <c r="E6910" s="1347" t="s">
        <v>11117</v>
      </c>
    </row>
    <row r="6911" spans="1:5" x14ac:dyDescent="0.45">
      <c r="A6911" s="1347">
        <v>2</v>
      </c>
      <c r="B6911" s="1347" t="s">
        <v>11118</v>
      </c>
      <c r="C6911" s="1347" t="s">
        <v>1105</v>
      </c>
      <c r="D6911" s="1347" t="s">
        <v>11119</v>
      </c>
      <c r="E6911" s="1347" t="s">
        <v>11120</v>
      </c>
    </row>
    <row r="6912" spans="1:5" x14ac:dyDescent="0.45">
      <c r="A6912" s="1347" t="s">
        <v>1105</v>
      </c>
      <c r="B6912" s="1347" t="s">
        <v>11121</v>
      </c>
      <c r="C6912" s="1347" t="s">
        <v>1105</v>
      </c>
      <c r="D6912" s="1347" t="s">
        <v>11122</v>
      </c>
      <c r="E6912" s="1347" t="s">
        <v>1110</v>
      </c>
    </row>
    <row r="6913" spans="1:5" x14ac:dyDescent="0.45">
      <c r="B6913" s="1347" t="s">
        <v>4344</v>
      </c>
      <c r="D6913" s="1347" t="s">
        <v>11123</v>
      </c>
      <c r="E6913" s="1347" t="s">
        <v>11124</v>
      </c>
    </row>
    <row r="6914" spans="1:5" x14ac:dyDescent="0.45">
      <c r="B6914" s="1347" t="s">
        <v>1108</v>
      </c>
      <c r="D6914" s="1347" t="s">
        <v>11125</v>
      </c>
      <c r="E6914" s="1347" t="s">
        <v>11126</v>
      </c>
    </row>
    <row r="6915" spans="1:5" x14ac:dyDescent="0.45">
      <c r="B6915" s="1347" t="s">
        <v>1108</v>
      </c>
      <c r="D6915" s="1347" t="s">
        <v>11127</v>
      </c>
      <c r="E6915" s="1347" t="s">
        <v>11128</v>
      </c>
    </row>
    <row r="6916" spans="1:5" x14ac:dyDescent="0.45">
      <c r="A6916" s="1347">
        <v>-1</v>
      </c>
      <c r="B6916" s="1347" t="s">
        <v>3273</v>
      </c>
      <c r="D6916" s="1347" t="s">
        <v>11129</v>
      </c>
      <c r="E6916" s="1347" t="s">
        <v>11130</v>
      </c>
    </row>
    <row r="6917" spans="1:5" x14ac:dyDescent="0.45">
      <c r="A6917" s="1347">
        <v>5</v>
      </c>
      <c r="B6917" s="1347" t="s">
        <v>11131</v>
      </c>
      <c r="D6917" s="1347" t="s">
        <v>11132</v>
      </c>
      <c r="E6917" s="1347" t="s">
        <v>11133</v>
      </c>
    </row>
    <row r="6918" spans="1:5" x14ac:dyDescent="0.45">
      <c r="B6918" s="1347" t="s">
        <v>1108</v>
      </c>
      <c r="D6918" s="1347" t="s">
        <v>11134</v>
      </c>
      <c r="E6918" s="1347" t="s">
        <v>11135</v>
      </c>
    </row>
    <row r="6919" spans="1:5" x14ac:dyDescent="0.45">
      <c r="B6919" s="1347" t="s">
        <v>1108</v>
      </c>
      <c r="D6919" s="1347" t="s">
        <v>11136</v>
      </c>
      <c r="E6919" s="1347" t="s">
        <v>1435</v>
      </c>
    </row>
    <row r="6920" spans="1:5" x14ac:dyDescent="0.45">
      <c r="A6920" s="1347">
        <v>-2</v>
      </c>
      <c r="B6920" s="1347" t="s">
        <v>11137</v>
      </c>
      <c r="D6920" s="1347" t="s">
        <v>11138</v>
      </c>
      <c r="E6920" s="1347" t="s">
        <v>1110</v>
      </c>
    </row>
    <row r="6921" spans="1:5" x14ac:dyDescent="0.45">
      <c r="B6921" s="1347" t="s">
        <v>1108</v>
      </c>
      <c r="D6921" s="1347" t="s">
        <v>1109</v>
      </c>
      <c r="E6921" s="1347" t="s">
        <v>11139</v>
      </c>
    </row>
    <row r="6922" spans="1:5" x14ac:dyDescent="0.45">
      <c r="B6922" s="1347" t="s">
        <v>1108</v>
      </c>
      <c r="D6922" s="1347" t="s">
        <v>3971</v>
      </c>
      <c r="E6922" s="1347" t="s">
        <v>11140</v>
      </c>
    </row>
    <row r="6923" spans="1:5" x14ac:dyDescent="0.45">
      <c r="A6923" s="1347">
        <v>2</v>
      </c>
      <c r="B6923" s="1347" t="s">
        <v>11141</v>
      </c>
      <c r="D6923" s="1347">
        <f>-376   -171    -47   -13</f>
        <v>-607</v>
      </c>
      <c r="E6923" s="1347" t="s">
        <v>11142</v>
      </c>
    </row>
    <row r="6924" spans="1:5" x14ac:dyDescent="0.45">
      <c r="B6924" s="1347" t="s">
        <v>11143</v>
      </c>
      <c r="D6924" s="1347" t="s">
        <v>11144</v>
      </c>
      <c r="E6924" s="1347" t="s">
        <v>11145</v>
      </c>
    </row>
    <row r="6925" spans="1:5" x14ac:dyDescent="0.45">
      <c r="A6925" s="1347">
        <v>-1</v>
      </c>
      <c r="B6925" s="1347" t="s">
        <v>11146</v>
      </c>
      <c r="D6925" s="1347" t="s">
        <v>11147</v>
      </c>
      <c r="E6925" s="1347" t="s">
        <v>11148</v>
      </c>
    </row>
    <row r="6926" spans="1:5" x14ac:dyDescent="0.45">
      <c r="B6926" s="1347" t="s">
        <v>11149</v>
      </c>
      <c r="D6926" s="1347" t="s">
        <v>11150</v>
      </c>
      <c r="E6926" s="1347" t="s">
        <v>11151</v>
      </c>
    </row>
    <row r="6927" spans="1:5" x14ac:dyDescent="0.45">
      <c r="B6927" s="1347" t="s">
        <v>11152</v>
      </c>
      <c r="C6927" s="1347" t="s">
        <v>1105</v>
      </c>
      <c r="D6927" s="1347" t="s">
        <v>11153</v>
      </c>
      <c r="E6927" s="1347" t="s">
        <v>11154</v>
      </c>
    </row>
    <row r="6928" spans="1:5" x14ac:dyDescent="0.45">
      <c r="B6928" s="1347" t="s">
        <v>11155</v>
      </c>
      <c r="D6928" s="1347" t="s">
        <v>11156</v>
      </c>
      <c r="E6928" s="1347" t="s">
        <v>11157</v>
      </c>
    </row>
    <row r="6929" spans="1:5" x14ac:dyDescent="0.45">
      <c r="A6929" s="1347">
        <v>17</v>
      </c>
      <c r="B6929" s="1347" t="s">
        <v>11158</v>
      </c>
      <c r="C6929" s="1347">
        <v>3</v>
      </c>
      <c r="D6929" s="1347" t="s">
        <v>11159</v>
      </c>
      <c r="E6929" s="1347" t="s">
        <v>11160</v>
      </c>
    </row>
    <row r="6930" spans="1:5" x14ac:dyDescent="0.45">
      <c r="A6930" s="1347">
        <v>52</v>
      </c>
      <c r="B6930" s="1347" t="s">
        <v>11161</v>
      </c>
      <c r="C6930" s="1347">
        <v>-5</v>
      </c>
      <c r="D6930" s="1347" t="s">
        <v>11162</v>
      </c>
      <c r="E6930" s="1347" t="s">
        <v>11163</v>
      </c>
    </row>
    <row r="6931" spans="1:5" x14ac:dyDescent="0.45">
      <c r="B6931" s="1347" t="s">
        <v>1108</v>
      </c>
      <c r="D6931" s="1347" t="s">
        <v>11164</v>
      </c>
      <c r="E6931" s="1347" t="s">
        <v>1110</v>
      </c>
    </row>
    <row r="6932" spans="1:5" x14ac:dyDescent="0.45">
      <c r="A6932" s="1347" t="s">
        <v>1105</v>
      </c>
      <c r="B6932" s="1347" t="s">
        <v>11165</v>
      </c>
      <c r="D6932" s="1347" t="s">
        <v>11166</v>
      </c>
      <c r="E6932" s="1347" t="s">
        <v>11167</v>
      </c>
    </row>
    <row r="6933" spans="1:5" x14ac:dyDescent="0.45">
      <c r="B6933" s="1347" t="s">
        <v>11168</v>
      </c>
      <c r="C6933" s="1347">
        <v>-4</v>
      </c>
      <c r="D6933" s="1347" t="s">
        <v>11169</v>
      </c>
      <c r="E6933" s="1347" t="s">
        <v>11170</v>
      </c>
    </row>
    <row r="6934" spans="1:5" x14ac:dyDescent="0.45">
      <c r="B6934" s="1347" t="s">
        <v>1108</v>
      </c>
      <c r="D6934" s="1347" t="s">
        <v>11171</v>
      </c>
      <c r="E6934" s="1347" t="s">
        <v>11172</v>
      </c>
    </row>
    <row r="6935" spans="1:5" x14ac:dyDescent="0.45">
      <c r="B6935" s="1347" t="s">
        <v>3396</v>
      </c>
      <c r="D6935" s="1347" t="s">
        <v>1109</v>
      </c>
      <c r="E6935" s="1347" t="s">
        <v>11173</v>
      </c>
    </row>
    <row r="6936" spans="1:5" x14ac:dyDescent="0.45">
      <c r="B6936" s="1347" t="s">
        <v>1108</v>
      </c>
      <c r="C6936" s="1347" t="s">
        <v>1105</v>
      </c>
      <c r="D6936" s="1347" t="s">
        <v>11174</v>
      </c>
      <c r="E6936" s="1347" t="s">
        <v>1476</v>
      </c>
    </row>
    <row r="6937" spans="1:5" x14ac:dyDescent="0.45">
      <c r="A6937" s="1347">
        <v>-1</v>
      </c>
      <c r="B6937" s="1347" t="s">
        <v>11175</v>
      </c>
      <c r="D6937" s="1347" t="s">
        <v>11176</v>
      </c>
      <c r="E6937" s="1347" t="s">
        <v>11177</v>
      </c>
    </row>
    <row r="6938" spans="1:5" x14ac:dyDescent="0.45">
      <c r="B6938" s="1347" t="s">
        <v>11178</v>
      </c>
      <c r="D6938" s="1347" t="s">
        <v>11179</v>
      </c>
      <c r="E6938" s="1347" t="s">
        <v>1110</v>
      </c>
    </row>
    <row r="6939" spans="1:5" x14ac:dyDescent="0.45">
      <c r="B6939" s="1347" t="s">
        <v>9973</v>
      </c>
      <c r="D6939" s="1347" t="s">
        <v>11180</v>
      </c>
      <c r="E6939" s="1347" t="s">
        <v>11181</v>
      </c>
    </row>
    <row r="6940" spans="1:5" x14ac:dyDescent="0.45">
      <c r="A6940" s="1347" t="s">
        <v>1105</v>
      </c>
      <c r="B6940" s="1347" t="s">
        <v>11182</v>
      </c>
      <c r="D6940" s="1347" t="s">
        <v>11183</v>
      </c>
      <c r="E6940" s="1347" t="s">
        <v>11184</v>
      </c>
    </row>
    <row r="6941" spans="1:5" x14ac:dyDescent="0.45">
      <c r="B6941" s="1347" t="s">
        <v>1108</v>
      </c>
      <c r="D6941" s="1347" t="s">
        <v>11185</v>
      </c>
      <c r="E6941" s="1347" t="s">
        <v>11186</v>
      </c>
    </row>
    <row r="6942" spans="1:5" x14ac:dyDescent="0.45">
      <c r="B6942" s="1347" t="s">
        <v>1108</v>
      </c>
      <c r="D6942" s="1347" t="s">
        <v>11187</v>
      </c>
      <c r="E6942" s="1347" t="s">
        <v>11188</v>
      </c>
    </row>
    <row r="6943" spans="1:5" x14ac:dyDescent="0.45">
      <c r="A6943" s="1347">
        <v>-2</v>
      </c>
      <c r="B6943" s="1347" t="s">
        <v>11189</v>
      </c>
      <c r="D6943" s="1347">
        <f>-297   -107   -519   -17</f>
        <v>-940</v>
      </c>
      <c r="E6943" s="1347" t="s">
        <v>11190</v>
      </c>
    </row>
    <row r="6944" spans="1:5" x14ac:dyDescent="0.45">
      <c r="B6944" s="1347" t="s">
        <v>1108</v>
      </c>
      <c r="D6944" s="1347" t="s">
        <v>11191</v>
      </c>
      <c r="E6944" s="1347" t="s">
        <v>11192</v>
      </c>
    </row>
    <row r="6945" spans="1:5" x14ac:dyDescent="0.45">
      <c r="B6945" s="1347" t="s">
        <v>11193</v>
      </c>
      <c r="D6945" s="1347" t="s">
        <v>11194</v>
      </c>
      <c r="E6945" s="1347" t="s">
        <v>11195</v>
      </c>
    </row>
    <row r="6946" spans="1:5" x14ac:dyDescent="0.45">
      <c r="A6946" s="1347">
        <v>11</v>
      </c>
      <c r="B6946" s="1347" t="s">
        <v>11196</v>
      </c>
      <c r="D6946" s="1347" t="s">
        <v>11197</v>
      </c>
      <c r="E6946" s="1347" t="s">
        <v>11198</v>
      </c>
    </row>
    <row r="6947" spans="1:5" x14ac:dyDescent="0.45">
      <c r="A6947" s="1347">
        <v>1</v>
      </c>
      <c r="B6947" s="1347" t="s">
        <v>11199</v>
      </c>
      <c r="D6947" s="1347" t="s">
        <v>11200</v>
      </c>
      <c r="E6947" s="1347" t="s">
        <v>11201</v>
      </c>
    </row>
    <row r="6948" spans="1:5" x14ac:dyDescent="0.45">
      <c r="B6948" s="1347" t="s">
        <v>11202</v>
      </c>
      <c r="D6948" s="1347" t="s">
        <v>11203</v>
      </c>
      <c r="E6948" s="1347" t="s">
        <v>1110</v>
      </c>
    </row>
    <row r="6949" spans="1:5" x14ac:dyDescent="0.45">
      <c r="B6949" s="1347" t="s">
        <v>1108</v>
      </c>
      <c r="D6949" s="1347" t="s">
        <v>11204</v>
      </c>
      <c r="E6949" s="1347" t="s">
        <v>11205</v>
      </c>
    </row>
    <row r="6950" spans="1:5" x14ac:dyDescent="0.45">
      <c r="B6950" s="1347" t="s">
        <v>1108</v>
      </c>
      <c r="D6950" s="1347" t="s">
        <v>11206</v>
      </c>
      <c r="E6950" s="1347" t="s">
        <v>11207</v>
      </c>
    </row>
    <row r="6951" spans="1:5" x14ac:dyDescent="0.45">
      <c r="B6951" s="1347" t="s">
        <v>11208</v>
      </c>
      <c r="D6951" s="1347" t="s">
        <v>11209</v>
      </c>
      <c r="E6951" s="1347" t="s">
        <v>11210</v>
      </c>
    </row>
    <row r="6952" spans="1:5" x14ac:dyDescent="0.45">
      <c r="B6952" s="1347" t="s">
        <v>11211</v>
      </c>
      <c r="D6952" s="1347" t="s">
        <v>1109</v>
      </c>
      <c r="E6952" s="1347" t="s">
        <v>11212</v>
      </c>
    </row>
    <row r="6953" spans="1:5" x14ac:dyDescent="0.45">
      <c r="A6953" s="1347" t="s">
        <v>1105</v>
      </c>
      <c r="B6953" s="1347" t="s">
        <v>11213</v>
      </c>
      <c r="D6953" s="1347" t="s">
        <v>11214</v>
      </c>
      <c r="E6953" s="1347" t="s">
        <v>11215</v>
      </c>
    </row>
    <row r="6954" spans="1:5" x14ac:dyDescent="0.45">
      <c r="B6954" s="1347" t="s">
        <v>1108</v>
      </c>
      <c r="D6954" s="1347" t="s">
        <v>3073</v>
      </c>
      <c r="E6954" s="1347" t="s">
        <v>11216</v>
      </c>
    </row>
    <row r="6955" spans="1:5" x14ac:dyDescent="0.45">
      <c r="A6955" s="1347" t="s">
        <v>1105</v>
      </c>
      <c r="B6955" s="1347" t="s">
        <v>11217</v>
      </c>
      <c r="D6955" s="1347" t="s">
        <v>11218</v>
      </c>
      <c r="E6955" s="1347" t="s">
        <v>11219</v>
      </c>
    </row>
    <row r="6956" spans="1:5" x14ac:dyDescent="0.45">
      <c r="B6956" s="1347" t="s">
        <v>11220</v>
      </c>
      <c r="D6956" s="1347" t="s">
        <v>11221</v>
      </c>
      <c r="E6956" s="1347" t="s">
        <v>1110</v>
      </c>
    </row>
    <row r="6957" spans="1:5" x14ac:dyDescent="0.45">
      <c r="B6957" s="1347" t="s">
        <v>1108</v>
      </c>
      <c r="D6957" s="1347" t="s">
        <v>1109</v>
      </c>
      <c r="E6957" s="1347" t="s">
        <v>1110</v>
      </c>
    </row>
    <row r="6958" spans="1:5" x14ac:dyDescent="0.45">
      <c r="B6958" s="1347" t="s">
        <v>2803</v>
      </c>
      <c r="D6958" s="1347" t="s">
        <v>1109</v>
      </c>
      <c r="E6958" s="1347" t="s">
        <v>11222</v>
      </c>
    </row>
    <row r="6959" spans="1:5" x14ac:dyDescent="0.45">
      <c r="A6959" s="1347">
        <v>2</v>
      </c>
      <c r="B6959" s="1347" t="s">
        <v>11223</v>
      </c>
      <c r="C6959" s="1347" t="s">
        <v>1105</v>
      </c>
      <c r="D6959" s="1347" t="s">
        <v>11224</v>
      </c>
      <c r="E6959" s="1347" t="s">
        <v>11225</v>
      </c>
    </row>
    <row r="6960" spans="1:5" x14ac:dyDescent="0.45">
      <c r="A6960" s="1347">
        <v>4</v>
      </c>
      <c r="B6960" s="1347" t="s">
        <v>11226</v>
      </c>
      <c r="C6960" s="1347" t="s">
        <v>1105</v>
      </c>
      <c r="D6960" s="1347" t="s">
        <v>11227</v>
      </c>
      <c r="E6960" s="1347" t="s">
        <v>11228</v>
      </c>
    </row>
    <row r="6961" spans="1:5" x14ac:dyDescent="0.45">
      <c r="A6961" s="1347" t="s">
        <v>1105</v>
      </c>
      <c r="B6961" s="1347" t="s">
        <v>11229</v>
      </c>
      <c r="D6961" s="1347">
        <f>-404   -251   -207  -323</f>
        <v>-1185</v>
      </c>
      <c r="E6961" s="1347" t="s">
        <v>11230</v>
      </c>
    </row>
    <row r="6962" spans="1:5" x14ac:dyDescent="0.45">
      <c r="A6962" s="1347" t="s">
        <v>1105</v>
      </c>
      <c r="B6962" s="1347" t="s">
        <v>11231</v>
      </c>
      <c r="D6962" s="1347" t="s">
        <v>11232</v>
      </c>
      <c r="E6962" s="1347" t="s">
        <v>11233</v>
      </c>
    </row>
    <row r="6963" spans="1:5" x14ac:dyDescent="0.45">
      <c r="B6963" s="1347" t="s">
        <v>11234</v>
      </c>
      <c r="D6963" s="1347" t="s">
        <v>11235</v>
      </c>
      <c r="E6963" s="1347" t="s">
        <v>11236</v>
      </c>
    </row>
    <row r="6964" spans="1:5" x14ac:dyDescent="0.45">
      <c r="B6964" s="1347" t="s">
        <v>11237</v>
      </c>
      <c r="D6964" s="1347" t="s">
        <v>11238</v>
      </c>
      <c r="E6964" s="1347" t="s">
        <v>11239</v>
      </c>
    </row>
    <row r="6965" spans="1:5" x14ac:dyDescent="0.45">
      <c r="A6965" s="1347">
        <v>35</v>
      </c>
      <c r="B6965" s="1347" t="s">
        <v>11240</v>
      </c>
      <c r="C6965" s="1347">
        <v>3</v>
      </c>
      <c r="D6965" s="1347" t="s">
        <v>11241</v>
      </c>
      <c r="E6965" s="1347" t="s">
        <v>11242</v>
      </c>
    </row>
    <row r="6966" spans="1:5" x14ac:dyDescent="0.45">
      <c r="A6966" s="1347">
        <v>59</v>
      </c>
      <c r="B6966" s="1347" t="s">
        <v>11243</v>
      </c>
      <c r="C6966" s="1347">
        <v>5</v>
      </c>
      <c r="D6966" s="1347" t="s">
        <v>11244</v>
      </c>
      <c r="E6966" s="1347" t="s">
        <v>11245</v>
      </c>
    </row>
    <row r="6967" spans="1:5" x14ac:dyDescent="0.45">
      <c r="B6967" s="1347" t="s">
        <v>3484</v>
      </c>
      <c r="D6967" s="1347" t="s">
        <v>11246</v>
      </c>
      <c r="E6967" s="1347" t="s">
        <v>1350</v>
      </c>
    </row>
    <row r="6968" spans="1:5" x14ac:dyDescent="0.45">
      <c r="B6968" s="1347" t="s">
        <v>1108</v>
      </c>
      <c r="D6968" s="1347" t="s">
        <v>11247</v>
      </c>
      <c r="E6968" s="1347" t="s">
        <v>11248</v>
      </c>
    </row>
    <row r="6969" spans="1:5" x14ac:dyDescent="0.45">
      <c r="A6969" s="1347" t="s">
        <v>1105</v>
      </c>
      <c r="B6969" s="1347" t="s">
        <v>11249</v>
      </c>
      <c r="D6969" s="1347" t="s">
        <v>11250</v>
      </c>
      <c r="E6969" s="1347" t="s">
        <v>11251</v>
      </c>
    </row>
    <row r="6970" spans="1:5" x14ac:dyDescent="0.45">
      <c r="B6970" s="1347" t="s">
        <v>6464</v>
      </c>
      <c r="D6970" s="1347" t="s">
        <v>1109</v>
      </c>
      <c r="E6970" s="1347" t="s">
        <v>11252</v>
      </c>
    </row>
    <row r="6971" spans="1:5" x14ac:dyDescent="0.45">
      <c r="A6971" s="1347" t="s">
        <v>1105</v>
      </c>
      <c r="B6971" s="1347" t="s">
        <v>11253</v>
      </c>
      <c r="D6971" s="1347" t="s">
        <v>10606</v>
      </c>
      <c r="E6971" s="1347" t="s">
        <v>11254</v>
      </c>
    </row>
    <row r="6972" spans="1:5" x14ac:dyDescent="0.45">
      <c r="A6972" s="1347" t="s">
        <v>1105</v>
      </c>
      <c r="B6972" s="1347" t="s">
        <v>11255</v>
      </c>
      <c r="D6972" s="1347" t="s">
        <v>11256</v>
      </c>
      <c r="E6972" s="1347" t="s">
        <v>11257</v>
      </c>
    </row>
    <row r="6973" spans="1:5" x14ac:dyDescent="0.45">
      <c r="B6973" s="1347" t="s">
        <v>1108</v>
      </c>
      <c r="C6973" s="1347" t="s">
        <v>1105</v>
      </c>
      <c r="D6973" s="1347" t="s">
        <v>11258</v>
      </c>
      <c r="E6973" s="1347" t="s">
        <v>11259</v>
      </c>
    </row>
    <row r="6974" spans="1:5" x14ac:dyDescent="0.45">
      <c r="B6974" s="1347" t="s">
        <v>11260</v>
      </c>
      <c r="D6974" s="1347" t="s">
        <v>11261</v>
      </c>
      <c r="E6974" s="1347" t="s">
        <v>11262</v>
      </c>
    </row>
    <row r="6975" spans="1:5" x14ac:dyDescent="0.45">
      <c r="B6975" s="1347" t="s">
        <v>1108</v>
      </c>
      <c r="D6975" s="1347" t="s">
        <v>11263</v>
      </c>
      <c r="E6975" s="1347" t="s">
        <v>11264</v>
      </c>
    </row>
    <row r="6976" spans="1:5" x14ac:dyDescent="0.45">
      <c r="B6976" s="1347">
        <f>-86   -203</f>
        <v>-289</v>
      </c>
      <c r="D6976" s="1347" t="s">
        <v>11265</v>
      </c>
      <c r="E6976" s="1347" t="s">
        <v>11266</v>
      </c>
    </row>
    <row r="6977" spans="1:5" x14ac:dyDescent="0.45">
      <c r="B6977" s="1347" t="s">
        <v>11267</v>
      </c>
      <c r="D6977" s="1347" t="s">
        <v>11268</v>
      </c>
      <c r="E6977" s="1347" t="s">
        <v>11269</v>
      </c>
    </row>
    <row r="6978" spans="1:5" x14ac:dyDescent="0.45">
      <c r="A6978" s="1347" t="s">
        <v>1105</v>
      </c>
      <c r="B6978" s="1347" t="s">
        <v>6736</v>
      </c>
      <c r="D6978" s="1347" t="s">
        <v>1109</v>
      </c>
      <c r="E6978" s="1347" t="s">
        <v>11270</v>
      </c>
    </row>
    <row r="6979" spans="1:5" x14ac:dyDescent="0.45">
      <c r="B6979" s="1347" t="s">
        <v>4127</v>
      </c>
      <c r="C6979" s="1347" t="s">
        <v>1105</v>
      </c>
      <c r="D6979" s="1347" t="s">
        <v>11271</v>
      </c>
      <c r="E6979" s="1347" t="s">
        <v>11272</v>
      </c>
    </row>
    <row r="6980" spans="1:5" x14ac:dyDescent="0.45">
      <c r="B6980" s="1347" t="s">
        <v>8245</v>
      </c>
      <c r="D6980" s="1347" t="s">
        <v>11273</v>
      </c>
      <c r="E6980" s="1347" t="s">
        <v>11274</v>
      </c>
    </row>
    <row r="6981" spans="1:5" x14ac:dyDescent="0.45">
      <c r="A6981" s="1347" t="s">
        <v>1105</v>
      </c>
      <c r="B6981" s="1347" t="s">
        <v>7846</v>
      </c>
      <c r="D6981" s="1347" t="s">
        <v>11275</v>
      </c>
      <c r="E6981" s="1347" t="s">
        <v>1110</v>
      </c>
    </row>
    <row r="6982" spans="1:5" x14ac:dyDescent="0.45">
      <c r="A6982" s="1347">
        <v>1</v>
      </c>
      <c r="B6982" s="1347" t="s">
        <v>11276</v>
      </c>
      <c r="D6982" s="1347" t="s">
        <v>11277</v>
      </c>
      <c r="E6982" s="1347" t="s">
        <v>11278</v>
      </c>
    </row>
    <row r="6983" spans="1:5" x14ac:dyDescent="0.45">
      <c r="B6983" s="1347" t="s">
        <v>1108</v>
      </c>
      <c r="D6983" s="1347" t="s">
        <v>11279</v>
      </c>
      <c r="E6983" s="1347" t="s">
        <v>11280</v>
      </c>
    </row>
    <row r="6984" spans="1:5" x14ac:dyDescent="0.45">
      <c r="B6984" s="1347" t="s">
        <v>11281</v>
      </c>
      <c r="D6984" s="1347" t="s">
        <v>11282</v>
      </c>
      <c r="E6984" s="1347" t="s">
        <v>1435</v>
      </c>
    </row>
    <row r="6985" spans="1:5" x14ac:dyDescent="0.45">
      <c r="B6985" s="1347" t="s">
        <v>1108</v>
      </c>
      <c r="D6985" s="1347" t="s">
        <v>11283</v>
      </c>
      <c r="E6985" s="1347" t="s">
        <v>11284</v>
      </c>
    </row>
    <row r="6986" spans="1:5" x14ac:dyDescent="0.45">
      <c r="B6986" s="1347" t="s">
        <v>11285</v>
      </c>
      <c r="D6986" s="1347" t="s">
        <v>1109</v>
      </c>
      <c r="E6986" s="1347" t="s">
        <v>11286</v>
      </c>
    </row>
    <row r="6987" spans="1:5" x14ac:dyDescent="0.45">
      <c r="A6987" s="1347" t="s">
        <v>1105</v>
      </c>
      <c r="B6987" s="1347" t="s">
        <v>11287</v>
      </c>
      <c r="D6987" s="1347" t="s">
        <v>11288</v>
      </c>
      <c r="E6987" s="1347" t="s">
        <v>11289</v>
      </c>
    </row>
    <row r="6988" spans="1:5" x14ac:dyDescent="0.45">
      <c r="B6988" s="1347" t="s">
        <v>1108</v>
      </c>
      <c r="D6988" s="1347" t="s">
        <v>11290</v>
      </c>
      <c r="E6988" s="1347" t="s">
        <v>11291</v>
      </c>
    </row>
    <row r="6989" spans="1:5" x14ac:dyDescent="0.45">
      <c r="A6989" s="1347">
        <v>6</v>
      </c>
      <c r="B6989" s="1347" t="s">
        <v>11292</v>
      </c>
      <c r="D6989" s="1347" t="s">
        <v>11293</v>
      </c>
      <c r="E6989" s="1347" t="s">
        <v>11294</v>
      </c>
    </row>
    <row r="6990" spans="1:5" x14ac:dyDescent="0.45">
      <c r="B6990" s="1347" t="s">
        <v>1108</v>
      </c>
      <c r="D6990" s="1347" t="s">
        <v>1109</v>
      </c>
      <c r="E6990" s="1347" t="s">
        <v>11295</v>
      </c>
    </row>
    <row r="6991" spans="1:5" x14ac:dyDescent="0.45">
      <c r="B6991" s="1347" t="s">
        <v>11296</v>
      </c>
      <c r="D6991" s="1347" t="s">
        <v>11297</v>
      </c>
      <c r="E6991" s="1347" t="s">
        <v>11298</v>
      </c>
    </row>
    <row r="6992" spans="1:5" x14ac:dyDescent="0.45">
      <c r="B6992" s="1347" t="s">
        <v>1108</v>
      </c>
      <c r="D6992" s="1347" t="s">
        <v>11299</v>
      </c>
      <c r="E6992" s="1347" t="s">
        <v>11300</v>
      </c>
    </row>
    <row r="6993" spans="1:5" x14ac:dyDescent="0.45">
      <c r="B6993" s="1347" t="s">
        <v>1108</v>
      </c>
      <c r="D6993" s="1347" t="s">
        <v>1109</v>
      </c>
      <c r="E6993" s="1347" t="s">
        <v>1110</v>
      </c>
    </row>
    <row r="6994" spans="1:5" x14ac:dyDescent="0.45">
      <c r="B6994" s="1347" t="s">
        <v>1108</v>
      </c>
      <c r="D6994" s="1347" t="s">
        <v>11301</v>
      </c>
      <c r="E6994" s="1347" t="s">
        <v>11302</v>
      </c>
    </row>
    <row r="6995" spans="1:5" x14ac:dyDescent="0.45">
      <c r="B6995" s="1347" t="s">
        <v>11303</v>
      </c>
      <c r="D6995" s="1347" t="s">
        <v>11304</v>
      </c>
      <c r="E6995" s="1347" t="s">
        <v>11305</v>
      </c>
    </row>
    <row r="6996" spans="1:5" x14ac:dyDescent="0.45">
      <c r="A6996" s="1347">
        <v>1</v>
      </c>
      <c r="B6996" s="1347" t="s">
        <v>11306</v>
      </c>
      <c r="D6996" s="1347" t="s">
        <v>11307</v>
      </c>
      <c r="E6996" s="1347" t="s">
        <v>11308</v>
      </c>
    </row>
    <row r="6997" spans="1:5" x14ac:dyDescent="0.45">
      <c r="A6997" s="1347" t="s">
        <v>1105</v>
      </c>
      <c r="B6997" s="1347" t="s">
        <v>11309</v>
      </c>
      <c r="D6997" s="1347" t="s">
        <v>11310</v>
      </c>
      <c r="E6997" s="1347" t="s">
        <v>11311</v>
      </c>
    </row>
    <row r="6998" spans="1:5" x14ac:dyDescent="0.45">
      <c r="B6998" s="1347" t="s">
        <v>11312</v>
      </c>
      <c r="D6998" s="1347" t="s">
        <v>11313</v>
      </c>
      <c r="E6998" s="1347" t="s">
        <v>11314</v>
      </c>
    </row>
    <row r="6999" spans="1:5" x14ac:dyDescent="0.45">
      <c r="B6999" s="1347" t="s">
        <v>11315</v>
      </c>
      <c r="D6999" s="1347" t="s">
        <v>11316</v>
      </c>
      <c r="E6999" s="1347" t="s">
        <v>11317</v>
      </c>
    </row>
    <row r="7000" spans="1:5" x14ac:dyDescent="0.45">
      <c r="B7000" s="1347" t="s">
        <v>11318</v>
      </c>
      <c r="D7000" s="1347" t="s">
        <v>11319</v>
      </c>
      <c r="E7000" s="1347" t="s">
        <v>11320</v>
      </c>
    </row>
    <row r="7001" spans="1:5" x14ac:dyDescent="0.45">
      <c r="A7001" s="1347">
        <v>51</v>
      </c>
      <c r="B7001" s="1347" t="s">
        <v>11321</v>
      </c>
      <c r="C7001" s="1347">
        <v>3</v>
      </c>
      <c r="D7001" s="1347" t="s">
        <v>11322</v>
      </c>
      <c r="E7001" s="1347" t="s">
        <v>11323</v>
      </c>
    </row>
    <row r="7002" spans="1:5" x14ac:dyDescent="0.45">
      <c r="A7002" s="1347">
        <v>62</v>
      </c>
      <c r="B7002" s="1347" t="s">
        <v>11324</v>
      </c>
      <c r="C7002" s="1347">
        <v>6</v>
      </c>
      <c r="D7002" s="1347" t="s">
        <v>11325</v>
      </c>
      <c r="E7002" s="1347" t="s">
        <v>11326</v>
      </c>
    </row>
    <row r="7003" spans="1:5" x14ac:dyDescent="0.45">
      <c r="B7003" s="1347" t="s">
        <v>2585</v>
      </c>
      <c r="D7003" s="1347" t="s">
        <v>11327</v>
      </c>
      <c r="E7003" s="1347" t="s">
        <v>11328</v>
      </c>
    </row>
    <row r="7004" spans="1:5" x14ac:dyDescent="0.45">
      <c r="B7004" s="1347" t="s">
        <v>1108</v>
      </c>
      <c r="D7004" s="1347" t="s">
        <v>4079</v>
      </c>
      <c r="E7004" s="1347" t="s">
        <v>11329</v>
      </c>
    </row>
    <row r="7005" spans="1:5" x14ac:dyDescent="0.45">
      <c r="A7005" s="1347" t="s">
        <v>1105</v>
      </c>
      <c r="B7005" s="1347" t="s">
        <v>8848</v>
      </c>
      <c r="D7005" s="1347" t="s">
        <v>11330</v>
      </c>
      <c r="E7005" s="1347" t="s">
        <v>11331</v>
      </c>
    </row>
    <row r="7006" spans="1:5" x14ac:dyDescent="0.45">
      <c r="A7006" s="1347" t="s">
        <v>1105</v>
      </c>
      <c r="B7006" s="1347" t="s">
        <v>11332</v>
      </c>
      <c r="D7006" s="1347" t="s">
        <v>2216</v>
      </c>
      <c r="E7006" s="1347" t="s">
        <v>11333</v>
      </c>
    </row>
    <row r="7007" spans="1:5" x14ac:dyDescent="0.45">
      <c r="B7007" s="1347" t="s">
        <v>1108</v>
      </c>
      <c r="D7007" s="1347" t="s">
        <v>11334</v>
      </c>
      <c r="E7007" s="1347" t="s">
        <v>1350</v>
      </c>
    </row>
    <row r="7008" spans="1:5" x14ac:dyDescent="0.45">
      <c r="B7008" s="1347" t="s">
        <v>9687</v>
      </c>
      <c r="D7008" s="1347" t="s">
        <v>11335</v>
      </c>
      <c r="E7008" s="1347" t="s">
        <v>11336</v>
      </c>
    </row>
    <row r="7009" spans="1:5" x14ac:dyDescent="0.45">
      <c r="B7009" s="1347" t="s">
        <v>4037</v>
      </c>
      <c r="D7009" s="1347" t="s">
        <v>11337</v>
      </c>
      <c r="E7009" s="1347" t="s">
        <v>11338</v>
      </c>
    </row>
    <row r="7010" spans="1:5" x14ac:dyDescent="0.45">
      <c r="B7010" s="1347" t="s">
        <v>11339</v>
      </c>
      <c r="D7010" s="1347" t="s">
        <v>11340</v>
      </c>
      <c r="E7010" s="1347" t="s">
        <v>11341</v>
      </c>
    </row>
    <row r="7011" spans="1:5" x14ac:dyDescent="0.45">
      <c r="B7011" s="1347" t="s">
        <v>1108</v>
      </c>
      <c r="D7011" s="1347" t="s">
        <v>11342</v>
      </c>
      <c r="E7011" s="1347" t="s">
        <v>11343</v>
      </c>
    </row>
    <row r="7012" spans="1:5" x14ac:dyDescent="0.45">
      <c r="B7012" s="1347" t="s">
        <v>11344</v>
      </c>
      <c r="C7012" s="1347">
        <v>-6</v>
      </c>
      <c r="D7012" s="1347" t="s">
        <v>11345</v>
      </c>
      <c r="E7012" s="1347" t="s">
        <v>11346</v>
      </c>
    </row>
    <row r="7013" spans="1:5" x14ac:dyDescent="0.45">
      <c r="B7013" s="1347" t="s">
        <v>5681</v>
      </c>
      <c r="D7013" s="1347" t="s">
        <v>11347</v>
      </c>
      <c r="E7013" s="1347" t="s">
        <v>11348</v>
      </c>
    </row>
    <row r="7014" spans="1:5" x14ac:dyDescent="0.45">
      <c r="A7014" s="1347" t="s">
        <v>1105</v>
      </c>
      <c r="B7014" s="1347" t="s">
        <v>11349</v>
      </c>
      <c r="D7014" s="1347" t="s">
        <v>11350</v>
      </c>
      <c r="E7014" s="1347" t="s">
        <v>11351</v>
      </c>
    </row>
    <row r="7015" spans="1:5" x14ac:dyDescent="0.45">
      <c r="B7015" s="1347" t="s">
        <v>11352</v>
      </c>
      <c r="D7015" s="1347" t="s">
        <v>11353</v>
      </c>
      <c r="E7015" s="1347" t="s">
        <v>11354</v>
      </c>
    </row>
    <row r="7016" spans="1:5" x14ac:dyDescent="0.45">
      <c r="A7016" s="1347" t="s">
        <v>1105</v>
      </c>
      <c r="B7016" s="1347" t="s">
        <v>11355</v>
      </c>
      <c r="D7016" s="1347" t="s">
        <v>11356</v>
      </c>
      <c r="E7016" s="1347" t="s">
        <v>11357</v>
      </c>
    </row>
    <row r="7017" spans="1:5" x14ac:dyDescent="0.45">
      <c r="B7017" s="1347" t="s">
        <v>3177</v>
      </c>
      <c r="D7017" s="1347" t="s">
        <v>11358</v>
      </c>
      <c r="E7017" s="1347" t="s">
        <v>11359</v>
      </c>
    </row>
    <row r="7018" spans="1:5" x14ac:dyDescent="0.45">
      <c r="B7018" s="1347" t="s">
        <v>1108</v>
      </c>
      <c r="D7018" s="1347" t="s">
        <v>11360</v>
      </c>
      <c r="E7018" s="1347" t="s">
        <v>11361</v>
      </c>
    </row>
    <row r="7019" spans="1:5" x14ac:dyDescent="0.45">
      <c r="A7019" s="1347">
        <v>-75</v>
      </c>
      <c r="B7019" s="1347" t="s">
        <v>11362</v>
      </c>
      <c r="D7019" s="1347" t="s">
        <v>11363</v>
      </c>
      <c r="E7019" s="1347" t="s">
        <v>11364</v>
      </c>
    </row>
    <row r="7020" spans="1:5" x14ac:dyDescent="0.45">
      <c r="B7020" s="1347" t="s">
        <v>11365</v>
      </c>
      <c r="D7020" s="1347" t="s">
        <v>11366</v>
      </c>
      <c r="E7020" s="1347" t="s">
        <v>11367</v>
      </c>
    </row>
    <row r="7021" spans="1:5" x14ac:dyDescent="0.45">
      <c r="B7021" s="1347" t="s">
        <v>1108</v>
      </c>
      <c r="D7021" s="1347" t="s">
        <v>1109</v>
      </c>
      <c r="E7021" s="1347" t="s">
        <v>11368</v>
      </c>
    </row>
    <row r="7022" spans="1:5" x14ac:dyDescent="0.45">
      <c r="A7022" s="1347">
        <v>-2</v>
      </c>
      <c r="B7022" s="1347" t="s">
        <v>11369</v>
      </c>
      <c r="D7022" s="1347" t="s">
        <v>11370</v>
      </c>
      <c r="E7022" s="1347" t="s">
        <v>1110</v>
      </c>
    </row>
    <row r="7023" spans="1:5" x14ac:dyDescent="0.45">
      <c r="A7023" s="1347">
        <v>-2</v>
      </c>
      <c r="B7023" s="1347" t="s">
        <v>11371</v>
      </c>
      <c r="D7023" s="1347">
        <f>-679   -772    -53    -3</f>
        <v>-1507</v>
      </c>
      <c r="E7023" s="1347" t="s">
        <v>1402</v>
      </c>
    </row>
    <row r="7024" spans="1:5" x14ac:dyDescent="0.45">
      <c r="A7024" s="1347">
        <v>-3</v>
      </c>
      <c r="B7024" s="1347" t="s">
        <v>11372</v>
      </c>
      <c r="C7024" s="1347" t="s">
        <v>1105</v>
      </c>
      <c r="D7024" s="1347" t="s">
        <v>11373</v>
      </c>
      <c r="E7024" s="1347" t="s">
        <v>11374</v>
      </c>
    </row>
    <row r="7025" spans="1:5" x14ac:dyDescent="0.45">
      <c r="B7025" s="1347" t="s">
        <v>11375</v>
      </c>
      <c r="D7025" s="1347" t="s">
        <v>11376</v>
      </c>
      <c r="E7025" s="1347" t="s">
        <v>11377</v>
      </c>
    </row>
    <row r="7026" spans="1:5" x14ac:dyDescent="0.45">
      <c r="B7026" s="1347" t="s">
        <v>11378</v>
      </c>
      <c r="D7026" s="1347" t="s">
        <v>11379</v>
      </c>
      <c r="E7026" s="1347" t="s">
        <v>1110</v>
      </c>
    </row>
    <row r="7027" spans="1:5" x14ac:dyDescent="0.45">
      <c r="A7027" s="1347" t="s">
        <v>1105</v>
      </c>
      <c r="B7027" s="1347" t="s">
        <v>11380</v>
      </c>
      <c r="D7027" s="1347" t="s">
        <v>11381</v>
      </c>
      <c r="E7027" s="1347" t="s">
        <v>11382</v>
      </c>
    </row>
    <row r="7028" spans="1:5" x14ac:dyDescent="0.45">
      <c r="B7028" s="1347" t="s">
        <v>11383</v>
      </c>
      <c r="D7028" s="1347" t="s">
        <v>1109</v>
      </c>
      <c r="E7028" s="1347" t="s">
        <v>11384</v>
      </c>
    </row>
    <row r="7029" spans="1:5" x14ac:dyDescent="0.45">
      <c r="B7029" s="1347" t="s">
        <v>1108</v>
      </c>
      <c r="D7029" s="1347" t="s">
        <v>1109</v>
      </c>
      <c r="E7029" s="1347" t="s">
        <v>1110</v>
      </c>
    </row>
    <row r="7030" spans="1:5" x14ac:dyDescent="0.45">
      <c r="B7030" s="1347" t="s">
        <v>1108</v>
      </c>
      <c r="D7030" s="1347" t="s">
        <v>10557</v>
      </c>
      <c r="E7030" s="1347" t="s">
        <v>1402</v>
      </c>
    </row>
    <row r="7031" spans="1:5" x14ac:dyDescent="0.45">
      <c r="B7031" s="1347" t="s">
        <v>11385</v>
      </c>
      <c r="D7031" s="1347" t="s">
        <v>11386</v>
      </c>
      <c r="E7031" s="1347" t="s">
        <v>11387</v>
      </c>
    </row>
    <row r="7032" spans="1:5" x14ac:dyDescent="0.45">
      <c r="B7032" s="1347" t="s">
        <v>11388</v>
      </c>
      <c r="D7032" s="1347" t="s">
        <v>11389</v>
      </c>
      <c r="E7032" s="1347" t="s">
        <v>11390</v>
      </c>
    </row>
    <row r="7033" spans="1:5" x14ac:dyDescent="0.45">
      <c r="A7033" s="1347">
        <v>1</v>
      </c>
      <c r="B7033" s="1347" t="s">
        <v>11391</v>
      </c>
      <c r="C7033" s="1347" t="s">
        <v>1105</v>
      </c>
      <c r="D7033" s="1347" t="s">
        <v>11392</v>
      </c>
      <c r="E7033" s="1347" t="s">
        <v>11393</v>
      </c>
    </row>
    <row r="7034" spans="1:5" x14ac:dyDescent="0.45">
      <c r="A7034" s="1347">
        <v>-2</v>
      </c>
      <c r="B7034" s="1347" t="s">
        <v>11394</v>
      </c>
      <c r="D7034" s="1347" t="s">
        <v>11395</v>
      </c>
      <c r="E7034" s="1347" t="s">
        <v>11396</v>
      </c>
    </row>
    <row r="7035" spans="1:5" x14ac:dyDescent="0.45">
      <c r="A7035" s="1347" t="s">
        <v>1105</v>
      </c>
      <c r="B7035" s="1347" t="s">
        <v>11397</v>
      </c>
      <c r="D7035" s="1347" t="s">
        <v>11398</v>
      </c>
      <c r="E7035" s="1347" t="s">
        <v>11399</v>
      </c>
    </row>
    <row r="7036" spans="1:5" x14ac:dyDescent="0.45">
      <c r="B7036" s="1347" t="s">
        <v>11400</v>
      </c>
      <c r="D7036" s="1347" t="s">
        <v>11401</v>
      </c>
      <c r="E7036" s="1347" t="s">
        <v>11402</v>
      </c>
    </row>
    <row r="7037" spans="1:5" x14ac:dyDescent="0.45">
      <c r="A7037" s="1347">
        <v>55</v>
      </c>
      <c r="B7037" s="1347" t="s">
        <v>11403</v>
      </c>
      <c r="C7037" s="1347">
        <v>5</v>
      </c>
      <c r="D7037" s="1347" t="s">
        <v>11404</v>
      </c>
      <c r="E7037" s="1347" t="s">
        <v>11405</v>
      </c>
    </row>
    <row r="7038" spans="1:5" x14ac:dyDescent="0.45">
      <c r="A7038" s="1347">
        <v>54</v>
      </c>
      <c r="B7038" s="1347" t="s">
        <v>11406</v>
      </c>
      <c r="C7038" s="1347">
        <v>5</v>
      </c>
      <c r="D7038" s="1347" t="s">
        <v>11407</v>
      </c>
      <c r="E7038" s="1347" t="s">
        <v>11408</v>
      </c>
    </row>
    <row r="7039" spans="1:5" x14ac:dyDescent="0.45">
      <c r="B7039" s="1347" t="s">
        <v>11409</v>
      </c>
      <c r="D7039" s="1347">
        <f>-515   -231   -293</f>
        <v>-1039</v>
      </c>
      <c r="E7039" s="1347" t="s">
        <v>11410</v>
      </c>
    </row>
    <row r="7040" spans="1:5" x14ac:dyDescent="0.45">
      <c r="B7040" s="1347" t="s">
        <v>10149</v>
      </c>
      <c r="D7040" s="1347" t="s">
        <v>1138</v>
      </c>
      <c r="E7040" s="1347" t="s">
        <v>11411</v>
      </c>
    </row>
    <row r="7041" spans="1:5" x14ac:dyDescent="0.45">
      <c r="B7041" s="1347" t="s">
        <v>1108</v>
      </c>
      <c r="D7041" s="1347" t="s">
        <v>11412</v>
      </c>
      <c r="E7041" s="1347" t="s">
        <v>11413</v>
      </c>
    </row>
    <row r="7042" spans="1:5" x14ac:dyDescent="0.45">
      <c r="B7042" s="1347" t="s">
        <v>11414</v>
      </c>
      <c r="D7042" s="1347">
        <f>-205   -519   -640  -126</f>
        <v>-1490</v>
      </c>
      <c r="E7042" s="1347" t="s">
        <v>11415</v>
      </c>
    </row>
    <row r="7043" spans="1:5" x14ac:dyDescent="0.45">
      <c r="B7043" s="1347" t="s">
        <v>1108</v>
      </c>
      <c r="D7043" s="1347" t="s">
        <v>11416</v>
      </c>
      <c r="E7043" s="1347" t="s">
        <v>11417</v>
      </c>
    </row>
    <row r="7044" spans="1:5" x14ac:dyDescent="0.45">
      <c r="B7044" s="1347" t="s">
        <v>1108</v>
      </c>
      <c r="D7044" s="1347" t="s">
        <v>1240</v>
      </c>
      <c r="E7044" s="1347" t="s">
        <v>11418</v>
      </c>
    </row>
    <row r="7045" spans="1:5" x14ac:dyDescent="0.45">
      <c r="B7045" s="1347" t="s">
        <v>11419</v>
      </c>
      <c r="C7045" s="1347">
        <v>-5</v>
      </c>
      <c r="D7045" s="1347" t="s">
        <v>11420</v>
      </c>
      <c r="E7045" s="1347" t="s">
        <v>11421</v>
      </c>
    </row>
    <row r="7046" spans="1:5" x14ac:dyDescent="0.45">
      <c r="A7046" s="1347" t="s">
        <v>1105</v>
      </c>
      <c r="B7046" s="1347" t="s">
        <v>11422</v>
      </c>
      <c r="D7046" s="1347" t="s">
        <v>11423</v>
      </c>
      <c r="E7046" s="1347" t="s">
        <v>11424</v>
      </c>
    </row>
    <row r="7047" spans="1:5" x14ac:dyDescent="0.45">
      <c r="B7047" s="1347" t="s">
        <v>11425</v>
      </c>
      <c r="D7047" s="1347" t="s">
        <v>11426</v>
      </c>
      <c r="E7047" s="1347" t="s">
        <v>11427</v>
      </c>
    </row>
    <row r="7048" spans="1:5" x14ac:dyDescent="0.45">
      <c r="B7048" s="1347" t="s">
        <v>11428</v>
      </c>
      <c r="D7048" s="1347" t="s">
        <v>11429</v>
      </c>
      <c r="E7048" s="1347" t="s">
        <v>11430</v>
      </c>
    </row>
    <row r="7049" spans="1:5" x14ac:dyDescent="0.45">
      <c r="B7049" s="1347" t="s">
        <v>11431</v>
      </c>
      <c r="C7049" s="1347" t="s">
        <v>1105</v>
      </c>
      <c r="D7049" s="1347" t="s">
        <v>11432</v>
      </c>
      <c r="E7049" s="1347" t="s">
        <v>11433</v>
      </c>
    </row>
    <row r="7050" spans="1:5" x14ac:dyDescent="0.45">
      <c r="B7050" s="1347" t="s">
        <v>11434</v>
      </c>
      <c r="D7050" s="1347" t="s">
        <v>11435</v>
      </c>
      <c r="E7050" s="1347" t="s">
        <v>11436</v>
      </c>
    </row>
    <row r="7051" spans="1:5" x14ac:dyDescent="0.45">
      <c r="B7051" s="1347" t="s">
        <v>1108</v>
      </c>
      <c r="D7051" s="1347" t="s">
        <v>11437</v>
      </c>
      <c r="E7051" s="1347" t="s">
        <v>11438</v>
      </c>
    </row>
    <row r="7052" spans="1:5" x14ac:dyDescent="0.45">
      <c r="A7052" s="1347">
        <v>-60</v>
      </c>
      <c r="B7052" s="1347" t="s">
        <v>11439</v>
      </c>
      <c r="D7052" s="1347">
        <f>-196   -732   -179   -75</f>
        <v>-1182</v>
      </c>
      <c r="E7052" s="1347" t="s">
        <v>11440</v>
      </c>
    </row>
    <row r="7053" spans="1:5" x14ac:dyDescent="0.45">
      <c r="B7053" s="1347" t="s">
        <v>3022</v>
      </c>
      <c r="D7053" s="1347" t="s">
        <v>11441</v>
      </c>
      <c r="E7053" s="1347" t="s">
        <v>11442</v>
      </c>
    </row>
    <row r="7054" spans="1:5" x14ac:dyDescent="0.45">
      <c r="B7054" s="1347" t="s">
        <v>11443</v>
      </c>
      <c r="D7054" s="1347" t="s">
        <v>1109</v>
      </c>
      <c r="E7054" s="1347" t="s">
        <v>11444</v>
      </c>
    </row>
    <row r="7055" spans="1:5" x14ac:dyDescent="0.45">
      <c r="A7055" s="1347">
        <v>1</v>
      </c>
      <c r="B7055" s="1347" t="s">
        <v>11445</v>
      </c>
      <c r="D7055" s="1347" t="s">
        <v>11446</v>
      </c>
      <c r="E7055" s="1347" t="s">
        <v>11447</v>
      </c>
    </row>
    <row r="7056" spans="1:5" x14ac:dyDescent="0.45">
      <c r="A7056" s="1347">
        <v>2</v>
      </c>
      <c r="B7056" s="1347" t="s">
        <v>11448</v>
      </c>
      <c r="C7056" s="1347" t="s">
        <v>1105</v>
      </c>
      <c r="D7056" s="1347" t="s">
        <v>11449</v>
      </c>
      <c r="E7056" s="1347" t="s">
        <v>8968</v>
      </c>
    </row>
    <row r="7057" spans="1:5" x14ac:dyDescent="0.45">
      <c r="A7057" s="1347">
        <v>-1</v>
      </c>
      <c r="B7057" s="1347" t="s">
        <v>8346</v>
      </c>
      <c r="C7057" s="1347" t="s">
        <v>1105</v>
      </c>
      <c r="D7057" s="1347" t="s">
        <v>11450</v>
      </c>
      <c r="E7057" s="1347" t="s">
        <v>1110</v>
      </c>
    </row>
    <row r="7058" spans="1:5" x14ac:dyDescent="0.45">
      <c r="B7058" s="1347" t="s">
        <v>11451</v>
      </c>
      <c r="D7058" s="1347" t="s">
        <v>11452</v>
      </c>
      <c r="E7058" s="1347" t="s">
        <v>11453</v>
      </c>
    </row>
    <row r="7059" spans="1:5" x14ac:dyDescent="0.45">
      <c r="B7059" s="1347" t="s">
        <v>1108</v>
      </c>
      <c r="D7059" s="1347" t="s">
        <v>11454</v>
      </c>
      <c r="E7059" s="1347" t="s">
        <v>11455</v>
      </c>
    </row>
    <row r="7060" spans="1:5" x14ac:dyDescent="0.45">
      <c r="B7060" s="1347" t="s">
        <v>1108</v>
      </c>
      <c r="D7060" s="1347" t="s">
        <v>11456</v>
      </c>
      <c r="E7060" s="1347" t="s">
        <v>11457</v>
      </c>
    </row>
    <row r="7061" spans="1:5" x14ac:dyDescent="0.45">
      <c r="A7061" s="1347" t="s">
        <v>1105</v>
      </c>
      <c r="B7061" s="1347" t="s">
        <v>1946</v>
      </c>
      <c r="D7061" s="1347" t="s">
        <v>8487</v>
      </c>
      <c r="E7061" s="1347" t="s">
        <v>11458</v>
      </c>
    </row>
    <row r="7062" spans="1:5" x14ac:dyDescent="0.45">
      <c r="A7062" s="1347">
        <v>5</v>
      </c>
      <c r="B7062" s="1347" t="s">
        <v>11459</v>
      </c>
      <c r="D7062" s="1347" t="s">
        <v>11460</v>
      </c>
      <c r="E7062" s="1347" t="s">
        <v>11461</v>
      </c>
    </row>
    <row r="7063" spans="1:5" x14ac:dyDescent="0.45">
      <c r="B7063" s="1347" t="s">
        <v>1108</v>
      </c>
      <c r="D7063" s="1347" t="s">
        <v>11462</v>
      </c>
      <c r="E7063" s="1347" t="s">
        <v>11463</v>
      </c>
    </row>
    <row r="7064" spans="1:5" x14ac:dyDescent="0.45">
      <c r="B7064" s="1347" t="s">
        <v>1108</v>
      </c>
      <c r="D7064" s="1347" t="s">
        <v>11464</v>
      </c>
      <c r="E7064" s="1347" t="s">
        <v>1275</v>
      </c>
    </row>
    <row r="7065" spans="1:5" x14ac:dyDescent="0.45">
      <c r="A7065" s="1347">
        <v>1</v>
      </c>
      <c r="B7065" s="1347" t="s">
        <v>11465</v>
      </c>
      <c r="D7065" s="1347" t="s">
        <v>11466</v>
      </c>
      <c r="E7065" s="1347" t="s">
        <v>1110</v>
      </c>
    </row>
    <row r="7066" spans="1:5" x14ac:dyDescent="0.45">
      <c r="B7066" s="1347" t="s">
        <v>1108</v>
      </c>
      <c r="D7066" s="1347" t="s">
        <v>1109</v>
      </c>
      <c r="E7066" s="1347" t="s">
        <v>11467</v>
      </c>
    </row>
    <row r="7067" spans="1:5" x14ac:dyDescent="0.45">
      <c r="B7067" s="1347" t="s">
        <v>1108</v>
      </c>
      <c r="D7067" s="1347" t="s">
        <v>11468</v>
      </c>
      <c r="E7067" s="1347" t="s">
        <v>11469</v>
      </c>
    </row>
    <row r="7068" spans="1:5" x14ac:dyDescent="0.45">
      <c r="A7068" s="1347">
        <v>-5</v>
      </c>
      <c r="B7068" s="1347" t="s">
        <v>11470</v>
      </c>
      <c r="C7068" s="1347" t="s">
        <v>1105</v>
      </c>
      <c r="D7068" s="1347" t="s">
        <v>11471</v>
      </c>
      <c r="E7068" s="1347" t="s">
        <v>11472</v>
      </c>
    </row>
    <row r="7069" spans="1:5" x14ac:dyDescent="0.45">
      <c r="A7069" s="1347">
        <v>-2</v>
      </c>
      <c r="B7069" s="1347" t="s">
        <v>11473</v>
      </c>
      <c r="D7069" s="1347" t="s">
        <v>11474</v>
      </c>
      <c r="E7069" s="1347" t="s">
        <v>11475</v>
      </c>
    </row>
    <row r="7070" spans="1:5" x14ac:dyDescent="0.45">
      <c r="A7070" s="1347">
        <v>-11</v>
      </c>
      <c r="B7070" s="1347" t="s">
        <v>11476</v>
      </c>
      <c r="C7070" s="1347" t="s">
        <v>1105</v>
      </c>
      <c r="D7070" s="1347" t="s">
        <v>11477</v>
      </c>
      <c r="E7070" s="1347" t="s">
        <v>11478</v>
      </c>
    </row>
    <row r="7071" spans="1:5" x14ac:dyDescent="0.45">
      <c r="A7071" s="1347">
        <v>-9</v>
      </c>
      <c r="B7071" s="1347" t="s">
        <v>11479</v>
      </c>
      <c r="C7071" s="1347">
        <v>-1</v>
      </c>
      <c r="D7071" s="1347" t="s">
        <v>11480</v>
      </c>
      <c r="E7071" s="1347" t="s">
        <v>11481</v>
      </c>
    </row>
    <row r="7072" spans="1:5" x14ac:dyDescent="0.45">
      <c r="A7072" s="1347">
        <v>2</v>
      </c>
      <c r="B7072" s="1347" t="s">
        <v>11482</v>
      </c>
      <c r="D7072" s="1347" t="s">
        <v>11483</v>
      </c>
      <c r="E7072" s="1347" t="s">
        <v>11484</v>
      </c>
    </row>
    <row r="7073" spans="1:5" x14ac:dyDescent="0.45">
      <c r="A7073" s="1347">
        <v>2</v>
      </c>
      <c r="B7073" s="1347" t="s">
        <v>11485</v>
      </c>
      <c r="D7073" s="1347" t="s">
        <v>11486</v>
      </c>
      <c r="E7073" s="1347" t="s">
        <v>11487</v>
      </c>
    </row>
    <row r="7074" spans="1:5" x14ac:dyDescent="0.45">
      <c r="A7074" s="1347">
        <v>27</v>
      </c>
      <c r="B7074" s="1347" t="s">
        <v>11488</v>
      </c>
      <c r="C7074" s="1347">
        <v>4</v>
      </c>
      <c r="D7074" s="1347" t="s">
        <v>11489</v>
      </c>
      <c r="E7074" s="1347" t="s">
        <v>11490</v>
      </c>
    </row>
    <row r="7075" spans="1:5" x14ac:dyDescent="0.45">
      <c r="A7075" s="1347">
        <v>57</v>
      </c>
      <c r="B7075" s="1347" t="s">
        <v>11491</v>
      </c>
      <c r="C7075" s="1347">
        <v>9</v>
      </c>
      <c r="D7075" s="1347" t="s">
        <v>11492</v>
      </c>
      <c r="E7075" s="1347" t="s">
        <v>11493</v>
      </c>
    </row>
    <row r="7076" spans="1:5" x14ac:dyDescent="0.45">
      <c r="B7076" s="1347" t="s">
        <v>1108</v>
      </c>
      <c r="D7076" s="1347" t="s">
        <v>11494</v>
      </c>
      <c r="E7076" s="1347" t="s">
        <v>11495</v>
      </c>
    </row>
    <row r="7077" spans="1:5" x14ac:dyDescent="0.45">
      <c r="B7077" s="1347" t="s">
        <v>1108</v>
      </c>
      <c r="D7077" s="1347" t="s">
        <v>11496</v>
      </c>
      <c r="E7077" s="1347" t="s">
        <v>11497</v>
      </c>
    </row>
    <row r="7078" spans="1:5" x14ac:dyDescent="0.45">
      <c r="B7078" s="1347" t="s">
        <v>2697</v>
      </c>
      <c r="D7078" s="1347" t="s">
        <v>11498</v>
      </c>
      <c r="E7078" s="1347" t="s">
        <v>11499</v>
      </c>
    </row>
    <row r="7079" spans="1:5" x14ac:dyDescent="0.45">
      <c r="A7079" s="1347">
        <v>-1</v>
      </c>
      <c r="B7079" s="1347" t="s">
        <v>11500</v>
      </c>
      <c r="D7079" s="1347" t="s">
        <v>11501</v>
      </c>
      <c r="E7079" s="1347" t="s">
        <v>11502</v>
      </c>
    </row>
    <row r="7080" spans="1:5" x14ac:dyDescent="0.45">
      <c r="B7080" s="1347" t="s">
        <v>1108</v>
      </c>
      <c r="D7080" s="1347" t="s">
        <v>11503</v>
      </c>
      <c r="E7080" s="1347" t="s">
        <v>1110</v>
      </c>
    </row>
    <row r="7081" spans="1:5" x14ac:dyDescent="0.45">
      <c r="B7081" s="1347" t="s">
        <v>11504</v>
      </c>
      <c r="D7081" s="1347" t="s">
        <v>11505</v>
      </c>
      <c r="E7081" s="1347" t="s">
        <v>11506</v>
      </c>
    </row>
    <row r="7082" spans="1:5" x14ac:dyDescent="0.45">
      <c r="B7082" s="1347" t="s">
        <v>1108</v>
      </c>
      <c r="D7082" s="1347" t="s">
        <v>11507</v>
      </c>
      <c r="E7082" s="1347" t="s">
        <v>11508</v>
      </c>
    </row>
    <row r="7083" spans="1:5" x14ac:dyDescent="0.45">
      <c r="B7083" s="1347" t="s">
        <v>2066</v>
      </c>
      <c r="D7083" s="1347" t="s">
        <v>11509</v>
      </c>
      <c r="E7083" s="1347" t="s">
        <v>11510</v>
      </c>
    </row>
    <row r="7084" spans="1:5" x14ac:dyDescent="0.45">
      <c r="B7084" s="1347" t="s">
        <v>1108</v>
      </c>
      <c r="D7084" s="1347" t="s">
        <v>11511</v>
      </c>
      <c r="E7084" s="1347" t="s">
        <v>11512</v>
      </c>
    </row>
    <row r="7085" spans="1:5" x14ac:dyDescent="0.45">
      <c r="A7085" s="1347">
        <v>-1</v>
      </c>
      <c r="B7085" s="1347" t="s">
        <v>11513</v>
      </c>
      <c r="D7085" s="1347" t="s">
        <v>11514</v>
      </c>
      <c r="E7085" s="1347" t="s">
        <v>11515</v>
      </c>
    </row>
    <row r="7086" spans="1:5" x14ac:dyDescent="0.45">
      <c r="B7086" s="1347" t="s">
        <v>11516</v>
      </c>
      <c r="D7086" s="1347" t="s">
        <v>11517</v>
      </c>
      <c r="E7086" s="1347" t="s">
        <v>11518</v>
      </c>
    </row>
    <row r="7087" spans="1:5" x14ac:dyDescent="0.45">
      <c r="B7087" s="1347" t="s">
        <v>11519</v>
      </c>
      <c r="D7087" s="1347" t="s">
        <v>2887</v>
      </c>
      <c r="E7087" s="1347" t="s">
        <v>11520</v>
      </c>
    </row>
    <row r="7088" spans="1:5" x14ac:dyDescent="0.45">
      <c r="A7088" s="1347">
        <v>9</v>
      </c>
      <c r="B7088" s="1347" t="s">
        <v>11521</v>
      </c>
      <c r="D7088" s="1347" t="s">
        <v>11522</v>
      </c>
      <c r="E7088" s="1347" t="s">
        <v>11523</v>
      </c>
    </row>
    <row r="7089" spans="1:5" x14ac:dyDescent="0.45">
      <c r="B7089" s="1347" t="s">
        <v>11524</v>
      </c>
      <c r="D7089" s="1347" t="s">
        <v>11525</v>
      </c>
      <c r="E7089" s="1347" t="s">
        <v>11526</v>
      </c>
    </row>
    <row r="7090" spans="1:5" x14ac:dyDescent="0.45">
      <c r="B7090" s="1347" t="s">
        <v>1108</v>
      </c>
      <c r="D7090" s="1347" t="s">
        <v>11527</v>
      </c>
      <c r="E7090" s="1347" t="s">
        <v>11528</v>
      </c>
    </row>
    <row r="7091" spans="1:5" x14ac:dyDescent="0.45">
      <c r="B7091" s="1347" t="s">
        <v>1108</v>
      </c>
      <c r="D7091" s="1347" t="s">
        <v>11529</v>
      </c>
      <c r="E7091" s="1347" t="s">
        <v>11530</v>
      </c>
    </row>
    <row r="7092" spans="1:5" x14ac:dyDescent="0.45">
      <c r="B7092" s="1347" t="s">
        <v>3190</v>
      </c>
      <c r="D7092" s="1347" t="s">
        <v>11531</v>
      </c>
      <c r="E7092" s="1347" t="s">
        <v>11532</v>
      </c>
    </row>
    <row r="7093" spans="1:5" x14ac:dyDescent="0.45">
      <c r="B7093" s="1347" t="s">
        <v>11533</v>
      </c>
      <c r="D7093" s="1347" t="s">
        <v>11534</v>
      </c>
      <c r="E7093" s="1347" t="s">
        <v>11535</v>
      </c>
    </row>
    <row r="7094" spans="1:5" x14ac:dyDescent="0.45">
      <c r="B7094" s="1347" t="s">
        <v>1108</v>
      </c>
      <c r="D7094" s="1347" t="s">
        <v>1109</v>
      </c>
      <c r="E7094" s="1347" t="s">
        <v>11536</v>
      </c>
    </row>
    <row r="7095" spans="1:5" x14ac:dyDescent="0.45">
      <c r="A7095" s="1347" t="s">
        <v>1105</v>
      </c>
      <c r="B7095" s="1347" t="s">
        <v>11537</v>
      </c>
      <c r="D7095" s="1347" t="s">
        <v>11538</v>
      </c>
      <c r="E7095" s="1347" t="s">
        <v>11539</v>
      </c>
    </row>
    <row r="7096" spans="1:5" x14ac:dyDescent="0.45">
      <c r="A7096" s="1347" t="s">
        <v>1105</v>
      </c>
      <c r="B7096" s="1347" t="s">
        <v>11540</v>
      </c>
      <c r="D7096" s="1347" t="s">
        <v>11541</v>
      </c>
      <c r="E7096" s="1347" t="s">
        <v>11542</v>
      </c>
    </row>
    <row r="7097" spans="1:5" x14ac:dyDescent="0.45">
      <c r="B7097" s="1347" t="s">
        <v>11543</v>
      </c>
      <c r="D7097" s="1347" t="s">
        <v>11544</v>
      </c>
      <c r="E7097" s="1347" t="s">
        <v>1156</v>
      </c>
    </row>
    <row r="7098" spans="1:5" x14ac:dyDescent="0.45">
      <c r="B7098" s="1347" t="s">
        <v>3890</v>
      </c>
      <c r="D7098" s="1347" t="s">
        <v>11545</v>
      </c>
      <c r="E7098" s="1347" t="s">
        <v>11546</v>
      </c>
    </row>
    <row r="7099" spans="1:5" x14ac:dyDescent="0.45">
      <c r="A7099" s="1347" t="s">
        <v>1105</v>
      </c>
      <c r="B7099" s="1347" t="s">
        <v>11547</v>
      </c>
      <c r="D7099" s="1347" t="s">
        <v>1109</v>
      </c>
      <c r="E7099" s="1347" t="s">
        <v>11548</v>
      </c>
    </row>
    <row r="7100" spans="1:5" x14ac:dyDescent="0.45">
      <c r="A7100" s="1347" t="s">
        <v>1105</v>
      </c>
      <c r="B7100" s="1347" t="s">
        <v>11549</v>
      </c>
      <c r="D7100" s="1347" t="s">
        <v>11550</v>
      </c>
      <c r="E7100" s="1347" t="s">
        <v>11551</v>
      </c>
    </row>
    <row r="7101" spans="1:5" x14ac:dyDescent="0.45">
      <c r="A7101" s="1347">
        <v>-2</v>
      </c>
      <c r="B7101" s="1347" t="s">
        <v>11552</v>
      </c>
      <c r="D7101" s="1347" t="s">
        <v>11553</v>
      </c>
      <c r="E7101" s="1347" t="s">
        <v>11554</v>
      </c>
    </row>
    <row r="7102" spans="1:5" x14ac:dyDescent="0.45">
      <c r="B7102" s="1347" t="s">
        <v>1108</v>
      </c>
      <c r="D7102" s="1347" t="s">
        <v>1109</v>
      </c>
      <c r="E7102" s="1347" t="s">
        <v>1110</v>
      </c>
    </row>
    <row r="7103" spans="1:5" x14ac:dyDescent="0.45">
      <c r="B7103" s="1347" t="s">
        <v>1108</v>
      </c>
      <c r="D7103" s="1347" t="s">
        <v>11555</v>
      </c>
      <c r="E7103" s="1347" t="s">
        <v>1110</v>
      </c>
    </row>
    <row r="7104" spans="1:5" x14ac:dyDescent="0.45">
      <c r="A7104" s="1347">
        <v>1</v>
      </c>
      <c r="B7104" s="1347" t="s">
        <v>11556</v>
      </c>
      <c r="C7104" s="1347" t="s">
        <v>1105</v>
      </c>
      <c r="D7104" s="1347" t="s">
        <v>11557</v>
      </c>
      <c r="E7104" s="1347" t="s">
        <v>11558</v>
      </c>
    </row>
    <row r="7105" spans="1:5" x14ac:dyDescent="0.45">
      <c r="A7105" s="1347" t="s">
        <v>1105</v>
      </c>
      <c r="B7105" s="1347" t="s">
        <v>11559</v>
      </c>
      <c r="C7105" s="1347" t="s">
        <v>1105</v>
      </c>
      <c r="D7105" s="1347" t="s">
        <v>11560</v>
      </c>
      <c r="E7105" s="1347" t="s">
        <v>11561</v>
      </c>
    </row>
    <row r="7106" spans="1:5" x14ac:dyDescent="0.45">
      <c r="A7106" s="1347">
        <v>-9</v>
      </c>
      <c r="B7106" s="1347" t="s">
        <v>11562</v>
      </c>
      <c r="C7106" s="1347" t="s">
        <v>1105</v>
      </c>
      <c r="D7106" s="1347" t="s">
        <v>11563</v>
      </c>
      <c r="E7106" s="1347" t="s">
        <v>11564</v>
      </c>
    </row>
    <row r="7107" spans="1:5" x14ac:dyDescent="0.45">
      <c r="A7107" s="1347">
        <v>-6</v>
      </c>
      <c r="B7107" s="1347" t="s">
        <v>11565</v>
      </c>
      <c r="C7107" s="1347" t="s">
        <v>1105</v>
      </c>
      <c r="D7107" s="1347" t="s">
        <v>11566</v>
      </c>
      <c r="E7107" s="1347" t="s">
        <v>11567</v>
      </c>
    </row>
    <row r="7108" spans="1:5" x14ac:dyDescent="0.45">
      <c r="A7108" s="1347">
        <v>1</v>
      </c>
      <c r="B7108" s="1347" t="s">
        <v>11568</v>
      </c>
      <c r="D7108" s="1347" t="s">
        <v>11569</v>
      </c>
      <c r="E7108" s="1347" t="s">
        <v>11570</v>
      </c>
    </row>
    <row r="7109" spans="1:5" x14ac:dyDescent="0.45">
      <c r="A7109" s="1347">
        <v>1</v>
      </c>
      <c r="B7109" s="1347" t="s">
        <v>11571</v>
      </c>
      <c r="D7109" s="1347" t="s">
        <v>11572</v>
      </c>
      <c r="E7109" s="1347" t="s">
        <v>11573</v>
      </c>
    </row>
    <row r="7110" spans="1:5" x14ac:dyDescent="0.45">
      <c r="A7110" s="1347">
        <v>59</v>
      </c>
      <c r="B7110" s="1347" t="s">
        <v>11574</v>
      </c>
      <c r="C7110" s="1347">
        <v>5</v>
      </c>
      <c r="D7110" s="1347" t="s">
        <v>11575</v>
      </c>
      <c r="E7110" s="1347" t="s">
        <v>11576</v>
      </c>
    </row>
    <row r="7111" spans="1:5" x14ac:dyDescent="0.45">
      <c r="A7111" s="1347">
        <v>56</v>
      </c>
      <c r="B7111" s="1347" t="s">
        <v>11577</v>
      </c>
      <c r="C7111" s="1347">
        <v>6</v>
      </c>
      <c r="D7111" s="1347" t="s">
        <v>11578</v>
      </c>
      <c r="E7111" s="1347" t="s">
        <v>11579</v>
      </c>
    </row>
    <row r="7112" spans="1:5" x14ac:dyDescent="0.45">
      <c r="A7112" s="1347">
        <v>97</v>
      </c>
      <c r="B7112" s="1347" t="s">
        <v>11580</v>
      </c>
      <c r="C7112" s="1347">
        <v>-4</v>
      </c>
      <c r="D7112" s="1347" t="s">
        <v>11581</v>
      </c>
      <c r="E7112" s="1347" t="s">
        <v>11582</v>
      </c>
    </row>
    <row r="7113" spans="1:5" x14ac:dyDescent="0.45">
      <c r="B7113" s="1347" t="s">
        <v>1108</v>
      </c>
      <c r="D7113" s="1347" t="s">
        <v>11583</v>
      </c>
      <c r="E7113" s="1347" t="s">
        <v>1110</v>
      </c>
    </row>
    <row r="7114" spans="1:5" x14ac:dyDescent="0.45">
      <c r="A7114" s="1347" t="s">
        <v>1105</v>
      </c>
      <c r="B7114" s="1347" t="s">
        <v>1548</v>
      </c>
      <c r="D7114" s="1347" t="s">
        <v>11584</v>
      </c>
      <c r="E7114" s="1347" t="s">
        <v>11585</v>
      </c>
    </row>
    <row r="7115" spans="1:5" x14ac:dyDescent="0.45">
      <c r="B7115" s="1347" t="s">
        <v>11586</v>
      </c>
      <c r="C7115" s="1347">
        <v>-4</v>
      </c>
      <c r="D7115" s="1347" t="s">
        <v>11587</v>
      </c>
      <c r="E7115" s="1347" t="s">
        <v>11588</v>
      </c>
    </row>
    <row r="7116" spans="1:5" x14ac:dyDescent="0.45">
      <c r="B7116" s="1347" t="s">
        <v>1108</v>
      </c>
      <c r="D7116" s="1347" t="s">
        <v>11589</v>
      </c>
      <c r="E7116" s="1347" t="s">
        <v>11590</v>
      </c>
    </row>
    <row r="7117" spans="1:5" x14ac:dyDescent="0.45">
      <c r="B7117" s="1347" t="s">
        <v>10920</v>
      </c>
      <c r="D7117" s="1347" t="s">
        <v>1109</v>
      </c>
      <c r="E7117" s="1347" t="s">
        <v>11591</v>
      </c>
    </row>
    <row r="7118" spans="1:5" x14ac:dyDescent="0.45">
      <c r="B7118" s="1347" t="s">
        <v>1108</v>
      </c>
      <c r="D7118" s="1347" t="s">
        <v>11592</v>
      </c>
      <c r="E7118" s="1347" t="s">
        <v>1275</v>
      </c>
    </row>
    <row r="7119" spans="1:5" x14ac:dyDescent="0.45">
      <c r="A7119" s="1347">
        <v>-1</v>
      </c>
      <c r="B7119" s="1347" t="s">
        <v>11593</v>
      </c>
      <c r="D7119" s="1347" t="s">
        <v>11594</v>
      </c>
      <c r="E7119" s="1347" t="s">
        <v>11595</v>
      </c>
    </row>
    <row r="7120" spans="1:5" x14ac:dyDescent="0.45">
      <c r="B7120" s="1347" t="s">
        <v>11596</v>
      </c>
      <c r="D7120" s="1347" t="s">
        <v>11597</v>
      </c>
      <c r="E7120" s="1347" t="s">
        <v>1110</v>
      </c>
    </row>
    <row r="7121" spans="1:5" x14ac:dyDescent="0.45">
      <c r="B7121" s="1347" t="s">
        <v>4732</v>
      </c>
      <c r="D7121" s="1347" t="s">
        <v>11598</v>
      </c>
      <c r="E7121" s="1347" t="s">
        <v>11599</v>
      </c>
    </row>
    <row r="7122" spans="1:5" x14ac:dyDescent="0.45">
      <c r="B7122" s="1347" t="s">
        <v>1473</v>
      </c>
      <c r="D7122" s="1347" t="s">
        <v>11600</v>
      </c>
      <c r="E7122" s="1347" t="s">
        <v>11601</v>
      </c>
    </row>
    <row r="7123" spans="1:5" x14ac:dyDescent="0.45">
      <c r="B7123" s="1347" t="s">
        <v>1108</v>
      </c>
      <c r="D7123" s="1347" t="s">
        <v>11602</v>
      </c>
      <c r="E7123" s="1347" t="s">
        <v>11603</v>
      </c>
    </row>
    <row r="7124" spans="1:5" x14ac:dyDescent="0.45">
      <c r="B7124" s="1347" t="s">
        <v>1108</v>
      </c>
      <c r="D7124" s="1347" t="s">
        <v>11604</v>
      </c>
      <c r="E7124" s="1347" t="s">
        <v>11605</v>
      </c>
    </row>
    <row r="7125" spans="1:5" x14ac:dyDescent="0.45">
      <c r="A7125" s="1347">
        <v>-1</v>
      </c>
      <c r="B7125" s="1347" t="s">
        <v>11606</v>
      </c>
      <c r="D7125" s="1347">
        <f>-298   -240    -24   -13</f>
        <v>-575</v>
      </c>
      <c r="E7125" s="1347" t="s">
        <v>11607</v>
      </c>
    </row>
    <row r="7126" spans="1:5" x14ac:dyDescent="0.45">
      <c r="B7126" s="1347" t="s">
        <v>1108</v>
      </c>
      <c r="D7126" s="1347" t="s">
        <v>11608</v>
      </c>
      <c r="E7126" s="1347" t="s">
        <v>11609</v>
      </c>
    </row>
    <row r="7127" spans="1:5" x14ac:dyDescent="0.45">
      <c r="B7127" s="1347" t="s">
        <v>11610</v>
      </c>
      <c r="D7127" s="1347" t="s">
        <v>2164</v>
      </c>
      <c r="E7127" s="1347" t="s">
        <v>11611</v>
      </c>
    </row>
    <row r="7128" spans="1:5" x14ac:dyDescent="0.45">
      <c r="A7128" s="1347">
        <v>7</v>
      </c>
      <c r="B7128" s="1347" t="s">
        <v>11612</v>
      </c>
      <c r="D7128" s="1347" t="s">
        <v>11613</v>
      </c>
      <c r="E7128" s="1347" t="s">
        <v>11614</v>
      </c>
    </row>
    <row r="7129" spans="1:5" x14ac:dyDescent="0.45">
      <c r="A7129" s="1347">
        <v>2</v>
      </c>
      <c r="B7129" s="1347" t="s">
        <v>11615</v>
      </c>
      <c r="D7129" s="1347" t="s">
        <v>11616</v>
      </c>
      <c r="E7129" s="1347" t="s">
        <v>11617</v>
      </c>
    </row>
    <row r="7130" spans="1:5" x14ac:dyDescent="0.45">
      <c r="B7130" s="1347" t="s">
        <v>11618</v>
      </c>
      <c r="D7130" s="1347" t="s">
        <v>11619</v>
      </c>
      <c r="E7130" s="1347" t="s">
        <v>1110</v>
      </c>
    </row>
    <row r="7131" spans="1:5" x14ac:dyDescent="0.45">
      <c r="B7131" s="1347" t="s">
        <v>1108</v>
      </c>
      <c r="D7131" s="1347" t="s">
        <v>11620</v>
      </c>
      <c r="E7131" s="1347" t="s">
        <v>11621</v>
      </c>
    </row>
    <row r="7132" spans="1:5" x14ac:dyDescent="0.45">
      <c r="B7132" s="1347" t="s">
        <v>1108</v>
      </c>
      <c r="D7132" s="1347" t="s">
        <v>1341</v>
      </c>
      <c r="E7132" s="1347" t="s">
        <v>11622</v>
      </c>
    </row>
    <row r="7133" spans="1:5" x14ac:dyDescent="0.45">
      <c r="A7133" s="1347">
        <v>2</v>
      </c>
      <c r="B7133" s="1347" t="s">
        <v>11623</v>
      </c>
      <c r="D7133" s="1347" t="s">
        <v>11624</v>
      </c>
      <c r="E7133" s="1347" t="s">
        <v>11625</v>
      </c>
    </row>
    <row r="7134" spans="1:5" x14ac:dyDescent="0.45">
      <c r="B7134" s="1347" t="s">
        <v>11626</v>
      </c>
      <c r="D7134" s="1347" t="s">
        <v>1109</v>
      </c>
      <c r="E7134" s="1347" t="s">
        <v>11627</v>
      </c>
    </row>
    <row r="7135" spans="1:5" x14ac:dyDescent="0.45">
      <c r="B7135" s="1347" t="s">
        <v>11628</v>
      </c>
      <c r="D7135" s="1347" t="s">
        <v>11629</v>
      </c>
      <c r="E7135" s="1347" t="s">
        <v>11630</v>
      </c>
    </row>
    <row r="7136" spans="1:5" x14ac:dyDescent="0.45">
      <c r="B7136" s="1347" t="s">
        <v>1108</v>
      </c>
      <c r="D7136" s="1347" t="s">
        <v>11631</v>
      </c>
      <c r="E7136" s="1347" t="s">
        <v>11632</v>
      </c>
    </row>
    <row r="7137" spans="1:5" x14ac:dyDescent="0.45">
      <c r="A7137" s="1347" t="s">
        <v>1105</v>
      </c>
      <c r="B7137" s="1347" t="s">
        <v>4759</v>
      </c>
      <c r="D7137" s="1347" t="s">
        <v>11633</v>
      </c>
      <c r="E7137" s="1347" t="s">
        <v>11634</v>
      </c>
    </row>
    <row r="7138" spans="1:5" x14ac:dyDescent="0.45">
      <c r="B7138" s="1347" t="s">
        <v>11635</v>
      </c>
      <c r="D7138" s="1347" t="s">
        <v>11636</v>
      </c>
      <c r="E7138" s="1347" t="s">
        <v>1110</v>
      </c>
    </row>
    <row r="7139" spans="1:5" x14ac:dyDescent="0.45">
      <c r="B7139" s="1347" t="s">
        <v>1108</v>
      </c>
      <c r="D7139" s="1347" t="s">
        <v>1109</v>
      </c>
      <c r="E7139" s="1347" t="s">
        <v>1110</v>
      </c>
    </row>
    <row r="7140" spans="1:5" x14ac:dyDescent="0.45">
      <c r="A7140" s="1347">
        <v>-1</v>
      </c>
      <c r="B7140" s="1347" t="s">
        <v>11637</v>
      </c>
      <c r="D7140" s="1347" t="s">
        <v>1109</v>
      </c>
      <c r="E7140" s="1347" t="s">
        <v>11638</v>
      </c>
    </row>
    <row r="7141" spans="1:5" x14ac:dyDescent="0.45">
      <c r="A7141" s="1347">
        <v>-9</v>
      </c>
      <c r="B7141" s="1347" t="s">
        <v>11639</v>
      </c>
      <c r="C7141" s="1347">
        <v>-1</v>
      </c>
      <c r="D7141" s="1347" t="s">
        <v>11640</v>
      </c>
      <c r="E7141" s="1347" t="s">
        <v>11641</v>
      </c>
    </row>
    <row r="7142" spans="1:5" x14ac:dyDescent="0.45">
      <c r="A7142" s="1347">
        <v>-5</v>
      </c>
      <c r="B7142" s="1347" t="s">
        <v>11642</v>
      </c>
      <c r="C7142" s="1347" t="s">
        <v>1105</v>
      </c>
      <c r="D7142" s="1347" t="s">
        <v>11643</v>
      </c>
      <c r="E7142" s="1347" t="s">
        <v>11644</v>
      </c>
    </row>
    <row r="7143" spans="1:5" x14ac:dyDescent="0.45">
      <c r="A7143" s="1347">
        <v>-13</v>
      </c>
      <c r="B7143" s="1347" t="s">
        <v>11645</v>
      </c>
      <c r="C7143" s="1347" t="s">
        <v>1105</v>
      </c>
      <c r="D7143" s="1347" t="s">
        <v>11646</v>
      </c>
      <c r="E7143" s="1347" t="s">
        <v>11647</v>
      </c>
    </row>
    <row r="7144" spans="1:5" x14ac:dyDescent="0.45">
      <c r="A7144" s="1347">
        <v>-9</v>
      </c>
      <c r="B7144" s="1347" t="s">
        <v>11648</v>
      </c>
      <c r="C7144" s="1347">
        <v>-1</v>
      </c>
      <c r="D7144" s="1347" t="s">
        <v>11649</v>
      </c>
      <c r="E7144" s="1347" t="s">
        <v>11650</v>
      </c>
    </row>
    <row r="7145" spans="1:5" x14ac:dyDescent="0.45">
      <c r="B7145" s="1347" t="s">
        <v>11651</v>
      </c>
      <c r="D7145" s="1347" t="s">
        <v>11652</v>
      </c>
      <c r="E7145" s="1347" t="s">
        <v>11653</v>
      </c>
    </row>
    <row r="7146" spans="1:5" x14ac:dyDescent="0.45">
      <c r="A7146" s="1347">
        <v>1</v>
      </c>
      <c r="B7146" s="1347" t="s">
        <v>11654</v>
      </c>
      <c r="D7146" s="1347" t="s">
        <v>11655</v>
      </c>
      <c r="E7146" s="1347" t="s">
        <v>11656</v>
      </c>
    </row>
    <row r="7147" spans="1:5" x14ac:dyDescent="0.45">
      <c r="A7147" s="1347">
        <v>30</v>
      </c>
      <c r="B7147" s="1347" t="s">
        <v>11657</v>
      </c>
      <c r="C7147" s="1347">
        <v>3</v>
      </c>
      <c r="D7147" s="1347" t="s">
        <v>11658</v>
      </c>
      <c r="E7147" s="1347" t="s">
        <v>11659</v>
      </c>
    </row>
    <row r="7148" spans="1:5" x14ac:dyDescent="0.45">
      <c r="A7148" s="1347">
        <v>57</v>
      </c>
      <c r="B7148" s="1347" t="s">
        <v>11660</v>
      </c>
      <c r="C7148" s="1347">
        <v>5</v>
      </c>
      <c r="D7148" s="1347" t="s">
        <v>11661</v>
      </c>
      <c r="E7148" s="1347" t="s">
        <v>11662</v>
      </c>
    </row>
    <row r="7149" spans="1:5" x14ac:dyDescent="0.45">
      <c r="A7149" s="1347" t="s">
        <v>1105</v>
      </c>
      <c r="B7149" s="1347" t="s">
        <v>11663</v>
      </c>
      <c r="D7149" s="1347" t="s">
        <v>11664</v>
      </c>
      <c r="E7149" s="1347" t="s">
        <v>11665</v>
      </c>
    </row>
    <row r="7150" spans="1:5" x14ac:dyDescent="0.45">
      <c r="B7150" s="1347" t="s">
        <v>1327</v>
      </c>
      <c r="D7150" s="1347" t="s">
        <v>1109</v>
      </c>
      <c r="E7150" s="1347" t="s">
        <v>11666</v>
      </c>
    </row>
    <row r="7151" spans="1:5" x14ac:dyDescent="0.45">
      <c r="B7151" s="1347" t="s">
        <v>11667</v>
      </c>
      <c r="D7151" s="1347" t="s">
        <v>11668</v>
      </c>
      <c r="E7151" s="1347" t="s">
        <v>11669</v>
      </c>
    </row>
    <row r="7152" spans="1:5" x14ac:dyDescent="0.45">
      <c r="A7152" s="1347" t="s">
        <v>1105</v>
      </c>
      <c r="B7152" s="1347" t="s">
        <v>11670</v>
      </c>
      <c r="D7152" s="1347" t="s">
        <v>11671</v>
      </c>
      <c r="E7152" s="1347" t="s">
        <v>1156</v>
      </c>
    </row>
    <row r="7153" spans="1:5" x14ac:dyDescent="0.45">
      <c r="B7153" s="1347" t="s">
        <v>11672</v>
      </c>
      <c r="D7153" s="1347" t="s">
        <v>1848</v>
      </c>
      <c r="E7153" s="1347" t="s">
        <v>11673</v>
      </c>
    </row>
    <row r="7154" spans="1:5" x14ac:dyDescent="0.45">
      <c r="B7154" s="1347" t="s">
        <v>1108</v>
      </c>
      <c r="D7154" s="1347" t="s">
        <v>11674</v>
      </c>
      <c r="E7154" s="1347" t="s">
        <v>11675</v>
      </c>
    </row>
    <row r="7155" spans="1:5" x14ac:dyDescent="0.45">
      <c r="A7155" s="1347">
        <v>-45</v>
      </c>
      <c r="B7155" s="1347" t="s">
        <v>11676</v>
      </c>
      <c r="D7155" s="1347" t="s">
        <v>11677</v>
      </c>
      <c r="E7155" s="1347" t="s">
        <v>11678</v>
      </c>
    </row>
    <row r="7156" spans="1:5" x14ac:dyDescent="0.45">
      <c r="B7156" s="1347" t="s">
        <v>1108</v>
      </c>
      <c r="D7156" s="1347" t="s">
        <v>11679</v>
      </c>
      <c r="E7156" s="1347" t="s">
        <v>11680</v>
      </c>
    </row>
    <row r="7157" spans="1:5" x14ac:dyDescent="0.45">
      <c r="B7157" s="1347" t="s">
        <v>11681</v>
      </c>
      <c r="D7157" s="1347" t="s">
        <v>1109</v>
      </c>
      <c r="E7157" s="1347" t="s">
        <v>11682</v>
      </c>
    </row>
    <row r="7158" spans="1:5" x14ac:dyDescent="0.45">
      <c r="A7158" s="1347">
        <v>1</v>
      </c>
      <c r="B7158" s="1347" t="s">
        <v>11683</v>
      </c>
      <c r="D7158" s="1347" t="s">
        <v>11684</v>
      </c>
      <c r="E7158" s="1347" t="s">
        <v>11685</v>
      </c>
    </row>
    <row r="7159" spans="1:5" x14ac:dyDescent="0.45">
      <c r="A7159" s="1347" t="s">
        <v>1105</v>
      </c>
      <c r="B7159" s="1347" t="s">
        <v>11686</v>
      </c>
      <c r="D7159" s="1347" t="s">
        <v>11687</v>
      </c>
      <c r="E7159" s="1347" t="s">
        <v>11688</v>
      </c>
    </row>
    <row r="7160" spans="1:5" x14ac:dyDescent="0.45">
      <c r="A7160" s="1347" t="s">
        <v>1105</v>
      </c>
      <c r="B7160" s="1347" t="s">
        <v>4765</v>
      </c>
      <c r="D7160" s="1347" t="s">
        <v>11689</v>
      </c>
      <c r="E7160" s="1347" t="s">
        <v>1350</v>
      </c>
    </row>
    <row r="7161" spans="1:5" x14ac:dyDescent="0.45">
      <c r="B7161" s="1347" t="s">
        <v>11690</v>
      </c>
      <c r="D7161" s="1347" t="s">
        <v>11691</v>
      </c>
      <c r="E7161" s="1347" t="s">
        <v>11692</v>
      </c>
    </row>
    <row r="7162" spans="1:5" x14ac:dyDescent="0.45">
      <c r="B7162" s="1347">
        <f>-18   -828</f>
        <v>-846</v>
      </c>
      <c r="D7162" s="1347" t="s">
        <v>11693</v>
      </c>
      <c r="E7162" s="1347" t="s">
        <v>11694</v>
      </c>
    </row>
    <row r="7163" spans="1:5" x14ac:dyDescent="0.45">
      <c r="B7163" s="1347" t="s">
        <v>11695</v>
      </c>
      <c r="D7163" s="1347" t="s">
        <v>11696</v>
      </c>
      <c r="E7163" s="1347" t="s">
        <v>11697</v>
      </c>
    </row>
    <row r="7164" spans="1:5" x14ac:dyDescent="0.45">
      <c r="B7164" s="1347" t="s">
        <v>1108</v>
      </c>
      <c r="D7164" s="1347" t="s">
        <v>11698</v>
      </c>
      <c r="E7164" s="1347" t="s">
        <v>11699</v>
      </c>
    </row>
    <row r="7165" spans="1:5" x14ac:dyDescent="0.45">
      <c r="B7165" s="1347" t="s">
        <v>11700</v>
      </c>
      <c r="C7165" s="1347">
        <v>-5</v>
      </c>
      <c r="D7165" s="1347" t="s">
        <v>11701</v>
      </c>
      <c r="E7165" s="1347" t="s">
        <v>11702</v>
      </c>
    </row>
    <row r="7166" spans="1:5" x14ac:dyDescent="0.45">
      <c r="A7166" s="1347">
        <v>-1</v>
      </c>
      <c r="B7166" s="1347" t="s">
        <v>11703</v>
      </c>
      <c r="D7166" s="1347" t="s">
        <v>11704</v>
      </c>
      <c r="E7166" s="1347" t="s">
        <v>11705</v>
      </c>
    </row>
    <row r="7167" spans="1:5" x14ac:dyDescent="0.45">
      <c r="A7167" s="1347">
        <v>-1</v>
      </c>
      <c r="B7167" s="1347" t="s">
        <v>5148</v>
      </c>
      <c r="D7167" s="1347" t="s">
        <v>1109</v>
      </c>
      <c r="E7167" s="1347" t="s">
        <v>11706</v>
      </c>
    </row>
    <row r="7168" spans="1:5" x14ac:dyDescent="0.45">
      <c r="B7168" s="1347" t="s">
        <v>11707</v>
      </c>
      <c r="C7168" s="1347" t="s">
        <v>1105</v>
      </c>
      <c r="D7168" s="1347" t="s">
        <v>11708</v>
      </c>
      <c r="E7168" s="1347" t="s">
        <v>11709</v>
      </c>
    </row>
    <row r="7169" spans="1:5" x14ac:dyDescent="0.45">
      <c r="B7169" s="1347" t="s">
        <v>1108</v>
      </c>
      <c r="D7169" s="1347" t="s">
        <v>11710</v>
      </c>
      <c r="E7169" s="1347" t="s">
        <v>11711</v>
      </c>
    </row>
    <row r="7170" spans="1:5" x14ac:dyDescent="0.45">
      <c r="B7170" s="1347" t="s">
        <v>1108</v>
      </c>
      <c r="C7170" s="1347" t="s">
        <v>1105</v>
      </c>
      <c r="D7170" s="1347" t="s">
        <v>11712</v>
      </c>
      <c r="E7170" s="1347" t="s">
        <v>11713</v>
      </c>
    </row>
    <row r="7171" spans="1:5" x14ac:dyDescent="0.45">
      <c r="B7171" s="1347" t="s">
        <v>1108</v>
      </c>
      <c r="D7171" s="1347" t="s">
        <v>11714</v>
      </c>
      <c r="E7171" s="1347" t="s">
        <v>11715</v>
      </c>
    </row>
    <row r="7172" spans="1:5" x14ac:dyDescent="0.45">
      <c r="A7172" s="1347">
        <v>1</v>
      </c>
      <c r="B7172" s="1347" t="s">
        <v>11716</v>
      </c>
      <c r="D7172" s="1347" t="s">
        <v>11717</v>
      </c>
      <c r="E7172" s="1347" t="s">
        <v>1110</v>
      </c>
    </row>
    <row r="7173" spans="1:5" x14ac:dyDescent="0.45">
      <c r="B7173" s="1347" t="s">
        <v>1108</v>
      </c>
      <c r="D7173" s="1347" t="s">
        <v>11718</v>
      </c>
      <c r="E7173" s="1347" t="s">
        <v>11719</v>
      </c>
    </row>
    <row r="7174" spans="1:5" x14ac:dyDescent="0.45">
      <c r="B7174" s="1347" t="s">
        <v>11720</v>
      </c>
      <c r="D7174" s="1347" t="s">
        <v>11721</v>
      </c>
      <c r="E7174" s="1347" t="s">
        <v>11722</v>
      </c>
    </row>
    <row r="7175" spans="1:5" x14ac:dyDescent="0.45">
      <c r="A7175" s="1347" t="s">
        <v>1105</v>
      </c>
      <c r="B7175" s="1347" t="s">
        <v>11723</v>
      </c>
      <c r="D7175" s="1347" t="s">
        <v>1109</v>
      </c>
      <c r="E7175" s="1347" t="s">
        <v>1110</v>
      </c>
    </row>
    <row r="7176" spans="1:5" x14ac:dyDescent="0.45">
      <c r="B7176" s="1347" t="s">
        <v>1108</v>
      </c>
      <c r="D7176" s="1347" t="s">
        <v>1109</v>
      </c>
      <c r="E7176" s="1347" t="s">
        <v>11724</v>
      </c>
    </row>
    <row r="7177" spans="1:5" x14ac:dyDescent="0.45">
      <c r="B7177" s="1347" t="s">
        <v>1108</v>
      </c>
      <c r="D7177" s="1347" t="s">
        <v>11725</v>
      </c>
      <c r="E7177" s="1347" t="s">
        <v>11726</v>
      </c>
    </row>
    <row r="7178" spans="1:5" x14ac:dyDescent="0.45">
      <c r="A7178" s="1347">
        <v>-4</v>
      </c>
      <c r="B7178" s="1347" t="s">
        <v>11727</v>
      </c>
      <c r="D7178" s="1347" t="s">
        <v>11728</v>
      </c>
      <c r="E7178" s="1347" t="s">
        <v>11729</v>
      </c>
    </row>
    <row r="7179" spans="1:5" x14ac:dyDescent="0.45">
      <c r="B7179" s="1347" t="s">
        <v>11730</v>
      </c>
      <c r="C7179" s="1347">
        <v>-1</v>
      </c>
      <c r="D7179" s="1347" t="s">
        <v>11731</v>
      </c>
      <c r="E7179" s="1347" t="s">
        <v>11732</v>
      </c>
    </row>
    <row r="7180" spans="1:5" x14ac:dyDescent="0.45">
      <c r="A7180" s="1347">
        <v>-17</v>
      </c>
      <c r="B7180" s="1347" t="s">
        <v>11733</v>
      </c>
      <c r="C7180" s="1347">
        <v>-1</v>
      </c>
      <c r="D7180" s="1347" t="s">
        <v>11734</v>
      </c>
      <c r="E7180" s="1347" t="s">
        <v>11735</v>
      </c>
    </row>
    <row r="7181" spans="1:5" x14ac:dyDescent="0.45">
      <c r="A7181" s="1347">
        <v>-16</v>
      </c>
      <c r="B7181" s="1347" t="s">
        <v>11736</v>
      </c>
      <c r="C7181" s="1347">
        <v>-1</v>
      </c>
      <c r="D7181" s="1347" t="s">
        <v>11737</v>
      </c>
      <c r="E7181" s="1347" t="s">
        <v>11738</v>
      </c>
    </row>
    <row r="7182" spans="1:5" x14ac:dyDescent="0.45">
      <c r="A7182" s="1347">
        <v>-8</v>
      </c>
      <c r="B7182" s="1347" t="s">
        <v>11739</v>
      </c>
      <c r="C7182" s="1347" t="s">
        <v>1105</v>
      </c>
      <c r="D7182" s="1347" t="s">
        <v>11740</v>
      </c>
      <c r="E7182" s="1347" t="s">
        <v>11741</v>
      </c>
    </row>
    <row r="7183" spans="1:5" x14ac:dyDescent="0.45">
      <c r="A7183" s="1347">
        <v>-7</v>
      </c>
      <c r="B7183" s="1347" t="s">
        <v>11742</v>
      </c>
      <c r="C7183" s="1347">
        <v>5</v>
      </c>
      <c r="D7183" s="1347" t="s">
        <v>11743</v>
      </c>
      <c r="E7183" s="1347" t="s">
        <v>11744</v>
      </c>
    </row>
    <row r="7184" spans="1:5" x14ac:dyDescent="0.45">
      <c r="A7184" s="1347">
        <v>37</v>
      </c>
      <c r="B7184" s="1347" t="s">
        <v>11745</v>
      </c>
      <c r="C7184" s="1347">
        <v>5</v>
      </c>
      <c r="D7184" s="1347" t="s">
        <v>11746</v>
      </c>
      <c r="E7184" s="1347" t="s">
        <v>11747</v>
      </c>
    </row>
    <row r="7185" spans="1:5" x14ac:dyDescent="0.45">
      <c r="A7185" s="1347">
        <v>89</v>
      </c>
      <c r="B7185" s="1347" t="s">
        <v>11748</v>
      </c>
      <c r="C7185" s="1347">
        <v>8</v>
      </c>
      <c r="D7185" s="1347" t="s">
        <v>11749</v>
      </c>
      <c r="E7185" s="1347" t="s">
        <v>11750</v>
      </c>
    </row>
    <row r="7186" spans="1:5" x14ac:dyDescent="0.45">
      <c r="B7186" s="1347" t="s">
        <v>11751</v>
      </c>
      <c r="D7186" s="1347" t="s">
        <v>11752</v>
      </c>
      <c r="E7186" s="1347" t="s">
        <v>11753</v>
      </c>
    </row>
    <row r="7187" spans="1:5" x14ac:dyDescent="0.45">
      <c r="B7187" s="1347" t="s">
        <v>1108</v>
      </c>
      <c r="D7187" s="1347" t="s">
        <v>11129</v>
      </c>
      <c r="E7187" s="1347" t="s">
        <v>11754</v>
      </c>
    </row>
    <row r="7188" spans="1:5" x14ac:dyDescent="0.45">
      <c r="A7188" s="1347" t="s">
        <v>1105</v>
      </c>
      <c r="B7188" s="1347" t="s">
        <v>6464</v>
      </c>
      <c r="D7188" s="1347">
        <f>-126   -147   -100</f>
        <v>-373</v>
      </c>
      <c r="E7188" s="1347" t="s">
        <v>11755</v>
      </c>
    </row>
    <row r="7189" spans="1:5" x14ac:dyDescent="0.45">
      <c r="A7189" s="1347" t="s">
        <v>1105</v>
      </c>
      <c r="B7189" s="1347" t="s">
        <v>11756</v>
      </c>
      <c r="D7189" s="1347" t="s">
        <v>11757</v>
      </c>
      <c r="E7189" s="1347" t="s">
        <v>11758</v>
      </c>
    </row>
    <row r="7190" spans="1:5" x14ac:dyDescent="0.45">
      <c r="B7190" s="1347" t="s">
        <v>1108</v>
      </c>
      <c r="D7190" s="1347" t="s">
        <v>11759</v>
      </c>
      <c r="E7190" s="1347" t="s">
        <v>1435</v>
      </c>
    </row>
    <row r="7191" spans="1:5" x14ac:dyDescent="0.45">
      <c r="B7191" s="1347" t="s">
        <v>11760</v>
      </c>
      <c r="D7191" s="1347" t="s">
        <v>11761</v>
      </c>
      <c r="E7191" s="1347" t="s">
        <v>11762</v>
      </c>
    </row>
    <row r="7192" spans="1:5" x14ac:dyDescent="0.45">
      <c r="A7192" s="1347" t="s">
        <v>1105</v>
      </c>
      <c r="B7192" s="1347" t="s">
        <v>2968</v>
      </c>
      <c r="D7192" s="1347" t="s">
        <v>10003</v>
      </c>
      <c r="E7192" s="1347" t="s">
        <v>11763</v>
      </c>
    </row>
    <row r="7193" spans="1:5" x14ac:dyDescent="0.45">
      <c r="B7193" s="1347" t="s">
        <v>11764</v>
      </c>
      <c r="D7193" s="1347" t="s">
        <v>11765</v>
      </c>
      <c r="E7193" s="1347" t="s">
        <v>11766</v>
      </c>
    </row>
    <row r="7194" spans="1:5" x14ac:dyDescent="0.45">
      <c r="B7194" s="1347" t="s">
        <v>1108</v>
      </c>
      <c r="D7194" s="1347" t="s">
        <v>6132</v>
      </c>
      <c r="E7194" s="1347" t="s">
        <v>11767</v>
      </c>
    </row>
    <row r="7195" spans="1:5" x14ac:dyDescent="0.45">
      <c r="B7195" s="1347" t="s">
        <v>11768</v>
      </c>
      <c r="C7195" s="1347">
        <v>-5</v>
      </c>
      <c r="D7195" s="1347" t="s">
        <v>11769</v>
      </c>
      <c r="E7195" s="1347" t="s">
        <v>11770</v>
      </c>
    </row>
    <row r="7196" spans="1:5" x14ac:dyDescent="0.45">
      <c r="B7196" s="1347" t="s">
        <v>7435</v>
      </c>
      <c r="D7196" s="1347" t="s">
        <v>11771</v>
      </c>
      <c r="E7196" s="1347" t="s">
        <v>11772</v>
      </c>
    </row>
    <row r="7197" spans="1:5" x14ac:dyDescent="0.45">
      <c r="A7197" s="1347" t="s">
        <v>1105</v>
      </c>
      <c r="B7197" s="1347" t="s">
        <v>11773</v>
      </c>
      <c r="D7197" s="1347" t="s">
        <v>11774</v>
      </c>
      <c r="E7197" s="1347" t="s">
        <v>11775</v>
      </c>
    </row>
    <row r="7198" spans="1:5" x14ac:dyDescent="0.45">
      <c r="B7198" s="1347" t="s">
        <v>11776</v>
      </c>
      <c r="D7198" s="1347" t="s">
        <v>11777</v>
      </c>
      <c r="E7198" s="1347" t="s">
        <v>11778</v>
      </c>
    </row>
    <row r="7199" spans="1:5" x14ac:dyDescent="0.45">
      <c r="B7199" s="1347" t="s">
        <v>11779</v>
      </c>
      <c r="D7199" s="1347" t="s">
        <v>11780</v>
      </c>
      <c r="E7199" s="1347" t="s">
        <v>11781</v>
      </c>
    </row>
    <row r="7200" spans="1:5" x14ac:dyDescent="0.45">
      <c r="B7200" s="1347" t="s">
        <v>1605</v>
      </c>
      <c r="D7200" s="1347" t="s">
        <v>11782</v>
      </c>
      <c r="E7200" s="1347" t="s">
        <v>11783</v>
      </c>
    </row>
    <row r="7201" spans="1:5" x14ac:dyDescent="0.45">
      <c r="B7201" s="1347" t="s">
        <v>1108</v>
      </c>
      <c r="D7201" s="1347" t="s">
        <v>11784</v>
      </c>
      <c r="E7201" s="1347" t="s">
        <v>11785</v>
      </c>
    </row>
    <row r="7202" spans="1:5" x14ac:dyDescent="0.45">
      <c r="A7202" s="1347">
        <v>-61</v>
      </c>
      <c r="B7202" s="1347" t="s">
        <v>11786</v>
      </c>
      <c r="D7202" s="1347" t="s">
        <v>11787</v>
      </c>
      <c r="E7202" s="1347" t="s">
        <v>11788</v>
      </c>
    </row>
    <row r="7203" spans="1:5" x14ac:dyDescent="0.45">
      <c r="B7203" s="1347" t="s">
        <v>8559</v>
      </c>
      <c r="D7203" s="1347" t="s">
        <v>11789</v>
      </c>
      <c r="E7203" s="1347" t="s">
        <v>11790</v>
      </c>
    </row>
    <row r="7204" spans="1:5" x14ac:dyDescent="0.45">
      <c r="B7204" s="1347" t="s">
        <v>1108</v>
      </c>
      <c r="D7204" s="1347" t="s">
        <v>1109</v>
      </c>
      <c r="E7204" s="1347" t="s">
        <v>11791</v>
      </c>
    </row>
    <row r="7205" spans="1:5" x14ac:dyDescent="0.45">
      <c r="A7205" s="1347">
        <v>-2</v>
      </c>
      <c r="B7205" s="1347" t="s">
        <v>11792</v>
      </c>
      <c r="D7205" s="1347" t="s">
        <v>11793</v>
      </c>
      <c r="E7205" s="1347" t="s">
        <v>1110</v>
      </c>
    </row>
    <row r="7206" spans="1:5" x14ac:dyDescent="0.45">
      <c r="B7206" s="1347" t="s">
        <v>11794</v>
      </c>
      <c r="D7206" s="1347" t="s">
        <v>11795</v>
      </c>
      <c r="E7206" s="1347" t="s">
        <v>1156</v>
      </c>
    </row>
    <row r="7207" spans="1:5" x14ac:dyDescent="0.45">
      <c r="A7207" s="1347">
        <v>-3</v>
      </c>
      <c r="B7207" s="1347" t="s">
        <v>3514</v>
      </c>
      <c r="C7207" s="1347" t="s">
        <v>1105</v>
      </c>
      <c r="D7207" s="1347" t="s">
        <v>11796</v>
      </c>
      <c r="E7207" s="1347" t="s">
        <v>11797</v>
      </c>
    </row>
    <row r="7208" spans="1:5" x14ac:dyDescent="0.45">
      <c r="B7208" s="1347" t="s">
        <v>11798</v>
      </c>
      <c r="D7208" s="1347" t="s">
        <v>11799</v>
      </c>
      <c r="E7208" s="1347" t="s">
        <v>11800</v>
      </c>
    </row>
    <row r="7209" spans="1:5" x14ac:dyDescent="0.45">
      <c r="B7209" s="1347">
        <f>-20   -725</f>
        <v>-745</v>
      </c>
      <c r="D7209" s="1347" t="s">
        <v>11801</v>
      </c>
      <c r="E7209" s="1347" t="s">
        <v>1110</v>
      </c>
    </row>
    <row r="7210" spans="1:5" x14ac:dyDescent="0.45">
      <c r="B7210" s="1347" t="s">
        <v>11802</v>
      </c>
      <c r="D7210" s="1347" t="s">
        <v>11803</v>
      </c>
      <c r="E7210" s="1347" t="s">
        <v>11804</v>
      </c>
    </row>
    <row r="7211" spans="1:5" x14ac:dyDescent="0.45">
      <c r="A7211" s="1347" t="s">
        <v>1105</v>
      </c>
      <c r="B7211" s="1347" t="s">
        <v>11805</v>
      </c>
      <c r="D7211" s="1347" t="s">
        <v>1109</v>
      </c>
      <c r="E7211" s="1347" t="s">
        <v>11806</v>
      </c>
    </row>
    <row r="7212" spans="1:5" x14ac:dyDescent="0.45">
      <c r="B7212" s="1347" t="s">
        <v>1108</v>
      </c>
      <c r="D7212" s="1347" t="s">
        <v>1109</v>
      </c>
      <c r="E7212" s="1347" t="s">
        <v>1110</v>
      </c>
    </row>
    <row r="7213" spans="1:5" x14ac:dyDescent="0.45">
      <c r="B7213" s="1347" t="s">
        <v>1108</v>
      </c>
      <c r="D7213" s="1347" t="s">
        <v>9391</v>
      </c>
      <c r="E7213" s="1347" t="s">
        <v>1476</v>
      </c>
    </row>
    <row r="7214" spans="1:5" x14ac:dyDescent="0.45">
      <c r="B7214" s="1347" t="s">
        <v>11807</v>
      </c>
      <c r="C7214" s="1347" t="s">
        <v>1105</v>
      </c>
      <c r="D7214" s="1347" t="s">
        <v>11808</v>
      </c>
      <c r="E7214" s="1347" t="s">
        <v>11809</v>
      </c>
    </row>
    <row r="7215" spans="1:5" x14ac:dyDescent="0.45">
      <c r="B7215" s="1347" t="s">
        <v>11810</v>
      </c>
      <c r="C7215" s="1347" t="s">
        <v>1105</v>
      </c>
      <c r="D7215" s="1347" t="s">
        <v>11811</v>
      </c>
      <c r="E7215" s="1347" t="s">
        <v>11812</v>
      </c>
    </row>
    <row r="7216" spans="1:5" x14ac:dyDescent="0.45">
      <c r="A7216" s="1347">
        <v>-19</v>
      </c>
      <c r="B7216" s="1347" t="s">
        <v>11813</v>
      </c>
      <c r="C7216" s="1347">
        <v>-2</v>
      </c>
      <c r="D7216" s="1347" t="s">
        <v>11814</v>
      </c>
      <c r="E7216" s="1347" t="s">
        <v>11815</v>
      </c>
    </row>
    <row r="7217" spans="1:5" x14ac:dyDescent="0.45">
      <c r="A7217" s="1347">
        <v>-19</v>
      </c>
      <c r="B7217" s="1347" t="s">
        <v>11816</v>
      </c>
      <c r="C7217" s="1347">
        <v>-1</v>
      </c>
      <c r="D7217" s="1347" t="s">
        <v>11817</v>
      </c>
      <c r="E7217" s="1347" t="s">
        <v>11818</v>
      </c>
    </row>
    <row r="7218" spans="1:5" x14ac:dyDescent="0.45">
      <c r="A7218" s="1347">
        <v>-8</v>
      </c>
      <c r="B7218" s="1347" t="s">
        <v>11819</v>
      </c>
      <c r="C7218" s="1347" t="s">
        <v>1105</v>
      </c>
      <c r="D7218" s="1347" t="s">
        <v>11820</v>
      </c>
      <c r="E7218" s="1347" t="s">
        <v>11821</v>
      </c>
    </row>
    <row r="7219" spans="1:5" x14ac:dyDescent="0.45">
      <c r="A7219" s="1347">
        <v>-5</v>
      </c>
      <c r="B7219" s="1347" t="s">
        <v>11822</v>
      </c>
      <c r="C7219" s="1347" t="s">
        <v>1105</v>
      </c>
      <c r="D7219" s="1347" t="s">
        <v>11823</v>
      </c>
      <c r="E7219" s="1347" t="s">
        <v>11824</v>
      </c>
    </row>
    <row r="7220" spans="1:5" x14ac:dyDescent="0.45">
      <c r="A7220" s="1347">
        <v>55</v>
      </c>
      <c r="B7220" s="1347" t="s">
        <v>11825</v>
      </c>
      <c r="C7220" s="1347">
        <v>5</v>
      </c>
      <c r="D7220" s="1347" t="s">
        <v>11826</v>
      </c>
      <c r="E7220" s="1347" t="s">
        <v>11827</v>
      </c>
    </row>
    <row r="7221" spans="1:5" x14ac:dyDescent="0.45">
      <c r="A7221" s="1347">
        <v>52</v>
      </c>
      <c r="B7221" s="1347" t="s">
        <v>11828</v>
      </c>
      <c r="C7221" s="1347">
        <v>5</v>
      </c>
      <c r="D7221" s="1347" t="s">
        <v>11829</v>
      </c>
      <c r="E7221" s="1347" t="s">
        <v>11830</v>
      </c>
    </row>
    <row r="7222" spans="1:5" x14ac:dyDescent="0.45">
      <c r="A7222" s="1347">
        <v>89</v>
      </c>
      <c r="B7222" s="1347" t="s">
        <v>11831</v>
      </c>
      <c r="C7222" s="1347">
        <v>9</v>
      </c>
      <c r="D7222" s="1347" t="s">
        <v>11832</v>
      </c>
      <c r="E7222" s="1347" t="s">
        <v>11833</v>
      </c>
    </row>
    <row r="7223" spans="1:5" x14ac:dyDescent="0.45">
      <c r="B7223" s="1347" t="s">
        <v>1108</v>
      </c>
      <c r="D7223" s="1347" t="s">
        <v>11834</v>
      </c>
      <c r="E7223" s="1347" t="s">
        <v>11835</v>
      </c>
    </row>
    <row r="7224" spans="1:5" x14ac:dyDescent="0.45">
      <c r="B7224" s="1347" t="s">
        <v>1108</v>
      </c>
      <c r="D7224" s="1347" t="s">
        <v>11836</v>
      </c>
      <c r="E7224" s="1347" t="s">
        <v>11837</v>
      </c>
    </row>
    <row r="7225" spans="1:5" x14ac:dyDescent="0.45">
      <c r="B7225" s="1347" t="s">
        <v>5417</v>
      </c>
      <c r="C7225" s="1347" t="s">
        <v>1105</v>
      </c>
      <c r="D7225" s="1347" t="s">
        <v>11838</v>
      </c>
      <c r="E7225" s="1347" t="s">
        <v>11839</v>
      </c>
    </row>
    <row r="7226" spans="1:5" x14ac:dyDescent="0.45">
      <c r="A7226" s="1347">
        <v>1</v>
      </c>
      <c r="B7226" s="1347" t="s">
        <v>11840</v>
      </c>
      <c r="D7226" s="1347" t="s">
        <v>11841</v>
      </c>
      <c r="E7226" s="1347" t="s">
        <v>4703</v>
      </c>
    </row>
    <row r="7227" spans="1:5" x14ac:dyDescent="0.45">
      <c r="B7227" s="1347" t="s">
        <v>1108</v>
      </c>
      <c r="D7227" s="1347" t="s">
        <v>11842</v>
      </c>
      <c r="E7227" s="1347" t="s">
        <v>1110</v>
      </c>
    </row>
    <row r="7228" spans="1:5" x14ac:dyDescent="0.45">
      <c r="A7228" s="1347" t="s">
        <v>1105</v>
      </c>
      <c r="B7228" s="1347" t="s">
        <v>4441</v>
      </c>
      <c r="D7228" s="1347" t="s">
        <v>11843</v>
      </c>
      <c r="E7228" s="1347" t="s">
        <v>11844</v>
      </c>
    </row>
    <row r="7229" spans="1:5" x14ac:dyDescent="0.45">
      <c r="B7229" s="1347" t="s">
        <v>1108</v>
      </c>
      <c r="D7229" s="1347" t="s">
        <v>11845</v>
      </c>
      <c r="E7229" s="1347" t="s">
        <v>11846</v>
      </c>
    </row>
    <row r="7230" spans="1:5" x14ac:dyDescent="0.45">
      <c r="B7230" s="1347" t="s">
        <v>1428</v>
      </c>
      <c r="D7230" s="1347" t="s">
        <v>11847</v>
      </c>
      <c r="E7230" s="1347" t="s">
        <v>11848</v>
      </c>
    </row>
    <row r="7231" spans="1:5" x14ac:dyDescent="0.45">
      <c r="B7231" s="1347" t="s">
        <v>1108</v>
      </c>
      <c r="D7231" s="1347" t="s">
        <v>11849</v>
      </c>
      <c r="E7231" s="1347" t="s">
        <v>11850</v>
      </c>
    </row>
    <row r="7232" spans="1:5" x14ac:dyDescent="0.45">
      <c r="A7232" s="1347">
        <v>5</v>
      </c>
      <c r="B7232" s="1347" t="s">
        <v>11851</v>
      </c>
      <c r="D7232" s="1347" t="s">
        <v>11852</v>
      </c>
      <c r="E7232" s="1347" t="s">
        <v>11853</v>
      </c>
    </row>
    <row r="7233" spans="1:5" x14ac:dyDescent="0.45">
      <c r="B7233" s="1347" t="s">
        <v>11854</v>
      </c>
      <c r="C7233" s="1347">
        <v>-4</v>
      </c>
      <c r="D7233" s="1347" t="s">
        <v>11855</v>
      </c>
      <c r="E7233" s="1347" t="s">
        <v>11856</v>
      </c>
    </row>
    <row r="7234" spans="1:5" x14ac:dyDescent="0.45">
      <c r="A7234" s="1347">
        <v>-1</v>
      </c>
      <c r="B7234" s="1347" t="s">
        <v>11857</v>
      </c>
      <c r="D7234" s="1347" t="s">
        <v>11858</v>
      </c>
      <c r="E7234" s="1347" t="s">
        <v>11859</v>
      </c>
    </row>
    <row r="7235" spans="1:5" x14ac:dyDescent="0.45">
      <c r="A7235" s="1347">
        <v>5</v>
      </c>
      <c r="B7235" s="1347" t="s">
        <v>11860</v>
      </c>
      <c r="D7235" s="1347" t="s">
        <v>11861</v>
      </c>
      <c r="E7235" s="1347" t="s">
        <v>11862</v>
      </c>
    </row>
    <row r="7236" spans="1:5" x14ac:dyDescent="0.45">
      <c r="A7236" s="1347">
        <v>-2</v>
      </c>
      <c r="B7236" s="1347" t="s">
        <v>11863</v>
      </c>
      <c r="D7236" s="1347" t="s">
        <v>11864</v>
      </c>
      <c r="E7236" s="1347" t="s">
        <v>11865</v>
      </c>
    </row>
    <row r="7237" spans="1:5" x14ac:dyDescent="0.45">
      <c r="B7237" s="1347" t="s">
        <v>1108</v>
      </c>
      <c r="D7237" s="1347" t="s">
        <v>11866</v>
      </c>
      <c r="E7237" s="1347" t="s">
        <v>11867</v>
      </c>
    </row>
    <row r="7238" spans="1:5" x14ac:dyDescent="0.45">
      <c r="B7238" s="1347" t="s">
        <v>1108</v>
      </c>
      <c r="D7238" s="1347" t="s">
        <v>11868</v>
      </c>
      <c r="E7238" s="1347" t="s">
        <v>11869</v>
      </c>
    </row>
    <row r="7239" spans="1:5" x14ac:dyDescent="0.45">
      <c r="B7239" s="1347" t="s">
        <v>11870</v>
      </c>
      <c r="D7239" s="1347" t="s">
        <v>11871</v>
      </c>
      <c r="E7239" s="1347" t="s">
        <v>11872</v>
      </c>
    </row>
    <row r="7240" spans="1:5" x14ac:dyDescent="0.45">
      <c r="A7240" s="1347">
        <v>-22</v>
      </c>
      <c r="B7240" s="1347" t="s">
        <v>7088</v>
      </c>
      <c r="D7240" s="1347" t="s">
        <v>11873</v>
      </c>
      <c r="E7240" s="1347" t="s">
        <v>11874</v>
      </c>
    </row>
    <row r="7241" spans="1:5" x14ac:dyDescent="0.45">
      <c r="B7241" s="1347" t="s">
        <v>1108</v>
      </c>
      <c r="D7241" s="1347" t="s">
        <v>1109</v>
      </c>
      <c r="E7241" s="1347" t="s">
        <v>11875</v>
      </c>
    </row>
    <row r="7242" spans="1:5" x14ac:dyDescent="0.45">
      <c r="A7242" s="1347" t="s">
        <v>1105</v>
      </c>
      <c r="B7242" s="1347" t="s">
        <v>2928</v>
      </c>
      <c r="D7242" s="1347" t="s">
        <v>11876</v>
      </c>
      <c r="E7242" s="1347" t="s">
        <v>11877</v>
      </c>
    </row>
    <row r="7243" spans="1:5" x14ac:dyDescent="0.45">
      <c r="A7243" s="1347">
        <v>1</v>
      </c>
      <c r="B7243" s="1347" t="s">
        <v>11878</v>
      </c>
      <c r="D7243" s="1347" t="s">
        <v>11879</v>
      </c>
      <c r="E7243" s="1347" t="s">
        <v>11880</v>
      </c>
    </row>
    <row r="7244" spans="1:5" x14ac:dyDescent="0.45">
      <c r="B7244" s="1347" t="s">
        <v>11881</v>
      </c>
      <c r="D7244" s="1347" t="s">
        <v>11882</v>
      </c>
      <c r="E7244" s="1347" t="s">
        <v>1958</v>
      </c>
    </row>
    <row r="7245" spans="1:5" x14ac:dyDescent="0.45">
      <c r="A7245" s="1347">
        <v>4</v>
      </c>
      <c r="B7245" s="1347" t="s">
        <v>8427</v>
      </c>
      <c r="D7245" s="1347" t="s">
        <v>11883</v>
      </c>
      <c r="E7245" s="1347" t="s">
        <v>11884</v>
      </c>
    </row>
    <row r="7246" spans="1:5" x14ac:dyDescent="0.45">
      <c r="A7246" s="1347">
        <v>9</v>
      </c>
      <c r="B7246" s="1347" t="s">
        <v>11885</v>
      </c>
      <c r="D7246" s="1347" t="s">
        <v>1109</v>
      </c>
      <c r="E7246" s="1347" t="s">
        <v>11886</v>
      </c>
    </row>
    <row r="7247" spans="1:5" x14ac:dyDescent="0.45">
      <c r="B7247" s="1347" t="s">
        <v>11887</v>
      </c>
      <c r="D7247" s="1347" t="s">
        <v>11888</v>
      </c>
      <c r="E7247" s="1347" t="s">
        <v>11889</v>
      </c>
    </row>
    <row r="7248" spans="1:5" x14ac:dyDescent="0.45">
      <c r="A7248" s="1347">
        <v>-3</v>
      </c>
      <c r="B7248" s="1347" t="s">
        <v>11890</v>
      </c>
      <c r="D7248" s="1347" t="s">
        <v>8876</v>
      </c>
      <c r="E7248" s="1347" t="s">
        <v>11891</v>
      </c>
    </row>
    <row r="7249" spans="1:5" x14ac:dyDescent="0.45">
      <c r="B7249" s="1347" t="s">
        <v>1108</v>
      </c>
      <c r="D7249" s="1347" t="s">
        <v>1109</v>
      </c>
      <c r="E7249" s="1347" t="s">
        <v>1110</v>
      </c>
    </row>
    <row r="7250" spans="1:5" x14ac:dyDescent="0.45">
      <c r="B7250" s="1347" t="s">
        <v>1108</v>
      </c>
      <c r="D7250" s="1347" t="s">
        <v>11892</v>
      </c>
      <c r="E7250" s="1347" t="s">
        <v>1110</v>
      </c>
    </row>
    <row r="7251" spans="1:5" x14ac:dyDescent="0.45">
      <c r="A7251" s="1347" t="s">
        <v>1105</v>
      </c>
      <c r="B7251" s="1347" t="s">
        <v>11893</v>
      </c>
      <c r="D7251" s="1347" t="s">
        <v>11894</v>
      </c>
      <c r="E7251" s="1347" t="s">
        <v>11895</v>
      </c>
    </row>
    <row r="7252" spans="1:5" x14ac:dyDescent="0.45">
      <c r="B7252" s="1347" t="s">
        <v>11896</v>
      </c>
      <c r="D7252" s="1347" t="s">
        <v>11897</v>
      </c>
      <c r="E7252" s="1347" t="s">
        <v>11898</v>
      </c>
    </row>
    <row r="7253" spans="1:5" x14ac:dyDescent="0.45">
      <c r="A7253" s="1347">
        <v>2</v>
      </c>
      <c r="B7253" s="1347" t="s">
        <v>11899</v>
      </c>
      <c r="D7253" s="1347" t="s">
        <v>11900</v>
      </c>
      <c r="E7253" s="1347" t="s">
        <v>11901</v>
      </c>
    </row>
    <row r="7254" spans="1:5" x14ac:dyDescent="0.45">
      <c r="A7254" s="1347">
        <v>1</v>
      </c>
      <c r="B7254" s="1347" t="s">
        <v>11902</v>
      </c>
      <c r="D7254" s="1347" t="s">
        <v>11903</v>
      </c>
      <c r="E7254" s="1347" t="s">
        <v>11904</v>
      </c>
    </row>
    <row r="7255" spans="1:5" x14ac:dyDescent="0.45">
      <c r="A7255" s="1347">
        <v>-1</v>
      </c>
      <c r="B7255" s="1347" t="s">
        <v>11905</v>
      </c>
      <c r="C7255" s="1347" t="s">
        <v>1105</v>
      </c>
      <c r="D7255" s="1347" t="s">
        <v>11906</v>
      </c>
      <c r="E7255" s="1347" t="s">
        <v>11907</v>
      </c>
    </row>
    <row r="7256" spans="1:5" x14ac:dyDescent="0.45">
      <c r="A7256" s="1347">
        <v>-1</v>
      </c>
      <c r="B7256" s="1347" t="s">
        <v>11908</v>
      </c>
      <c r="C7256" s="1347" t="s">
        <v>1105</v>
      </c>
      <c r="D7256" s="1347" t="s">
        <v>11909</v>
      </c>
      <c r="E7256" s="1347" t="s">
        <v>11910</v>
      </c>
    </row>
    <row r="7257" spans="1:5" x14ac:dyDescent="0.45">
      <c r="B7257" s="1347" t="s">
        <v>11911</v>
      </c>
      <c r="D7257" s="1347" t="s">
        <v>11912</v>
      </c>
      <c r="E7257" s="1347" t="s">
        <v>11913</v>
      </c>
    </row>
    <row r="7258" spans="1:5" x14ac:dyDescent="0.45">
      <c r="A7258" s="1347" t="s">
        <v>1105</v>
      </c>
      <c r="B7258" s="1347" t="s">
        <v>11914</v>
      </c>
      <c r="D7258" s="1347" t="s">
        <v>11915</v>
      </c>
      <c r="E7258" s="1347" t="s">
        <v>11916</v>
      </c>
    </row>
    <row r="7259" spans="1:5" x14ac:dyDescent="0.45">
      <c r="A7259" s="1347">
        <v>-1</v>
      </c>
      <c r="B7259" s="1347" t="s">
        <v>11917</v>
      </c>
      <c r="C7259" s="1347" t="s">
        <v>1105</v>
      </c>
      <c r="D7259" s="1347" t="s">
        <v>11918</v>
      </c>
      <c r="E7259" s="1347" t="s">
        <v>11919</v>
      </c>
    </row>
    <row r="7260" spans="1:5" x14ac:dyDescent="0.45">
      <c r="B7260" s="1347" t="s">
        <v>1108</v>
      </c>
      <c r="D7260" s="1347" t="s">
        <v>1138</v>
      </c>
      <c r="E7260" s="1347" t="s">
        <v>11920</v>
      </c>
    </row>
    <row r="7261" spans="1:5" x14ac:dyDescent="0.45">
      <c r="B7261" s="1347" t="s">
        <v>1108</v>
      </c>
      <c r="D7261" s="1347" t="s">
        <v>11921</v>
      </c>
      <c r="E7261" s="1347" t="s">
        <v>11922</v>
      </c>
    </row>
    <row r="7262" spans="1:5" x14ac:dyDescent="0.45">
      <c r="B7262" s="1347" t="s">
        <v>11923</v>
      </c>
      <c r="D7262" s="1347" t="s">
        <v>11924</v>
      </c>
      <c r="E7262" s="1347" t="s">
        <v>11925</v>
      </c>
    </row>
    <row r="7263" spans="1:5" x14ac:dyDescent="0.45">
      <c r="A7263" s="1347">
        <v>-1</v>
      </c>
      <c r="B7263" s="1347" t="s">
        <v>4940</v>
      </c>
      <c r="D7263" s="1347" t="s">
        <v>7409</v>
      </c>
      <c r="E7263" s="1347" t="s">
        <v>11926</v>
      </c>
    </row>
    <row r="7264" spans="1:5" x14ac:dyDescent="0.45">
      <c r="B7264" s="1347" t="s">
        <v>1108</v>
      </c>
      <c r="C7264" s="1347" t="s">
        <v>1105</v>
      </c>
      <c r="D7264" s="1347" t="s">
        <v>11927</v>
      </c>
      <c r="E7264" s="1347" t="s">
        <v>1110</v>
      </c>
    </row>
    <row r="7265" spans="1:5" x14ac:dyDescent="0.45">
      <c r="A7265" s="1347" t="s">
        <v>1105</v>
      </c>
      <c r="B7265" s="1347" t="s">
        <v>6201</v>
      </c>
      <c r="D7265" s="1347" t="s">
        <v>11928</v>
      </c>
      <c r="E7265" s="1347" t="s">
        <v>11929</v>
      </c>
    </row>
    <row r="7266" spans="1:5" x14ac:dyDescent="0.45">
      <c r="B7266" s="1347" t="s">
        <v>1108</v>
      </c>
      <c r="D7266" s="1347" t="s">
        <v>11930</v>
      </c>
      <c r="E7266" s="1347" t="s">
        <v>11931</v>
      </c>
    </row>
    <row r="7267" spans="1:5" x14ac:dyDescent="0.45">
      <c r="A7267" s="1347" t="s">
        <v>1105</v>
      </c>
      <c r="B7267" s="1347" t="s">
        <v>11932</v>
      </c>
      <c r="D7267" s="1347" t="s">
        <v>11933</v>
      </c>
      <c r="E7267" s="1347" t="s">
        <v>11934</v>
      </c>
    </row>
    <row r="7268" spans="1:5" x14ac:dyDescent="0.45">
      <c r="B7268" s="1347" t="s">
        <v>1108</v>
      </c>
      <c r="D7268" s="1347" t="s">
        <v>11935</v>
      </c>
      <c r="E7268" s="1347" t="s">
        <v>11936</v>
      </c>
    </row>
    <row r="7269" spans="1:5" x14ac:dyDescent="0.45">
      <c r="A7269" s="1347">
        <v>-1</v>
      </c>
      <c r="B7269" s="1347" t="s">
        <v>11937</v>
      </c>
      <c r="C7269" s="1347" t="s">
        <v>1105</v>
      </c>
      <c r="D7269" s="1347" t="s">
        <v>11938</v>
      </c>
      <c r="E7269" s="1347" t="s">
        <v>11939</v>
      </c>
    </row>
    <row r="7270" spans="1:5" x14ac:dyDescent="0.45">
      <c r="B7270" s="1347" t="s">
        <v>6399</v>
      </c>
      <c r="D7270" s="1347" t="s">
        <v>11940</v>
      </c>
      <c r="E7270" s="1347" t="s">
        <v>11941</v>
      </c>
    </row>
    <row r="7271" spans="1:5" x14ac:dyDescent="0.45">
      <c r="A7271" s="1347">
        <v>1</v>
      </c>
      <c r="B7271" s="1347" t="s">
        <v>11942</v>
      </c>
      <c r="D7271" s="1347" t="s">
        <v>10438</v>
      </c>
      <c r="E7271" s="1347" t="s">
        <v>10592</v>
      </c>
    </row>
    <row r="7272" spans="1:5" x14ac:dyDescent="0.45">
      <c r="B7272" s="1347" t="s">
        <v>11943</v>
      </c>
      <c r="D7272" s="1347" t="s">
        <v>11944</v>
      </c>
      <c r="E7272" s="1347" t="s">
        <v>11945</v>
      </c>
    </row>
    <row r="7273" spans="1:5" x14ac:dyDescent="0.45">
      <c r="A7273" s="1347">
        <v>1</v>
      </c>
      <c r="B7273" s="1347" t="s">
        <v>11946</v>
      </c>
      <c r="D7273" s="1347" t="s">
        <v>11947</v>
      </c>
      <c r="E7273" s="1347" t="s">
        <v>11948</v>
      </c>
    </row>
    <row r="7274" spans="1:5" x14ac:dyDescent="0.45">
      <c r="B7274" s="1347" t="s">
        <v>1108</v>
      </c>
      <c r="D7274" s="1347" t="s">
        <v>11949</v>
      </c>
      <c r="E7274" s="1347" t="s">
        <v>11950</v>
      </c>
    </row>
    <row r="7275" spans="1:5" x14ac:dyDescent="0.45">
      <c r="B7275" s="1347" t="s">
        <v>1108</v>
      </c>
      <c r="D7275" s="1347" t="s">
        <v>11951</v>
      </c>
      <c r="E7275" s="1347" t="s">
        <v>11952</v>
      </c>
    </row>
    <row r="7276" spans="1:5" x14ac:dyDescent="0.45">
      <c r="A7276" s="1347">
        <v>-1</v>
      </c>
      <c r="B7276" s="1347" t="s">
        <v>11953</v>
      </c>
      <c r="D7276" s="1347" t="s">
        <v>11954</v>
      </c>
      <c r="E7276" s="1347" t="s">
        <v>11955</v>
      </c>
    </row>
    <row r="7277" spans="1:5" x14ac:dyDescent="0.45">
      <c r="B7277" s="1347" t="s">
        <v>11956</v>
      </c>
      <c r="D7277" s="1347" t="s">
        <v>11957</v>
      </c>
      <c r="E7277" s="1347" t="s">
        <v>11958</v>
      </c>
    </row>
    <row r="7278" spans="1:5" x14ac:dyDescent="0.45">
      <c r="B7278" s="1347" t="s">
        <v>1108</v>
      </c>
      <c r="D7278" s="1347" t="s">
        <v>1109</v>
      </c>
      <c r="E7278" s="1347" t="s">
        <v>11959</v>
      </c>
    </row>
    <row r="7279" spans="1:5" x14ac:dyDescent="0.45">
      <c r="B7279" s="1347" t="s">
        <v>11960</v>
      </c>
      <c r="D7279" s="1347" t="s">
        <v>11961</v>
      </c>
      <c r="E7279" s="1347" t="s">
        <v>3083</v>
      </c>
    </row>
    <row r="7280" spans="1:5" x14ac:dyDescent="0.45">
      <c r="A7280" s="1347" t="s">
        <v>1105</v>
      </c>
      <c r="B7280" s="1347" t="s">
        <v>11962</v>
      </c>
      <c r="D7280" s="1347" t="s">
        <v>11963</v>
      </c>
      <c r="E7280" s="1347" t="s">
        <v>11964</v>
      </c>
    </row>
    <row r="7281" spans="1:5" x14ac:dyDescent="0.45">
      <c r="B7281" s="1347" t="s">
        <v>3044</v>
      </c>
      <c r="D7281" s="1347" t="s">
        <v>11965</v>
      </c>
      <c r="E7281" s="1347" t="s">
        <v>1113</v>
      </c>
    </row>
    <row r="7282" spans="1:5" x14ac:dyDescent="0.45">
      <c r="A7282" s="1347" t="s">
        <v>1105</v>
      </c>
      <c r="B7282" s="1347" t="s">
        <v>5543</v>
      </c>
      <c r="D7282" s="1347" t="s">
        <v>11966</v>
      </c>
      <c r="E7282" s="1347" t="s">
        <v>11967</v>
      </c>
    </row>
    <row r="7283" spans="1:5" x14ac:dyDescent="0.45">
      <c r="A7283" s="1347">
        <v>-1</v>
      </c>
      <c r="B7283" s="1347" t="s">
        <v>11968</v>
      </c>
      <c r="D7283" s="1347" t="s">
        <v>1109</v>
      </c>
      <c r="E7283" s="1347" t="s">
        <v>11969</v>
      </c>
    </row>
    <row r="7284" spans="1:5" x14ac:dyDescent="0.45">
      <c r="B7284" s="1347" t="s">
        <v>11970</v>
      </c>
      <c r="D7284" s="1347" t="s">
        <v>11971</v>
      </c>
      <c r="E7284" s="1347" t="s">
        <v>11972</v>
      </c>
    </row>
    <row r="7285" spans="1:5" x14ac:dyDescent="0.45">
      <c r="A7285" s="1347">
        <v>9</v>
      </c>
      <c r="B7285" s="1347" t="s">
        <v>11973</v>
      </c>
      <c r="D7285" s="1347" t="s">
        <v>11974</v>
      </c>
      <c r="E7285" s="1347" t="s">
        <v>11975</v>
      </c>
    </row>
    <row r="7286" spans="1:5" x14ac:dyDescent="0.45">
      <c r="B7286" s="1347" t="s">
        <v>1108</v>
      </c>
      <c r="D7286" s="1347" t="s">
        <v>1109</v>
      </c>
      <c r="E7286" s="1347" t="s">
        <v>1110</v>
      </c>
    </row>
    <row r="7287" spans="1:5" x14ac:dyDescent="0.45">
      <c r="B7287" s="1347" t="s">
        <v>1108</v>
      </c>
      <c r="D7287" s="1347" t="s">
        <v>11976</v>
      </c>
      <c r="E7287" s="1347" t="s">
        <v>1110</v>
      </c>
    </row>
    <row r="7288" spans="1:5" x14ac:dyDescent="0.45">
      <c r="A7288" s="1347">
        <v>-1</v>
      </c>
      <c r="B7288" s="1347" t="s">
        <v>11977</v>
      </c>
      <c r="D7288" s="1347" t="s">
        <v>11978</v>
      </c>
      <c r="E7288" s="1347" t="s">
        <v>11979</v>
      </c>
    </row>
    <row r="7289" spans="1:5" x14ac:dyDescent="0.45">
      <c r="B7289" s="1347" t="s">
        <v>11980</v>
      </c>
      <c r="D7289" s="1347" t="s">
        <v>11981</v>
      </c>
      <c r="E7289" s="1347" t="s">
        <v>11982</v>
      </c>
    </row>
    <row r="7290" spans="1:5" x14ac:dyDescent="0.45">
      <c r="A7290" s="1347">
        <v>1</v>
      </c>
      <c r="B7290" s="1347" t="s">
        <v>11983</v>
      </c>
      <c r="D7290" s="1347" t="s">
        <v>11984</v>
      </c>
      <c r="E7290" s="1347" t="s">
        <v>11985</v>
      </c>
    </row>
    <row r="7291" spans="1:5" x14ac:dyDescent="0.45">
      <c r="B7291" s="1347" t="s">
        <v>11986</v>
      </c>
      <c r="D7291" s="1347" t="s">
        <v>11987</v>
      </c>
      <c r="E7291" s="1347" t="s">
        <v>11988</v>
      </c>
    </row>
    <row r="7292" spans="1:5" x14ac:dyDescent="0.45">
      <c r="A7292" s="1347">
        <v>-1</v>
      </c>
      <c r="B7292" s="1347" t="s">
        <v>11989</v>
      </c>
      <c r="C7292" s="1347" t="s">
        <v>1105</v>
      </c>
      <c r="D7292" s="1347" t="s">
        <v>11990</v>
      </c>
      <c r="E7292" s="1347" t="s">
        <v>11991</v>
      </c>
    </row>
    <row r="7293" spans="1:5" x14ac:dyDescent="0.45">
      <c r="A7293" s="1347">
        <v>1</v>
      </c>
      <c r="B7293" s="1347" t="s">
        <v>11992</v>
      </c>
      <c r="D7293" s="1347" t="s">
        <v>11993</v>
      </c>
      <c r="E7293" s="1347" t="s">
        <v>11994</v>
      </c>
    </row>
    <row r="7294" spans="1:5" x14ac:dyDescent="0.45">
      <c r="B7294" s="1359">
        <v>40253</v>
      </c>
      <c r="D7294" s="1347">
        <f>-122    -68   -355   -32</f>
        <v>-577</v>
      </c>
      <c r="E7294" s="1347" t="s">
        <v>11995</v>
      </c>
    </row>
    <row r="7295" spans="1:5" x14ac:dyDescent="0.45">
      <c r="A7295" s="1347" t="s">
        <v>1105</v>
      </c>
      <c r="B7295" s="1347" t="s">
        <v>11996</v>
      </c>
      <c r="D7295" s="1347" t="s">
        <v>11997</v>
      </c>
      <c r="E7295" s="1347" t="s">
        <v>11998</v>
      </c>
    </row>
    <row r="7296" spans="1:5" x14ac:dyDescent="0.45">
      <c r="B7296" s="1347" t="s">
        <v>11999</v>
      </c>
      <c r="D7296" s="1347" t="s">
        <v>12000</v>
      </c>
      <c r="E7296" s="1347" t="s">
        <v>12001</v>
      </c>
    </row>
    <row r="7297" spans="1:5" x14ac:dyDescent="0.45">
      <c r="A7297" s="1347" t="s">
        <v>1105</v>
      </c>
      <c r="B7297" s="1347" t="s">
        <v>3090</v>
      </c>
      <c r="D7297" s="1347" t="s">
        <v>12002</v>
      </c>
      <c r="E7297" s="1347" t="s">
        <v>12003</v>
      </c>
    </row>
    <row r="7298" spans="1:5" x14ac:dyDescent="0.45">
      <c r="B7298" s="1347" t="s">
        <v>1108</v>
      </c>
      <c r="D7298" s="1347" t="s">
        <v>6375</v>
      </c>
      <c r="E7298" s="1347" t="s">
        <v>12004</v>
      </c>
    </row>
    <row r="7299" spans="1:5" x14ac:dyDescent="0.45">
      <c r="B7299" s="1347" t="s">
        <v>3299</v>
      </c>
      <c r="D7299" s="1347" t="s">
        <v>12005</v>
      </c>
      <c r="E7299" s="1347" t="s">
        <v>12006</v>
      </c>
    </row>
    <row r="7300" spans="1:5" x14ac:dyDescent="0.45">
      <c r="A7300" s="1347">
        <v>-1</v>
      </c>
      <c r="B7300" s="1347" t="s">
        <v>12007</v>
      </c>
      <c r="D7300" s="1347" t="s">
        <v>12008</v>
      </c>
      <c r="E7300" s="1347" t="s">
        <v>12009</v>
      </c>
    </row>
    <row r="7301" spans="1:5" x14ac:dyDescent="0.45">
      <c r="B7301" s="1347" t="s">
        <v>1108</v>
      </c>
      <c r="D7301" s="1347" t="s">
        <v>12010</v>
      </c>
      <c r="E7301" s="1347" t="s">
        <v>1402</v>
      </c>
    </row>
    <row r="7302" spans="1:5" x14ac:dyDescent="0.45">
      <c r="B7302" s="1347" t="s">
        <v>12011</v>
      </c>
      <c r="D7302" s="1347" t="s">
        <v>12012</v>
      </c>
      <c r="E7302" s="1347" t="s">
        <v>12013</v>
      </c>
    </row>
    <row r="7303" spans="1:5" x14ac:dyDescent="0.45">
      <c r="A7303" s="1347" t="s">
        <v>1105</v>
      </c>
      <c r="B7303" s="1347" t="s">
        <v>2204</v>
      </c>
      <c r="D7303" s="1347" t="s">
        <v>12014</v>
      </c>
      <c r="E7303" s="1347" t="s">
        <v>12015</v>
      </c>
    </row>
    <row r="7304" spans="1:5" x14ac:dyDescent="0.45">
      <c r="A7304" s="1347">
        <v>-1</v>
      </c>
      <c r="B7304" s="1347" t="s">
        <v>12016</v>
      </c>
      <c r="D7304" s="1347" t="s">
        <v>12017</v>
      </c>
      <c r="E7304" s="1347" t="s">
        <v>12018</v>
      </c>
    </row>
    <row r="7305" spans="1:5" x14ac:dyDescent="0.45">
      <c r="B7305" s="1347" t="s">
        <v>1108</v>
      </c>
      <c r="D7305" s="1347" t="s">
        <v>12019</v>
      </c>
      <c r="E7305" s="1347" t="s">
        <v>12020</v>
      </c>
    </row>
    <row r="7306" spans="1:5" x14ac:dyDescent="0.45">
      <c r="B7306" s="1347" t="s">
        <v>12021</v>
      </c>
      <c r="D7306" s="1347" t="s">
        <v>12022</v>
      </c>
      <c r="E7306" s="1347" t="s">
        <v>12023</v>
      </c>
    </row>
    <row r="7307" spans="1:5" x14ac:dyDescent="0.45">
      <c r="A7307" s="1347">
        <v>-1</v>
      </c>
      <c r="B7307" s="1347" t="s">
        <v>12024</v>
      </c>
      <c r="D7307" s="1347" t="s">
        <v>12025</v>
      </c>
      <c r="E7307" s="1347" t="s">
        <v>12026</v>
      </c>
    </row>
    <row r="7308" spans="1:5" x14ac:dyDescent="0.45">
      <c r="B7308" s="1347" t="s">
        <v>12027</v>
      </c>
      <c r="D7308" s="1347" t="s">
        <v>12028</v>
      </c>
      <c r="E7308" s="1347" t="s">
        <v>12029</v>
      </c>
    </row>
    <row r="7309" spans="1:5" x14ac:dyDescent="0.45">
      <c r="B7309" s="1347" t="s">
        <v>12030</v>
      </c>
      <c r="C7309" s="1347" t="s">
        <v>1105</v>
      </c>
      <c r="D7309" s="1347" t="s">
        <v>12031</v>
      </c>
      <c r="E7309" s="1347" t="s">
        <v>12032</v>
      </c>
    </row>
    <row r="7310" spans="1:5" x14ac:dyDescent="0.45">
      <c r="B7310" s="1347" t="s">
        <v>12033</v>
      </c>
      <c r="D7310" s="1347" t="s">
        <v>12034</v>
      </c>
      <c r="E7310" s="1347" t="s">
        <v>12035</v>
      </c>
    </row>
    <row r="7311" spans="1:5" x14ac:dyDescent="0.45">
      <c r="B7311" s="1347" t="s">
        <v>6736</v>
      </c>
      <c r="D7311" s="1347" t="s">
        <v>12036</v>
      </c>
      <c r="E7311" s="1347" t="s">
        <v>12037</v>
      </c>
    </row>
    <row r="7312" spans="1:5" x14ac:dyDescent="0.45">
      <c r="B7312" s="1347" t="s">
        <v>1108</v>
      </c>
      <c r="D7312" s="1347" t="s">
        <v>12038</v>
      </c>
      <c r="E7312" s="1347" t="s">
        <v>12039</v>
      </c>
    </row>
    <row r="7313" spans="1:5" x14ac:dyDescent="0.45">
      <c r="B7313" s="1347" t="s">
        <v>12040</v>
      </c>
      <c r="D7313" s="1347" t="s">
        <v>3195</v>
      </c>
      <c r="E7313" s="1347" t="s">
        <v>12041</v>
      </c>
    </row>
    <row r="7314" spans="1:5" x14ac:dyDescent="0.45">
      <c r="B7314" s="1347" t="s">
        <v>12042</v>
      </c>
      <c r="D7314" s="1347" t="s">
        <v>12043</v>
      </c>
      <c r="E7314" s="1347" t="s">
        <v>12044</v>
      </c>
    </row>
    <row r="7315" spans="1:5" x14ac:dyDescent="0.45">
      <c r="B7315" s="1347" t="s">
        <v>1108</v>
      </c>
      <c r="D7315" s="1347" t="s">
        <v>1109</v>
      </c>
      <c r="E7315" s="1347" t="s">
        <v>12045</v>
      </c>
    </row>
    <row r="7316" spans="1:5" x14ac:dyDescent="0.45">
      <c r="A7316" s="1347" t="s">
        <v>1105</v>
      </c>
      <c r="B7316" s="1347" t="s">
        <v>12046</v>
      </c>
      <c r="D7316" s="1347" t="s">
        <v>12047</v>
      </c>
      <c r="E7316" s="1347" t="s">
        <v>1110</v>
      </c>
    </row>
    <row r="7317" spans="1:5" x14ac:dyDescent="0.45">
      <c r="A7317" s="1347">
        <v>3</v>
      </c>
      <c r="B7317" s="1347" t="s">
        <v>12048</v>
      </c>
      <c r="C7317" s="1347" t="s">
        <v>1105</v>
      </c>
      <c r="D7317" s="1347" t="s">
        <v>12049</v>
      </c>
      <c r="E7317" s="1347" t="s">
        <v>1110</v>
      </c>
    </row>
    <row r="7318" spans="1:5" x14ac:dyDescent="0.45">
      <c r="B7318" s="1347" t="s">
        <v>7223</v>
      </c>
      <c r="D7318" s="1347" t="s">
        <v>12050</v>
      </c>
      <c r="E7318" s="1347" t="s">
        <v>12051</v>
      </c>
    </row>
    <row r="7319" spans="1:5" x14ac:dyDescent="0.45">
      <c r="B7319" s="1347" t="s">
        <v>12052</v>
      </c>
      <c r="D7319" s="1347" t="s">
        <v>12053</v>
      </c>
      <c r="E7319" s="1347" t="s">
        <v>12054</v>
      </c>
    </row>
    <row r="7320" spans="1:5" x14ac:dyDescent="0.45">
      <c r="A7320" s="1347" t="s">
        <v>1105</v>
      </c>
      <c r="B7320" s="1347" t="s">
        <v>12055</v>
      </c>
      <c r="D7320" s="1347" t="s">
        <v>12056</v>
      </c>
      <c r="E7320" s="1347" t="s">
        <v>1110</v>
      </c>
    </row>
    <row r="7321" spans="1:5" x14ac:dyDescent="0.45">
      <c r="B7321" s="1347" t="s">
        <v>12057</v>
      </c>
      <c r="D7321" s="1347" t="s">
        <v>12058</v>
      </c>
      <c r="E7321" s="1347" t="s">
        <v>12059</v>
      </c>
    </row>
    <row r="7322" spans="1:5" x14ac:dyDescent="0.45">
      <c r="A7322" s="1347">
        <v>-13</v>
      </c>
      <c r="B7322" s="1347" t="s">
        <v>12060</v>
      </c>
      <c r="D7322" s="1347" t="s">
        <v>1109</v>
      </c>
      <c r="E7322" s="1347" t="s">
        <v>12061</v>
      </c>
    </row>
    <row r="7323" spans="1:5" x14ac:dyDescent="0.45">
      <c r="B7323" s="1347" t="s">
        <v>1108</v>
      </c>
      <c r="D7323" s="1347" t="s">
        <v>1109</v>
      </c>
      <c r="E7323" s="1347" t="s">
        <v>1110</v>
      </c>
    </row>
    <row r="7324" spans="1:5" x14ac:dyDescent="0.45">
      <c r="B7324" s="1347" t="s">
        <v>1108</v>
      </c>
      <c r="D7324" s="1347" t="s">
        <v>5585</v>
      </c>
      <c r="E7324" s="1347" t="s">
        <v>1275</v>
      </c>
    </row>
    <row r="7325" spans="1:5" x14ac:dyDescent="0.45">
      <c r="B7325" s="1347" t="s">
        <v>7563</v>
      </c>
      <c r="D7325" s="1347">
        <f>-14    -19   -676   -31</f>
        <v>-740</v>
      </c>
      <c r="E7325" s="1347" t="s">
        <v>12062</v>
      </c>
    </row>
    <row r="7326" spans="1:5" x14ac:dyDescent="0.45">
      <c r="B7326" s="1347" t="s">
        <v>12063</v>
      </c>
      <c r="D7326" s="1347" t="s">
        <v>12064</v>
      </c>
      <c r="E7326" s="1347" t="s">
        <v>12065</v>
      </c>
    </row>
    <row r="7327" spans="1:5" x14ac:dyDescent="0.45">
      <c r="B7327" s="1347" t="s">
        <v>12066</v>
      </c>
      <c r="D7327" s="1347" t="s">
        <v>12067</v>
      </c>
      <c r="E7327" s="1347" t="s">
        <v>12068</v>
      </c>
    </row>
    <row r="7328" spans="1:5" x14ac:dyDescent="0.45">
      <c r="B7328" s="1347" t="s">
        <v>12069</v>
      </c>
      <c r="D7328" s="1347" t="s">
        <v>12070</v>
      </c>
      <c r="E7328" s="1347" t="s">
        <v>12071</v>
      </c>
    </row>
    <row r="7329" spans="1:5" x14ac:dyDescent="0.45">
      <c r="A7329" s="1347" t="s">
        <v>1105</v>
      </c>
      <c r="B7329" s="1347" t="s">
        <v>12072</v>
      </c>
      <c r="D7329" s="1347">
        <f>-383   -222   -882    -7</f>
        <v>-1494</v>
      </c>
      <c r="E7329" s="1347" t="s">
        <v>12073</v>
      </c>
    </row>
    <row r="7330" spans="1:5" x14ac:dyDescent="0.45">
      <c r="A7330" s="1347">
        <v>-2</v>
      </c>
      <c r="B7330" s="1347" t="s">
        <v>12074</v>
      </c>
      <c r="C7330" s="1347" t="s">
        <v>1105</v>
      </c>
      <c r="D7330" s="1347" t="s">
        <v>12075</v>
      </c>
      <c r="E7330" s="1347" t="s">
        <v>12076</v>
      </c>
    </row>
    <row r="7331" spans="1:5" x14ac:dyDescent="0.45">
      <c r="B7331" s="1347" t="s">
        <v>12077</v>
      </c>
      <c r="D7331" s="1347" t="s">
        <v>12078</v>
      </c>
      <c r="E7331" s="1347" t="s">
        <v>12079</v>
      </c>
    </row>
    <row r="7332" spans="1:5" x14ac:dyDescent="0.45">
      <c r="B7332" s="1347" t="s">
        <v>12080</v>
      </c>
      <c r="D7332" s="1347" t="s">
        <v>12081</v>
      </c>
      <c r="E7332" s="1347" t="s">
        <v>12082</v>
      </c>
    </row>
    <row r="7333" spans="1:5" x14ac:dyDescent="0.45">
      <c r="B7333" s="1347" t="s">
        <v>12083</v>
      </c>
      <c r="D7333" s="1347" t="s">
        <v>12084</v>
      </c>
      <c r="E7333" s="1347" t="s">
        <v>12085</v>
      </c>
    </row>
    <row r="7334" spans="1:5" x14ac:dyDescent="0.45">
      <c r="B7334" s="1347" t="s">
        <v>12086</v>
      </c>
      <c r="D7334" s="1347" t="s">
        <v>12087</v>
      </c>
      <c r="E7334" s="1347" t="s">
        <v>12088</v>
      </c>
    </row>
    <row r="7335" spans="1:5" x14ac:dyDescent="0.45">
      <c r="A7335" s="1347" t="s">
        <v>1105</v>
      </c>
      <c r="B7335" s="1347" t="s">
        <v>12089</v>
      </c>
      <c r="D7335" s="1347" t="s">
        <v>1109</v>
      </c>
      <c r="E7335" s="1347" t="s">
        <v>12090</v>
      </c>
    </row>
    <row r="7336" spans="1:5" x14ac:dyDescent="0.45">
      <c r="B7336" s="1347" t="s">
        <v>5140</v>
      </c>
      <c r="D7336" s="1347" t="s">
        <v>12091</v>
      </c>
      <c r="E7336" s="1347" t="s">
        <v>12092</v>
      </c>
    </row>
    <row r="7337" spans="1:5" x14ac:dyDescent="0.45">
      <c r="A7337" s="1347" t="s">
        <v>1105</v>
      </c>
      <c r="B7337" s="1347" t="s">
        <v>12093</v>
      </c>
      <c r="C7337" s="1347">
        <v>1</v>
      </c>
      <c r="D7337" s="1347" t="s">
        <v>12094</v>
      </c>
      <c r="E7337" s="1347" t="s">
        <v>1350</v>
      </c>
    </row>
    <row r="7338" spans="1:5" x14ac:dyDescent="0.45">
      <c r="B7338" s="1347" t="s">
        <v>12095</v>
      </c>
      <c r="D7338" s="1347" t="s">
        <v>7060</v>
      </c>
      <c r="E7338" s="1347" t="s">
        <v>12096</v>
      </c>
    </row>
    <row r="7339" spans="1:5" x14ac:dyDescent="0.45">
      <c r="B7339" s="1347" t="s">
        <v>1108</v>
      </c>
      <c r="D7339" s="1347" t="s">
        <v>12097</v>
      </c>
      <c r="E7339" s="1347" t="s">
        <v>12098</v>
      </c>
    </row>
    <row r="7340" spans="1:5" x14ac:dyDescent="0.45">
      <c r="B7340" s="1347" t="s">
        <v>1452</v>
      </c>
      <c r="D7340" s="1347" t="s">
        <v>12099</v>
      </c>
      <c r="E7340" s="1347" t="s">
        <v>12100</v>
      </c>
    </row>
    <row r="7341" spans="1:5" x14ac:dyDescent="0.45">
      <c r="B7341" s="1347" t="s">
        <v>1108</v>
      </c>
      <c r="D7341" s="1347" t="s">
        <v>12101</v>
      </c>
      <c r="E7341" s="1347" t="s">
        <v>12102</v>
      </c>
    </row>
    <row r="7342" spans="1:5" x14ac:dyDescent="0.45">
      <c r="A7342" s="1347">
        <v>1</v>
      </c>
      <c r="B7342" s="1347" t="s">
        <v>12103</v>
      </c>
      <c r="D7342" s="1347" t="s">
        <v>1109</v>
      </c>
      <c r="E7342" s="1347" t="s">
        <v>12104</v>
      </c>
    </row>
    <row r="7343" spans="1:5" x14ac:dyDescent="0.45">
      <c r="B7343" s="1347" t="s">
        <v>12105</v>
      </c>
      <c r="D7343" s="1347" t="s">
        <v>12106</v>
      </c>
      <c r="E7343" s="1347" t="s">
        <v>12107</v>
      </c>
    </row>
    <row r="7344" spans="1:5" x14ac:dyDescent="0.45">
      <c r="A7344" s="1347">
        <v>-14</v>
      </c>
      <c r="B7344" s="1347" t="s">
        <v>12108</v>
      </c>
      <c r="D7344" s="1347" t="s">
        <v>12109</v>
      </c>
      <c r="E7344" s="1347" t="s">
        <v>12110</v>
      </c>
    </row>
    <row r="7345" spans="1:5" x14ac:dyDescent="0.45">
      <c r="A7345" s="1347" t="s">
        <v>1105</v>
      </c>
      <c r="B7345" s="1347" t="s">
        <v>4488</v>
      </c>
      <c r="D7345" s="1347" t="s">
        <v>12111</v>
      </c>
      <c r="E7345" s="1347" t="s">
        <v>1275</v>
      </c>
    </row>
    <row r="7346" spans="1:5" x14ac:dyDescent="0.45">
      <c r="B7346" s="1347" t="s">
        <v>12112</v>
      </c>
      <c r="D7346" s="1347" t="s">
        <v>12113</v>
      </c>
      <c r="E7346" s="1347" t="s">
        <v>12114</v>
      </c>
    </row>
    <row r="7347" spans="1:5" x14ac:dyDescent="0.45">
      <c r="A7347" s="1347">
        <v>1</v>
      </c>
      <c r="B7347" s="1347" t="s">
        <v>12115</v>
      </c>
      <c r="C7347" s="1347" t="s">
        <v>1105</v>
      </c>
      <c r="D7347" s="1347" t="s">
        <v>12116</v>
      </c>
      <c r="E7347" s="1347" t="s">
        <v>12117</v>
      </c>
    </row>
    <row r="7348" spans="1:5" x14ac:dyDescent="0.45">
      <c r="B7348" s="1347" t="s">
        <v>5286</v>
      </c>
      <c r="D7348" s="1347" t="s">
        <v>12118</v>
      </c>
      <c r="E7348" s="1347" t="s">
        <v>12119</v>
      </c>
    </row>
    <row r="7349" spans="1:5" x14ac:dyDescent="0.45">
      <c r="B7349" s="1347" t="s">
        <v>1108</v>
      </c>
      <c r="D7349" s="1347" t="s">
        <v>12120</v>
      </c>
      <c r="E7349" s="1347" t="s">
        <v>12121</v>
      </c>
    </row>
    <row r="7350" spans="1:5" x14ac:dyDescent="0.45">
      <c r="B7350" s="1347" t="s">
        <v>12122</v>
      </c>
      <c r="D7350" s="1347" t="s">
        <v>12123</v>
      </c>
      <c r="E7350" s="1347" t="s">
        <v>12124</v>
      </c>
    </row>
    <row r="7351" spans="1:5" x14ac:dyDescent="0.45">
      <c r="A7351" s="1347" t="s">
        <v>1105</v>
      </c>
      <c r="B7351" s="1347" t="s">
        <v>12125</v>
      </c>
      <c r="D7351" s="1347" t="s">
        <v>12126</v>
      </c>
      <c r="E7351" s="1347" t="s">
        <v>12127</v>
      </c>
    </row>
    <row r="7352" spans="1:5" x14ac:dyDescent="0.45">
      <c r="B7352" s="1347" t="s">
        <v>12128</v>
      </c>
      <c r="D7352" s="1347" t="s">
        <v>1109</v>
      </c>
      <c r="E7352" s="1347" t="s">
        <v>12129</v>
      </c>
    </row>
    <row r="7353" spans="1:5" x14ac:dyDescent="0.45">
      <c r="B7353" s="1347" t="s">
        <v>12130</v>
      </c>
      <c r="D7353" s="1347" t="s">
        <v>12131</v>
      </c>
      <c r="E7353" s="1347" t="s">
        <v>12132</v>
      </c>
    </row>
    <row r="7354" spans="1:5" x14ac:dyDescent="0.45">
      <c r="B7354" s="1347" t="s">
        <v>1108</v>
      </c>
      <c r="C7354" s="1347">
        <v>-1</v>
      </c>
      <c r="D7354" s="1347" t="s">
        <v>12133</v>
      </c>
      <c r="E7354" s="1347" t="s">
        <v>12134</v>
      </c>
    </row>
    <row r="7355" spans="1:5" x14ac:dyDescent="0.45">
      <c r="B7355" s="1347" t="s">
        <v>1108</v>
      </c>
      <c r="C7355" s="1347" t="s">
        <v>1105</v>
      </c>
      <c r="D7355" s="1347" t="s">
        <v>12135</v>
      </c>
      <c r="E7355" s="1347" t="s">
        <v>12136</v>
      </c>
    </row>
    <row r="7356" spans="1:5" x14ac:dyDescent="0.45">
      <c r="B7356" s="1347" t="s">
        <v>1108</v>
      </c>
      <c r="D7356" s="1347" t="s">
        <v>12137</v>
      </c>
      <c r="E7356" s="1347" t="s">
        <v>12138</v>
      </c>
    </row>
    <row r="7357" spans="1:5" x14ac:dyDescent="0.45">
      <c r="A7357" s="1347">
        <v>-6</v>
      </c>
      <c r="B7357" s="1347" t="s">
        <v>12139</v>
      </c>
      <c r="D7357" s="1347" t="s">
        <v>12140</v>
      </c>
      <c r="E7357" s="1347" t="s">
        <v>1110</v>
      </c>
    </row>
    <row r="7358" spans="1:5" x14ac:dyDescent="0.45">
      <c r="B7358" s="1347" t="s">
        <v>1108</v>
      </c>
      <c r="D7358" s="1347" t="s">
        <v>12141</v>
      </c>
      <c r="E7358" s="1347" t="s">
        <v>12142</v>
      </c>
    </row>
    <row r="7359" spans="1:5" x14ac:dyDescent="0.45">
      <c r="A7359" s="1347">
        <v>-3</v>
      </c>
      <c r="B7359" s="1347" t="s">
        <v>12143</v>
      </c>
      <c r="D7359" s="1347" t="s">
        <v>12144</v>
      </c>
      <c r="E7359" s="1347" t="s">
        <v>12145</v>
      </c>
    </row>
    <row r="7360" spans="1:5" x14ac:dyDescent="0.45">
      <c r="A7360" s="1347">
        <v>1</v>
      </c>
      <c r="B7360" s="1347" t="s">
        <v>12146</v>
      </c>
      <c r="D7360" s="1347" t="s">
        <v>1109</v>
      </c>
      <c r="E7360" s="1347" t="s">
        <v>1110</v>
      </c>
    </row>
    <row r="7361" spans="1:5" x14ac:dyDescent="0.45">
      <c r="B7361" s="1347" t="s">
        <v>1108</v>
      </c>
      <c r="D7361" s="1347" t="s">
        <v>1109</v>
      </c>
      <c r="E7361" s="1347" t="s">
        <v>12147</v>
      </c>
    </row>
    <row r="7362" spans="1:5" x14ac:dyDescent="0.45">
      <c r="B7362" s="1347" t="s">
        <v>1108</v>
      </c>
      <c r="D7362" s="1347" t="s">
        <v>12148</v>
      </c>
      <c r="E7362" s="1347" t="s">
        <v>12149</v>
      </c>
    </row>
    <row r="7363" spans="1:5" x14ac:dyDescent="0.45">
      <c r="A7363" s="1347">
        <v>-1</v>
      </c>
      <c r="B7363" s="1347" t="s">
        <v>12150</v>
      </c>
      <c r="C7363" s="1347" t="s">
        <v>1105</v>
      </c>
      <c r="D7363" s="1347" t="s">
        <v>12151</v>
      </c>
      <c r="E7363" s="1347" t="s">
        <v>12152</v>
      </c>
    </row>
    <row r="7364" spans="1:5" x14ac:dyDescent="0.45">
      <c r="B7364" s="1347" t="s">
        <v>12153</v>
      </c>
      <c r="D7364" s="1347" t="s">
        <v>12154</v>
      </c>
      <c r="E7364" s="1347" t="s">
        <v>12155</v>
      </c>
    </row>
    <row r="7365" spans="1:5" x14ac:dyDescent="0.45">
      <c r="B7365" s="1347" t="s">
        <v>12156</v>
      </c>
      <c r="D7365" s="1347" t="s">
        <v>12157</v>
      </c>
      <c r="E7365" s="1347" t="s">
        <v>12158</v>
      </c>
    </row>
    <row r="7366" spans="1:5" x14ac:dyDescent="0.45">
      <c r="B7366" s="1347" t="s">
        <v>12159</v>
      </c>
      <c r="D7366" s="1347" t="s">
        <v>12160</v>
      </c>
      <c r="E7366" s="1347" t="s">
        <v>12161</v>
      </c>
    </row>
    <row r="7367" spans="1:5" x14ac:dyDescent="0.45">
      <c r="A7367" s="1347">
        <v>-1</v>
      </c>
      <c r="B7367" s="1347" t="s">
        <v>12162</v>
      </c>
      <c r="D7367" s="1347" t="s">
        <v>12163</v>
      </c>
      <c r="E7367" s="1347" t="s">
        <v>12164</v>
      </c>
    </row>
    <row r="7368" spans="1:5" x14ac:dyDescent="0.45">
      <c r="A7368" s="1347">
        <v>3</v>
      </c>
      <c r="B7368" s="1347" t="s">
        <v>12165</v>
      </c>
      <c r="D7368" s="1347" t="s">
        <v>12166</v>
      </c>
      <c r="E7368" s="1347" t="s">
        <v>12167</v>
      </c>
    </row>
    <row r="7369" spans="1:5" x14ac:dyDescent="0.45">
      <c r="B7369" s="1347" t="s">
        <v>12168</v>
      </c>
      <c r="D7369" s="1347" t="s">
        <v>12169</v>
      </c>
      <c r="E7369" s="1347" t="s">
        <v>12170</v>
      </c>
    </row>
    <row r="7370" spans="1:5" x14ac:dyDescent="0.45">
      <c r="B7370" s="1347" t="s">
        <v>12171</v>
      </c>
      <c r="D7370" s="1347" t="s">
        <v>12172</v>
      </c>
      <c r="E7370" s="1347" t="s">
        <v>12173</v>
      </c>
    </row>
    <row r="7371" spans="1:5" x14ac:dyDescent="0.45">
      <c r="A7371" s="1347">
        <v>-22</v>
      </c>
      <c r="B7371" s="1347" t="s">
        <v>12174</v>
      </c>
      <c r="D7371" s="1347" t="s">
        <v>12175</v>
      </c>
      <c r="E7371" s="1347" t="s">
        <v>12176</v>
      </c>
    </row>
    <row r="7372" spans="1:5" x14ac:dyDescent="0.45">
      <c r="B7372" s="1347" t="s">
        <v>1108</v>
      </c>
      <c r="D7372" s="1347" t="s">
        <v>12177</v>
      </c>
      <c r="E7372" s="1347" t="s">
        <v>1110</v>
      </c>
    </row>
    <row r="7373" spans="1:5" x14ac:dyDescent="0.45">
      <c r="A7373" s="1347">
        <v>-2</v>
      </c>
      <c r="B7373" s="1347" t="s">
        <v>5994</v>
      </c>
      <c r="D7373" s="1347" t="s">
        <v>12178</v>
      </c>
      <c r="E7373" s="1347" t="s">
        <v>12179</v>
      </c>
    </row>
    <row r="7374" spans="1:5" x14ac:dyDescent="0.45">
      <c r="B7374" s="1347" t="s">
        <v>12180</v>
      </c>
      <c r="D7374" s="1347" t="s">
        <v>12181</v>
      </c>
      <c r="E7374" s="1347" t="s">
        <v>12182</v>
      </c>
    </row>
    <row r="7375" spans="1:5" x14ac:dyDescent="0.45">
      <c r="B7375" s="1347" t="s">
        <v>1108</v>
      </c>
      <c r="D7375" s="1347" t="s">
        <v>12183</v>
      </c>
      <c r="E7375" s="1347" t="s">
        <v>12184</v>
      </c>
    </row>
    <row r="7376" spans="1:5" x14ac:dyDescent="0.45">
      <c r="B7376" s="1347" t="s">
        <v>11504</v>
      </c>
      <c r="D7376" s="1347" t="s">
        <v>1109</v>
      </c>
      <c r="E7376" s="1347" t="s">
        <v>12185</v>
      </c>
    </row>
    <row r="7377" spans="1:5" x14ac:dyDescent="0.45">
      <c r="B7377" s="1347" t="s">
        <v>1108</v>
      </c>
      <c r="C7377" s="1347">
        <v>-1</v>
      </c>
      <c r="D7377" s="1347" t="s">
        <v>12186</v>
      </c>
      <c r="E7377" s="1347" t="s">
        <v>1110</v>
      </c>
    </row>
    <row r="7378" spans="1:5" x14ac:dyDescent="0.45">
      <c r="A7378" s="1347">
        <v>7</v>
      </c>
      <c r="B7378" s="1347" t="s">
        <v>12187</v>
      </c>
      <c r="D7378" s="1347" t="s">
        <v>12188</v>
      </c>
      <c r="E7378" s="1347" t="s">
        <v>12189</v>
      </c>
    </row>
    <row r="7379" spans="1:5" x14ac:dyDescent="0.45">
      <c r="A7379" s="1347" t="s">
        <v>1105</v>
      </c>
      <c r="B7379" s="1347" t="s">
        <v>12190</v>
      </c>
      <c r="D7379" s="1347">
        <f>-846   -943  -2617</f>
        <v>-4406</v>
      </c>
      <c r="E7379" s="1347" t="s">
        <v>1110</v>
      </c>
    </row>
    <row r="7380" spans="1:5" x14ac:dyDescent="0.45">
      <c r="A7380" s="1347">
        <v>-12</v>
      </c>
      <c r="B7380" s="1347" t="s">
        <v>2017</v>
      </c>
      <c r="C7380" s="1347" t="s">
        <v>1105</v>
      </c>
      <c r="D7380" s="1347" t="s">
        <v>12191</v>
      </c>
      <c r="E7380" s="1347" t="s">
        <v>12192</v>
      </c>
    </row>
    <row r="7381" spans="1:5" x14ac:dyDescent="0.45">
      <c r="A7381" s="1347">
        <v>-3</v>
      </c>
      <c r="B7381" s="1347" t="s">
        <v>12193</v>
      </c>
      <c r="D7381" s="1347" t="s">
        <v>12194</v>
      </c>
      <c r="E7381" s="1347" t="s">
        <v>12195</v>
      </c>
    </row>
    <row r="7382" spans="1:5" x14ac:dyDescent="0.45">
      <c r="B7382" s="1347" t="s">
        <v>1108</v>
      </c>
      <c r="D7382" s="1347" t="s">
        <v>12196</v>
      </c>
      <c r="E7382" s="1347" t="s">
        <v>12197</v>
      </c>
    </row>
    <row r="7383" spans="1:5" x14ac:dyDescent="0.45">
      <c r="B7383" s="1347" t="s">
        <v>1108</v>
      </c>
      <c r="D7383" s="1347" t="s">
        <v>12198</v>
      </c>
      <c r="E7383" s="1347" t="s">
        <v>12199</v>
      </c>
    </row>
    <row r="7384" spans="1:5" x14ac:dyDescent="0.45">
      <c r="A7384" s="1347">
        <v>-12</v>
      </c>
      <c r="B7384" s="1347" t="s">
        <v>12200</v>
      </c>
      <c r="D7384" s="1347" t="s">
        <v>12201</v>
      </c>
      <c r="E7384" s="1347" t="s">
        <v>12202</v>
      </c>
    </row>
    <row r="7385" spans="1:5" x14ac:dyDescent="0.45">
      <c r="B7385" s="1347" t="s">
        <v>1108</v>
      </c>
      <c r="C7385" s="1347">
        <v>1</v>
      </c>
      <c r="D7385" s="1347" t="s">
        <v>12203</v>
      </c>
      <c r="E7385" s="1347" t="s">
        <v>12204</v>
      </c>
    </row>
    <row r="7386" spans="1:5" x14ac:dyDescent="0.45">
      <c r="B7386" s="1347" t="s">
        <v>12205</v>
      </c>
      <c r="D7386" s="1347" t="s">
        <v>12206</v>
      </c>
      <c r="E7386" s="1347" t="s">
        <v>12207</v>
      </c>
    </row>
    <row r="7387" spans="1:5" x14ac:dyDescent="0.45">
      <c r="A7387" s="1347">
        <v>-4</v>
      </c>
      <c r="B7387" s="1347" t="s">
        <v>12208</v>
      </c>
      <c r="D7387" s="1347" t="s">
        <v>12209</v>
      </c>
      <c r="E7387" s="1347" t="s">
        <v>12210</v>
      </c>
    </row>
    <row r="7388" spans="1:5" x14ac:dyDescent="0.45">
      <c r="A7388" s="1347">
        <v>1</v>
      </c>
      <c r="B7388" s="1347" t="s">
        <v>12211</v>
      </c>
      <c r="D7388" s="1347" t="s">
        <v>12212</v>
      </c>
      <c r="E7388" s="1347" t="s">
        <v>12213</v>
      </c>
    </row>
    <row r="7389" spans="1:5" x14ac:dyDescent="0.45">
      <c r="B7389" s="1347" t="s">
        <v>12214</v>
      </c>
      <c r="D7389" s="1347" t="s">
        <v>12215</v>
      </c>
      <c r="E7389" s="1347" t="s">
        <v>1110</v>
      </c>
    </row>
    <row r="7390" spans="1:5" x14ac:dyDescent="0.45">
      <c r="B7390" s="1347" t="s">
        <v>1108</v>
      </c>
      <c r="C7390" s="1347" t="s">
        <v>1105</v>
      </c>
      <c r="D7390" s="1347" t="s">
        <v>12216</v>
      </c>
      <c r="E7390" s="1347" t="s">
        <v>12217</v>
      </c>
    </row>
    <row r="7391" spans="1:5" x14ac:dyDescent="0.45">
      <c r="B7391" s="1347" t="s">
        <v>1108</v>
      </c>
      <c r="D7391" s="1347" t="s">
        <v>12218</v>
      </c>
      <c r="E7391" s="1347" t="s">
        <v>12219</v>
      </c>
    </row>
    <row r="7392" spans="1:5" x14ac:dyDescent="0.45">
      <c r="A7392" s="1347">
        <v>14</v>
      </c>
      <c r="B7392" s="1347" t="s">
        <v>6807</v>
      </c>
      <c r="D7392" s="1347" t="s">
        <v>12220</v>
      </c>
      <c r="E7392" s="1347" t="s">
        <v>12221</v>
      </c>
    </row>
    <row r="7393" spans="1:5" x14ac:dyDescent="0.45">
      <c r="A7393" s="1347">
        <v>-1</v>
      </c>
      <c r="B7393" s="1347" t="s">
        <v>12222</v>
      </c>
      <c r="D7393" s="1347" t="s">
        <v>1109</v>
      </c>
      <c r="E7393" s="1347" t="s">
        <v>12223</v>
      </c>
    </row>
    <row r="7394" spans="1:5" x14ac:dyDescent="0.45">
      <c r="A7394" s="1347">
        <v>-1</v>
      </c>
      <c r="B7394" s="1347" t="s">
        <v>12224</v>
      </c>
      <c r="D7394" s="1347" t="s">
        <v>12225</v>
      </c>
      <c r="E7394" s="1347" t="s">
        <v>12226</v>
      </c>
    </row>
    <row r="7395" spans="1:5" x14ac:dyDescent="0.45">
      <c r="B7395" s="1347" t="s">
        <v>1108</v>
      </c>
      <c r="D7395" s="1347" t="s">
        <v>12227</v>
      </c>
      <c r="E7395" s="1347" t="s">
        <v>12228</v>
      </c>
    </row>
    <row r="7396" spans="1:5" x14ac:dyDescent="0.45">
      <c r="A7396" s="1347" t="s">
        <v>1105</v>
      </c>
      <c r="B7396" s="1347" t="s">
        <v>12229</v>
      </c>
      <c r="D7396" s="1347" t="s">
        <v>12230</v>
      </c>
      <c r="E7396" s="1347" t="s">
        <v>12231</v>
      </c>
    </row>
    <row r="7397" spans="1:5" x14ac:dyDescent="0.45">
      <c r="B7397" s="1347" t="s">
        <v>12232</v>
      </c>
      <c r="D7397" s="1347" t="s">
        <v>12233</v>
      </c>
      <c r="E7397" s="1347" t="s">
        <v>1110</v>
      </c>
    </row>
    <row r="7398" spans="1:5" x14ac:dyDescent="0.45">
      <c r="B7398" s="1347" t="s">
        <v>1108</v>
      </c>
      <c r="D7398" s="1347" t="s">
        <v>1109</v>
      </c>
      <c r="E7398" s="1347" t="s">
        <v>1110</v>
      </c>
    </row>
    <row r="7399" spans="1:5" x14ac:dyDescent="0.45">
      <c r="A7399" s="1347" t="s">
        <v>1105</v>
      </c>
      <c r="B7399" s="1347" t="s">
        <v>2641</v>
      </c>
      <c r="D7399" s="1347" t="s">
        <v>1109</v>
      </c>
      <c r="E7399" s="1347" t="s">
        <v>12234</v>
      </c>
    </row>
    <row r="7400" spans="1:5" x14ac:dyDescent="0.45">
      <c r="A7400" s="1347">
        <v>-3</v>
      </c>
      <c r="B7400" s="1347" t="s">
        <v>12235</v>
      </c>
      <c r="C7400" s="1347" t="s">
        <v>1105</v>
      </c>
      <c r="D7400" s="1347" t="s">
        <v>12236</v>
      </c>
      <c r="E7400" s="1347" t="s">
        <v>12237</v>
      </c>
    </row>
    <row r="7401" spans="1:5" x14ac:dyDescent="0.45">
      <c r="A7401" s="1347">
        <v>-2</v>
      </c>
      <c r="B7401" s="1347" t="s">
        <v>12238</v>
      </c>
      <c r="D7401" s="1347" t="s">
        <v>12239</v>
      </c>
      <c r="E7401" s="1347" t="s">
        <v>12240</v>
      </c>
    </row>
    <row r="7402" spans="1:5" x14ac:dyDescent="0.45">
      <c r="A7402" s="1347" t="s">
        <v>1105</v>
      </c>
      <c r="B7402" s="1347" t="s">
        <v>12241</v>
      </c>
      <c r="D7402" s="1347" t="s">
        <v>12242</v>
      </c>
      <c r="E7402" s="1347" t="s">
        <v>12243</v>
      </c>
    </row>
    <row r="7403" spans="1:5" x14ac:dyDescent="0.45">
      <c r="B7403" s="1347" t="s">
        <v>12244</v>
      </c>
      <c r="D7403" s="1347">
        <f>-253   -480  -7591 -1508</f>
        <v>-9832</v>
      </c>
      <c r="E7403" s="1347" t="s">
        <v>12245</v>
      </c>
    </row>
    <row r="7404" spans="1:5" x14ac:dyDescent="0.45">
      <c r="A7404" s="1347">
        <v>-4</v>
      </c>
      <c r="B7404" s="1347" t="s">
        <v>12246</v>
      </c>
      <c r="C7404" s="1347">
        <v>-1</v>
      </c>
      <c r="D7404" s="1347" t="s">
        <v>12247</v>
      </c>
      <c r="E7404" s="1347" t="s">
        <v>12248</v>
      </c>
    </row>
    <row r="7405" spans="1:5" x14ac:dyDescent="0.45">
      <c r="A7405" s="1347">
        <v>33</v>
      </c>
      <c r="B7405" s="1347" t="s">
        <v>12249</v>
      </c>
      <c r="C7405" s="1347">
        <v>2</v>
      </c>
      <c r="D7405" s="1347" t="s">
        <v>12250</v>
      </c>
      <c r="E7405" s="1347" t="s">
        <v>12251</v>
      </c>
    </row>
    <row r="7406" spans="1:5" x14ac:dyDescent="0.45">
      <c r="B7406" s="1347" t="s">
        <v>12252</v>
      </c>
      <c r="D7406" s="1347" t="s">
        <v>12253</v>
      </c>
      <c r="E7406" s="1347" t="s">
        <v>12254</v>
      </c>
    </row>
    <row r="7407" spans="1:5" x14ac:dyDescent="0.45">
      <c r="B7407" s="1347" t="s">
        <v>12255</v>
      </c>
      <c r="D7407" s="1347" t="s">
        <v>12256</v>
      </c>
      <c r="E7407" s="1347" t="s">
        <v>12257</v>
      </c>
    </row>
    <row r="7408" spans="1:5" x14ac:dyDescent="0.45">
      <c r="A7408" s="1347">
        <v>3</v>
      </c>
      <c r="B7408" s="1347" t="s">
        <v>12258</v>
      </c>
      <c r="C7408" s="1347" t="s">
        <v>1105</v>
      </c>
      <c r="D7408" s="1347" t="s">
        <v>12259</v>
      </c>
      <c r="E7408" s="1347" t="s">
        <v>1110</v>
      </c>
    </row>
    <row r="7409" spans="2:5" x14ac:dyDescent="0.45">
      <c r="B7409" s="1347" t="s">
        <v>1108</v>
      </c>
      <c r="D7409" s="1347" t="s">
        <v>1109</v>
      </c>
      <c r="E7409" s="1347" t="s">
        <v>1110</v>
      </c>
    </row>
    <row r="7410" spans="2:5" x14ac:dyDescent="0.45">
      <c r="B7410" s="1347" t="s">
        <v>1108</v>
      </c>
      <c r="D7410" s="1347" t="s">
        <v>1109</v>
      </c>
      <c r="E7410" s="1347" t="s">
        <v>1110</v>
      </c>
    </row>
    <row r="7411" spans="2:5" x14ac:dyDescent="0.45">
      <c r="B7411" s="1347" t="s">
        <v>1108</v>
      </c>
      <c r="D7411" s="1347" t="s">
        <v>1109</v>
      </c>
      <c r="E7411" s="1347" t="s">
        <v>1110</v>
      </c>
    </row>
    <row r="7412" spans="2:5" x14ac:dyDescent="0.45">
      <c r="B7412" s="1347" t="s">
        <v>1108</v>
      </c>
      <c r="D7412" s="1347" t="s">
        <v>1109</v>
      </c>
      <c r="E7412" s="1347" t="s">
        <v>1110</v>
      </c>
    </row>
    <row r="7413" spans="2:5" x14ac:dyDescent="0.45">
      <c r="B7413" s="1347" t="s">
        <v>1108</v>
      </c>
      <c r="D7413" s="1347" t="s">
        <v>1109</v>
      </c>
      <c r="E7413" s="1347" t="s">
        <v>1110</v>
      </c>
    </row>
    <row r="7414" spans="2:5" x14ac:dyDescent="0.45">
      <c r="B7414" s="1347" t="s">
        <v>1108</v>
      </c>
      <c r="D7414" s="1347" t="s">
        <v>1109</v>
      </c>
      <c r="E7414" s="1347" t="s">
        <v>1110</v>
      </c>
    </row>
    <row r="7415" spans="2:5" x14ac:dyDescent="0.45">
      <c r="B7415" s="1347" t="s">
        <v>1108</v>
      </c>
      <c r="D7415" s="1347" t="s">
        <v>1109</v>
      </c>
      <c r="E7415" s="1347" t="s">
        <v>1110</v>
      </c>
    </row>
    <row r="7416" spans="2:5" x14ac:dyDescent="0.45">
      <c r="B7416" s="1347" t="s">
        <v>1108</v>
      </c>
      <c r="D7416" s="1347" t="s">
        <v>1109</v>
      </c>
      <c r="E7416" s="1347" t="s">
        <v>1110</v>
      </c>
    </row>
    <row r="7417" spans="2:5" x14ac:dyDescent="0.45">
      <c r="B7417" s="1347" t="s">
        <v>1108</v>
      </c>
      <c r="D7417" s="1347" t="s">
        <v>1109</v>
      </c>
      <c r="E7417" s="1347" t="s">
        <v>1110</v>
      </c>
    </row>
    <row r="7418" spans="2:5" x14ac:dyDescent="0.45">
      <c r="B7418" s="1347" t="s">
        <v>1108</v>
      </c>
      <c r="D7418" s="1347" t="s">
        <v>1109</v>
      </c>
      <c r="E7418" s="1347" t="s">
        <v>1110</v>
      </c>
    </row>
    <row r="7419" spans="2:5" x14ac:dyDescent="0.45">
      <c r="B7419" s="1347" t="s">
        <v>1108</v>
      </c>
      <c r="D7419" s="1347" t="s">
        <v>1109</v>
      </c>
      <c r="E7419" s="1347" t="s">
        <v>1110</v>
      </c>
    </row>
    <row r="7420" spans="2:5" x14ac:dyDescent="0.45">
      <c r="B7420" s="1347" t="s">
        <v>1108</v>
      </c>
      <c r="D7420" s="1347" t="s">
        <v>1109</v>
      </c>
      <c r="E7420" s="1347" t="s">
        <v>1110</v>
      </c>
    </row>
    <row r="7421" spans="2:5" x14ac:dyDescent="0.45">
      <c r="B7421" s="1347" t="s">
        <v>1108</v>
      </c>
      <c r="D7421" s="1347" t="s">
        <v>1109</v>
      </c>
      <c r="E7421" s="1347" t="s">
        <v>1110</v>
      </c>
    </row>
    <row r="7422" spans="2:5" x14ac:dyDescent="0.45">
      <c r="B7422" s="1347" t="s">
        <v>1108</v>
      </c>
      <c r="D7422" s="1347" t="s">
        <v>1109</v>
      </c>
      <c r="E7422" s="1347" t="s">
        <v>1110</v>
      </c>
    </row>
    <row r="7423" spans="2:5" x14ac:dyDescent="0.45">
      <c r="B7423" s="1347" t="s">
        <v>1108</v>
      </c>
      <c r="D7423" s="1347" t="s">
        <v>1109</v>
      </c>
      <c r="E7423" s="1347" t="s">
        <v>1110</v>
      </c>
    </row>
    <row r="7424" spans="2:5" x14ac:dyDescent="0.45">
      <c r="B7424" s="1347" t="s">
        <v>1108</v>
      </c>
      <c r="D7424" s="1347" t="s">
        <v>1109</v>
      </c>
      <c r="E7424" s="1347" t="s">
        <v>1110</v>
      </c>
    </row>
    <row r="7425" spans="2:5" x14ac:dyDescent="0.45">
      <c r="B7425" s="1347" t="s">
        <v>1108</v>
      </c>
      <c r="D7425" s="1347" t="s">
        <v>1109</v>
      </c>
      <c r="E7425" s="1347" t="s">
        <v>1110</v>
      </c>
    </row>
    <row r="7426" spans="2:5" x14ac:dyDescent="0.45">
      <c r="B7426" s="1347" t="s">
        <v>1108</v>
      </c>
      <c r="D7426" s="1347" t="s">
        <v>1109</v>
      </c>
      <c r="E7426" s="1347" t="s">
        <v>1110</v>
      </c>
    </row>
    <row r="7427" spans="2:5" x14ac:dyDescent="0.45">
      <c r="B7427" s="1347" t="s">
        <v>1108</v>
      </c>
      <c r="D7427" s="1347" t="s">
        <v>1109</v>
      </c>
      <c r="E7427" s="1347" t="s">
        <v>1110</v>
      </c>
    </row>
    <row r="7428" spans="2:5" x14ac:dyDescent="0.45">
      <c r="B7428" s="1347" t="s">
        <v>1108</v>
      </c>
      <c r="D7428" s="1347" t="s">
        <v>1109</v>
      </c>
      <c r="E7428" s="1347" t="s">
        <v>1110</v>
      </c>
    </row>
    <row r="7429" spans="2:5" x14ac:dyDescent="0.45">
      <c r="B7429" s="1347" t="s">
        <v>1108</v>
      </c>
      <c r="D7429" s="1347" t="s">
        <v>1109</v>
      </c>
      <c r="E7429" s="1347" t="s">
        <v>1110</v>
      </c>
    </row>
    <row r="7430" spans="2:5" x14ac:dyDescent="0.45">
      <c r="B7430" s="1347" t="s">
        <v>1108</v>
      </c>
      <c r="D7430" s="1347" t="s">
        <v>1109</v>
      </c>
      <c r="E7430" s="1347" t="s">
        <v>1110</v>
      </c>
    </row>
    <row r="7431" spans="2:5" x14ac:dyDescent="0.45">
      <c r="B7431" s="1347" t="s">
        <v>1108</v>
      </c>
      <c r="D7431" s="1347" t="s">
        <v>1109</v>
      </c>
      <c r="E7431" s="1347" t="s">
        <v>1110</v>
      </c>
    </row>
    <row r="7432" spans="2:5" x14ac:dyDescent="0.45">
      <c r="B7432" s="1347" t="s">
        <v>1108</v>
      </c>
      <c r="D7432" s="1347" t="s">
        <v>1109</v>
      </c>
      <c r="E7432" s="1347" t="s">
        <v>1110</v>
      </c>
    </row>
    <row r="7433" spans="2:5" x14ac:dyDescent="0.45">
      <c r="B7433" s="1347" t="s">
        <v>1108</v>
      </c>
      <c r="D7433" s="1347" t="s">
        <v>1109</v>
      </c>
      <c r="E7433" s="1347" t="s">
        <v>1110</v>
      </c>
    </row>
    <row r="7434" spans="2:5" x14ac:dyDescent="0.45">
      <c r="B7434" s="1347" t="s">
        <v>1108</v>
      </c>
      <c r="D7434" s="1347" t="s">
        <v>1109</v>
      </c>
      <c r="E7434" s="1347" t="s">
        <v>1110</v>
      </c>
    </row>
    <row r="7435" spans="2:5" x14ac:dyDescent="0.45">
      <c r="B7435" s="1347" t="s">
        <v>1108</v>
      </c>
      <c r="D7435" s="1347" t="s">
        <v>1109</v>
      </c>
      <c r="E7435" s="1347" t="s">
        <v>1110</v>
      </c>
    </row>
    <row r="7436" spans="2:5" x14ac:dyDescent="0.45">
      <c r="B7436" s="1347" t="s">
        <v>1108</v>
      </c>
      <c r="D7436" s="1347" t="s">
        <v>1109</v>
      </c>
      <c r="E7436" s="1347" t="s">
        <v>1110</v>
      </c>
    </row>
    <row r="7437" spans="2:5" x14ac:dyDescent="0.45">
      <c r="B7437" s="1347" t="s">
        <v>1108</v>
      </c>
      <c r="D7437" s="1347" t="s">
        <v>1109</v>
      </c>
      <c r="E7437" s="1347" t="s">
        <v>1110</v>
      </c>
    </row>
    <row r="7438" spans="2:5" x14ac:dyDescent="0.45">
      <c r="B7438" s="1347" t="s">
        <v>1108</v>
      </c>
      <c r="D7438" s="1347" t="s">
        <v>1109</v>
      </c>
      <c r="E7438" s="1347" t="s">
        <v>1110</v>
      </c>
    </row>
    <row r="7439" spans="2:5" x14ac:dyDescent="0.45">
      <c r="B7439" s="1347" t="s">
        <v>1108</v>
      </c>
      <c r="D7439" s="1347" t="s">
        <v>1109</v>
      </c>
      <c r="E7439" s="1347" t="s">
        <v>1110</v>
      </c>
    </row>
    <row r="7440" spans="2:5" x14ac:dyDescent="0.45">
      <c r="B7440" s="1347" t="s">
        <v>1108</v>
      </c>
      <c r="D7440" s="1347" t="s">
        <v>1109</v>
      </c>
      <c r="E7440" s="1347" t="s">
        <v>1110</v>
      </c>
    </row>
    <row r="7441" spans="1:5" x14ac:dyDescent="0.45">
      <c r="B7441" s="1347" t="s">
        <v>1108</v>
      </c>
      <c r="D7441" s="1347" t="s">
        <v>1109</v>
      </c>
      <c r="E7441" s="1347" t="s">
        <v>1110</v>
      </c>
    </row>
    <row r="7442" spans="1:5" x14ac:dyDescent="0.45">
      <c r="B7442" s="1347" t="s">
        <v>1108</v>
      </c>
      <c r="D7442" s="1347" t="s">
        <v>1109</v>
      </c>
      <c r="E7442" s="1347" t="s">
        <v>1110</v>
      </c>
    </row>
    <row r="7443" spans="1:5" x14ac:dyDescent="0.45">
      <c r="B7443" s="1347" t="s">
        <v>1108</v>
      </c>
      <c r="D7443" s="1347" t="s">
        <v>1109</v>
      </c>
      <c r="E7443" s="1347" t="s">
        <v>1110</v>
      </c>
    </row>
    <row r="7444" spans="1:5" x14ac:dyDescent="0.45">
      <c r="B7444" s="1347" t="s">
        <v>1108</v>
      </c>
      <c r="D7444" s="1347" t="s">
        <v>1109</v>
      </c>
      <c r="E7444" s="1347" t="s">
        <v>1110</v>
      </c>
    </row>
    <row r="7445" spans="1:5" x14ac:dyDescent="0.45">
      <c r="B7445" s="1347" t="s">
        <v>1108</v>
      </c>
      <c r="D7445" s="1347" t="s">
        <v>1109</v>
      </c>
      <c r="E7445" s="1347" t="s">
        <v>1110</v>
      </c>
    </row>
    <row r="7446" spans="1:5" x14ac:dyDescent="0.45">
      <c r="B7446" s="1347" t="s">
        <v>12260</v>
      </c>
      <c r="D7446" s="1347" t="s">
        <v>12261</v>
      </c>
      <c r="E7446" s="1347" t="s">
        <v>12262</v>
      </c>
    </row>
    <row r="7447" spans="1:5" x14ac:dyDescent="0.45">
      <c r="B7447" s="1347" t="s">
        <v>12263</v>
      </c>
      <c r="D7447" s="1347" t="s">
        <v>12264</v>
      </c>
      <c r="E7447" s="1347" t="s">
        <v>6308</v>
      </c>
    </row>
    <row r="7448" spans="1:5" x14ac:dyDescent="0.45">
      <c r="B7448" s="1347" t="s">
        <v>1108</v>
      </c>
      <c r="D7448" s="1347" t="s">
        <v>12265</v>
      </c>
      <c r="E7448" s="1347" t="s">
        <v>12266</v>
      </c>
    </row>
    <row r="7449" spans="1:5" x14ac:dyDescent="0.45">
      <c r="A7449" s="1347" t="s">
        <v>1105</v>
      </c>
      <c r="B7449" s="1347" t="s">
        <v>12267</v>
      </c>
      <c r="D7449" s="1347" t="s">
        <v>12268</v>
      </c>
      <c r="E7449" s="1347" t="s">
        <v>12269</v>
      </c>
    </row>
    <row r="7450" spans="1:5" x14ac:dyDescent="0.45">
      <c r="B7450" s="1347" t="s">
        <v>1108</v>
      </c>
      <c r="D7450" s="1347" t="s">
        <v>12270</v>
      </c>
      <c r="E7450" s="1347" t="s">
        <v>12271</v>
      </c>
    </row>
    <row r="7451" spans="1:5" x14ac:dyDescent="0.45">
      <c r="B7451" s="1347" t="s">
        <v>1108</v>
      </c>
      <c r="D7451" s="1347" t="s">
        <v>12272</v>
      </c>
      <c r="E7451" s="1347" t="s">
        <v>12273</v>
      </c>
    </row>
    <row r="7452" spans="1:5" x14ac:dyDescent="0.45">
      <c r="B7452" s="1347" t="s">
        <v>12274</v>
      </c>
      <c r="C7452" s="1347">
        <v>-1</v>
      </c>
      <c r="D7452" s="1347" t="s">
        <v>12275</v>
      </c>
      <c r="E7452" s="1347" t="s">
        <v>12276</v>
      </c>
    </row>
    <row r="7453" spans="1:5" x14ac:dyDescent="0.45">
      <c r="A7453" s="1347">
        <v>5</v>
      </c>
      <c r="B7453" s="1347" t="s">
        <v>12277</v>
      </c>
      <c r="D7453" s="1347" t="s">
        <v>12278</v>
      </c>
      <c r="E7453" s="1347" t="s">
        <v>12279</v>
      </c>
    </row>
    <row r="7454" spans="1:5" x14ac:dyDescent="0.45">
      <c r="B7454" s="1347" t="s">
        <v>12280</v>
      </c>
      <c r="D7454" s="1347" t="s">
        <v>12281</v>
      </c>
      <c r="E7454" s="1347" t="s">
        <v>12282</v>
      </c>
    </row>
    <row r="7455" spans="1:5" x14ac:dyDescent="0.45">
      <c r="B7455" s="1347" t="s">
        <v>12283</v>
      </c>
      <c r="D7455" s="1347" t="s">
        <v>12284</v>
      </c>
      <c r="E7455" s="1347" t="s">
        <v>12285</v>
      </c>
    </row>
    <row r="7456" spans="1:5" x14ac:dyDescent="0.45">
      <c r="B7456" s="1347" t="s">
        <v>12286</v>
      </c>
      <c r="D7456" s="1347" t="s">
        <v>12287</v>
      </c>
      <c r="E7456" s="1347" t="s">
        <v>12288</v>
      </c>
    </row>
    <row r="7457" spans="1:5" x14ac:dyDescent="0.45">
      <c r="B7457" s="1347" t="s">
        <v>12289</v>
      </c>
      <c r="D7457" s="1347" t="s">
        <v>12290</v>
      </c>
      <c r="E7457" s="1347" t="s">
        <v>12291</v>
      </c>
    </row>
    <row r="7458" spans="1:5" x14ac:dyDescent="0.45">
      <c r="B7458" s="1347" t="s">
        <v>1108</v>
      </c>
      <c r="D7458" s="1347" t="s">
        <v>12292</v>
      </c>
      <c r="E7458" s="1347" t="s">
        <v>12293</v>
      </c>
    </row>
    <row r="7459" spans="1:5" x14ac:dyDescent="0.45">
      <c r="A7459" s="1347">
        <v>4</v>
      </c>
      <c r="B7459" s="1347" t="s">
        <v>12294</v>
      </c>
      <c r="D7459" s="1347">
        <f>-747   -609   -447  -210</f>
        <v>-2013</v>
      </c>
      <c r="E7459" s="1347" t="s">
        <v>12295</v>
      </c>
    </row>
    <row r="7460" spans="1:5" x14ac:dyDescent="0.45">
      <c r="B7460" s="1347" t="s">
        <v>12296</v>
      </c>
      <c r="D7460" s="1347" t="s">
        <v>12297</v>
      </c>
      <c r="E7460" s="1347" t="s">
        <v>12298</v>
      </c>
    </row>
    <row r="7461" spans="1:5" x14ac:dyDescent="0.45">
      <c r="B7461" s="1347" t="s">
        <v>12299</v>
      </c>
      <c r="D7461" s="1347" t="s">
        <v>1109</v>
      </c>
      <c r="E7461" s="1347" t="s">
        <v>12300</v>
      </c>
    </row>
    <row r="7462" spans="1:5" x14ac:dyDescent="0.45">
      <c r="B7462" s="1347" t="s">
        <v>12301</v>
      </c>
      <c r="D7462" s="1347" t="s">
        <v>12302</v>
      </c>
      <c r="E7462" s="1347" t="s">
        <v>12303</v>
      </c>
    </row>
    <row r="7463" spans="1:5" x14ac:dyDescent="0.45">
      <c r="A7463" s="1347">
        <v>2</v>
      </c>
      <c r="B7463" s="1347" t="s">
        <v>12304</v>
      </c>
      <c r="D7463" s="1347" t="s">
        <v>12305</v>
      </c>
      <c r="E7463" s="1347" t="s">
        <v>12306</v>
      </c>
    </row>
    <row r="7464" spans="1:5" x14ac:dyDescent="0.45">
      <c r="A7464" s="1347" t="s">
        <v>1105</v>
      </c>
      <c r="B7464" s="1347" t="s">
        <v>3860</v>
      </c>
      <c r="D7464" s="1347" t="s">
        <v>3582</v>
      </c>
      <c r="E7464" s="1347" t="s">
        <v>1110</v>
      </c>
    </row>
    <row r="7465" spans="1:5" x14ac:dyDescent="0.45">
      <c r="B7465" s="1347" t="s">
        <v>12307</v>
      </c>
      <c r="D7465" s="1347" t="s">
        <v>12308</v>
      </c>
      <c r="E7465" s="1347" t="s">
        <v>12309</v>
      </c>
    </row>
    <row r="7466" spans="1:5" x14ac:dyDescent="0.45">
      <c r="B7466" s="1347" t="s">
        <v>1108</v>
      </c>
      <c r="D7466" s="1347" t="s">
        <v>12310</v>
      </c>
      <c r="E7466" s="1347" t="s">
        <v>12311</v>
      </c>
    </row>
    <row r="7467" spans="1:5" x14ac:dyDescent="0.45">
      <c r="B7467" s="1347" t="s">
        <v>1108</v>
      </c>
      <c r="D7467" s="1347" t="s">
        <v>12312</v>
      </c>
      <c r="E7467" s="1347" t="s">
        <v>12313</v>
      </c>
    </row>
    <row r="7468" spans="1:5" x14ac:dyDescent="0.45">
      <c r="B7468" s="1347" t="s">
        <v>5557</v>
      </c>
      <c r="D7468" s="1347" t="s">
        <v>6564</v>
      </c>
      <c r="E7468" s="1347" t="s">
        <v>12314</v>
      </c>
    </row>
    <row r="7469" spans="1:5" x14ac:dyDescent="0.45">
      <c r="A7469" s="1347">
        <v>3</v>
      </c>
      <c r="B7469" s="1347" t="s">
        <v>12315</v>
      </c>
      <c r="D7469" s="1347" t="s">
        <v>12316</v>
      </c>
      <c r="E7469" s="1347" t="s">
        <v>12317</v>
      </c>
    </row>
    <row r="7470" spans="1:5" x14ac:dyDescent="0.45">
      <c r="B7470" s="1347" t="s">
        <v>1108</v>
      </c>
      <c r="D7470" s="1347" t="s">
        <v>12318</v>
      </c>
      <c r="E7470" s="1347" t="s">
        <v>12319</v>
      </c>
    </row>
    <row r="7471" spans="1:5" x14ac:dyDescent="0.45">
      <c r="B7471" s="1347" t="s">
        <v>1108</v>
      </c>
      <c r="D7471" s="1347" t="s">
        <v>12320</v>
      </c>
      <c r="E7471" s="1347" t="s">
        <v>1476</v>
      </c>
    </row>
    <row r="7472" spans="1:5" x14ac:dyDescent="0.45">
      <c r="B7472" s="1347" t="s">
        <v>1178</v>
      </c>
      <c r="D7472" s="1347" t="s">
        <v>12321</v>
      </c>
      <c r="E7472" s="1347" t="s">
        <v>1110</v>
      </c>
    </row>
    <row r="7473" spans="1:5" x14ac:dyDescent="0.45">
      <c r="B7473" s="1347" t="s">
        <v>1108</v>
      </c>
      <c r="D7473" s="1347" t="s">
        <v>1109</v>
      </c>
      <c r="E7473" s="1347" t="s">
        <v>12322</v>
      </c>
    </row>
    <row r="7474" spans="1:5" x14ac:dyDescent="0.45">
      <c r="B7474" s="1347" t="s">
        <v>1108</v>
      </c>
      <c r="D7474" s="1347" t="s">
        <v>12120</v>
      </c>
      <c r="E7474" s="1347" t="s">
        <v>12323</v>
      </c>
    </row>
    <row r="7475" spans="1:5" x14ac:dyDescent="0.45">
      <c r="A7475" s="1347">
        <v>2</v>
      </c>
      <c r="B7475" s="1347" t="s">
        <v>12324</v>
      </c>
      <c r="C7475" s="1347" t="s">
        <v>1105</v>
      </c>
      <c r="D7475" s="1347" t="s">
        <v>12325</v>
      </c>
      <c r="E7475" s="1347" t="s">
        <v>12326</v>
      </c>
    </row>
    <row r="7476" spans="1:5" x14ac:dyDescent="0.45">
      <c r="A7476" s="1347">
        <v>1</v>
      </c>
      <c r="B7476" s="1347" t="s">
        <v>12327</v>
      </c>
      <c r="D7476" s="1347" t="s">
        <v>12328</v>
      </c>
      <c r="E7476" s="1347" t="s">
        <v>12329</v>
      </c>
    </row>
    <row r="7477" spans="1:5" x14ac:dyDescent="0.45">
      <c r="A7477" s="1347">
        <v>1</v>
      </c>
      <c r="B7477" s="1347" t="s">
        <v>12330</v>
      </c>
      <c r="D7477" s="1347" t="s">
        <v>12331</v>
      </c>
      <c r="E7477" s="1347" t="s">
        <v>12332</v>
      </c>
    </row>
    <row r="7478" spans="1:5" x14ac:dyDescent="0.45">
      <c r="A7478" s="1347">
        <v>1</v>
      </c>
      <c r="B7478" s="1347" t="s">
        <v>12333</v>
      </c>
      <c r="D7478" s="1347" t="s">
        <v>12334</v>
      </c>
      <c r="E7478" s="1347" t="s">
        <v>12335</v>
      </c>
    </row>
    <row r="7479" spans="1:5" x14ac:dyDescent="0.45">
      <c r="B7479" s="1347" t="s">
        <v>12336</v>
      </c>
      <c r="D7479" s="1347" t="s">
        <v>12337</v>
      </c>
      <c r="E7479" s="1347" t="s">
        <v>12338</v>
      </c>
    </row>
    <row r="7480" spans="1:5" x14ac:dyDescent="0.45">
      <c r="B7480" s="1347" t="s">
        <v>12339</v>
      </c>
      <c r="D7480" s="1347" t="s">
        <v>12340</v>
      </c>
      <c r="E7480" s="1347" t="s">
        <v>12341</v>
      </c>
    </row>
    <row r="7481" spans="1:5" x14ac:dyDescent="0.45">
      <c r="B7481" s="1347">
        <f>-90   -265</f>
        <v>-355</v>
      </c>
      <c r="D7481" s="1347" t="s">
        <v>12342</v>
      </c>
      <c r="E7481" s="1347" t="s">
        <v>12343</v>
      </c>
    </row>
    <row r="7482" spans="1:5" x14ac:dyDescent="0.45">
      <c r="B7482" s="1347" t="s">
        <v>12344</v>
      </c>
      <c r="D7482" s="1347">
        <f>-417   -506   -480   -76</f>
        <v>-1479</v>
      </c>
      <c r="E7482" s="1347" t="s">
        <v>12345</v>
      </c>
    </row>
    <row r="7483" spans="1:5" x14ac:dyDescent="0.45">
      <c r="A7483" s="1347">
        <v>19</v>
      </c>
      <c r="B7483" s="1347" t="s">
        <v>12346</v>
      </c>
      <c r="D7483" s="1347" t="s">
        <v>12347</v>
      </c>
      <c r="E7483" s="1347" t="s">
        <v>12348</v>
      </c>
    </row>
    <row r="7484" spans="1:5" x14ac:dyDescent="0.45">
      <c r="B7484" s="1347" t="s">
        <v>9303</v>
      </c>
      <c r="D7484" s="1347" t="s">
        <v>12349</v>
      </c>
      <c r="E7484" s="1347" t="s">
        <v>12350</v>
      </c>
    </row>
    <row r="7485" spans="1:5" x14ac:dyDescent="0.45">
      <c r="B7485" s="1347" t="s">
        <v>1108</v>
      </c>
      <c r="D7485" s="1347" t="s">
        <v>12351</v>
      </c>
      <c r="E7485" s="1347" t="s">
        <v>12352</v>
      </c>
    </row>
    <row r="7486" spans="1:5" x14ac:dyDescent="0.45">
      <c r="A7486" s="1347">
        <v>-1</v>
      </c>
      <c r="B7486" s="1347" t="s">
        <v>12353</v>
      </c>
      <c r="C7486" s="1347" t="s">
        <v>1105</v>
      </c>
      <c r="D7486" s="1347" t="s">
        <v>12354</v>
      </c>
      <c r="E7486" s="1347" t="s">
        <v>12355</v>
      </c>
    </row>
    <row r="7487" spans="1:5" x14ac:dyDescent="0.45">
      <c r="B7487" s="1347" t="s">
        <v>12356</v>
      </c>
      <c r="D7487" s="1347" t="s">
        <v>12357</v>
      </c>
      <c r="E7487" s="1347" t="s">
        <v>12358</v>
      </c>
    </row>
    <row r="7488" spans="1:5" x14ac:dyDescent="0.45">
      <c r="B7488" s="1347" t="s">
        <v>1108</v>
      </c>
      <c r="D7488" s="1347" t="s">
        <v>12359</v>
      </c>
      <c r="E7488" s="1347" t="s">
        <v>1476</v>
      </c>
    </row>
    <row r="7489" spans="1:5" x14ac:dyDescent="0.45">
      <c r="B7489" s="1347" t="s">
        <v>12360</v>
      </c>
      <c r="D7489" s="1347" t="s">
        <v>12361</v>
      </c>
      <c r="E7489" s="1347" t="s">
        <v>12362</v>
      </c>
    </row>
    <row r="7490" spans="1:5" x14ac:dyDescent="0.45">
      <c r="A7490" s="1347">
        <v>1</v>
      </c>
      <c r="B7490" s="1347" t="s">
        <v>12363</v>
      </c>
      <c r="D7490" s="1347" t="s">
        <v>12364</v>
      </c>
      <c r="E7490" s="1347" t="s">
        <v>12365</v>
      </c>
    </row>
    <row r="7491" spans="1:5" x14ac:dyDescent="0.45">
      <c r="B7491" s="1347" t="s">
        <v>12366</v>
      </c>
      <c r="D7491" s="1347" t="s">
        <v>12367</v>
      </c>
      <c r="E7491" s="1347" t="s">
        <v>12368</v>
      </c>
    </row>
    <row r="7492" spans="1:5" x14ac:dyDescent="0.45">
      <c r="B7492" s="1347" t="s">
        <v>1108</v>
      </c>
      <c r="D7492" s="1347" t="s">
        <v>1109</v>
      </c>
      <c r="E7492" s="1347" t="s">
        <v>12369</v>
      </c>
    </row>
    <row r="7493" spans="1:5" x14ac:dyDescent="0.45">
      <c r="B7493" s="1347" t="s">
        <v>12370</v>
      </c>
      <c r="C7493" s="1347" t="s">
        <v>1105</v>
      </c>
      <c r="D7493" s="1347" t="s">
        <v>12371</v>
      </c>
      <c r="E7493" s="1347" t="s">
        <v>12372</v>
      </c>
    </row>
    <row r="7494" spans="1:5" x14ac:dyDescent="0.45">
      <c r="B7494" s="1347" t="s">
        <v>12373</v>
      </c>
      <c r="D7494" s="1347" t="s">
        <v>12374</v>
      </c>
      <c r="E7494" s="1347" t="s">
        <v>12375</v>
      </c>
    </row>
    <row r="7495" spans="1:5" x14ac:dyDescent="0.45">
      <c r="A7495" s="1347" t="s">
        <v>1105</v>
      </c>
      <c r="B7495" s="1347" t="s">
        <v>12376</v>
      </c>
      <c r="D7495" s="1347" t="s">
        <v>12377</v>
      </c>
      <c r="E7495" s="1347" t="s">
        <v>12378</v>
      </c>
    </row>
    <row r="7496" spans="1:5" x14ac:dyDescent="0.45">
      <c r="B7496" s="1347" t="s">
        <v>12379</v>
      </c>
      <c r="D7496" s="1347" t="s">
        <v>12380</v>
      </c>
      <c r="E7496" s="1347" t="s">
        <v>12381</v>
      </c>
    </row>
    <row r="7497" spans="1:5" x14ac:dyDescent="0.45">
      <c r="B7497" s="1347" t="s">
        <v>12382</v>
      </c>
      <c r="D7497" s="1347" t="s">
        <v>12383</v>
      </c>
      <c r="E7497" s="1347" t="s">
        <v>12384</v>
      </c>
    </row>
    <row r="7498" spans="1:5" x14ac:dyDescent="0.45">
      <c r="B7498" s="1347" t="s">
        <v>6576</v>
      </c>
      <c r="D7498" s="1347" t="s">
        <v>12385</v>
      </c>
      <c r="E7498" s="1347" t="s">
        <v>12386</v>
      </c>
    </row>
    <row r="7499" spans="1:5" x14ac:dyDescent="0.45">
      <c r="B7499" s="1347" t="s">
        <v>1108</v>
      </c>
      <c r="D7499" s="1347" t="s">
        <v>12387</v>
      </c>
      <c r="E7499" s="1347" t="s">
        <v>12388</v>
      </c>
    </row>
    <row r="7500" spans="1:5" x14ac:dyDescent="0.45">
      <c r="A7500" s="1347" t="s">
        <v>1105</v>
      </c>
      <c r="B7500" s="1347" t="s">
        <v>12389</v>
      </c>
      <c r="D7500" s="1347" t="s">
        <v>1176</v>
      </c>
      <c r="E7500" s="1347" t="s">
        <v>12390</v>
      </c>
    </row>
    <row r="7501" spans="1:5" x14ac:dyDescent="0.45">
      <c r="B7501" s="1347" t="s">
        <v>12391</v>
      </c>
      <c r="D7501" s="1347" t="s">
        <v>12392</v>
      </c>
      <c r="E7501" s="1347" t="s">
        <v>12393</v>
      </c>
    </row>
    <row r="7502" spans="1:5" x14ac:dyDescent="0.45">
      <c r="B7502" s="1347" t="s">
        <v>1108</v>
      </c>
      <c r="D7502" s="1347" t="s">
        <v>1109</v>
      </c>
      <c r="E7502" s="1347" t="s">
        <v>12394</v>
      </c>
    </row>
    <row r="7503" spans="1:5" x14ac:dyDescent="0.45">
      <c r="B7503" s="1347" t="s">
        <v>12395</v>
      </c>
      <c r="D7503" s="1347" t="s">
        <v>12396</v>
      </c>
      <c r="E7503" s="1347" t="s">
        <v>1110</v>
      </c>
    </row>
    <row r="7504" spans="1:5" x14ac:dyDescent="0.45">
      <c r="A7504" s="1347" t="s">
        <v>1105</v>
      </c>
      <c r="B7504" s="1347" t="s">
        <v>12397</v>
      </c>
      <c r="D7504" s="1347" t="s">
        <v>12398</v>
      </c>
      <c r="E7504" s="1347" t="s">
        <v>1156</v>
      </c>
    </row>
    <row r="7505" spans="1:5" x14ac:dyDescent="0.45">
      <c r="A7505" s="1347" t="s">
        <v>1105</v>
      </c>
      <c r="B7505" s="1347" t="s">
        <v>12399</v>
      </c>
      <c r="D7505" s="1347" t="s">
        <v>12400</v>
      </c>
      <c r="E7505" s="1347" t="s">
        <v>12401</v>
      </c>
    </row>
    <row r="7506" spans="1:5" x14ac:dyDescent="0.45">
      <c r="B7506" s="1347" t="s">
        <v>12402</v>
      </c>
      <c r="D7506" s="1347" t="s">
        <v>12403</v>
      </c>
      <c r="E7506" s="1347" t="s">
        <v>12404</v>
      </c>
    </row>
    <row r="7507" spans="1:5" x14ac:dyDescent="0.45">
      <c r="A7507" s="1347">
        <v>1</v>
      </c>
      <c r="B7507" s="1347" t="s">
        <v>12405</v>
      </c>
      <c r="D7507" s="1347" t="s">
        <v>12406</v>
      </c>
      <c r="E7507" s="1347" t="s">
        <v>1110</v>
      </c>
    </row>
    <row r="7508" spans="1:5" x14ac:dyDescent="0.45">
      <c r="A7508" s="1347" t="s">
        <v>1105</v>
      </c>
      <c r="B7508" s="1347" t="s">
        <v>12407</v>
      </c>
      <c r="D7508" s="1347" t="s">
        <v>12408</v>
      </c>
      <c r="E7508" s="1347" t="s">
        <v>12409</v>
      </c>
    </row>
    <row r="7509" spans="1:5" x14ac:dyDescent="0.45">
      <c r="B7509" s="1347" t="s">
        <v>12410</v>
      </c>
      <c r="D7509" s="1347" t="s">
        <v>1109</v>
      </c>
      <c r="E7509" s="1347" t="s">
        <v>12411</v>
      </c>
    </row>
    <row r="7510" spans="1:5" x14ac:dyDescent="0.45">
      <c r="B7510" s="1347" t="s">
        <v>1108</v>
      </c>
      <c r="D7510" s="1347" t="s">
        <v>1109</v>
      </c>
      <c r="E7510" s="1347" t="s">
        <v>1110</v>
      </c>
    </row>
    <row r="7511" spans="1:5" x14ac:dyDescent="0.45">
      <c r="B7511" s="1347" t="s">
        <v>1108</v>
      </c>
      <c r="D7511" s="1347" t="s">
        <v>12412</v>
      </c>
      <c r="E7511" s="1347" t="s">
        <v>1113</v>
      </c>
    </row>
    <row r="7512" spans="1:5" x14ac:dyDescent="0.45">
      <c r="B7512" s="1347" t="s">
        <v>12413</v>
      </c>
      <c r="D7512" s="1347">
        <f>-36   -751  -1403   -19</f>
        <v>-2209</v>
      </c>
      <c r="E7512" s="1347" t="s">
        <v>12414</v>
      </c>
    </row>
    <row r="7513" spans="1:5" x14ac:dyDescent="0.45">
      <c r="B7513" s="1347" t="s">
        <v>12415</v>
      </c>
      <c r="D7513" s="1347">
        <f>-230   -864  -1066   -99</f>
        <v>-2259</v>
      </c>
      <c r="E7513" s="1347" t="s">
        <v>12416</v>
      </c>
    </row>
    <row r="7514" spans="1:5" x14ac:dyDescent="0.45">
      <c r="A7514" s="1347" t="s">
        <v>1105</v>
      </c>
      <c r="B7514" s="1347" t="s">
        <v>12417</v>
      </c>
      <c r="D7514" s="1347" t="s">
        <v>12418</v>
      </c>
      <c r="E7514" s="1347" t="s">
        <v>12419</v>
      </c>
    </row>
    <row r="7515" spans="1:5" x14ac:dyDescent="0.45">
      <c r="A7515" s="1347" t="s">
        <v>1105</v>
      </c>
      <c r="B7515" s="1347" t="s">
        <v>12420</v>
      </c>
      <c r="D7515" s="1347" t="s">
        <v>12421</v>
      </c>
      <c r="E7515" s="1347" t="s">
        <v>12422</v>
      </c>
    </row>
    <row r="7516" spans="1:5" x14ac:dyDescent="0.45">
      <c r="B7516" s="1347" t="s">
        <v>12423</v>
      </c>
      <c r="D7516" s="1347" t="s">
        <v>12424</v>
      </c>
      <c r="E7516" s="1347" t="s">
        <v>12425</v>
      </c>
    </row>
    <row r="7517" spans="1:5" x14ac:dyDescent="0.45">
      <c r="A7517" s="1347" t="s">
        <v>1105</v>
      </c>
      <c r="B7517" s="1347" t="s">
        <v>12426</v>
      </c>
      <c r="D7517" s="1347">
        <f>-376   -131   -484   -29</f>
        <v>-1020</v>
      </c>
      <c r="E7517" s="1347" t="s">
        <v>12427</v>
      </c>
    </row>
    <row r="7518" spans="1:5" x14ac:dyDescent="0.45">
      <c r="B7518" s="1347" t="s">
        <v>12428</v>
      </c>
      <c r="D7518" s="1347" t="s">
        <v>12429</v>
      </c>
      <c r="E7518" s="1347" t="s">
        <v>12430</v>
      </c>
    </row>
    <row r="7519" spans="1:5" x14ac:dyDescent="0.45">
      <c r="A7519" s="1347">
        <v>1</v>
      </c>
      <c r="B7519" s="1347" t="s">
        <v>12431</v>
      </c>
      <c r="D7519" s="1347" t="s">
        <v>12432</v>
      </c>
      <c r="E7519" s="1347" t="s">
        <v>12433</v>
      </c>
    </row>
    <row r="7520" spans="1:5" x14ac:dyDescent="0.45">
      <c r="B7520" s="1347">
        <f>-91  -1727</f>
        <v>-1818</v>
      </c>
      <c r="D7520" s="1347">
        <f>-434    -43  -1829   -43</f>
        <v>-2349</v>
      </c>
      <c r="E7520" s="1347" t="s">
        <v>12434</v>
      </c>
    </row>
    <row r="7521" spans="2:5" x14ac:dyDescent="0.45">
      <c r="B7521" s="1347" t="s">
        <v>12435</v>
      </c>
      <c r="C7521" s="1347" t="s">
        <v>1105</v>
      </c>
      <c r="D7521" s="1347" t="s">
        <v>12436</v>
      </c>
      <c r="E7521" s="1347" t="s">
        <v>1110</v>
      </c>
    </row>
    <row r="7522" spans="2:5" x14ac:dyDescent="0.45">
      <c r="B7522" s="1347" t="s">
        <v>1108</v>
      </c>
      <c r="D7522" s="1347" t="s">
        <v>1109</v>
      </c>
      <c r="E7522" s="1347" t="s">
        <v>1110</v>
      </c>
    </row>
    <row r="7523" spans="2:5" x14ac:dyDescent="0.45">
      <c r="B7523" s="1347" t="s">
        <v>1108</v>
      </c>
      <c r="D7523" s="1347" t="s">
        <v>1109</v>
      </c>
      <c r="E7523" s="1347" t="s">
        <v>1110</v>
      </c>
    </row>
    <row r="7524" spans="2:5" x14ac:dyDescent="0.45">
      <c r="B7524" s="1347" t="s">
        <v>1108</v>
      </c>
      <c r="D7524" s="1347" t="s">
        <v>1109</v>
      </c>
      <c r="E7524" s="1347" t="s">
        <v>1110</v>
      </c>
    </row>
    <row r="7525" spans="2:5" x14ac:dyDescent="0.45">
      <c r="B7525" s="1347" t="s">
        <v>1108</v>
      </c>
      <c r="D7525" s="1347" t="s">
        <v>1109</v>
      </c>
      <c r="E7525" s="1347" t="s">
        <v>1110</v>
      </c>
    </row>
    <row r="7526" spans="2:5" x14ac:dyDescent="0.45">
      <c r="B7526" s="1347" t="s">
        <v>1108</v>
      </c>
      <c r="D7526" s="1347" t="s">
        <v>1109</v>
      </c>
      <c r="E7526" s="1347" t="s">
        <v>1110</v>
      </c>
    </row>
    <row r="7527" spans="2:5" x14ac:dyDescent="0.45">
      <c r="B7527" s="1347" t="s">
        <v>1108</v>
      </c>
      <c r="D7527" s="1347" t="s">
        <v>1109</v>
      </c>
      <c r="E7527" s="1347" t="s">
        <v>1110</v>
      </c>
    </row>
    <row r="7528" spans="2:5" x14ac:dyDescent="0.45">
      <c r="B7528" s="1347" t="s">
        <v>1108</v>
      </c>
      <c r="D7528" s="1347" t="s">
        <v>1109</v>
      </c>
      <c r="E7528" s="1347" t="s">
        <v>1110</v>
      </c>
    </row>
    <row r="7529" spans="2:5" x14ac:dyDescent="0.45">
      <c r="B7529" s="1347" t="s">
        <v>1108</v>
      </c>
      <c r="D7529" s="1347" t="s">
        <v>1109</v>
      </c>
      <c r="E7529" s="1347" t="s">
        <v>1110</v>
      </c>
    </row>
    <row r="7530" spans="2:5" x14ac:dyDescent="0.45">
      <c r="B7530" s="1347" t="s">
        <v>1108</v>
      </c>
      <c r="D7530" s="1347" t="s">
        <v>1109</v>
      </c>
      <c r="E7530" s="1347" t="s">
        <v>1110</v>
      </c>
    </row>
    <row r="7531" spans="2:5" x14ac:dyDescent="0.45">
      <c r="B7531" s="1347" t="s">
        <v>1108</v>
      </c>
      <c r="D7531" s="1347" t="s">
        <v>1109</v>
      </c>
      <c r="E7531" s="1347" t="s">
        <v>1110</v>
      </c>
    </row>
    <row r="7532" spans="2:5" x14ac:dyDescent="0.45">
      <c r="B7532" s="1347" t="s">
        <v>1108</v>
      </c>
      <c r="D7532" s="1347" t="s">
        <v>1109</v>
      </c>
      <c r="E7532" s="1347" t="s">
        <v>1110</v>
      </c>
    </row>
    <row r="7533" spans="2:5" x14ac:dyDescent="0.45">
      <c r="B7533" s="1347" t="s">
        <v>1108</v>
      </c>
      <c r="D7533" s="1347" t="s">
        <v>1109</v>
      </c>
      <c r="E7533" s="1347" t="s">
        <v>1110</v>
      </c>
    </row>
    <row r="7534" spans="2:5" x14ac:dyDescent="0.45">
      <c r="B7534" s="1347" t="s">
        <v>1108</v>
      </c>
      <c r="D7534" s="1347" t="s">
        <v>1109</v>
      </c>
      <c r="E7534" s="1347" t="s">
        <v>1110</v>
      </c>
    </row>
    <row r="7535" spans="2:5" x14ac:dyDescent="0.45">
      <c r="B7535" s="1347" t="s">
        <v>1108</v>
      </c>
      <c r="D7535" s="1347" t="s">
        <v>1109</v>
      </c>
      <c r="E7535" s="1347" t="s">
        <v>1110</v>
      </c>
    </row>
    <row r="7536" spans="2:5" x14ac:dyDescent="0.45">
      <c r="B7536" s="1347" t="s">
        <v>1108</v>
      </c>
      <c r="D7536" s="1347" t="s">
        <v>1109</v>
      </c>
      <c r="E7536" s="1347" t="s">
        <v>1110</v>
      </c>
    </row>
    <row r="7537" spans="2:5" x14ac:dyDescent="0.45">
      <c r="B7537" s="1347" t="s">
        <v>1108</v>
      </c>
      <c r="D7537" s="1347" t="s">
        <v>1109</v>
      </c>
      <c r="E7537" s="1347" t="s">
        <v>1110</v>
      </c>
    </row>
    <row r="7538" spans="2:5" x14ac:dyDescent="0.45">
      <c r="B7538" s="1347" t="s">
        <v>1108</v>
      </c>
      <c r="D7538" s="1347" t="s">
        <v>1109</v>
      </c>
      <c r="E7538" s="1347" t="s">
        <v>1110</v>
      </c>
    </row>
    <row r="7539" spans="2:5" x14ac:dyDescent="0.45">
      <c r="B7539" s="1347" t="s">
        <v>1108</v>
      </c>
      <c r="D7539" s="1347" t="s">
        <v>1109</v>
      </c>
      <c r="E7539" s="1347" t="s">
        <v>1110</v>
      </c>
    </row>
    <row r="7540" spans="2:5" x14ac:dyDescent="0.45">
      <c r="B7540" s="1347" t="s">
        <v>1108</v>
      </c>
      <c r="D7540" s="1347" t="s">
        <v>1109</v>
      </c>
      <c r="E7540" s="1347" t="s">
        <v>1110</v>
      </c>
    </row>
    <row r="7541" spans="2:5" x14ac:dyDescent="0.45">
      <c r="B7541" s="1347" t="s">
        <v>1108</v>
      </c>
      <c r="D7541" s="1347" t="s">
        <v>1109</v>
      </c>
      <c r="E7541" s="1347" t="s">
        <v>1110</v>
      </c>
    </row>
    <row r="7542" spans="2:5" x14ac:dyDescent="0.45">
      <c r="B7542" s="1347" t="s">
        <v>1108</v>
      </c>
      <c r="D7542" s="1347" t="s">
        <v>1109</v>
      </c>
      <c r="E7542" s="1347" t="s">
        <v>1110</v>
      </c>
    </row>
    <row r="7543" spans="2:5" x14ac:dyDescent="0.45">
      <c r="B7543" s="1347" t="s">
        <v>1108</v>
      </c>
      <c r="D7543" s="1347" t="s">
        <v>1109</v>
      </c>
      <c r="E7543" s="1347" t="s">
        <v>1110</v>
      </c>
    </row>
    <row r="7544" spans="2:5" x14ac:dyDescent="0.45">
      <c r="B7544" s="1347" t="s">
        <v>1108</v>
      </c>
      <c r="D7544" s="1347" t="s">
        <v>1109</v>
      </c>
      <c r="E7544" s="1347" t="s">
        <v>1110</v>
      </c>
    </row>
    <row r="7545" spans="2:5" x14ac:dyDescent="0.45">
      <c r="B7545" s="1347" t="s">
        <v>1108</v>
      </c>
      <c r="D7545" s="1347" t="s">
        <v>1109</v>
      </c>
      <c r="E7545" s="1347" t="s">
        <v>1110</v>
      </c>
    </row>
    <row r="7546" spans="2:5" x14ac:dyDescent="0.45">
      <c r="B7546" s="1347" t="s">
        <v>1108</v>
      </c>
      <c r="D7546" s="1347" t="s">
        <v>1109</v>
      </c>
      <c r="E7546" s="1347" t="s">
        <v>1110</v>
      </c>
    </row>
    <row r="7547" spans="2:5" x14ac:dyDescent="0.45">
      <c r="B7547" s="1347" t="s">
        <v>1108</v>
      </c>
      <c r="D7547" s="1347" t="s">
        <v>1109</v>
      </c>
      <c r="E7547" s="1347" t="s">
        <v>1110</v>
      </c>
    </row>
    <row r="7548" spans="2:5" x14ac:dyDescent="0.45">
      <c r="B7548" s="1347" t="s">
        <v>1108</v>
      </c>
      <c r="D7548" s="1347" t="s">
        <v>1109</v>
      </c>
      <c r="E7548" s="1347" t="s">
        <v>1110</v>
      </c>
    </row>
    <row r="7549" spans="2:5" x14ac:dyDescent="0.45">
      <c r="B7549" s="1347" t="s">
        <v>1108</v>
      </c>
      <c r="D7549" s="1347" t="s">
        <v>1109</v>
      </c>
      <c r="E7549" s="1347" t="s">
        <v>1110</v>
      </c>
    </row>
    <row r="7550" spans="2:5" x14ac:dyDescent="0.45">
      <c r="B7550" s="1347" t="s">
        <v>1108</v>
      </c>
      <c r="D7550" s="1347" t="s">
        <v>1109</v>
      </c>
      <c r="E7550" s="1347" t="s">
        <v>1110</v>
      </c>
    </row>
    <row r="7551" spans="2:5" x14ac:dyDescent="0.45">
      <c r="B7551" s="1347" t="s">
        <v>1108</v>
      </c>
      <c r="D7551" s="1347" t="s">
        <v>1109</v>
      </c>
      <c r="E7551" s="1347" t="s">
        <v>1110</v>
      </c>
    </row>
    <row r="7552" spans="2:5" x14ac:dyDescent="0.45">
      <c r="B7552" s="1347" t="s">
        <v>1108</v>
      </c>
      <c r="D7552" s="1347" t="s">
        <v>1109</v>
      </c>
      <c r="E7552" s="1347" t="s">
        <v>1110</v>
      </c>
    </row>
    <row r="7553" spans="1:5" x14ac:dyDescent="0.45">
      <c r="B7553" s="1347" t="s">
        <v>1108</v>
      </c>
      <c r="D7553" s="1347" t="s">
        <v>1109</v>
      </c>
      <c r="E7553" s="1347" t="s">
        <v>1110</v>
      </c>
    </row>
    <row r="7554" spans="1:5" x14ac:dyDescent="0.45">
      <c r="B7554" s="1347" t="s">
        <v>1108</v>
      </c>
      <c r="D7554" s="1347" t="s">
        <v>1109</v>
      </c>
      <c r="E7554" s="1347" t="s">
        <v>1110</v>
      </c>
    </row>
    <row r="7555" spans="1:5" x14ac:dyDescent="0.45">
      <c r="B7555" s="1347" t="s">
        <v>1108</v>
      </c>
      <c r="D7555" s="1347" t="s">
        <v>1109</v>
      </c>
      <c r="E7555" s="1347" t="s">
        <v>1110</v>
      </c>
    </row>
    <row r="7556" spans="1:5" x14ac:dyDescent="0.45">
      <c r="B7556" s="1347" t="s">
        <v>1108</v>
      </c>
      <c r="D7556" s="1347" t="s">
        <v>1109</v>
      </c>
      <c r="E7556" s="1347" t="s">
        <v>1110</v>
      </c>
    </row>
    <row r="7557" spans="1:5" x14ac:dyDescent="0.45">
      <c r="B7557" s="1347" t="s">
        <v>1108</v>
      </c>
      <c r="D7557" s="1347" t="s">
        <v>1109</v>
      </c>
      <c r="E7557" s="1347" t="s">
        <v>1110</v>
      </c>
    </row>
    <row r="7558" spans="1:5" x14ac:dyDescent="0.45">
      <c r="B7558" s="1347" t="s">
        <v>1108</v>
      </c>
      <c r="D7558" s="1347" t="s">
        <v>1109</v>
      </c>
      <c r="E7558" s="1347" t="s">
        <v>1110</v>
      </c>
    </row>
    <row r="7559" spans="1:5" x14ac:dyDescent="0.45">
      <c r="B7559" s="1347" t="s">
        <v>12437</v>
      </c>
      <c r="D7559" s="1347" t="s">
        <v>12438</v>
      </c>
      <c r="E7559" s="1347" t="s">
        <v>12439</v>
      </c>
    </row>
    <row r="7560" spans="1:5" x14ac:dyDescent="0.45">
      <c r="B7560" s="1347" t="s">
        <v>1108</v>
      </c>
      <c r="D7560" s="1347" t="s">
        <v>12440</v>
      </c>
      <c r="E7560" s="1347" t="s">
        <v>1110</v>
      </c>
    </row>
    <row r="7561" spans="1:5" x14ac:dyDescent="0.45">
      <c r="A7561" s="1347" t="s">
        <v>1105</v>
      </c>
      <c r="B7561" s="1347" t="s">
        <v>1649</v>
      </c>
      <c r="D7561" s="1347" t="s">
        <v>12441</v>
      </c>
      <c r="E7561" s="1347" t="s">
        <v>12442</v>
      </c>
    </row>
    <row r="7562" spans="1:5" x14ac:dyDescent="0.45">
      <c r="B7562" s="1347" t="s">
        <v>12443</v>
      </c>
      <c r="D7562" s="1347" t="s">
        <v>12444</v>
      </c>
      <c r="E7562" s="1347" t="s">
        <v>12445</v>
      </c>
    </row>
    <row r="7563" spans="1:5" x14ac:dyDescent="0.45">
      <c r="B7563" s="1347" t="s">
        <v>1108</v>
      </c>
      <c r="D7563" s="1347" t="s">
        <v>12446</v>
      </c>
      <c r="E7563" s="1347" t="s">
        <v>12447</v>
      </c>
    </row>
    <row r="7564" spans="1:5" x14ac:dyDescent="0.45">
      <c r="A7564" s="1347" t="s">
        <v>1105</v>
      </c>
      <c r="B7564" s="1347" t="s">
        <v>2968</v>
      </c>
      <c r="D7564" s="1347" t="s">
        <v>1109</v>
      </c>
      <c r="E7564" s="1347" t="s">
        <v>12448</v>
      </c>
    </row>
    <row r="7565" spans="1:5" x14ac:dyDescent="0.45">
      <c r="B7565" s="1347" t="s">
        <v>1108</v>
      </c>
      <c r="D7565" s="1347" t="s">
        <v>12449</v>
      </c>
      <c r="E7565" s="1347" t="s">
        <v>1435</v>
      </c>
    </row>
    <row r="7566" spans="1:5" x14ac:dyDescent="0.45">
      <c r="A7566" s="1347">
        <v>18</v>
      </c>
      <c r="B7566" s="1347" t="s">
        <v>12450</v>
      </c>
      <c r="D7566" s="1347" t="s">
        <v>12451</v>
      </c>
      <c r="E7566" s="1347" t="s">
        <v>12452</v>
      </c>
    </row>
    <row r="7567" spans="1:5" x14ac:dyDescent="0.45">
      <c r="B7567" s="1347" t="s">
        <v>12453</v>
      </c>
      <c r="C7567" s="1347">
        <v>1</v>
      </c>
      <c r="D7567" s="1347" t="s">
        <v>12454</v>
      </c>
      <c r="E7567" s="1347" t="s">
        <v>1110</v>
      </c>
    </row>
    <row r="7568" spans="1:5" x14ac:dyDescent="0.45">
      <c r="A7568" s="1347">
        <v>-8</v>
      </c>
      <c r="B7568" s="1347" t="s">
        <v>7751</v>
      </c>
      <c r="C7568" s="1347">
        <v>-1</v>
      </c>
      <c r="D7568" s="1347" t="s">
        <v>12455</v>
      </c>
      <c r="E7568" s="1347" t="s">
        <v>12456</v>
      </c>
    </row>
    <row r="7569" spans="1:5" x14ac:dyDescent="0.45">
      <c r="A7569" s="1347" t="s">
        <v>1105</v>
      </c>
      <c r="B7569" s="1347" t="s">
        <v>12457</v>
      </c>
      <c r="D7569" s="1347" t="s">
        <v>12458</v>
      </c>
      <c r="E7569" s="1347" t="s">
        <v>12459</v>
      </c>
    </row>
    <row r="7570" spans="1:5" x14ac:dyDescent="0.45">
      <c r="B7570" s="1347" t="s">
        <v>1108</v>
      </c>
      <c r="D7570" s="1347" t="s">
        <v>12460</v>
      </c>
      <c r="E7570" s="1347" t="s">
        <v>12461</v>
      </c>
    </row>
    <row r="7571" spans="1:5" x14ac:dyDescent="0.45">
      <c r="B7571" s="1347" t="s">
        <v>1108</v>
      </c>
      <c r="D7571" s="1347" t="s">
        <v>12462</v>
      </c>
      <c r="E7571" s="1347" t="s">
        <v>12463</v>
      </c>
    </row>
    <row r="7572" spans="1:5" x14ac:dyDescent="0.45">
      <c r="A7572" s="1347">
        <v>2</v>
      </c>
      <c r="B7572" s="1347" t="s">
        <v>12464</v>
      </c>
      <c r="D7572" s="1347" t="s">
        <v>12465</v>
      </c>
      <c r="E7572" s="1347" t="s">
        <v>12466</v>
      </c>
    </row>
    <row r="7573" spans="1:5" x14ac:dyDescent="0.45">
      <c r="B7573" s="1347" t="s">
        <v>1108</v>
      </c>
      <c r="D7573" s="1347" t="s">
        <v>12467</v>
      </c>
      <c r="E7573" s="1347" t="s">
        <v>12468</v>
      </c>
    </row>
    <row r="7574" spans="1:5" x14ac:dyDescent="0.45">
      <c r="B7574" s="1347" t="s">
        <v>12469</v>
      </c>
      <c r="D7574" s="1347" t="s">
        <v>12470</v>
      </c>
      <c r="E7574" s="1347" t="s">
        <v>12471</v>
      </c>
    </row>
    <row r="7575" spans="1:5" x14ac:dyDescent="0.45">
      <c r="A7575" s="1347">
        <v>1</v>
      </c>
      <c r="B7575" s="1347" t="s">
        <v>12472</v>
      </c>
      <c r="D7575" s="1347" t="s">
        <v>12473</v>
      </c>
      <c r="E7575" s="1347" t="s">
        <v>12474</v>
      </c>
    </row>
    <row r="7576" spans="1:5" x14ac:dyDescent="0.45">
      <c r="A7576" s="1347" t="s">
        <v>1105</v>
      </c>
      <c r="B7576" s="1347" t="s">
        <v>12475</v>
      </c>
      <c r="D7576" s="1347" t="s">
        <v>12476</v>
      </c>
      <c r="E7576" s="1347" t="s">
        <v>12477</v>
      </c>
    </row>
    <row r="7577" spans="1:5" x14ac:dyDescent="0.45">
      <c r="B7577" s="1347" t="s">
        <v>12478</v>
      </c>
      <c r="D7577" s="1347" t="s">
        <v>12479</v>
      </c>
      <c r="E7577" s="1347" t="s">
        <v>1110</v>
      </c>
    </row>
    <row r="7578" spans="1:5" x14ac:dyDescent="0.45">
      <c r="B7578" s="1347" t="s">
        <v>1108</v>
      </c>
      <c r="C7578" s="1347" t="s">
        <v>1105</v>
      </c>
      <c r="D7578" s="1347" t="s">
        <v>12480</v>
      </c>
      <c r="E7578" s="1347" t="s">
        <v>12481</v>
      </c>
    </row>
    <row r="7579" spans="1:5" x14ac:dyDescent="0.45">
      <c r="B7579" s="1347" t="s">
        <v>1108</v>
      </c>
      <c r="D7579" s="1347" t="s">
        <v>12482</v>
      </c>
      <c r="E7579" s="1347" t="s">
        <v>12483</v>
      </c>
    </row>
    <row r="7580" spans="1:5" x14ac:dyDescent="0.45">
      <c r="A7580" s="1347">
        <v>6</v>
      </c>
      <c r="B7580" s="1347" t="s">
        <v>12484</v>
      </c>
      <c r="D7580" s="1347" t="s">
        <v>12485</v>
      </c>
      <c r="E7580" s="1347" t="s">
        <v>12486</v>
      </c>
    </row>
    <row r="7581" spans="1:5" x14ac:dyDescent="0.45">
      <c r="A7581" s="1347">
        <v>-1</v>
      </c>
      <c r="B7581" s="1347" t="s">
        <v>12487</v>
      </c>
      <c r="D7581" s="1347" t="s">
        <v>1109</v>
      </c>
      <c r="E7581" s="1347" t="s">
        <v>12488</v>
      </c>
    </row>
    <row r="7582" spans="1:5" x14ac:dyDescent="0.45">
      <c r="B7582" s="1347" t="s">
        <v>12489</v>
      </c>
      <c r="D7582" s="1347" t="s">
        <v>12490</v>
      </c>
      <c r="E7582" s="1347" t="s">
        <v>12491</v>
      </c>
    </row>
    <row r="7583" spans="1:5" x14ac:dyDescent="0.45">
      <c r="B7583" s="1347" t="s">
        <v>1108</v>
      </c>
      <c r="D7583" s="1347" t="s">
        <v>2527</v>
      </c>
      <c r="E7583" s="1347" t="s">
        <v>12492</v>
      </c>
    </row>
    <row r="7584" spans="1:5" x14ac:dyDescent="0.45">
      <c r="A7584" s="1347">
        <v>-2</v>
      </c>
      <c r="B7584" s="1347" t="s">
        <v>1548</v>
      </c>
      <c r="D7584" s="1347" t="s">
        <v>12493</v>
      </c>
      <c r="E7584" s="1347" t="s">
        <v>12494</v>
      </c>
    </row>
    <row r="7585" spans="1:5" x14ac:dyDescent="0.45">
      <c r="B7585" s="1347" t="s">
        <v>12495</v>
      </c>
      <c r="D7585" s="1347" t="s">
        <v>12496</v>
      </c>
      <c r="E7585" s="1347" t="s">
        <v>1110</v>
      </c>
    </row>
    <row r="7586" spans="1:5" x14ac:dyDescent="0.45">
      <c r="B7586" s="1347" t="s">
        <v>1108</v>
      </c>
      <c r="D7586" s="1347" t="s">
        <v>1109</v>
      </c>
      <c r="E7586" s="1347" t="s">
        <v>1110</v>
      </c>
    </row>
    <row r="7587" spans="1:5" x14ac:dyDescent="0.45">
      <c r="A7587" s="1347">
        <v>-1</v>
      </c>
      <c r="B7587" s="1347" t="s">
        <v>4134</v>
      </c>
      <c r="D7587" s="1347" t="s">
        <v>1109</v>
      </c>
      <c r="E7587" s="1347" t="s">
        <v>12497</v>
      </c>
    </row>
    <row r="7588" spans="1:5" x14ac:dyDescent="0.45">
      <c r="A7588" s="1347">
        <v>-2</v>
      </c>
      <c r="B7588" s="1347" t="s">
        <v>12498</v>
      </c>
      <c r="C7588" s="1347" t="s">
        <v>1105</v>
      </c>
      <c r="D7588" s="1347" t="s">
        <v>12499</v>
      </c>
      <c r="E7588" s="1347" t="s">
        <v>12500</v>
      </c>
    </row>
    <row r="7589" spans="1:5" x14ac:dyDescent="0.45">
      <c r="A7589" s="1347">
        <v>7</v>
      </c>
      <c r="B7589" s="1347" t="s">
        <v>12501</v>
      </c>
      <c r="C7589" s="1347">
        <v>-3</v>
      </c>
      <c r="D7589" s="1347" t="s">
        <v>12502</v>
      </c>
      <c r="E7589" s="1347" t="s">
        <v>12503</v>
      </c>
    </row>
    <row r="7590" spans="1:5" x14ac:dyDescent="0.45">
      <c r="B7590" s="1347" t="s">
        <v>12504</v>
      </c>
      <c r="D7590" s="1347" t="s">
        <v>12505</v>
      </c>
      <c r="E7590" s="1347" t="s">
        <v>12506</v>
      </c>
    </row>
    <row r="7591" spans="1:5" x14ac:dyDescent="0.45">
      <c r="A7591" s="1347" t="s">
        <v>1105</v>
      </c>
      <c r="B7591" s="1347" t="s">
        <v>12507</v>
      </c>
      <c r="D7591" s="1347" t="s">
        <v>12508</v>
      </c>
      <c r="E7591" s="1347" t="s">
        <v>12509</v>
      </c>
    </row>
    <row r="7592" spans="1:5" x14ac:dyDescent="0.45">
      <c r="A7592" s="1347">
        <v>-2</v>
      </c>
      <c r="B7592" s="1347" t="s">
        <v>12510</v>
      </c>
      <c r="D7592" s="1347" t="s">
        <v>12511</v>
      </c>
      <c r="E7592" s="1347" t="s">
        <v>12512</v>
      </c>
    </row>
    <row r="7593" spans="1:5" x14ac:dyDescent="0.45">
      <c r="B7593" s="1347" t="s">
        <v>12513</v>
      </c>
      <c r="D7593" s="1347" t="s">
        <v>12514</v>
      </c>
      <c r="E7593" s="1347" t="s">
        <v>12515</v>
      </c>
    </row>
    <row r="7594" spans="1:5" x14ac:dyDescent="0.45">
      <c r="A7594" s="1347">
        <v>-5</v>
      </c>
      <c r="B7594" s="1347" t="s">
        <v>12516</v>
      </c>
      <c r="C7594" s="1347" t="s">
        <v>1105</v>
      </c>
      <c r="D7594" s="1347" t="s">
        <v>12517</v>
      </c>
      <c r="E7594" s="1347" t="s">
        <v>12518</v>
      </c>
    </row>
    <row r="7595" spans="1:5" x14ac:dyDescent="0.45">
      <c r="B7595" s="1347" t="s">
        <v>12519</v>
      </c>
      <c r="D7595" s="1347">
        <f>-163  -4175  -3042  -249</f>
        <v>-7629</v>
      </c>
      <c r="E7595" s="1347" t="s">
        <v>12520</v>
      </c>
    </row>
    <row r="7596" spans="1:5" x14ac:dyDescent="0.45">
      <c r="A7596" s="1347">
        <v>-2</v>
      </c>
      <c r="B7596" s="1347" t="s">
        <v>12521</v>
      </c>
      <c r="C7596" s="1347" t="s">
        <v>1105</v>
      </c>
      <c r="D7596" s="1347" t="s">
        <v>12522</v>
      </c>
      <c r="E7596" s="1347" t="s">
        <v>12523</v>
      </c>
    </row>
    <row r="7597" spans="1:5" x14ac:dyDescent="0.45">
      <c r="B7597" s="1347" t="s">
        <v>12524</v>
      </c>
      <c r="D7597" s="1347" t="s">
        <v>12525</v>
      </c>
      <c r="E7597" s="1347" t="s">
        <v>12526</v>
      </c>
    </row>
    <row r="7598" spans="1:5" x14ac:dyDescent="0.45">
      <c r="B7598" s="1347" t="s">
        <v>12527</v>
      </c>
      <c r="D7598" s="1347" t="s">
        <v>12528</v>
      </c>
      <c r="E7598" s="1347" t="s">
        <v>12529</v>
      </c>
    </row>
    <row r="7599" spans="1:5" x14ac:dyDescent="0.45">
      <c r="B7599" s="1347" t="s">
        <v>1108</v>
      </c>
      <c r="D7599" s="1347" t="s">
        <v>12530</v>
      </c>
      <c r="E7599" s="1347" t="s">
        <v>12531</v>
      </c>
    </row>
    <row r="7600" spans="1:5" x14ac:dyDescent="0.45">
      <c r="A7600" s="1347" t="s">
        <v>1105</v>
      </c>
      <c r="B7600" s="1347" t="s">
        <v>12532</v>
      </c>
      <c r="D7600" s="1347" t="s">
        <v>12533</v>
      </c>
      <c r="E7600" s="1347" t="s">
        <v>12534</v>
      </c>
    </row>
    <row r="7601" spans="1:5" x14ac:dyDescent="0.45">
      <c r="B7601" s="1347" t="s">
        <v>1108</v>
      </c>
      <c r="D7601" s="1347" t="s">
        <v>12535</v>
      </c>
      <c r="E7601" s="1347" t="s">
        <v>12536</v>
      </c>
    </row>
    <row r="7602" spans="1:5" x14ac:dyDescent="0.45">
      <c r="B7602" s="1347" t="s">
        <v>1108</v>
      </c>
      <c r="D7602" s="1347" t="s">
        <v>8001</v>
      </c>
      <c r="E7602" s="1347" t="s">
        <v>12537</v>
      </c>
    </row>
    <row r="7603" spans="1:5" x14ac:dyDescent="0.45">
      <c r="B7603" s="1347" t="s">
        <v>12538</v>
      </c>
      <c r="C7603" s="1347">
        <v>1</v>
      </c>
      <c r="D7603" s="1347" t="s">
        <v>12539</v>
      </c>
      <c r="E7603" s="1347" t="s">
        <v>12540</v>
      </c>
    </row>
    <row r="7604" spans="1:5" x14ac:dyDescent="0.45">
      <c r="A7604" s="1347">
        <v>-1</v>
      </c>
      <c r="B7604" s="1347" t="s">
        <v>12541</v>
      </c>
      <c r="D7604" s="1347" t="s">
        <v>12542</v>
      </c>
      <c r="E7604" s="1347" t="s">
        <v>12543</v>
      </c>
    </row>
    <row r="7605" spans="1:5" x14ac:dyDescent="0.45">
      <c r="A7605" s="1347" t="s">
        <v>1105</v>
      </c>
      <c r="B7605" s="1347" t="s">
        <v>12544</v>
      </c>
      <c r="C7605" s="1347" t="s">
        <v>1105</v>
      </c>
      <c r="D7605" s="1347" t="s">
        <v>12545</v>
      </c>
      <c r="E7605" s="1347" t="s">
        <v>12546</v>
      </c>
    </row>
    <row r="7606" spans="1:5" x14ac:dyDescent="0.45">
      <c r="B7606" s="1347" t="s">
        <v>12547</v>
      </c>
      <c r="C7606" s="1347" t="s">
        <v>1105</v>
      </c>
      <c r="D7606" s="1347" t="s">
        <v>12548</v>
      </c>
      <c r="E7606" s="1347" t="s">
        <v>12549</v>
      </c>
    </row>
    <row r="7607" spans="1:5" x14ac:dyDescent="0.45">
      <c r="B7607" s="1347" t="s">
        <v>12550</v>
      </c>
      <c r="D7607" s="1347" t="s">
        <v>12551</v>
      </c>
      <c r="E7607" s="1347" t="s">
        <v>12552</v>
      </c>
    </row>
    <row r="7608" spans="1:5" x14ac:dyDescent="0.45">
      <c r="B7608" s="1347" t="s">
        <v>12553</v>
      </c>
      <c r="D7608" s="1347" t="s">
        <v>12554</v>
      </c>
      <c r="E7608" s="1347" t="s">
        <v>12555</v>
      </c>
    </row>
    <row r="7609" spans="1:5" x14ac:dyDescent="0.45">
      <c r="B7609" s="1347" t="s">
        <v>1108</v>
      </c>
      <c r="D7609" s="1347" t="s">
        <v>12556</v>
      </c>
      <c r="E7609" s="1347" t="s">
        <v>12557</v>
      </c>
    </row>
    <row r="7610" spans="1:5" x14ac:dyDescent="0.45">
      <c r="A7610" s="1347">
        <v>16</v>
      </c>
      <c r="B7610" s="1347" t="s">
        <v>12558</v>
      </c>
      <c r="D7610" s="1347" t="s">
        <v>12559</v>
      </c>
      <c r="E7610" s="1347" t="s">
        <v>12560</v>
      </c>
    </row>
    <row r="7611" spans="1:5" x14ac:dyDescent="0.45">
      <c r="B7611" s="1347" t="s">
        <v>12561</v>
      </c>
      <c r="D7611" s="1347" t="s">
        <v>12562</v>
      </c>
      <c r="E7611" s="1347" t="s">
        <v>12563</v>
      </c>
    </row>
    <row r="7612" spans="1:5" x14ac:dyDescent="0.45">
      <c r="A7612" s="1347" t="s">
        <v>1105</v>
      </c>
      <c r="B7612" s="1347" t="s">
        <v>12564</v>
      </c>
      <c r="D7612" s="1347" t="s">
        <v>1109</v>
      </c>
      <c r="E7612" s="1347" t="s">
        <v>12565</v>
      </c>
    </row>
    <row r="7613" spans="1:5" x14ac:dyDescent="0.45">
      <c r="A7613" s="1347" t="s">
        <v>1105</v>
      </c>
      <c r="B7613" s="1347" t="s">
        <v>12566</v>
      </c>
      <c r="D7613" s="1347" t="s">
        <v>12567</v>
      </c>
      <c r="E7613" s="1347" t="s">
        <v>12568</v>
      </c>
    </row>
    <row r="7614" spans="1:5" x14ac:dyDescent="0.45">
      <c r="A7614" s="1347">
        <v>1</v>
      </c>
      <c r="B7614" s="1347" t="s">
        <v>12569</v>
      </c>
      <c r="D7614" s="1347" t="s">
        <v>12570</v>
      </c>
      <c r="E7614" s="1347" t="s">
        <v>12571</v>
      </c>
    </row>
    <row r="7615" spans="1:5" x14ac:dyDescent="0.45">
      <c r="B7615" s="1347" t="s">
        <v>5160</v>
      </c>
      <c r="D7615" s="1347" t="s">
        <v>12572</v>
      </c>
      <c r="E7615" s="1347" t="s">
        <v>1110</v>
      </c>
    </row>
    <row r="7616" spans="1:5" x14ac:dyDescent="0.45">
      <c r="B7616" s="1347" t="s">
        <v>12573</v>
      </c>
      <c r="D7616" s="1347" t="s">
        <v>12574</v>
      </c>
      <c r="E7616" s="1347" t="s">
        <v>12575</v>
      </c>
    </row>
    <row r="7617" spans="1:5" x14ac:dyDescent="0.45">
      <c r="B7617" s="1347" t="s">
        <v>1108</v>
      </c>
      <c r="D7617" s="1347" t="s">
        <v>12576</v>
      </c>
      <c r="E7617" s="1347" t="s">
        <v>12577</v>
      </c>
    </row>
    <row r="7618" spans="1:5" x14ac:dyDescent="0.45">
      <c r="B7618" s="1347" t="s">
        <v>1108</v>
      </c>
      <c r="D7618" s="1347" t="s">
        <v>12578</v>
      </c>
      <c r="E7618" s="1347" t="s">
        <v>12579</v>
      </c>
    </row>
    <row r="7619" spans="1:5" x14ac:dyDescent="0.45">
      <c r="A7619" s="1347" t="s">
        <v>1105</v>
      </c>
      <c r="B7619" s="1347" t="s">
        <v>10130</v>
      </c>
      <c r="D7619" s="1347" t="s">
        <v>12580</v>
      </c>
      <c r="E7619" s="1347" t="s">
        <v>12581</v>
      </c>
    </row>
    <row r="7620" spans="1:5" x14ac:dyDescent="0.45">
      <c r="B7620" s="1347" t="s">
        <v>12582</v>
      </c>
      <c r="D7620" s="1347" t="s">
        <v>12583</v>
      </c>
      <c r="E7620" s="1347" t="s">
        <v>12584</v>
      </c>
    </row>
    <row r="7621" spans="1:5" x14ac:dyDescent="0.45">
      <c r="B7621" s="1347" t="s">
        <v>1108</v>
      </c>
      <c r="D7621" s="1347" t="s">
        <v>12585</v>
      </c>
      <c r="E7621" s="1347" t="s">
        <v>12586</v>
      </c>
    </row>
    <row r="7622" spans="1:5" x14ac:dyDescent="0.45">
      <c r="B7622" s="1347" t="s">
        <v>1108</v>
      </c>
      <c r="D7622" s="1347" t="s">
        <v>12587</v>
      </c>
      <c r="E7622" s="1347" t="s">
        <v>1220</v>
      </c>
    </row>
    <row r="7623" spans="1:5" x14ac:dyDescent="0.45">
      <c r="A7623" s="1347">
        <v>2</v>
      </c>
      <c r="B7623" s="1347" t="s">
        <v>8779</v>
      </c>
      <c r="C7623" s="1347" t="s">
        <v>1105</v>
      </c>
      <c r="D7623" s="1347" t="s">
        <v>12588</v>
      </c>
      <c r="E7623" s="1347" t="s">
        <v>1110</v>
      </c>
    </row>
    <row r="7624" spans="1:5" x14ac:dyDescent="0.45">
      <c r="B7624" s="1347" t="s">
        <v>1108</v>
      </c>
      <c r="D7624" s="1347" t="s">
        <v>1109</v>
      </c>
      <c r="E7624" s="1347" t="s">
        <v>12589</v>
      </c>
    </row>
    <row r="7625" spans="1:5" x14ac:dyDescent="0.45">
      <c r="B7625" s="1347" t="s">
        <v>1108</v>
      </c>
      <c r="D7625" s="1347" t="s">
        <v>12590</v>
      </c>
      <c r="E7625" s="1347" t="s">
        <v>12591</v>
      </c>
    </row>
    <row r="7626" spans="1:5" x14ac:dyDescent="0.45">
      <c r="A7626" s="1347">
        <v>6</v>
      </c>
      <c r="B7626" s="1347" t="s">
        <v>12592</v>
      </c>
      <c r="C7626" s="1347" t="s">
        <v>1105</v>
      </c>
      <c r="D7626" s="1347" t="s">
        <v>12593</v>
      </c>
      <c r="E7626" s="1347" t="s">
        <v>12594</v>
      </c>
    </row>
    <row r="7627" spans="1:5" x14ac:dyDescent="0.45">
      <c r="A7627" s="1347">
        <v>2</v>
      </c>
      <c r="B7627" s="1347" t="s">
        <v>12595</v>
      </c>
      <c r="D7627" s="1347" t="s">
        <v>12596</v>
      </c>
      <c r="E7627" s="1347" t="s">
        <v>12597</v>
      </c>
    </row>
    <row r="7628" spans="1:5" x14ac:dyDescent="0.45">
      <c r="A7628" s="1347">
        <v>2</v>
      </c>
      <c r="B7628" s="1347" t="s">
        <v>12598</v>
      </c>
      <c r="D7628" s="1347" t="s">
        <v>12599</v>
      </c>
      <c r="E7628" s="1347" t="s">
        <v>12600</v>
      </c>
    </row>
    <row r="7629" spans="1:5" x14ac:dyDescent="0.45">
      <c r="A7629" s="1347">
        <v>2</v>
      </c>
      <c r="B7629" s="1347" t="s">
        <v>12601</v>
      </c>
      <c r="D7629" s="1347" t="s">
        <v>12602</v>
      </c>
      <c r="E7629" s="1347" t="s">
        <v>12603</v>
      </c>
    </row>
    <row r="7630" spans="1:5" x14ac:dyDescent="0.45">
      <c r="A7630" s="1347">
        <v>-1</v>
      </c>
      <c r="B7630" s="1347" t="s">
        <v>12604</v>
      </c>
      <c r="D7630" s="1347" t="s">
        <v>12605</v>
      </c>
      <c r="E7630" s="1347" t="s">
        <v>12606</v>
      </c>
    </row>
    <row r="7631" spans="1:5" x14ac:dyDescent="0.45">
      <c r="A7631" s="1347" t="s">
        <v>1105</v>
      </c>
      <c r="B7631" s="1347" t="s">
        <v>12607</v>
      </c>
      <c r="D7631" s="1347">
        <f>-683 -36325 -43857 -4464</f>
        <v>-85329</v>
      </c>
      <c r="E7631" s="1347" t="s">
        <v>12608</v>
      </c>
    </row>
    <row r="7632" spans="1:5" x14ac:dyDescent="0.45">
      <c r="A7632" s="1347">
        <v>-16</v>
      </c>
      <c r="B7632" s="1347" t="s">
        <v>12609</v>
      </c>
      <c r="C7632" s="1347">
        <v>-2</v>
      </c>
      <c r="D7632" s="1347" t="s">
        <v>12610</v>
      </c>
      <c r="E7632" s="1347" t="s">
        <v>12611</v>
      </c>
    </row>
    <row r="7633" spans="1:5" x14ac:dyDescent="0.45">
      <c r="B7633" s="1347" t="s">
        <v>12612</v>
      </c>
      <c r="C7633" s="1347">
        <v>-4</v>
      </c>
      <c r="D7633" s="1347" t="s">
        <v>12613</v>
      </c>
      <c r="E7633" s="1347" t="s">
        <v>12614</v>
      </c>
    </row>
    <row r="7634" spans="1:5" x14ac:dyDescent="0.45">
      <c r="A7634" s="1347">
        <v>-7</v>
      </c>
      <c r="B7634" s="1347" t="s">
        <v>12615</v>
      </c>
      <c r="C7634" s="1347" t="s">
        <v>1105</v>
      </c>
      <c r="D7634" s="1347" t="s">
        <v>12616</v>
      </c>
      <c r="E7634" s="1347" t="s">
        <v>12617</v>
      </c>
    </row>
    <row r="7635" spans="1:5" x14ac:dyDescent="0.45">
      <c r="B7635" s="1347" t="s">
        <v>1108</v>
      </c>
      <c r="D7635" s="1347" t="s">
        <v>1109</v>
      </c>
      <c r="E7635" s="1347" t="s">
        <v>1110</v>
      </c>
    </row>
    <row r="7636" spans="1:5" x14ac:dyDescent="0.45">
      <c r="B7636" s="1347" t="s">
        <v>1108</v>
      </c>
      <c r="D7636" s="1347" t="s">
        <v>1109</v>
      </c>
      <c r="E7636" s="1347" t="s">
        <v>1110</v>
      </c>
    </row>
    <row r="7637" spans="1:5" x14ac:dyDescent="0.45">
      <c r="B7637" s="1347" t="s">
        <v>1108</v>
      </c>
      <c r="D7637" s="1347" t="s">
        <v>1109</v>
      </c>
      <c r="E7637" s="1347" t="s">
        <v>1110</v>
      </c>
    </row>
    <row r="7638" spans="1:5" x14ac:dyDescent="0.45">
      <c r="B7638" s="1347" t="s">
        <v>1108</v>
      </c>
      <c r="D7638" s="1347" t="s">
        <v>1109</v>
      </c>
      <c r="E7638" s="1347" t="s">
        <v>1110</v>
      </c>
    </row>
    <row r="7639" spans="1:5" x14ac:dyDescent="0.45">
      <c r="B7639" s="1347" t="s">
        <v>1108</v>
      </c>
      <c r="D7639" s="1347" t="s">
        <v>1109</v>
      </c>
      <c r="E7639" s="1347" t="s">
        <v>1110</v>
      </c>
    </row>
    <row r="7640" spans="1:5" x14ac:dyDescent="0.45">
      <c r="B7640" s="1347" t="s">
        <v>1108</v>
      </c>
      <c r="D7640" s="1347" t="s">
        <v>1109</v>
      </c>
      <c r="E7640" s="1347" t="s">
        <v>1110</v>
      </c>
    </row>
    <row r="7641" spans="1:5" x14ac:dyDescent="0.45">
      <c r="B7641" s="1347" t="s">
        <v>1108</v>
      </c>
      <c r="D7641" s="1347" t="s">
        <v>1109</v>
      </c>
      <c r="E7641" s="1347" t="s">
        <v>1110</v>
      </c>
    </row>
    <row r="7642" spans="1:5" x14ac:dyDescent="0.45">
      <c r="B7642" s="1347" t="s">
        <v>1108</v>
      </c>
      <c r="D7642" s="1347" t="s">
        <v>1109</v>
      </c>
      <c r="E7642" s="1347" t="s">
        <v>1110</v>
      </c>
    </row>
    <row r="7643" spans="1:5" x14ac:dyDescent="0.45">
      <c r="B7643" s="1347" t="s">
        <v>1108</v>
      </c>
      <c r="D7643" s="1347" t="s">
        <v>1109</v>
      </c>
      <c r="E7643" s="1347" t="s">
        <v>1110</v>
      </c>
    </row>
    <row r="7644" spans="1:5" x14ac:dyDescent="0.45">
      <c r="B7644" s="1347" t="s">
        <v>1108</v>
      </c>
      <c r="D7644" s="1347" t="s">
        <v>1109</v>
      </c>
      <c r="E7644" s="1347" t="s">
        <v>1110</v>
      </c>
    </row>
    <row r="7645" spans="1:5" x14ac:dyDescent="0.45">
      <c r="B7645" s="1347" t="s">
        <v>1108</v>
      </c>
      <c r="D7645" s="1347" t="s">
        <v>1109</v>
      </c>
      <c r="E7645" s="1347" t="s">
        <v>1110</v>
      </c>
    </row>
    <row r="7646" spans="1:5" x14ac:dyDescent="0.45">
      <c r="B7646" s="1347" t="s">
        <v>1108</v>
      </c>
      <c r="D7646" s="1347" t="s">
        <v>1109</v>
      </c>
      <c r="E7646" s="1347" t="s">
        <v>1110</v>
      </c>
    </row>
    <row r="7647" spans="1:5" x14ac:dyDescent="0.45">
      <c r="B7647" s="1347" t="s">
        <v>1108</v>
      </c>
      <c r="D7647" s="1347" t="s">
        <v>1109</v>
      </c>
      <c r="E7647" s="1347" t="s">
        <v>1110</v>
      </c>
    </row>
    <row r="7648" spans="1:5" x14ac:dyDescent="0.45">
      <c r="B7648" s="1347" t="s">
        <v>1108</v>
      </c>
      <c r="D7648" s="1347" t="s">
        <v>1109</v>
      </c>
      <c r="E7648" s="1347" t="s">
        <v>1110</v>
      </c>
    </row>
    <row r="7649" spans="2:5" x14ac:dyDescent="0.45">
      <c r="B7649" s="1347" t="s">
        <v>1108</v>
      </c>
      <c r="D7649" s="1347" t="s">
        <v>1109</v>
      </c>
      <c r="E7649" s="1347" t="s">
        <v>1110</v>
      </c>
    </row>
    <row r="7650" spans="2:5" x14ac:dyDescent="0.45">
      <c r="B7650" s="1347" t="s">
        <v>1108</v>
      </c>
      <c r="D7650" s="1347" t="s">
        <v>1109</v>
      </c>
      <c r="E7650" s="1347" t="s">
        <v>1110</v>
      </c>
    </row>
    <row r="7651" spans="2:5" x14ac:dyDescent="0.45">
      <c r="B7651" s="1347" t="s">
        <v>1108</v>
      </c>
      <c r="D7651" s="1347" t="s">
        <v>1109</v>
      </c>
      <c r="E7651" s="1347" t="s">
        <v>1110</v>
      </c>
    </row>
    <row r="7652" spans="2:5" x14ac:dyDescent="0.45">
      <c r="B7652" s="1347" t="s">
        <v>1108</v>
      </c>
      <c r="D7652" s="1347" t="s">
        <v>1109</v>
      </c>
      <c r="E7652" s="1347" t="s">
        <v>1110</v>
      </c>
    </row>
    <row r="7653" spans="2:5" x14ac:dyDescent="0.45">
      <c r="B7653" s="1347" t="s">
        <v>1108</v>
      </c>
      <c r="D7653" s="1347" t="s">
        <v>1109</v>
      </c>
      <c r="E7653" s="1347" t="s">
        <v>1110</v>
      </c>
    </row>
    <row r="7654" spans="2:5" x14ac:dyDescent="0.45">
      <c r="B7654" s="1347" t="s">
        <v>1108</v>
      </c>
      <c r="D7654" s="1347" t="s">
        <v>1109</v>
      </c>
      <c r="E7654" s="1347" t="s">
        <v>1110</v>
      </c>
    </row>
    <row r="7655" spans="2:5" x14ac:dyDescent="0.45">
      <c r="B7655" s="1347" t="s">
        <v>1108</v>
      </c>
      <c r="D7655" s="1347" t="s">
        <v>1109</v>
      </c>
      <c r="E7655" s="1347" t="s">
        <v>1110</v>
      </c>
    </row>
    <row r="7656" spans="2:5" x14ac:dyDescent="0.45">
      <c r="B7656" s="1347" t="s">
        <v>1108</v>
      </c>
      <c r="D7656" s="1347" t="s">
        <v>1109</v>
      </c>
      <c r="E7656" s="1347" t="s">
        <v>1110</v>
      </c>
    </row>
    <row r="7657" spans="2:5" x14ac:dyDescent="0.45">
      <c r="B7657" s="1347" t="s">
        <v>1108</v>
      </c>
      <c r="D7657" s="1347" t="s">
        <v>1109</v>
      </c>
      <c r="E7657" s="1347" t="s">
        <v>1110</v>
      </c>
    </row>
    <row r="7658" spans="2:5" x14ac:dyDescent="0.45">
      <c r="B7658" s="1347" t="s">
        <v>1108</v>
      </c>
      <c r="D7658" s="1347" t="s">
        <v>1109</v>
      </c>
      <c r="E7658" s="1347" t="s">
        <v>1110</v>
      </c>
    </row>
    <row r="7659" spans="2:5" x14ac:dyDescent="0.45">
      <c r="B7659" s="1347" t="s">
        <v>1108</v>
      </c>
      <c r="D7659" s="1347" t="s">
        <v>1109</v>
      </c>
      <c r="E7659" s="1347" t="s">
        <v>1110</v>
      </c>
    </row>
    <row r="7660" spans="2:5" x14ac:dyDescent="0.45">
      <c r="B7660" s="1347" t="s">
        <v>1108</v>
      </c>
      <c r="D7660" s="1347" t="s">
        <v>1109</v>
      </c>
      <c r="E7660" s="1347" t="s">
        <v>1110</v>
      </c>
    </row>
    <row r="7661" spans="2:5" x14ac:dyDescent="0.45">
      <c r="B7661" s="1347" t="s">
        <v>1108</v>
      </c>
      <c r="D7661" s="1347" t="s">
        <v>1109</v>
      </c>
      <c r="E7661" s="1347" t="s">
        <v>1110</v>
      </c>
    </row>
    <row r="7662" spans="2:5" x14ac:dyDescent="0.45">
      <c r="B7662" s="1347" t="s">
        <v>1108</v>
      </c>
      <c r="D7662" s="1347" t="s">
        <v>1109</v>
      </c>
      <c r="E7662" s="1347" t="s">
        <v>1110</v>
      </c>
    </row>
    <row r="7663" spans="2:5" x14ac:dyDescent="0.45">
      <c r="B7663" s="1347" t="s">
        <v>1108</v>
      </c>
      <c r="D7663" s="1347" t="s">
        <v>1109</v>
      </c>
      <c r="E7663" s="1347" t="s">
        <v>1110</v>
      </c>
    </row>
    <row r="7664" spans="2:5" x14ac:dyDescent="0.45">
      <c r="B7664" s="1347" t="s">
        <v>1108</v>
      </c>
      <c r="D7664" s="1347" t="s">
        <v>1109</v>
      </c>
      <c r="E7664" s="1347" t="s">
        <v>1110</v>
      </c>
    </row>
    <row r="7665" spans="2:5" x14ac:dyDescent="0.45">
      <c r="B7665" s="1347" t="s">
        <v>1108</v>
      </c>
      <c r="D7665" s="1347" t="s">
        <v>1109</v>
      </c>
      <c r="E7665" s="1347" t="s">
        <v>1110</v>
      </c>
    </row>
    <row r="7666" spans="2:5" x14ac:dyDescent="0.45">
      <c r="B7666" s="1347" t="s">
        <v>1108</v>
      </c>
      <c r="D7666" s="1347" t="s">
        <v>1109</v>
      </c>
      <c r="E7666" s="1347" t="s">
        <v>1110</v>
      </c>
    </row>
    <row r="7667" spans="2:5" x14ac:dyDescent="0.45">
      <c r="B7667" s="1347" t="s">
        <v>1108</v>
      </c>
      <c r="D7667" s="1347" t="s">
        <v>1109</v>
      </c>
      <c r="E7667" s="1347" t="s">
        <v>1110</v>
      </c>
    </row>
    <row r="7668" spans="2:5" x14ac:dyDescent="0.45">
      <c r="B7668" s="1347" t="s">
        <v>1108</v>
      </c>
      <c r="D7668" s="1347" t="s">
        <v>1109</v>
      </c>
      <c r="E7668" s="1347" t="s">
        <v>1110</v>
      </c>
    </row>
    <row r="7669" spans="2:5" x14ac:dyDescent="0.45">
      <c r="B7669" s="1347" t="s">
        <v>1108</v>
      </c>
      <c r="D7669" s="1347" t="s">
        <v>1109</v>
      </c>
      <c r="E7669" s="1347" t="s">
        <v>1110</v>
      </c>
    </row>
    <row r="7670" spans="2:5" x14ac:dyDescent="0.45">
      <c r="B7670" s="1347" t="s">
        <v>1108</v>
      </c>
      <c r="D7670" s="1347" t="s">
        <v>1109</v>
      </c>
      <c r="E7670" s="1347" t="s">
        <v>1110</v>
      </c>
    </row>
    <row r="7671" spans="2:5" x14ac:dyDescent="0.45">
      <c r="B7671" s="1347" t="s">
        <v>1108</v>
      </c>
      <c r="D7671" s="1347" t="s">
        <v>1109</v>
      </c>
      <c r="E7671" s="1347" t="s">
        <v>1110</v>
      </c>
    </row>
    <row r="7672" spans="2:5" x14ac:dyDescent="0.45">
      <c r="B7672" s="1347" t="s">
        <v>1108</v>
      </c>
      <c r="D7672" s="1347" t="s">
        <v>1109</v>
      </c>
      <c r="E7672" s="1347" t="s">
        <v>1110</v>
      </c>
    </row>
    <row r="7673" spans="2:5" x14ac:dyDescent="0.45">
      <c r="B7673" s="1347">
        <v>0</v>
      </c>
    </row>
  </sheetData>
  <pageMargins bottom="0.75" footer="0.3" header="0.3" left="0.7" right="0.7" top="0.75"/>
  <pageSetup orientation="portrait" r:id="rId1" verticalDpi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I384"/>
  <sheetViews>
    <sheetView workbookViewId="0" zoomScaleNormal="100">
      <selection activeCell="K25" sqref="K25"/>
    </sheetView>
  </sheetViews>
  <sheetFormatPr defaultColWidth="9" defaultRowHeight="14.25" x14ac:dyDescent="0.45"/>
  <cols>
    <col min="1" max="1" style="1347" width="9.0" collapsed="true"/>
    <col min="2" max="2" bestFit="true" customWidth="true" style="1347" width="12.0" collapsed="true"/>
    <col min="3" max="7" bestFit="true" customWidth="true" style="1347" width="9.234375" collapsed="true"/>
    <col min="8" max="8" bestFit="true" customWidth="true" style="1347" width="12.64453125" collapsed="true"/>
    <col min="9" max="9" style="1347" width="9.0" collapsed="true"/>
    <col min="10" max="11" bestFit="true" customWidth="true" style="1347" width="12.46875" collapsed="true"/>
    <col min="12" max="12" style="1347" width="9.0" collapsed="true"/>
    <col min="13" max="13" bestFit="true" customWidth="true" style="1347" width="12.46875" collapsed="true"/>
    <col min="14" max="20" style="1347" width="9.0" collapsed="true"/>
    <col min="21" max="22" bestFit="true" customWidth="true" style="1347" width="12.46875" collapsed="true"/>
    <col min="23" max="25" style="1347" width="9.0" collapsed="true"/>
    <col min="26" max="27" bestFit="true" customWidth="true" style="1347" width="13.46875" collapsed="true"/>
    <col min="28" max="31" style="1347" width="9.0" collapsed="true"/>
    <col min="32" max="32" customWidth="true" style="1347" width="29.234375" collapsed="true"/>
    <col min="33" max="16384" style="1347" width="9.0" collapsed="true"/>
  </cols>
  <sheetData>
    <row r="1" spans="1:35" x14ac:dyDescent="0.45">
      <c r="L1"/>
      <c r="M1" s="1346" t="s">
        <v>1045</v>
      </c>
      <c r="N1"/>
      <c r="O1"/>
      <c r="S1" s="1360" t="s">
        <v>338</v>
      </c>
      <c r="X1" s="1360" t="s">
        <v>12692</v>
      </c>
      <c r="AE1" s="1360" t="s">
        <v>12624</v>
      </c>
    </row>
    <row r="2" spans="1:35" x14ac:dyDescent="0.45">
      <c r="A2" s="1360" t="s">
        <v>1082</v>
      </c>
      <c r="C2" s="1347" t="s">
        <v>12622</v>
      </c>
      <c r="L2"/>
      <c r="M2">
        <v>1</v>
      </c>
      <c r="N2" s="65" t="s">
        <v>12623</v>
      </c>
      <c r="O2"/>
      <c r="U2" s="1351" t="s">
        <v>12619</v>
      </c>
      <c r="V2" s="1351" t="s">
        <v>12620</v>
      </c>
      <c r="Z2" s="1351" t="s">
        <v>12619</v>
      </c>
      <c r="AA2" s="1351" t="s">
        <v>12620</v>
      </c>
      <c r="AG2" s="1347" t="s">
        <v>12619</v>
      </c>
      <c r="AH2" s="1347" t="s">
        <v>12620</v>
      </c>
    </row>
    <row ht="14.65" r="3" spans="1:35" thickBot="1" x14ac:dyDescent="0.5">
      <c r="A3" s="1356"/>
      <c r="B3" s="1356"/>
      <c r="C3" s="1356"/>
      <c r="D3" s="1356"/>
      <c r="E3" s="1355"/>
      <c r="F3" s="1376" t="s">
        <v>12621</v>
      </c>
      <c r="G3" s="1356"/>
      <c r="H3" s="1356"/>
      <c r="I3" s="1"/>
      <c r="J3" s="1356"/>
      <c r="M3">
        <v>2</v>
      </c>
      <c r="N3" t="s">
        <v>1088</v>
      </c>
      <c r="O3"/>
      <c r="S3" s="1370">
        <v>100</v>
      </c>
      <c r="T3" s="1370" t="s">
        <v>344</v>
      </c>
      <c r="U3" s="1371">
        <v>1.2236828776299999</v>
      </c>
      <c r="V3" s="1371">
        <f>J5</f>
        <v>1.2236828776299999</v>
      </c>
      <c r="X3" s="1392">
        <v>1</v>
      </c>
      <c r="Y3" s="1392" t="s">
        <v>12693</v>
      </c>
      <c r="Z3" s="1393">
        <v>-0.22601405295499999</v>
      </c>
      <c r="AA3" s="1394">
        <f>Z3</f>
        <v>-0.22601405295499999</v>
      </c>
      <c r="AE3" s="1347">
        <v>1</v>
      </c>
      <c r="AF3" s="1347" t="s">
        <v>12629</v>
      </c>
      <c r="AG3" s="1347">
        <v>0.42649170864199998</v>
      </c>
      <c r="AI3" s="1347" t="s">
        <v>12654</v>
      </c>
    </row>
    <row r="4" spans="1:35" x14ac:dyDescent="0.45">
      <c r="A4" s="1352" t="str">
        <f>Summary!A32</f>
        <v>Purpose</v>
      </c>
      <c r="B4" s="1352" t="str">
        <f>Summary!B32</f>
        <v>Reference</v>
      </c>
      <c r="C4" s="1352" t="str">
        <f>Summary!C32</f>
        <v>New</v>
      </c>
      <c r="D4" s="1352" t="s">
        <v>1083</v>
      </c>
      <c r="E4" s="1362"/>
      <c r="F4" s="1352" t="s">
        <v>1044</v>
      </c>
      <c r="G4" s="1352" t="s">
        <v>340</v>
      </c>
      <c r="H4" s="1352" t="s">
        <v>1084</v>
      </c>
      <c r="I4" s="1352" t="s">
        <v>1085</v>
      </c>
      <c r="J4" s="1352" t="s">
        <v>1086</v>
      </c>
      <c r="S4" s="1370">
        <v>101</v>
      </c>
      <c r="T4" s="1370" t="s">
        <v>347</v>
      </c>
      <c r="U4" s="1371">
        <v>2.8616013338399999</v>
      </c>
      <c r="V4" s="1371">
        <f>J19</f>
        <v>2.8616013338399999</v>
      </c>
      <c r="X4" s="1379">
        <v>3</v>
      </c>
      <c r="Y4" s="1379" t="s">
        <v>12694</v>
      </c>
      <c r="Z4" s="1395">
        <v>-2.1894916318800002</v>
      </c>
      <c r="AA4" s="1395">
        <f>J102</f>
        <v>-2.1894916318800002</v>
      </c>
      <c r="AE4" s="1347">
        <v>2</v>
      </c>
      <c r="AF4" s="1347" t="s">
        <v>12630</v>
      </c>
      <c r="AG4" s="1347">
        <v>0.52969549157399998</v>
      </c>
      <c r="AI4" s="1347" t="s">
        <v>12654</v>
      </c>
    </row>
    <row r="5" spans="1:35" x14ac:dyDescent="0.45">
      <c r="A5" s="1347" t="str">
        <f>Summary!A33</f>
        <v>work</v>
      </c>
      <c r="B5" s="1357">
        <f>ToursByTourPurpose!F74</f>
        <v>1362000</v>
      </c>
      <c r="C5" s="1357">
        <f>ToursByTourPurpose!R74</f>
        <v>1362000</v>
      </c>
      <c r="D5" s="1350">
        <f>B5/C5</f>
        <v>1</v>
      </c>
      <c r="E5" s="1355"/>
      <c r="F5" s="1365">
        <f>S3</f>
        <v>100</v>
      </c>
      <c r="G5" s="1361" t="str">
        <f>T3</f>
        <v>W-TASC</v>
      </c>
      <c r="H5" s="1361">
        <f>U3</f>
        <v>1.2236828776299999</v>
      </c>
      <c r="I5" s="1367">
        <f ref="I5:I11" si="0" t="shared">LN(D5)</f>
        <v>0</v>
      </c>
      <c r="J5" s="1361">
        <f>H5+I5</f>
        <v>1.2236828776299999</v>
      </c>
      <c r="S5" s="1379">
        <v>102</v>
      </c>
      <c r="T5" s="1379" t="s">
        <v>349</v>
      </c>
      <c r="U5" s="1380">
        <v>-0.71110898243599996</v>
      </c>
      <c r="V5" s="1380">
        <f>C88</f>
        <v>-0.71110898243599996</v>
      </c>
      <c r="X5" s="1379">
        <v>4</v>
      </c>
      <c r="Y5" s="1379" t="s">
        <v>12695</v>
      </c>
      <c r="Z5" s="1395">
        <v>-3.1363370499699998</v>
      </c>
      <c r="AA5" s="1395">
        <f ref="AA5:AA9" si="1" t="shared">J103</f>
        <v>-3.1363370499699998</v>
      </c>
      <c r="AE5" s="1347">
        <v>3</v>
      </c>
      <c r="AF5" s="1347" t="s">
        <v>12631</v>
      </c>
      <c r="AG5" s="1347">
        <v>0.75024585208399996</v>
      </c>
      <c r="AI5" s="1347" t="s">
        <v>12654</v>
      </c>
    </row>
    <row r="6" spans="1:35" x14ac:dyDescent="0.45">
      <c r="A6" s="1347" t="str">
        <f>Summary!A34</f>
        <v>school</v>
      </c>
      <c r="B6" s="1357">
        <f>ToursByTourPurpose!F75</f>
        <v>778000</v>
      </c>
      <c r="C6" s="1357">
        <f>ToursByTourPurpose!R75</f>
        <v>778000</v>
      </c>
      <c r="D6" s="1350">
        <f ref="D6:D13" si="2" t="shared">B6/C6</f>
        <v>1</v>
      </c>
      <c r="E6" s="1355"/>
      <c r="F6" s="1365">
        <f>S33</f>
        <v>200</v>
      </c>
      <c r="G6" s="1361" t="str">
        <f>T33</f>
        <v>S-TASC</v>
      </c>
      <c r="H6" s="1361">
        <f>U33</f>
        <v>-0.58380230103999997</v>
      </c>
      <c r="I6" s="1367">
        <f si="0" t="shared"/>
        <v>0</v>
      </c>
      <c r="J6" s="1361">
        <f ref="J6:J11" si="3" t="shared">H6+I6</f>
        <v>-0.58380230103999997</v>
      </c>
      <c r="S6" s="1379">
        <v>105</v>
      </c>
      <c r="T6" s="1379" t="s">
        <v>351</v>
      </c>
      <c r="U6" s="1380">
        <v>-1.2076938105299999</v>
      </c>
      <c r="V6" s="1380">
        <f>F88</f>
        <v>-1.2076938105299999</v>
      </c>
      <c r="X6" s="1379">
        <v>6</v>
      </c>
      <c r="Y6" s="1379" t="s">
        <v>12696</v>
      </c>
      <c r="Z6" s="1395">
        <v>-1.4003692729499999</v>
      </c>
      <c r="AA6" s="1395">
        <f si="1" t="shared"/>
        <v>-1.4003692729499999</v>
      </c>
      <c r="AE6" s="1347">
        <v>4</v>
      </c>
      <c r="AF6" s="1347" t="s">
        <v>12632</v>
      </c>
      <c r="AG6" s="1347">
        <v>0.751938985542</v>
      </c>
      <c r="AI6" s="1347" t="s">
        <v>12654</v>
      </c>
    </row>
    <row r="7" spans="1:35" x14ac:dyDescent="0.45">
      <c r="A7" s="1347" t="str">
        <f>Summary!A35</f>
        <v>escort</v>
      </c>
      <c r="B7" s="1357">
        <f>ToursByTourPurpose!F76</f>
        <v>577000</v>
      </c>
      <c r="C7" s="1357">
        <f>ToursByTourPurpose!R76</f>
        <v>577000</v>
      </c>
      <c r="D7" s="1350">
        <f si="2" t="shared"/>
        <v>1</v>
      </c>
      <c r="E7" s="1355"/>
      <c r="F7" s="1365">
        <f>S64</f>
        <v>300</v>
      </c>
      <c r="G7" s="1361" t="str">
        <f>T64</f>
        <v>E-TASC</v>
      </c>
      <c r="H7" s="1361">
        <f>U64</f>
        <v>-3.5934743086399998</v>
      </c>
      <c r="I7" s="1367">
        <f si="0" t="shared"/>
        <v>0</v>
      </c>
      <c r="J7" s="1361">
        <f si="3" t="shared"/>
        <v>-3.5934743086399998</v>
      </c>
      <c r="S7" s="1379">
        <v>106</v>
      </c>
      <c r="T7" s="1379" t="s">
        <v>353</v>
      </c>
      <c r="U7" s="1380">
        <v>-1.82717146308</v>
      </c>
      <c r="V7" s="1380">
        <f>G88</f>
        <v>-1.82717146308</v>
      </c>
      <c r="X7" s="1379">
        <v>8</v>
      </c>
      <c r="Y7" s="1379" t="s">
        <v>12697</v>
      </c>
      <c r="Z7" s="1395">
        <v>-1.79617773946</v>
      </c>
      <c r="AA7" s="1395">
        <f si="1" t="shared"/>
        <v>-1.79617773946</v>
      </c>
      <c r="AE7" s="1347">
        <v>5</v>
      </c>
      <c r="AF7" s="1347" t="s">
        <v>12633</v>
      </c>
      <c r="AG7" s="1347">
        <v>0.75835463608200004</v>
      </c>
      <c r="AI7" s="1347" t="s">
        <v>12654</v>
      </c>
    </row>
    <row r="8" spans="1:35" x14ac:dyDescent="0.45">
      <c r="A8" s="1347" t="str">
        <f>Summary!A36</f>
        <v>pers.bus</v>
      </c>
      <c r="B8" s="1357">
        <f>ToursByTourPurpose!F77</f>
        <v>419000</v>
      </c>
      <c r="C8" s="1357">
        <f>ToursByTourPurpose!R77</f>
        <v>419000</v>
      </c>
      <c r="D8" s="1350">
        <f si="2" t="shared"/>
        <v>1</v>
      </c>
      <c r="E8" s="1355"/>
      <c r="F8" s="1365">
        <f>S98</f>
        <v>400</v>
      </c>
      <c r="G8" s="1361" t="str">
        <f>T98</f>
        <v>P-TASC</v>
      </c>
      <c r="H8" s="1361">
        <f>U98</f>
        <v>-2.0825068933400002</v>
      </c>
      <c r="I8" s="1367">
        <f si="0" t="shared"/>
        <v>0</v>
      </c>
      <c r="J8" s="1361">
        <f si="3" t="shared"/>
        <v>-2.0825068933400002</v>
      </c>
      <c r="S8" s="1347">
        <v>109</v>
      </c>
      <c r="T8" s="1347" t="s">
        <v>355</v>
      </c>
      <c r="U8" s="1361">
        <v>0</v>
      </c>
      <c r="V8" s="1369">
        <f ref="V8:V43" si="4" t="shared">U8</f>
        <v>0</v>
      </c>
      <c r="X8" s="1379">
        <v>10</v>
      </c>
      <c r="Y8" s="1379" t="s">
        <v>12698</v>
      </c>
      <c r="Z8" s="1395">
        <v>-0.271469703452</v>
      </c>
      <c r="AA8" s="1395">
        <f si="1" t="shared"/>
        <v>-0.271469703452</v>
      </c>
      <c r="AE8" s="1347">
        <v>6</v>
      </c>
      <c r="AF8" s="1347" t="s">
        <v>12634</v>
      </c>
      <c r="AG8" s="1347">
        <v>0.99547769337100001</v>
      </c>
      <c r="AI8" s="1347" t="s">
        <v>12654</v>
      </c>
    </row>
    <row r="9" spans="1:35" x14ac:dyDescent="0.45">
      <c r="A9" s="1347" t="str">
        <f>Summary!A37</f>
        <v>shop</v>
      </c>
      <c r="B9" s="1357">
        <f>ToursByTourPurpose!F78</f>
        <v>137000</v>
      </c>
      <c r="C9" s="1357">
        <f>ToursByTourPurpose!R78</f>
        <v>137000</v>
      </c>
      <c r="D9" s="1350">
        <f si="2" t="shared"/>
        <v>1</v>
      </c>
      <c r="E9" s="1355"/>
      <c r="F9" s="1365">
        <f>S132</f>
        <v>500</v>
      </c>
      <c r="G9" s="1361" t="str">
        <f>T132</f>
        <v>H-TASC</v>
      </c>
      <c r="H9" s="1361">
        <f>U132</f>
        <v>-2.2551512740300002</v>
      </c>
      <c r="I9" s="1367">
        <f si="0" t="shared"/>
        <v>0</v>
      </c>
      <c r="J9" s="1361">
        <f si="3" t="shared"/>
        <v>-2.2551512740300002</v>
      </c>
      <c r="S9" s="1347">
        <v>110</v>
      </c>
      <c r="T9" s="1347" t="s">
        <v>357</v>
      </c>
      <c r="U9" s="1361">
        <v>0</v>
      </c>
      <c r="V9" s="1369">
        <f si="4" t="shared"/>
        <v>0</v>
      </c>
      <c r="X9" s="1379">
        <v>13</v>
      </c>
      <c r="Y9" s="1379" t="s">
        <v>12699</v>
      </c>
      <c r="Z9" s="1395">
        <v>-1.7297485832799999</v>
      </c>
      <c r="AA9" s="1395">
        <f si="1" t="shared"/>
        <v>-1.7297485832799999</v>
      </c>
      <c r="AE9" s="1347">
        <v>7</v>
      </c>
      <c r="AF9" s="1347" t="s">
        <v>12635</v>
      </c>
      <c r="AG9" s="1347">
        <v>0.95328729751300001</v>
      </c>
      <c r="AI9" s="1347" t="s">
        <v>12654</v>
      </c>
    </row>
    <row r="10" spans="1:35" x14ac:dyDescent="0.45">
      <c r="A10" s="1347" t="str">
        <f>Summary!A38</f>
        <v>meal</v>
      </c>
      <c r="B10" s="1357">
        <f>ToursByTourPurpose!F79</f>
        <v>290000</v>
      </c>
      <c r="C10" s="1357">
        <f>ToursByTourPurpose!R79</f>
        <v>290000</v>
      </c>
      <c r="D10" s="1350">
        <f si="2" t="shared"/>
        <v>1</v>
      </c>
      <c r="E10" s="1355"/>
      <c r="F10" s="1365">
        <f>S166</f>
        <v>600</v>
      </c>
      <c r="G10" s="1361" t="str">
        <f>T166</f>
        <v>M-TASC</v>
      </c>
      <c r="H10" s="1361">
        <f>U166</f>
        <v>-2.90980960559</v>
      </c>
      <c r="I10" s="1367">
        <f si="0" t="shared"/>
        <v>0</v>
      </c>
      <c r="J10" s="1361">
        <f si="3" t="shared"/>
        <v>-2.90980960559</v>
      </c>
      <c r="S10" s="1347">
        <v>111</v>
      </c>
      <c r="T10" s="1347" t="s">
        <v>359</v>
      </c>
      <c r="U10" s="1361">
        <v>8.8907504736300005E-2</v>
      </c>
      <c r="V10" s="1369">
        <f si="4" t="shared"/>
        <v>8.8907504736300005E-2</v>
      </c>
      <c r="X10" s="1347">
        <v>15</v>
      </c>
      <c r="Y10" s="1347" t="s">
        <v>12700</v>
      </c>
      <c r="Z10" s="1396">
        <v>1.5746620251300001</v>
      </c>
      <c r="AA10" s="1394">
        <f>Z10</f>
        <v>1.5746620251300001</v>
      </c>
      <c r="AE10" s="1347">
        <v>8</v>
      </c>
      <c r="AF10" s="1347" t="s">
        <v>12636</v>
      </c>
      <c r="AG10" s="1347">
        <v>1.0428398506300001</v>
      </c>
      <c r="AI10" s="1347" t="s">
        <v>12654</v>
      </c>
    </row>
    <row ht="14.65" r="11" spans="1:35" thickBot="1" x14ac:dyDescent="0.5">
      <c r="A11" s="1347" t="str">
        <f>Summary!A39</f>
        <v>soc/rec</v>
      </c>
      <c r="B11" s="1357">
        <f>ToursByTourPurpose!F80</f>
        <v>803000</v>
      </c>
      <c r="C11" s="1357">
        <f>ToursByTourPurpose!R80</f>
        <v>803000</v>
      </c>
      <c r="D11" s="1350">
        <f si="2" t="shared"/>
        <v>1</v>
      </c>
      <c r="E11" s="1355"/>
      <c r="F11" s="1366">
        <f>S200</f>
        <v>700</v>
      </c>
      <c r="G11" s="1364" t="str">
        <f>T200</f>
        <v>D-TASC</v>
      </c>
      <c r="H11" s="1364">
        <f>U200</f>
        <v>-2.08546939905</v>
      </c>
      <c r="I11" s="1368">
        <f si="0" t="shared"/>
        <v>0</v>
      </c>
      <c r="J11" s="1364">
        <f si="3" t="shared"/>
        <v>-2.08546939905</v>
      </c>
      <c r="S11" s="1347">
        <v>112</v>
      </c>
      <c r="T11" s="1347" t="s">
        <v>361</v>
      </c>
      <c r="U11" s="1361">
        <v>0</v>
      </c>
      <c r="V11" s="1369">
        <f si="4" t="shared"/>
        <v>0</v>
      </c>
      <c r="X11" s="1347">
        <v>16</v>
      </c>
      <c r="Y11" s="1347" t="s">
        <v>12701</v>
      </c>
      <c r="Z11" s="1396">
        <v>0.37706326152399999</v>
      </c>
      <c r="AA11" s="1394">
        <f ref="AA11:AA17" si="5" t="shared">Z11</f>
        <v>0.37706326152399999</v>
      </c>
      <c r="AE11" s="1347">
        <v>9</v>
      </c>
      <c r="AF11" s="1347" t="s">
        <v>12637</v>
      </c>
      <c r="AG11" s="1347">
        <v>0.32698344901800003</v>
      </c>
      <c r="AI11" s="1347" t="s">
        <v>12654</v>
      </c>
    </row>
    <row r="12" spans="1:35" x14ac:dyDescent="0.45">
      <c r="A12" s="1353" t="str">
        <f>Summary!A40</f>
        <v>workbased</v>
      </c>
      <c r="B12" s="1374">
        <f>ToursByTourPurpose!F81</f>
        <v>394000</v>
      </c>
      <c r="C12" s="1374">
        <f>ToursByTourPurpose!R81</f>
        <v>394000</v>
      </c>
      <c r="D12" s="1354">
        <f si="2" t="shared"/>
        <v>1</v>
      </c>
      <c r="E12" s="1355"/>
      <c r="F12" s="1355"/>
      <c r="G12" s="1355"/>
      <c r="H12" s="1355"/>
      <c r="I12" s="1355"/>
      <c r="J12" s="1355"/>
      <c r="S12" s="1347">
        <v>113</v>
      </c>
      <c r="T12" s="1347" t="s">
        <v>363</v>
      </c>
      <c r="U12" s="1361">
        <v>0</v>
      </c>
      <c r="V12" s="1369">
        <f si="4" t="shared"/>
        <v>0</v>
      </c>
      <c r="X12" s="1347">
        <v>18</v>
      </c>
      <c r="Y12" s="1347" t="s">
        <v>12702</v>
      </c>
      <c r="Z12" s="1396">
        <v>0.735525734682</v>
      </c>
      <c r="AA12" s="1394">
        <f si="5" t="shared"/>
        <v>0.735525734682</v>
      </c>
      <c r="AE12" s="1347">
        <v>10</v>
      </c>
      <c r="AF12" s="1347" t="s">
        <v>12638</v>
      </c>
      <c r="AG12" s="1349">
        <v>-4.97436549984E-2</v>
      </c>
      <c r="AI12" s="1347" t="s">
        <v>12654</v>
      </c>
    </row>
    <row ht="14.65" r="13" spans="1:35" thickBot="1" x14ac:dyDescent="0.5">
      <c r="A13" s="1356" t="str">
        <f>Summary!A41</f>
        <v>Total</v>
      </c>
      <c r="B13" s="1372">
        <f>SUM(B5:B12)</f>
        <v>4760000</v>
      </c>
      <c r="C13" s="1372">
        <f>SUM(C5:C12)</f>
        <v>4760000</v>
      </c>
      <c r="D13" s="1373">
        <f si="2" t="shared"/>
        <v>1</v>
      </c>
      <c r="E13" s="1355"/>
      <c r="F13" s="1355"/>
      <c r="G13" s="1355"/>
      <c r="H13" s="1355"/>
      <c r="I13" s="1355"/>
      <c r="J13" s="1355"/>
      <c r="S13" s="1347">
        <v>114</v>
      </c>
      <c r="T13" s="1347" t="s">
        <v>366</v>
      </c>
      <c r="U13" s="1361">
        <v>0</v>
      </c>
      <c r="V13" s="1369">
        <f si="4" t="shared"/>
        <v>0</v>
      </c>
      <c r="X13" s="1347">
        <v>22</v>
      </c>
      <c r="Y13" s="1347" t="s">
        <v>12703</v>
      </c>
      <c r="Z13" s="1396">
        <v>2.89006440718E-2</v>
      </c>
      <c r="AA13" s="1394">
        <f si="5" t="shared"/>
        <v>2.89006440718E-2</v>
      </c>
      <c r="AE13" s="1347">
        <v>11</v>
      </c>
      <c r="AF13" s="1347" t="s">
        <v>12639</v>
      </c>
      <c r="AG13" s="1347">
        <v>0.97584168442800001</v>
      </c>
      <c r="AI13" s="1347" t="s">
        <v>12654</v>
      </c>
    </row>
    <row r="14" spans="1:35" x14ac:dyDescent="0.45">
      <c r="E14" s="1355"/>
      <c r="S14" s="1347">
        <v>116</v>
      </c>
      <c r="T14" s="1347" t="s">
        <v>368</v>
      </c>
      <c r="U14" s="1361">
        <v>8.3424060298300004E-2</v>
      </c>
      <c r="V14" s="1369">
        <f si="4" t="shared"/>
        <v>8.3424060298300004E-2</v>
      </c>
      <c r="X14" s="1347">
        <v>23</v>
      </c>
      <c r="Y14" s="1347" t="s">
        <v>12704</v>
      </c>
      <c r="Z14" s="1396">
        <v>2.8305073313000001E-2</v>
      </c>
      <c r="AA14" s="1394">
        <f si="5" t="shared"/>
        <v>2.8305073313000001E-2</v>
      </c>
      <c r="AE14" s="1347">
        <v>12</v>
      </c>
      <c r="AF14" s="1347" t="s">
        <v>12640</v>
      </c>
      <c r="AG14" s="1347">
        <v>0.17427614586599999</v>
      </c>
      <c r="AI14" s="1347" t="s">
        <v>12654</v>
      </c>
    </row>
    <row r="15" spans="1:35" x14ac:dyDescent="0.45">
      <c r="E15" s="1355"/>
      <c r="S15" s="1347">
        <v>117</v>
      </c>
      <c r="T15" s="1347" t="s">
        <v>370</v>
      </c>
      <c r="U15" s="1361">
        <v>-0.36733346327900002</v>
      </c>
      <c r="V15" s="1369">
        <f si="4" t="shared"/>
        <v>-0.36733346327900002</v>
      </c>
      <c r="X15" s="1347">
        <v>32</v>
      </c>
      <c r="Y15" s="1347" t="s">
        <v>12705</v>
      </c>
      <c r="Z15" s="1396">
        <v>-5.5020049285600003E-2</v>
      </c>
      <c r="AA15" s="1394">
        <f si="5" t="shared"/>
        <v>-5.5020049285600003E-2</v>
      </c>
      <c r="AE15" s="1347">
        <v>16</v>
      </c>
      <c r="AF15" s="1347" t="s">
        <v>12641</v>
      </c>
      <c r="AG15" s="1347">
        <v>0.106206083683</v>
      </c>
      <c r="AI15" s="1347" t="s">
        <v>12654</v>
      </c>
    </row>
    <row r="16" spans="1:35" x14ac:dyDescent="0.45">
      <c r="A16" s="1360" t="s">
        <v>12690</v>
      </c>
      <c r="E16" s="1355"/>
      <c r="S16" s="1347">
        <v>118</v>
      </c>
      <c r="T16" s="1347" t="s">
        <v>372</v>
      </c>
      <c r="U16" s="1361">
        <v>0</v>
      </c>
      <c r="V16" s="1369">
        <f si="4" t="shared"/>
        <v>0</v>
      </c>
      <c r="X16" s="1347">
        <v>39</v>
      </c>
      <c r="Y16" s="1347" t="s">
        <v>12706</v>
      </c>
      <c r="Z16" s="1396">
        <v>0.11888357382299999</v>
      </c>
      <c r="AA16" s="1394">
        <f si="5" t="shared"/>
        <v>0.11888357382299999</v>
      </c>
      <c r="AE16" s="1347">
        <v>17</v>
      </c>
      <c r="AF16" s="1347" t="s">
        <v>12642</v>
      </c>
      <c r="AG16" s="1347">
        <v>-0.86772791392500004</v>
      </c>
      <c r="AI16" s="1347" t="s">
        <v>12654</v>
      </c>
    </row>
    <row ht="14.65" r="17" spans="1:35" thickBot="1" x14ac:dyDescent="0.5">
      <c r="A17" s="1356"/>
      <c r="B17" s="1356"/>
      <c r="C17" s="1356"/>
      <c r="D17" s="1356"/>
      <c r="E17" s="1355"/>
      <c r="F17" s="1376" t="s">
        <v>12621</v>
      </c>
      <c r="G17" s="1356"/>
      <c r="H17" s="1356"/>
      <c r="I17" s="1356"/>
      <c r="J17" s="1356"/>
      <c r="S17" s="1347">
        <v>119</v>
      </c>
      <c r="T17" s="1347" t="s">
        <v>374</v>
      </c>
      <c r="U17" s="1361">
        <v>0</v>
      </c>
      <c r="V17" s="1369">
        <f si="4" t="shared"/>
        <v>0</v>
      </c>
      <c r="X17" s="1347">
        <v>50</v>
      </c>
      <c r="Y17" s="1347" t="s">
        <v>12707</v>
      </c>
      <c r="Z17" s="1396">
        <v>1.3366248075</v>
      </c>
      <c r="AA17" s="1394">
        <f si="5" t="shared"/>
        <v>1.3366248075</v>
      </c>
      <c r="AE17" s="1347">
        <v>33</v>
      </c>
      <c r="AF17" s="1347" t="s">
        <v>12644</v>
      </c>
      <c r="AG17" s="1347">
        <v>-3.35946120388</v>
      </c>
      <c r="AI17" s="1347" t="s">
        <v>12652</v>
      </c>
    </row>
    <row r="18" spans="1:35" x14ac:dyDescent="0.45">
      <c r="A18" s="1352" t="str">
        <f>A4</f>
        <v>Purpose</v>
      </c>
      <c r="B18" s="1352" t="str">
        <f ref="B18:D18" si="6" t="shared">B4</f>
        <v>Reference</v>
      </c>
      <c r="C18" s="1352" t="str">
        <f si="6" t="shared"/>
        <v>New</v>
      </c>
      <c r="D18" s="1352" t="str">
        <f si="6" t="shared"/>
        <v>Ratio</v>
      </c>
      <c r="E18" s="1362"/>
      <c r="F18" s="1352" t="s">
        <v>1044</v>
      </c>
      <c r="G18" s="1352" t="s">
        <v>340</v>
      </c>
      <c r="H18" s="1352" t="s">
        <v>1084</v>
      </c>
      <c r="I18" s="1352" t="s">
        <v>1085</v>
      </c>
      <c r="J18" s="1352" t="s">
        <v>1086</v>
      </c>
      <c r="S18" s="1347">
        <v>120</v>
      </c>
      <c r="T18" s="1347" t="s">
        <v>376</v>
      </c>
      <c r="U18" s="1361">
        <v>0</v>
      </c>
      <c r="V18" s="1369">
        <f si="4" t="shared"/>
        <v>0</v>
      </c>
      <c r="AE18" s="1347">
        <v>34</v>
      </c>
      <c r="AF18" s="1347" t="s">
        <v>12644</v>
      </c>
      <c r="AG18" s="1347">
        <v>-0.91027883769600004</v>
      </c>
      <c r="AI18" s="1347" t="s">
        <v>12653</v>
      </c>
    </row>
    <row r="19" spans="1:35" x14ac:dyDescent="0.45">
      <c r="A19" s="1347" t="str">
        <f>A5</f>
        <v>work</v>
      </c>
      <c r="B19" s="1357">
        <f>output_NHTS!W222</f>
        <v>156000</v>
      </c>
      <c r="C19" s="1357">
        <f>output!W222</f>
        <v>156000</v>
      </c>
      <c r="D19" s="1350">
        <f>B19/C19</f>
        <v>1</v>
      </c>
      <c r="E19" s="1355"/>
      <c r="F19" s="1365">
        <f>S4</f>
        <v>101</v>
      </c>
      <c r="G19" s="1361" t="str">
        <f>T4</f>
        <v>W-SASC</v>
      </c>
      <c r="H19" s="1361">
        <f>U4</f>
        <v>2.8616013338399999</v>
      </c>
      <c r="I19" s="1367">
        <f>LN(D19)</f>
        <v>0</v>
      </c>
      <c r="J19" s="1361">
        <f>H19+I19</f>
        <v>2.8616013338399999</v>
      </c>
      <c r="S19" s="1347">
        <v>121</v>
      </c>
      <c r="T19" s="1347" t="s">
        <v>378</v>
      </c>
      <c r="U19" s="1361">
        <v>0</v>
      </c>
      <c r="V19" s="1369">
        <f si="4" t="shared"/>
        <v>0</v>
      </c>
      <c r="AE19" s="1347">
        <v>35</v>
      </c>
      <c r="AF19" s="1347" t="s">
        <v>12644</v>
      </c>
      <c r="AG19" s="1347">
        <v>-1.36681198819</v>
      </c>
      <c r="AI19" s="1347" t="s">
        <v>12658</v>
      </c>
    </row>
    <row r="20" spans="1:35" x14ac:dyDescent="0.45">
      <c r="A20" s="1347" t="str">
        <f ref="A20:A27" si="7" t="shared">A6</f>
        <v>school</v>
      </c>
      <c r="B20" s="1357">
        <f>output_NHTS!W223</f>
        <v>64000</v>
      </c>
      <c r="C20" s="1357">
        <f>output!W223</f>
        <v>64000</v>
      </c>
      <c r="D20" s="1350">
        <f ref="D20:D27" si="8" t="shared">B20/C20</f>
        <v>1</v>
      </c>
      <c r="E20" s="1355"/>
      <c r="F20" s="1365">
        <f>S34</f>
        <v>201</v>
      </c>
      <c r="G20" s="1361" t="str">
        <f>T34</f>
        <v>S-SASC</v>
      </c>
      <c r="H20" s="1361">
        <f>U34</f>
        <v>-0.90282379239099997</v>
      </c>
      <c r="I20" s="1367">
        <f ref="I20:I25" si="9" t="shared">LN(D20)</f>
        <v>0</v>
      </c>
      <c r="J20" s="1361">
        <f ref="J20:J25" si="10" t="shared">H20+I20</f>
        <v>-0.90282379239099997</v>
      </c>
      <c r="S20" s="1347">
        <v>122</v>
      </c>
      <c r="T20" s="1347" t="s">
        <v>380</v>
      </c>
      <c r="U20" s="1361">
        <v>0</v>
      </c>
      <c r="V20" s="1369">
        <f si="4" t="shared"/>
        <v>0</v>
      </c>
      <c r="AE20" s="1347">
        <v>36</v>
      </c>
      <c r="AF20" s="1347" t="s">
        <v>12644</v>
      </c>
      <c r="AG20" s="1347">
        <v>-0.91192691386699998</v>
      </c>
      <c r="AI20" s="1347" t="s">
        <v>12666</v>
      </c>
    </row>
    <row r="21" spans="1:35" x14ac:dyDescent="0.45">
      <c r="A21" s="1347" t="str">
        <f si="7" t="shared"/>
        <v>escort</v>
      </c>
      <c r="B21" s="1357">
        <f>output_NHTS!W224</f>
        <v>159000</v>
      </c>
      <c r="C21" s="1357">
        <f>output!W224</f>
        <v>159000</v>
      </c>
      <c r="D21" s="1350">
        <f si="8" t="shared"/>
        <v>1</v>
      </c>
      <c r="E21" s="1355"/>
      <c r="F21" s="1365">
        <f>S65</f>
        <v>301</v>
      </c>
      <c r="G21" s="1361" t="str">
        <f>T65</f>
        <v>E-SASC</v>
      </c>
      <c r="H21" s="1361">
        <f>U65</f>
        <v>-1.63085118504</v>
      </c>
      <c r="I21" s="1367">
        <f si="9" t="shared"/>
        <v>0</v>
      </c>
      <c r="J21" s="1361">
        <f si="10" t="shared"/>
        <v>-1.63085118504</v>
      </c>
      <c r="S21" s="1347">
        <v>123</v>
      </c>
      <c r="T21" s="1347" t="s">
        <v>382</v>
      </c>
      <c r="U21" s="1361">
        <v>0</v>
      </c>
      <c r="V21" s="1369">
        <f si="4" t="shared"/>
        <v>0</v>
      </c>
      <c r="AE21" s="1347">
        <v>37</v>
      </c>
      <c r="AF21" s="1347" t="s">
        <v>12644</v>
      </c>
      <c r="AG21" s="1347">
        <v>-0.51005943175099999</v>
      </c>
      <c r="AI21" s="1347" t="s">
        <v>12675</v>
      </c>
    </row>
    <row r="22" spans="1:35" x14ac:dyDescent="0.45">
      <c r="A22" s="1347" t="str">
        <f si="7" t="shared"/>
        <v>pers.bus</v>
      </c>
      <c r="B22" s="1357">
        <f>output_NHTS!W225</f>
        <v>411000</v>
      </c>
      <c r="C22" s="1357">
        <f>output!W225</f>
        <v>411000</v>
      </c>
      <c r="D22" s="1350">
        <f si="8" t="shared"/>
        <v>1</v>
      </c>
      <c r="E22" s="1355"/>
      <c r="F22" s="1365">
        <f>S99</f>
        <v>401</v>
      </c>
      <c r="G22" s="1361" t="str">
        <f>T99</f>
        <v>P-SASC</v>
      </c>
      <c r="H22" s="1361">
        <f>U99</f>
        <v>2.2906954036</v>
      </c>
      <c r="I22" s="1367">
        <f si="9" t="shared"/>
        <v>0</v>
      </c>
      <c r="J22" s="1361">
        <f si="10" t="shared"/>
        <v>2.2906954036</v>
      </c>
      <c r="S22" s="1347">
        <v>124</v>
      </c>
      <c r="T22" s="1347" t="s">
        <v>384</v>
      </c>
      <c r="U22" s="1361">
        <v>-2.1672870261199999</v>
      </c>
      <c r="V22" s="1369">
        <f si="4" t="shared"/>
        <v>-2.1672870261199999</v>
      </c>
      <c r="AE22" s="1347">
        <v>38</v>
      </c>
      <c r="AF22" s="1347" t="s">
        <v>12679</v>
      </c>
      <c r="AG22" s="1347">
        <v>-2.0855290326799998</v>
      </c>
      <c r="AI22" s="1347" t="s">
        <v>12680</v>
      </c>
    </row>
    <row r="23" spans="1:35" x14ac:dyDescent="0.45">
      <c r="A23" s="1347" t="str">
        <f si="7" t="shared"/>
        <v>shop</v>
      </c>
      <c r="B23" s="1357">
        <f>output_NHTS!W226</f>
        <v>623000</v>
      </c>
      <c r="C23" s="1357">
        <f>output!W226</f>
        <v>623000</v>
      </c>
      <c r="D23" s="1350">
        <f si="8" t="shared"/>
        <v>1</v>
      </c>
      <c r="E23" s="1355"/>
      <c r="F23" s="1365">
        <f>S133</f>
        <v>501</v>
      </c>
      <c r="G23" s="1361" t="str">
        <f>T133</f>
        <v>H-SASC</v>
      </c>
      <c r="H23" s="1361">
        <f>U133</f>
        <v>1.53876920613</v>
      </c>
      <c r="I23" s="1367">
        <f si="9" t="shared"/>
        <v>0</v>
      </c>
      <c r="J23" s="1361">
        <f si="10" t="shared"/>
        <v>1.53876920613</v>
      </c>
      <c r="S23" s="1347">
        <v>125</v>
      </c>
      <c r="T23" s="1347" t="s">
        <v>386</v>
      </c>
      <c r="U23" s="1361">
        <v>0</v>
      </c>
      <c r="V23" s="1369">
        <f si="4" t="shared"/>
        <v>0</v>
      </c>
      <c r="AE23" s="1347">
        <v>39</v>
      </c>
      <c r="AF23" s="1347" t="s">
        <v>12687</v>
      </c>
      <c r="AG23" s="1347">
        <v>-0.96265564624099997</v>
      </c>
      <c r="AI23" s="1347" t="s">
        <v>12688</v>
      </c>
    </row>
    <row r="24" spans="1:35" x14ac:dyDescent="0.45">
      <c r="A24" s="1347" t="str">
        <f si="7" t="shared"/>
        <v>meal</v>
      </c>
      <c r="B24" s="1357">
        <f>output_NHTS!W227</f>
        <v>555000</v>
      </c>
      <c r="C24" s="1357">
        <f>output!W227</f>
        <v>555000</v>
      </c>
      <c r="D24" s="1350">
        <f si="8" t="shared"/>
        <v>1</v>
      </c>
      <c r="E24" s="1355"/>
      <c r="F24" s="1365">
        <f>S167</f>
        <v>601</v>
      </c>
      <c r="G24" s="1361" t="str">
        <f>T167</f>
        <v>M-SASC</v>
      </c>
      <c r="H24" s="1361">
        <f>U167</f>
        <v>0.682188989252</v>
      </c>
      <c r="I24" s="1367">
        <f si="9" t="shared"/>
        <v>0</v>
      </c>
      <c r="J24" s="1361">
        <f si="10" t="shared"/>
        <v>0.682188989252</v>
      </c>
      <c r="S24" s="1347">
        <v>126</v>
      </c>
      <c r="T24" s="1347" t="s">
        <v>388</v>
      </c>
      <c r="U24" s="1361">
        <v>0</v>
      </c>
      <c r="V24" s="1369">
        <f si="4" t="shared"/>
        <v>0</v>
      </c>
      <c r="AE24" s="1347">
        <v>40</v>
      </c>
      <c r="AF24" s="1347" t="s">
        <v>12643</v>
      </c>
      <c r="AG24" s="1347">
        <v>0.14939280807899999</v>
      </c>
      <c r="AI24" s="1347" t="s">
        <v>12654</v>
      </c>
    </row>
    <row ht="14.65" r="25" spans="1:35" thickBot="1" x14ac:dyDescent="0.5">
      <c r="A25" s="1347" t="str">
        <f si="7" t="shared"/>
        <v>soc/rec</v>
      </c>
      <c r="B25" s="1357">
        <f>output_NHTS!W228</f>
        <v>93000</v>
      </c>
      <c r="C25" s="1357">
        <f>output!W228</f>
        <v>93000</v>
      </c>
      <c r="D25" s="1350">
        <f si="8" t="shared"/>
        <v>1</v>
      </c>
      <c r="E25" s="1355"/>
      <c r="F25" s="1366">
        <f>S201</f>
        <v>701</v>
      </c>
      <c r="G25" s="1364" t="str">
        <f>T201</f>
        <v>D-SASC</v>
      </c>
      <c r="H25" s="1364">
        <f>U201</f>
        <v>1.3986335615100001</v>
      </c>
      <c r="I25" s="1368">
        <f si="9" t="shared"/>
        <v>0</v>
      </c>
      <c r="J25" s="1364">
        <f si="10" t="shared"/>
        <v>1.3986335615100001</v>
      </c>
      <c r="S25" s="1347">
        <v>127</v>
      </c>
      <c r="T25" s="1347" t="s">
        <v>390</v>
      </c>
      <c r="U25" s="1361">
        <v>0.38761782790499999</v>
      </c>
      <c r="V25" s="1369">
        <f si="4" t="shared"/>
        <v>0.38761782790499999</v>
      </c>
      <c r="AE25" s="1347">
        <v>46</v>
      </c>
      <c r="AF25" s="1347" t="s">
        <v>12643</v>
      </c>
      <c r="AG25" s="1347">
        <v>-1.67372492356</v>
      </c>
      <c r="AI25" s="1347" t="s">
        <v>12680</v>
      </c>
    </row>
    <row r="26" spans="1:35" x14ac:dyDescent="0.45">
      <c r="A26" s="1353" t="str">
        <f si="7" t="shared"/>
        <v>workbased</v>
      </c>
      <c r="B26" s="1375" t="s">
        <v>1087</v>
      </c>
      <c r="C26" s="1375" t="s">
        <v>1087</v>
      </c>
      <c r="D26" s="1375" t="s">
        <v>1087</v>
      </c>
      <c r="E26" s="1363"/>
      <c r="F26" s="1363"/>
      <c r="G26" s="1363"/>
      <c r="S26" s="1347">
        <v>128</v>
      </c>
      <c r="T26" s="1347" t="s">
        <v>1050</v>
      </c>
      <c r="U26" s="1361">
        <v>0</v>
      </c>
      <c r="V26" s="1369">
        <f si="4" t="shared"/>
        <v>0</v>
      </c>
      <c r="AE26" s="1347">
        <v>49</v>
      </c>
      <c r="AF26" s="1347" t="s">
        <v>12667</v>
      </c>
      <c r="AG26" s="1347">
        <v>-1.8826581679000001</v>
      </c>
      <c r="AI26" s="1347" t="s">
        <v>12658</v>
      </c>
    </row>
    <row ht="14.65" r="27" spans="1:35" thickBot="1" x14ac:dyDescent="0.5">
      <c r="A27" s="1356" t="str">
        <f si="7" t="shared"/>
        <v>Total</v>
      </c>
      <c r="B27" s="1372">
        <f>SUM(B19:B25)</f>
        <v>2061000</v>
      </c>
      <c r="C27" s="1372">
        <f>SUM(C19:C25)</f>
        <v>2061000</v>
      </c>
      <c r="D27" s="1373">
        <f si="8" t="shared"/>
        <v>1</v>
      </c>
      <c r="E27" s="1355"/>
      <c r="F27" s="1355"/>
      <c r="G27" s="1355"/>
      <c r="S27" s="1347">
        <v>129</v>
      </c>
      <c r="T27" s="1347" t="s">
        <v>392</v>
      </c>
      <c r="U27" s="1361">
        <v>-0.23310400814900001</v>
      </c>
      <c r="V27" s="1369">
        <f si="4" t="shared"/>
        <v>-0.23310400814900001</v>
      </c>
      <c r="AE27" s="1347">
        <v>50</v>
      </c>
      <c r="AF27" s="1347" t="s">
        <v>12667</v>
      </c>
      <c r="AG27" s="1347">
        <v>-1.1201828115200001</v>
      </c>
      <c r="AI27" s="1347" t="s">
        <v>12666</v>
      </c>
    </row>
    <row r="28" spans="1:35" x14ac:dyDescent="0.45">
      <c r="S28" s="1347">
        <v>130</v>
      </c>
      <c r="T28" s="1347" t="s">
        <v>1051</v>
      </c>
      <c r="U28" s="1361">
        <v>0</v>
      </c>
      <c r="V28" s="1369">
        <f si="4" t="shared"/>
        <v>0</v>
      </c>
      <c r="AE28" s="1347">
        <v>51</v>
      </c>
      <c r="AF28" s="1347" t="s">
        <v>12667</v>
      </c>
      <c r="AG28" s="1347">
        <v>-0.64615152716199997</v>
      </c>
      <c r="AI28" s="1347" t="s">
        <v>12675</v>
      </c>
    </row>
    <row r="29" spans="1:35" x14ac:dyDescent="0.45">
      <c r="S29" s="1347">
        <v>131</v>
      </c>
      <c r="T29" s="1347" t="s">
        <v>393</v>
      </c>
      <c r="U29" s="1361">
        <v>-0.32003778985199999</v>
      </c>
      <c r="V29" s="1369">
        <f si="4" t="shared"/>
        <v>-0.32003778985199999</v>
      </c>
      <c r="AE29" s="1347">
        <v>52</v>
      </c>
      <c r="AF29" s="1347" t="s">
        <v>12667</v>
      </c>
      <c r="AG29" s="1347">
        <v>-2.0029030718700001</v>
      </c>
      <c r="AI29" s="1347" t="s">
        <v>12680</v>
      </c>
    </row>
    <row r="30" spans="1:35" x14ac:dyDescent="0.45">
      <c r="A30" s="1338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338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47">
        <v>132</v>
      </c>
      <c r="T30" s="1347" t="s">
        <v>1052</v>
      </c>
      <c r="U30" s="1361">
        <v>-0.91278430806199995</v>
      </c>
      <c r="V30" s="1369">
        <f si="4" t="shared"/>
        <v>-0.91278430806199995</v>
      </c>
      <c r="AE30" s="1347">
        <v>53</v>
      </c>
      <c r="AF30" s="1347" t="s">
        <v>12667</v>
      </c>
      <c r="AG30" s="1347">
        <v>-1.02594557043</v>
      </c>
      <c r="AI30" s="1347" t="s">
        <v>12688</v>
      </c>
    </row>
    <row r="31" spans="1:35" x14ac:dyDescent="0.45">
      <c r="A31" s="1338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338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47">
        <v>133</v>
      </c>
      <c r="T31" s="1347" t="s">
        <v>1053</v>
      </c>
      <c r="U31" s="1361">
        <v>-9.7755538327600006E-2</v>
      </c>
      <c r="V31" s="1369">
        <f si="4" t="shared"/>
        <v>-9.7755538327600006E-2</v>
      </c>
      <c r="AE31" s="1347">
        <v>57</v>
      </c>
      <c r="AF31" s="1347" t="s">
        <v>12668</v>
      </c>
      <c r="AG31" s="1347">
        <v>-1.15631148732</v>
      </c>
      <c r="AI31" s="1347" t="s">
        <v>12666</v>
      </c>
    </row>
    <row ht="14.65" r="32" spans="1:35" thickBot="1" x14ac:dyDescent="0.5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9">
        <v>151</v>
      </c>
      <c r="T32" s="1379" t="s">
        <v>394</v>
      </c>
      <c r="U32" s="1380">
        <v>0</v>
      </c>
      <c r="V32" s="1380">
        <f>B88</f>
        <v>0</v>
      </c>
      <c r="AE32" s="1347">
        <v>58</v>
      </c>
      <c r="AF32" s="1347" t="s">
        <v>12668</v>
      </c>
      <c r="AG32" s="1347">
        <v>-0.64916308040199999</v>
      </c>
      <c r="AI32" s="1347" t="s">
        <v>12675</v>
      </c>
    </row>
    <row r="33" spans="1:35" x14ac:dyDescent="0.4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0">
        <v>200</v>
      </c>
      <c r="T33" s="1370" t="s">
        <v>396</v>
      </c>
      <c r="U33" s="1371">
        <v>-0.58380230103999997</v>
      </c>
      <c r="V33" s="1371">
        <f>J6</f>
        <v>-0.58380230103999997</v>
      </c>
      <c r="AE33" s="1347">
        <v>59</v>
      </c>
      <c r="AF33" s="1347" t="s">
        <v>12668</v>
      </c>
      <c r="AG33" s="1347">
        <v>-2.1812774888600002</v>
      </c>
      <c r="AI33" s="1347" t="s">
        <v>12680</v>
      </c>
    </row>
    <row r="34" spans="1:35" x14ac:dyDescent="0.45">
      <c r="A34" s="3" t="str">
        <f>ToursByTourPurpose!A5</f>
        <v>work</v>
      </c>
      <c r="B34" s="7">
        <f>ToursByTourPurpose!B5</f>
        <v>1062000</v>
      </c>
      <c r="C34" s="7">
        <f>ToursByTourPurpose!C5</f>
        <v>259000</v>
      </c>
      <c r="D34" s="7">
        <f>ToursByTourPurpose!D5</f>
        <v>0</v>
      </c>
      <c r="E34" s="7">
        <f>ToursByTourPurpose!E5</f>
        <v>0</v>
      </c>
      <c r="F34" s="7">
        <f>ToursByTourPurpose!F5</f>
        <v>27000</v>
      </c>
      <c r="G34" s="7">
        <f>ToursByTourPurpose!G5</f>
        <v>14000</v>
      </c>
      <c r="H34" s="7">
        <f>ToursByTourPurpose!I5</f>
        <v>0</v>
      </c>
      <c r="I34" s="33"/>
      <c r="J34" s="3" t="str">
        <f>ToursByTourPurpose!M5</f>
        <v>work</v>
      </c>
      <c r="K34" s="7">
        <f>ToursByTourPurpose!N5</f>
        <v>1062000</v>
      </c>
      <c r="L34" s="7">
        <f>ToursByTourPurpose!O5</f>
        <v>259000</v>
      </c>
      <c r="M34" s="7">
        <f>ToursByTourPurpose!P5</f>
        <v>0</v>
      </c>
      <c r="N34" s="7">
        <f>ToursByTourPurpose!Q5</f>
        <v>0</v>
      </c>
      <c r="O34" s="7">
        <f>ToursByTourPurpose!R5</f>
        <v>27000</v>
      </c>
      <c r="P34" s="7">
        <f>ToursByTourPurpose!S5</f>
        <v>14000</v>
      </c>
      <c r="Q34" s="7">
        <f>ToursByTourPurpose!U5</f>
        <v>0</v>
      </c>
      <c r="S34" s="1370">
        <v>201</v>
      </c>
      <c r="T34" s="1370" t="s">
        <v>398</v>
      </c>
      <c r="U34" s="1371">
        <v>-0.90282379239099997</v>
      </c>
      <c r="V34" s="1371">
        <f>J20</f>
        <v>-0.90282379239099997</v>
      </c>
      <c r="AE34" s="1347">
        <v>60</v>
      </c>
      <c r="AF34" s="1347" t="s">
        <v>12668</v>
      </c>
      <c r="AG34" s="1347">
        <v>-1.6624340606700001</v>
      </c>
      <c r="AI34" s="1347" t="s">
        <v>12688</v>
      </c>
    </row>
    <row r="35" spans="1:35" x14ac:dyDescent="0.45">
      <c r="A35" s="3" t="str">
        <f>ToursByTourPurpose!A6</f>
        <v>school</v>
      </c>
      <c r="B35" s="7">
        <f>ToursByTourPurpose!B6</f>
        <v>0</v>
      </c>
      <c r="C35" s="7">
        <f>ToursByTourPurpose!C6</f>
        <v>0</v>
      </c>
      <c r="D35" s="7">
        <f>ToursByTourPurpose!D6</f>
        <v>0</v>
      </c>
      <c r="E35" s="7">
        <f>ToursByTourPurpose!E6</f>
        <v>0</v>
      </c>
      <c r="F35" s="7">
        <f>ToursByTourPurpose!F6</f>
        <v>97000</v>
      </c>
      <c r="G35" s="7">
        <f>ToursByTourPurpose!G6</f>
        <v>173000</v>
      </c>
      <c r="H35" s="7">
        <f>ToursByTourPurpose!I6</f>
        <v>508000</v>
      </c>
      <c r="I35" s="33"/>
      <c r="J35" s="3" t="str">
        <f>ToursByTourPurpose!M6</f>
        <v>school</v>
      </c>
      <c r="K35" s="7">
        <f>ToursByTourPurpose!N6</f>
        <v>0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97000</v>
      </c>
      <c r="P35" s="7">
        <f>ToursByTourPurpose!S6</f>
        <v>173000</v>
      </c>
      <c r="Q35" s="7">
        <f>ToursByTourPurpose!U6</f>
        <v>508000</v>
      </c>
      <c r="S35" s="1379">
        <v>205</v>
      </c>
      <c r="T35" s="1379" t="s">
        <v>403</v>
      </c>
      <c r="U35" s="1380">
        <v>1.02246211081</v>
      </c>
      <c r="V35" s="1380">
        <f>F89</f>
        <v>1.02246211081</v>
      </c>
      <c r="AE35" s="1347">
        <v>64</v>
      </c>
      <c r="AF35" s="1347" t="s">
        <v>12669</v>
      </c>
      <c r="AG35" s="1347">
        <v>-1.23583911171</v>
      </c>
      <c r="AI35" s="1347" t="s">
        <v>12666</v>
      </c>
    </row>
    <row r="36" spans="1:35" x14ac:dyDescent="0.45">
      <c r="A36" s="3" t="str">
        <f>ToursByTourPurpose!A7</f>
        <v>escort</v>
      </c>
      <c r="B36" s="7">
        <f>ToursByTourPurpose!B7</f>
        <v>129000</v>
      </c>
      <c r="C36" s="7">
        <f>ToursByTourPurpose!C7</f>
        <v>70000</v>
      </c>
      <c r="D36" s="7">
        <f>ToursByTourPurpose!D7</f>
        <v>50000</v>
      </c>
      <c r="E36" s="7">
        <f>ToursByTourPurpose!E7</f>
        <v>247000</v>
      </c>
      <c r="F36" s="7">
        <f>ToursByTourPurpose!F7</f>
        <v>18000</v>
      </c>
      <c r="G36" s="7">
        <f>ToursByTourPurpose!G7</f>
        <v>13000</v>
      </c>
      <c r="H36" s="7">
        <f>ToursByTourPurpose!I7</f>
        <v>50000</v>
      </c>
      <c r="I36" s="33"/>
      <c r="J36" s="3" t="str">
        <f>ToursByTourPurpose!M7</f>
        <v>escort</v>
      </c>
      <c r="K36" s="7">
        <f>ToursByTourPurpose!N7</f>
        <v>129000</v>
      </c>
      <c r="L36" s="7">
        <f>ToursByTourPurpose!O7</f>
        <v>70000</v>
      </c>
      <c r="M36" s="7">
        <f>ToursByTourPurpose!P7</f>
        <v>50000</v>
      </c>
      <c r="N36" s="7">
        <f>ToursByTourPurpose!Q7</f>
        <v>247000</v>
      </c>
      <c r="O36" s="7">
        <f>ToursByTourPurpose!R7</f>
        <v>18000</v>
      </c>
      <c r="P36" s="7">
        <f>ToursByTourPurpose!S7</f>
        <v>13000</v>
      </c>
      <c r="Q36" s="7">
        <f>ToursByTourPurpose!U7</f>
        <v>50000</v>
      </c>
      <c r="S36" s="1379">
        <v>206</v>
      </c>
      <c r="T36" s="1379" t="s">
        <v>405</v>
      </c>
      <c r="U36" s="1380">
        <v>2.0692687994700001</v>
      </c>
      <c r="V36" s="1380">
        <f>G89</f>
        <v>2.0692687994700001</v>
      </c>
      <c r="AE36" s="1347">
        <v>65</v>
      </c>
      <c r="AF36" s="1347" t="s">
        <v>12669</v>
      </c>
      <c r="AG36" s="1347">
        <v>-0.32342873795299998</v>
      </c>
      <c r="AI36" s="1347" t="s">
        <v>12675</v>
      </c>
    </row>
    <row r="37" spans="1:35" x14ac:dyDescent="0.45">
      <c r="A37" s="3" t="str">
        <f>ToursByTourPurpose!A8</f>
        <v>pers.bus</v>
      </c>
      <c r="B37" s="7">
        <f>ToursByTourPurpose!B8</f>
        <v>152000</v>
      </c>
      <c r="C37" s="7">
        <f>ToursByTourPurpose!C8</f>
        <v>56000</v>
      </c>
      <c r="D37" s="7">
        <f>ToursByTourPurpose!D8</f>
        <v>49000</v>
      </c>
      <c r="E37" s="7">
        <f>ToursByTourPurpose!E8</f>
        <v>74000</v>
      </c>
      <c r="F37" s="7">
        <f>ToursByTourPurpose!F8</f>
        <v>19000</v>
      </c>
      <c r="G37" s="7">
        <f>ToursByTourPurpose!G8</f>
        <v>30000</v>
      </c>
      <c r="H37" s="7">
        <f>ToursByTourPurpose!I8</f>
        <v>39000</v>
      </c>
      <c r="I37" s="33"/>
      <c r="J37" s="3" t="str">
        <f>ToursByTourPurpose!M8</f>
        <v>pers.bus</v>
      </c>
      <c r="K37" s="7">
        <f>ToursByTourPurpose!N8</f>
        <v>152000</v>
      </c>
      <c r="L37" s="7">
        <f>ToursByTourPurpose!O8</f>
        <v>56000</v>
      </c>
      <c r="M37" s="7">
        <f>ToursByTourPurpose!P8</f>
        <v>49000</v>
      </c>
      <c r="N37" s="7">
        <f>ToursByTourPurpose!Q8</f>
        <v>74000</v>
      </c>
      <c r="O37" s="7">
        <f>ToursByTourPurpose!R8</f>
        <v>19000</v>
      </c>
      <c r="P37" s="7">
        <f>ToursByTourPurpose!S8</f>
        <v>30000</v>
      </c>
      <c r="Q37" s="7">
        <f>ToursByTourPurpose!U8</f>
        <v>39000</v>
      </c>
      <c r="S37" s="1379">
        <v>207</v>
      </c>
      <c r="T37" s="1379" t="s">
        <v>407</v>
      </c>
      <c r="U37" s="1380">
        <v>2.1622947890500002</v>
      </c>
      <c r="V37" s="1380">
        <f>H89</f>
        <v>2.1622947890500002</v>
      </c>
      <c r="AE37" s="1347">
        <v>66</v>
      </c>
      <c r="AF37" s="1347" t="s">
        <v>12669</v>
      </c>
      <c r="AG37" s="1347">
        <v>-2.32428386605</v>
      </c>
      <c r="AI37" s="1347" t="s">
        <v>12680</v>
      </c>
    </row>
    <row r="38" spans="1:35" x14ac:dyDescent="0.45">
      <c r="A38" s="3" t="str">
        <f>ToursByTourPurpose!A9</f>
        <v>shop</v>
      </c>
      <c r="B38" s="7">
        <f>ToursByTourPurpose!B9</f>
        <v>34000</v>
      </c>
      <c r="C38" s="7">
        <f>ToursByTourPurpose!C9</f>
        <v>13000</v>
      </c>
      <c r="D38" s="7">
        <f>ToursByTourPurpose!D9</f>
        <v>31000</v>
      </c>
      <c r="E38" s="7">
        <f>ToursByTourPurpose!E9</f>
        <v>47000</v>
      </c>
      <c r="F38" s="7">
        <f>ToursByTourPurpose!F9</f>
        <v>3000</v>
      </c>
      <c r="G38" s="7">
        <f>ToursByTourPurpose!G9</f>
        <v>3000</v>
      </c>
      <c r="H38" s="7">
        <f>ToursByTourPurpose!I9</f>
        <v>6000</v>
      </c>
      <c r="I38" s="33"/>
      <c r="J38" s="3" t="str">
        <f>ToursByTourPurpose!M9</f>
        <v>shop</v>
      </c>
      <c r="K38" s="7">
        <f>ToursByTourPurpose!N9</f>
        <v>34000</v>
      </c>
      <c r="L38" s="7">
        <f>ToursByTourPurpose!O9</f>
        <v>13000</v>
      </c>
      <c r="M38" s="7">
        <f>ToursByTourPurpose!P9</f>
        <v>31000</v>
      </c>
      <c r="N38" s="7">
        <f>ToursByTourPurpose!Q9</f>
        <v>47000</v>
      </c>
      <c r="O38" s="7">
        <f>ToursByTourPurpose!R9</f>
        <v>3000</v>
      </c>
      <c r="P38" s="7">
        <f>ToursByTourPurpose!S9</f>
        <v>3000</v>
      </c>
      <c r="Q38" s="7">
        <f>ToursByTourPurpose!U9</f>
        <v>6000</v>
      </c>
      <c r="S38" s="1347">
        <v>208</v>
      </c>
      <c r="T38" s="1347" t="s">
        <v>409</v>
      </c>
      <c r="U38" s="1361">
        <v>1.1554295912400001</v>
      </c>
      <c r="V38" s="1369">
        <f si="4" t="shared"/>
        <v>1.1554295912400001</v>
      </c>
      <c r="AE38" s="1347">
        <v>67</v>
      </c>
      <c r="AF38" s="1347" t="s">
        <v>12669</v>
      </c>
      <c r="AG38" s="1347">
        <v>-1.6578909769200001</v>
      </c>
      <c r="AI38" s="1347" t="s">
        <v>12688</v>
      </c>
    </row>
    <row r="39" spans="1:35" x14ac:dyDescent="0.45">
      <c r="A39" s="3" t="str">
        <f>ToursByTourPurpose!A10</f>
        <v>meal</v>
      </c>
      <c r="B39" s="7">
        <f>ToursByTourPurpose!B10</f>
        <v>109000</v>
      </c>
      <c r="C39" s="7">
        <f>ToursByTourPurpose!C10</f>
        <v>31000</v>
      </c>
      <c r="D39" s="7">
        <f>ToursByTourPurpose!D10</f>
        <v>43000</v>
      </c>
      <c r="E39" s="7">
        <f>ToursByTourPurpose!E10</f>
        <v>61000</v>
      </c>
      <c r="F39" s="7">
        <f>ToursByTourPurpose!F10</f>
        <v>9000</v>
      </c>
      <c r="G39" s="7">
        <f>ToursByTourPurpose!G10</f>
        <v>17000</v>
      </c>
      <c r="H39" s="7">
        <f>ToursByTourPurpose!I10</f>
        <v>20000</v>
      </c>
      <c r="I39" s="33"/>
      <c r="J39" s="3" t="str">
        <f>ToursByTourPurpose!M10</f>
        <v>meal</v>
      </c>
      <c r="K39" s="7">
        <f>ToursByTourPurpose!N10</f>
        <v>109000</v>
      </c>
      <c r="L39" s="7">
        <f>ToursByTourPurpose!O10</f>
        <v>31000</v>
      </c>
      <c r="M39" s="7">
        <f>ToursByTourPurpose!P10</f>
        <v>43000</v>
      </c>
      <c r="N39" s="7">
        <f>ToursByTourPurpose!Q10</f>
        <v>61000</v>
      </c>
      <c r="O39" s="7">
        <f>ToursByTourPurpose!R10</f>
        <v>9000</v>
      </c>
      <c r="P39" s="7">
        <f>ToursByTourPurpose!S10</f>
        <v>17000</v>
      </c>
      <c r="Q39" s="7">
        <f>ToursByTourPurpose!U10</f>
        <v>20000</v>
      </c>
      <c r="S39" s="1347">
        <v>209</v>
      </c>
      <c r="T39" s="1347" t="s">
        <v>411</v>
      </c>
      <c r="U39" s="1361">
        <v>0</v>
      </c>
      <c r="V39" s="1369">
        <f si="4" t="shared"/>
        <v>0</v>
      </c>
      <c r="AE39" s="1347">
        <v>71</v>
      </c>
      <c r="AF39" s="1347" t="s">
        <v>12670</v>
      </c>
      <c r="AG39" s="1347">
        <v>-1.3046209712800001</v>
      </c>
      <c r="AI39" s="1347" t="s">
        <v>12666</v>
      </c>
    </row>
    <row r="40" spans="1:35" x14ac:dyDescent="0.45">
      <c r="A40" s="25" t="str">
        <f>ToursByTourPurpose!A11</f>
        <v>soc/rec</v>
      </c>
      <c r="B40" s="7">
        <f>ToursByTourPurpose!B11</f>
        <v>281000</v>
      </c>
      <c r="C40" s="7">
        <f>ToursByTourPurpose!C11</f>
        <v>90000</v>
      </c>
      <c r="D40" s="7">
        <f>ToursByTourPurpose!D11</f>
        <v>98000</v>
      </c>
      <c r="E40" s="7">
        <f>ToursByTourPurpose!E11</f>
        <v>145000</v>
      </c>
      <c r="F40" s="7">
        <f>ToursByTourPurpose!F11</f>
        <v>37000</v>
      </c>
      <c r="G40" s="7">
        <f>ToursByTourPurpose!G11</f>
        <v>40000</v>
      </c>
      <c r="H40" s="7">
        <f>ToursByTourPurpose!I11</f>
        <v>112000</v>
      </c>
      <c r="I40" s="33"/>
      <c r="J40" s="25" t="str">
        <f>ToursByTourPurpose!M11</f>
        <v>soc/rec</v>
      </c>
      <c r="K40" s="7">
        <f>ToursByTourPurpose!N11</f>
        <v>281000</v>
      </c>
      <c r="L40" s="7">
        <f>ToursByTourPurpose!O11</f>
        <v>90000</v>
      </c>
      <c r="M40" s="7">
        <f>ToursByTourPurpose!P11</f>
        <v>98000</v>
      </c>
      <c r="N40" s="7">
        <f>ToursByTourPurpose!Q11</f>
        <v>145000</v>
      </c>
      <c r="O40" s="7">
        <f>ToursByTourPurpose!R11</f>
        <v>37000</v>
      </c>
      <c r="P40" s="7">
        <f>ToursByTourPurpose!S11</f>
        <v>40000</v>
      </c>
      <c r="Q40" s="7">
        <f>ToursByTourPurpose!U11</f>
        <v>112000</v>
      </c>
      <c r="S40" s="1347">
        <v>210</v>
      </c>
      <c r="T40" s="1347" t="s">
        <v>413</v>
      </c>
      <c r="U40" s="1361">
        <v>0.187787902196</v>
      </c>
      <c r="V40" s="1369">
        <f si="4" t="shared"/>
        <v>0.187787902196</v>
      </c>
      <c r="AE40" s="1347">
        <v>72</v>
      </c>
      <c r="AF40" s="1347" t="s">
        <v>12670</v>
      </c>
      <c r="AG40" s="1347">
        <v>-0.50321932343800002</v>
      </c>
      <c r="AI40" s="1347" t="s">
        <v>12675</v>
      </c>
    </row>
    <row r="41" spans="1:35" x14ac:dyDescent="0.45">
      <c r="A41" s="25" t="str">
        <f>ToursByTourPurpose!A12</f>
        <v>workbased</v>
      </c>
      <c r="B41" s="7">
        <f>ToursByTourPurpose!B12</f>
        <v>314000</v>
      </c>
      <c r="C41" s="7">
        <f>ToursByTourPurpose!C12</f>
        <v>64000</v>
      </c>
      <c r="D41" s="7">
        <f>ToursByTourPurpose!D12</f>
        <v>0</v>
      </c>
      <c r="E41" s="7">
        <f>ToursByTourPurpose!E12</f>
        <v>0</v>
      </c>
      <c r="F41" s="7">
        <f>ToursByTourPurpose!F12</f>
        <v>12000</v>
      </c>
      <c r="G41" s="7">
        <f>ToursByTourPurpose!G12</f>
        <v>4000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314000</v>
      </c>
      <c r="L41" s="7">
        <f>ToursByTourPurpose!O12</f>
        <v>64000</v>
      </c>
      <c r="M41" s="7">
        <f>ToursByTourPurpose!P12</f>
        <v>0</v>
      </c>
      <c r="N41" s="7">
        <f>ToursByTourPurpose!Q12</f>
        <v>0</v>
      </c>
      <c r="O41" s="7">
        <f>ToursByTourPurpose!R12</f>
        <v>12000</v>
      </c>
      <c r="P41" s="7">
        <f>ToursByTourPurpose!S12</f>
        <v>4000</v>
      </c>
      <c r="Q41" s="7">
        <f>ToursByTourPurpose!U12</f>
        <v>0</v>
      </c>
      <c r="S41" s="1347">
        <v>211</v>
      </c>
      <c r="T41" s="1347" t="s">
        <v>415</v>
      </c>
      <c r="U41" s="1361">
        <v>0</v>
      </c>
      <c r="V41" s="1369">
        <f si="4" t="shared"/>
        <v>0</v>
      </c>
      <c r="AE41" s="1347">
        <v>73</v>
      </c>
      <c r="AF41" s="1347" t="s">
        <v>12670</v>
      </c>
      <c r="AG41" s="1347">
        <v>-4.8332706841800004</v>
      </c>
      <c r="AI41" s="1347" t="s">
        <v>12680</v>
      </c>
    </row>
    <row ht="14.65" r="42" spans="1:35" thickBot="1" x14ac:dyDescent="0.5">
      <c r="A42" s="10" t="str">
        <f>ToursByTourPurpose!A13</f>
        <v>Total</v>
      </c>
      <c r="B42" s="55">
        <f>ToursByTourPurpose!B13</f>
        <v>2081000</v>
      </c>
      <c r="C42" s="55">
        <f>ToursByTourPurpose!C13</f>
        <v>583000</v>
      </c>
      <c r="D42" s="55">
        <f>ToursByTourPurpose!D13</f>
        <v>271000</v>
      </c>
      <c r="E42" s="55">
        <f>ToursByTourPurpose!E13</f>
        <v>574000</v>
      </c>
      <c r="F42" s="55">
        <f>ToursByTourPurpose!F13</f>
        <v>222000</v>
      </c>
      <c r="G42" s="55">
        <f>ToursByTourPurpose!G13</f>
        <v>294000</v>
      </c>
      <c r="H42" s="55">
        <f>ToursByTourPurpose!I13</f>
        <v>735000</v>
      </c>
      <c r="I42" s="54"/>
      <c r="J42" s="10" t="str">
        <f>ToursByTourPurpose!M13</f>
        <v>Total</v>
      </c>
      <c r="K42" s="55">
        <f>ToursByTourPurpose!N13</f>
        <v>2081000</v>
      </c>
      <c r="L42" s="55">
        <f>ToursByTourPurpose!O13</f>
        <v>583000</v>
      </c>
      <c r="M42" s="55">
        <f>ToursByTourPurpose!P13</f>
        <v>271000</v>
      </c>
      <c r="N42" s="55">
        <f>ToursByTourPurpose!Q13</f>
        <v>574000</v>
      </c>
      <c r="O42" s="55">
        <f>ToursByTourPurpose!R13</f>
        <v>222000</v>
      </c>
      <c r="P42" s="55">
        <f>ToursByTourPurpose!S13</f>
        <v>294000</v>
      </c>
      <c r="Q42" s="55">
        <f>ToursByTourPurpose!U13</f>
        <v>735000</v>
      </c>
      <c r="S42" s="1347">
        <v>212</v>
      </c>
      <c r="T42" s="1347" t="s">
        <v>417</v>
      </c>
      <c r="U42" s="1361">
        <v>0</v>
      </c>
      <c r="V42" s="1369">
        <f si="4" t="shared"/>
        <v>0</v>
      </c>
      <c r="AE42" s="1347">
        <v>74</v>
      </c>
      <c r="AF42" s="1347" t="s">
        <v>12670</v>
      </c>
      <c r="AG42" s="1347">
        <v>-1.52892590596</v>
      </c>
      <c r="AI42" s="1347" t="s">
        <v>12688</v>
      </c>
    </row>
    <row r="43" spans="1:35" x14ac:dyDescent="0.45">
      <c r="I43" s="1355"/>
      <c r="S43" s="1347">
        <v>213</v>
      </c>
      <c r="T43" s="1347" t="s">
        <v>419</v>
      </c>
      <c r="U43" s="1361">
        <v>0</v>
      </c>
      <c r="V43" s="1369">
        <f si="4" t="shared"/>
        <v>0</v>
      </c>
      <c r="AE43" s="1347">
        <v>78</v>
      </c>
      <c r="AF43" s="1347" t="s">
        <v>12671</v>
      </c>
      <c r="AG43" s="1347">
        <v>-1.3486716266600001</v>
      </c>
      <c r="AI43" s="1347" t="s">
        <v>12666</v>
      </c>
    </row>
    <row r="44" spans="1:35" x14ac:dyDescent="0.45">
      <c r="I44" s="1355"/>
      <c r="S44" s="1347">
        <v>214</v>
      </c>
      <c r="T44" s="1347" t="s">
        <v>421</v>
      </c>
      <c r="U44" s="1361">
        <v>0</v>
      </c>
      <c r="V44" s="1369">
        <f ref="V44:V62" si="11" t="shared">U44</f>
        <v>0</v>
      </c>
      <c r="AE44" s="1347">
        <v>79</v>
      </c>
      <c r="AF44" s="1347" t="s">
        <v>12671</v>
      </c>
      <c r="AG44" s="1347">
        <v>-0.55978493524700002</v>
      </c>
      <c r="AI44" s="1347" t="s">
        <v>12675</v>
      </c>
    </row>
    <row r="45" spans="1:35" x14ac:dyDescent="0.45">
      <c r="A45" s="1338" t="s">
        <v>175</v>
      </c>
      <c r="B45" s="3"/>
      <c r="C45" s="3"/>
      <c r="D45" s="3"/>
      <c r="E45" s="3"/>
      <c r="F45" s="3"/>
      <c r="G45" s="3"/>
      <c r="H45" s="3"/>
      <c r="S45" s="1347">
        <v>216</v>
      </c>
      <c r="T45" s="1347" t="s">
        <v>424</v>
      </c>
      <c r="U45" s="1361">
        <v>0</v>
      </c>
      <c r="V45" s="1369">
        <f si="11" t="shared"/>
        <v>0</v>
      </c>
      <c r="AE45" s="1347">
        <v>80</v>
      </c>
      <c r="AF45" s="1347" t="s">
        <v>12671</v>
      </c>
      <c r="AG45" s="1347">
        <v>-2.1204677092600002</v>
      </c>
      <c r="AI45" s="1347" t="s">
        <v>12680</v>
      </c>
    </row>
    <row r="46" spans="1:35" x14ac:dyDescent="0.45">
      <c r="A46" s="1338" t="s">
        <v>12628</v>
      </c>
      <c r="B46" s="3"/>
      <c r="C46" s="3"/>
      <c r="D46" s="3"/>
      <c r="E46" s="3"/>
      <c r="F46" s="3"/>
      <c r="G46" s="3"/>
      <c r="H46" s="3"/>
      <c r="S46" s="1347">
        <v>217</v>
      </c>
      <c r="T46" s="1347" t="s">
        <v>426</v>
      </c>
      <c r="U46" s="1361">
        <v>-1.07693002171</v>
      </c>
      <c r="V46" s="1369">
        <f si="11" t="shared"/>
        <v>-1.07693002171</v>
      </c>
      <c r="AE46" s="1347">
        <v>81</v>
      </c>
      <c r="AF46" s="1347" t="s">
        <v>12671</v>
      </c>
      <c r="AG46" s="1347">
        <v>-1.10856035167</v>
      </c>
      <c r="AI46" s="1347" t="s">
        <v>12688</v>
      </c>
    </row>
    <row ht="14.65" r="47" spans="1:35" thickBot="1" x14ac:dyDescent="0.5">
      <c r="A47" s="3"/>
      <c r="B47" s="4"/>
      <c r="C47" s="4"/>
      <c r="D47" s="4"/>
      <c r="E47" s="4"/>
      <c r="F47" s="4"/>
      <c r="G47" s="4"/>
      <c r="H47" s="4"/>
      <c r="I47" s="1355"/>
      <c r="S47" s="1347">
        <v>218</v>
      </c>
      <c r="T47" s="1347" t="s">
        <v>428</v>
      </c>
      <c r="U47" s="1361">
        <v>0</v>
      </c>
      <c r="V47" s="1369">
        <f si="11" t="shared"/>
        <v>0</v>
      </c>
      <c r="AE47" s="1347">
        <v>82</v>
      </c>
      <c r="AF47" s="1347" t="s">
        <v>12645</v>
      </c>
      <c r="AG47" s="1347">
        <v>1.03609977401</v>
      </c>
      <c r="AI47" s="1347" t="s">
        <v>12652</v>
      </c>
    </row>
    <row r="48" spans="1:35" x14ac:dyDescent="0.4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1355"/>
      <c r="S48" s="1347">
        <v>219</v>
      </c>
      <c r="T48" s="1347" t="s">
        <v>430</v>
      </c>
      <c r="U48" s="1361">
        <v>0</v>
      </c>
      <c r="V48" s="1369">
        <f si="11" t="shared"/>
        <v>0</v>
      </c>
      <c r="AE48" s="1347">
        <v>83</v>
      </c>
      <c r="AF48" s="1347" t="s">
        <v>12645</v>
      </c>
      <c r="AG48" s="1347">
        <v>0.49617548671400002</v>
      </c>
      <c r="AI48" s="1347" t="s">
        <v>12653</v>
      </c>
    </row>
    <row r="49" spans="1:35" x14ac:dyDescent="0.45">
      <c r="A49" s="3" t="s">
        <v>211</v>
      </c>
      <c r="B49" s="7">
        <v>151</v>
      </c>
      <c r="C49" s="7">
        <v>102</v>
      </c>
      <c r="D49" s="7"/>
      <c r="E49" s="7"/>
      <c r="F49" s="7">
        <v>105</v>
      </c>
      <c r="G49" s="7">
        <v>106</v>
      </c>
      <c r="H49" s="7"/>
      <c r="S49" s="1347">
        <v>220</v>
      </c>
      <c r="T49" s="1347" t="s">
        <v>432</v>
      </c>
      <c r="U49" s="1361">
        <v>0</v>
      </c>
      <c r="V49" s="1369">
        <f si="11" t="shared"/>
        <v>0</v>
      </c>
      <c r="AE49" s="1347">
        <v>84</v>
      </c>
      <c r="AF49" s="1347" t="s">
        <v>12645</v>
      </c>
      <c r="AG49" s="1347">
        <v>-0.23939659975899999</v>
      </c>
      <c r="AI49" s="1347" t="s">
        <v>12658</v>
      </c>
    </row>
    <row r="50" spans="1:35" x14ac:dyDescent="0.45">
      <c r="A50" s="3" t="s">
        <v>212</v>
      </c>
      <c r="B50" s="7">
        <v>251</v>
      </c>
      <c r="C50" s="7"/>
      <c r="D50" s="7"/>
      <c r="E50" s="7"/>
      <c r="F50" s="7">
        <v>205</v>
      </c>
      <c r="G50" s="7">
        <v>206</v>
      </c>
      <c r="H50" s="7">
        <v>207</v>
      </c>
      <c r="S50" s="1347">
        <v>221</v>
      </c>
      <c r="T50" s="1347" t="s">
        <v>434</v>
      </c>
      <c r="U50" s="1361">
        <v>0.33401706346900001</v>
      </c>
      <c r="V50" s="1369">
        <f si="11" t="shared"/>
        <v>0.33401706346900001</v>
      </c>
      <c r="AE50" s="1347">
        <v>85</v>
      </c>
      <c r="AF50" s="1347" t="s">
        <v>12645</v>
      </c>
      <c r="AG50" s="1347">
        <v>0.141816684612</v>
      </c>
      <c r="AI50" s="1347" t="s">
        <v>12666</v>
      </c>
    </row>
    <row r="51" spans="1:35" x14ac:dyDescent="0.45">
      <c r="A51" s="3" t="s">
        <v>213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S51" s="1347">
        <v>222</v>
      </c>
      <c r="T51" s="1347" t="s">
        <v>436</v>
      </c>
      <c r="U51" s="1361">
        <v>0</v>
      </c>
      <c r="V51" s="1369">
        <f si="11" t="shared"/>
        <v>0</v>
      </c>
      <c r="AE51" s="1347">
        <v>86</v>
      </c>
      <c r="AF51" s="1347" t="s">
        <v>12645</v>
      </c>
      <c r="AG51" s="1347">
        <v>-0.66113956890100001</v>
      </c>
      <c r="AI51" s="1347" t="s">
        <v>12675</v>
      </c>
    </row>
    <row r="52" spans="1:35" x14ac:dyDescent="0.45">
      <c r="A52" s="3" t="s">
        <v>214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S52" s="1347">
        <v>223</v>
      </c>
      <c r="T52" s="1347" t="s">
        <v>438</v>
      </c>
      <c r="U52" s="1361">
        <v>-0.94598469378100003</v>
      </c>
      <c r="V52" s="1369">
        <f si="11" t="shared"/>
        <v>-0.94598469378100003</v>
      </c>
      <c r="AE52" s="1347">
        <v>87</v>
      </c>
      <c r="AF52" s="1347" t="s">
        <v>12645</v>
      </c>
      <c r="AG52" s="1347">
        <v>-0.187451161299</v>
      </c>
      <c r="AI52" s="1347" t="s">
        <v>12680</v>
      </c>
    </row>
    <row r="53" spans="1:35" x14ac:dyDescent="0.45">
      <c r="A53" s="3" t="s">
        <v>215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S53" s="1347">
        <v>224</v>
      </c>
      <c r="T53" s="1347" t="s">
        <v>440</v>
      </c>
      <c r="U53" s="1361">
        <v>0</v>
      </c>
      <c r="V53" s="1369">
        <f si="11" t="shared"/>
        <v>0</v>
      </c>
      <c r="AE53" s="1347">
        <v>88</v>
      </c>
      <c r="AF53" s="1347" t="s">
        <v>12645</v>
      </c>
      <c r="AG53" s="1347">
        <v>-0.29525033118999999</v>
      </c>
      <c r="AI53" s="1347" t="s">
        <v>12688</v>
      </c>
    </row>
    <row r="54" spans="1:35" x14ac:dyDescent="0.4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S54" s="1347">
        <v>225</v>
      </c>
      <c r="T54" s="1347" t="s">
        <v>442</v>
      </c>
      <c r="U54" s="1361">
        <v>0</v>
      </c>
      <c r="V54" s="1369">
        <f si="11" t="shared"/>
        <v>0</v>
      </c>
      <c r="AE54" s="1347">
        <v>89</v>
      </c>
      <c r="AF54" s="1347" t="s">
        <v>12646</v>
      </c>
      <c r="AG54" s="1347">
        <v>0.93398227069700002</v>
      </c>
      <c r="AI54" s="1347" t="s">
        <v>12652</v>
      </c>
    </row>
    <row ht="14.65" r="55" spans="1:35" thickBot="1" x14ac:dyDescent="0.5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S55" s="1347">
        <v>226</v>
      </c>
      <c r="T55" s="1347" t="s">
        <v>444</v>
      </c>
      <c r="U55" s="1361">
        <v>0</v>
      </c>
      <c r="V55" s="1369">
        <f si="11" t="shared"/>
        <v>0</v>
      </c>
      <c r="AE55" s="1347">
        <v>90</v>
      </c>
      <c r="AF55" s="1347" t="s">
        <v>12655</v>
      </c>
      <c r="AG55" s="1347">
        <v>-5</v>
      </c>
      <c r="AI55" s="1347" t="s">
        <v>12653</v>
      </c>
    </row>
    <row r="56" spans="1:35" x14ac:dyDescent="0.45">
      <c r="S56" s="1347">
        <v>227</v>
      </c>
      <c r="T56" s="1347" t="s">
        <v>446</v>
      </c>
      <c r="U56" s="1361">
        <v>0</v>
      </c>
      <c r="V56" s="1369">
        <f si="11" t="shared"/>
        <v>0</v>
      </c>
      <c r="AE56" s="1347">
        <v>91</v>
      </c>
      <c r="AF56" s="1347" t="s">
        <v>12659</v>
      </c>
      <c r="AG56" s="1347">
        <v>-0.46211489475700002</v>
      </c>
      <c r="AI56" s="1347" t="s">
        <v>12658</v>
      </c>
    </row>
    <row r="57" spans="1:35" x14ac:dyDescent="0.45">
      <c r="S57" s="1347">
        <v>228</v>
      </c>
      <c r="T57" s="1347" t="s">
        <v>1054</v>
      </c>
      <c r="U57" s="1361">
        <v>0</v>
      </c>
      <c r="V57" s="1369">
        <f si="11" t="shared"/>
        <v>0</v>
      </c>
      <c r="AE57" s="1347">
        <v>92</v>
      </c>
      <c r="AF57" s="1347" t="s">
        <v>12672</v>
      </c>
      <c r="AG57" s="1347">
        <v>-0.86143782592100004</v>
      </c>
      <c r="AI57" s="1347" t="s">
        <v>12666</v>
      </c>
    </row>
    <row r="58" spans="1:35" x14ac:dyDescent="0.45">
      <c r="A58" s="1338" t="s">
        <v>175</v>
      </c>
      <c r="B58" s="3"/>
      <c r="C58" s="3"/>
      <c r="D58" s="3"/>
      <c r="E58" s="3"/>
      <c r="F58" s="3"/>
      <c r="G58" s="3"/>
      <c r="H58" s="3"/>
      <c r="S58" s="1347">
        <v>229</v>
      </c>
      <c r="T58" s="1347" t="s">
        <v>448</v>
      </c>
      <c r="U58" s="1361">
        <v>0.15632093079100001</v>
      </c>
      <c r="V58" s="1369">
        <f si="11" t="shared"/>
        <v>0.15632093079100001</v>
      </c>
      <c r="AE58" s="1347">
        <v>93</v>
      </c>
      <c r="AF58" s="1347" t="s">
        <v>12676</v>
      </c>
      <c r="AG58" s="1347">
        <v>-1.81254617234</v>
      </c>
      <c r="AI58" s="1347" t="s">
        <v>12675</v>
      </c>
    </row>
    <row r="59" spans="1:35" x14ac:dyDescent="0.45">
      <c r="A59" s="1338" t="s">
        <v>12625</v>
      </c>
      <c r="B59" s="3"/>
      <c r="C59" s="3"/>
      <c r="D59" s="3"/>
      <c r="E59" s="3"/>
      <c r="F59" s="3"/>
      <c r="G59" s="3"/>
      <c r="H59" s="3"/>
      <c r="S59" s="1347">
        <v>230</v>
      </c>
      <c r="T59" s="1347" t="s">
        <v>1055</v>
      </c>
      <c r="U59" s="1361">
        <v>0</v>
      </c>
      <c r="V59" s="1369">
        <f si="11" t="shared"/>
        <v>0</v>
      </c>
      <c r="AE59" s="1347">
        <v>94</v>
      </c>
      <c r="AF59" s="1347" t="s">
        <v>12681</v>
      </c>
      <c r="AG59" s="1347">
        <v>-2.1522853463799998</v>
      </c>
      <c r="AI59" s="1347" t="s">
        <v>12680</v>
      </c>
    </row>
    <row ht="14.65" r="60" spans="1:35" thickBot="1" x14ac:dyDescent="0.5">
      <c r="A60" s="3"/>
      <c r="B60" s="4"/>
      <c r="C60" s="4"/>
      <c r="D60" s="4"/>
      <c r="E60" s="4"/>
      <c r="F60" s="4"/>
      <c r="G60" s="4"/>
      <c r="H60" s="4"/>
      <c r="S60" s="1347">
        <v>231</v>
      </c>
      <c r="T60" s="1347" t="s">
        <v>449</v>
      </c>
      <c r="U60" s="1361">
        <v>0.44595990495900001</v>
      </c>
      <c r="V60" s="1369">
        <f si="11" t="shared"/>
        <v>0.44595990495900001</v>
      </c>
      <c r="AE60" s="1347">
        <v>95</v>
      </c>
      <c r="AF60" s="1347" t="s">
        <v>12689</v>
      </c>
      <c r="AG60" s="1347">
        <v>-1.6486450373699999</v>
      </c>
      <c r="AI60" s="1347" t="s">
        <v>12688</v>
      </c>
    </row>
    <row r="61" spans="1:35" x14ac:dyDescent="0.4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245</v>
      </c>
      <c r="F61" s="6" t="s">
        <v>246</v>
      </c>
      <c r="G61" s="6" t="s">
        <v>247</v>
      </c>
      <c r="H61" s="6" t="s">
        <v>248</v>
      </c>
      <c r="S61" s="1347">
        <v>232</v>
      </c>
      <c r="T61" s="1347" t="s">
        <v>1056</v>
      </c>
      <c r="U61" s="1361">
        <v>-0.602080806287</v>
      </c>
      <c r="V61" s="1369">
        <f si="11" t="shared"/>
        <v>-0.602080806287</v>
      </c>
      <c r="AE61" s="1347">
        <v>96</v>
      </c>
      <c r="AF61" s="1347" t="s">
        <v>12647</v>
      </c>
      <c r="AG61" s="1347">
        <v>-1.3894520502500001</v>
      </c>
      <c r="AI61" s="1347" t="s">
        <v>12652</v>
      </c>
    </row>
    <row r="62" spans="1:35" x14ac:dyDescent="0.45">
      <c r="A62" s="3" t="s">
        <v>211</v>
      </c>
      <c r="B62" s="1377">
        <f>U32</f>
        <v>0</v>
      </c>
      <c r="C62" s="1377">
        <f>U5</f>
        <v>-0.71110898243599996</v>
      </c>
      <c r="D62" s="1377"/>
      <c r="E62" s="1377"/>
      <c r="F62" s="1377">
        <f>U6</f>
        <v>-1.2076938105299999</v>
      </c>
      <c r="G62" s="1377">
        <f>U7</f>
        <v>-1.82717146308</v>
      </c>
      <c r="H62" s="1377"/>
      <c r="S62" s="1347">
        <v>233</v>
      </c>
      <c r="T62" s="1347" t="s">
        <v>1057</v>
      </c>
      <c r="U62" s="1361">
        <v>0</v>
      </c>
      <c r="V62" s="1369">
        <f si="11" t="shared"/>
        <v>0</v>
      </c>
      <c r="AE62" s="1347">
        <v>103</v>
      </c>
      <c r="AF62" s="1347" t="s">
        <v>12648</v>
      </c>
      <c r="AG62" s="1347">
        <v>0.119796316892</v>
      </c>
      <c r="AI62" s="1347" t="s">
        <v>12652</v>
      </c>
    </row>
    <row r="63" spans="1:35" x14ac:dyDescent="0.45">
      <c r="A63" s="3" t="s">
        <v>212</v>
      </c>
      <c r="B63" s="1377">
        <f>U63</f>
        <v>0</v>
      </c>
      <c r="C63" s="1377"/>
      <c r="D63" s="1377"/>
      <c r="E63" s="1377"/>
      <c r="F63" s="1377">
        <f>U35</f>
        <v>1.02246211081</v>
      </c>
      <c r="G63" s="1377">
        <f>U36</f>
        <v>2.0692687994700001</v>
      </c>
      <c r="H63" s="1377">
        <f>U37</f>
        <v>2.1622947890500002</v>
      </c>
      <c r="S63" s="1379">
        <v>251</v>
      </c>
      <c r="T63" s="1379" t="s">
        <v>450</v>
      </c>
      <c r="U63" s="1380">
        <v>0</v>
      </c>
      <c r="V63" s="1380" t="e">
        <f>B89</f>
        <v>#DIV/0!</v>
      </c>
      <c r="AE63" s="1347">
        <v>104</v>
      </c>
      <c r="AF63" s="1347" t="s">
        <v>12648</v>
      </c>
      <c r="AG63" s="1349">
        <v>-6.0874029466500001E-2</v>
      </c>
      <c r="AI63" s="1347" t="s">
        <v>12653</v>
      </c>
    </row>
    <row r="64" spans="1:35" x14ac:dyDescent="0.45">
      <c r="A64" s="3" t="s">
        <v>213</v>
      </c>
      <c r="B64" s="1377">
        <f>U97</f>
        <v>0</v>
      </c>
      <c r="C64" s="1377">
        <f>U66</f>
        <v>0</v>
      </c>
      <c r="D64" s="1377">
        <f>U67</f>
        <v>-0.74471438544699997</v>
      </c>
      <c r="E64" s="1377">
        <f>U68</f>
        <v>0</v>
      </c>
      <c r="F64" s="1377">
        <f>U69</f>
        <v>0</v>
      </c>
      <c r="G64" s="1377">
        <f>U70</f>
        <v>0</v>
      </c>
      <c r="H64" s="1377">
        <f>U71</f>
        <v>0</v>
      </c>
      <c r="S64" s="1370">
        <v>300</v>
      </c>
      <c r="T64" s="1370" t="s">
        <v>452</v>
      </c>
      <c r="U64" s="1371">
        <v>-3.5934743086399998</v>
      </c>
      <c r="V64" s="1371">
        <f>J7</f>
        <v>-3.5934743086399998</v>
      </c>
      <c r="AE64" s="1347">
        <v>105</v>
      </c>
      <c r="AF64" s="1347" t="s">
        <v>12648</v>
      </c>
      <c r="AG64" s="1349">
        <v>6.1875263468900002E-2</v>
      </c>
      <c r="AI64" s="1347" t="s">
        <v>12658</v>
      </c>
    </row>
    <row r="65" spans="1:35" x14ac:dyDescent="0.45">
      <c r="A65" s="3" t="s">
        <v>214</v>
      </c>
      <c r="B65" s="1377">
        <f>U131</f>
        <v>0</v>
      </c>
      <c r="C65" s="1377">
        <f>U100</f>
        <v>0.16969119518199999</v>
      </c>
      <c r="D65" s="1377">
        <f>U101</f>
        <v>0.49340626914899999</v>
      </c>
      <c r="E65" s="1377">
        <f>U102</f>
        <v>0.37994419983299998</v>
      </c>
      <c r="F65" s="1377">
        <f>U103</f>
        <v>0</v>
      </c>
      <c r="G65" s="1377">
        <f>U104</f>
        <v>-0.23495871103800001</v>
      </c>
      <c r="H65" s="1377">
        <f>U105</f>
        <v>-0.35091134456200002</v>
      </c>
      <c r="S65" s="1370">
        <v>301</v>
      </c>
      <c r="T65" s="1370" t="s">
        <v>454</v>
      </c>
      <c r="U65" s="1371">
        <v>-1.63085118504</v>
      </c>
      <c r="V65" s="1371">
        <f>J21</f>
        <v>-1.63085118504</v>
      </c>
      <c r="AE65" s="1347">
        <v>106</v>
      </c>
      <c r="AF65" s="1347" t="s">
        <v>12648</v>
      </c>
      <c r="AG65" s="1347">
        <v>-0.106693712249</v>
      </c>
      <c r="AI65" s="1347" t="s">
        <v>12666</v>
      </c>
    </row>
    <row r="66" spans="1:35" x14ac:dyDescent="0.45">
      <c r="A66" s="3" t="s">
        <v>215</v>
      </c>
      <c r="B66" s="1377">
        <f>U165</f>
        <v>0</v>
      </c>
      <c r="C66" s="1377">
        <f>U134</f>
        <v>2.1363353819000001E-2</v>
      </c>
      <c r="D66" s="1377">
        <f>U135</f>
        <v>0.15209130060600001</v>
      </c>
      <c r="E66" s="1377">
        <f>U136</f>
        <v>0.40352461405000001</v>
      </c>
      <c r="F66" s="1377">
        <f>U137</f>
        <v>0.14357679773400001</v>
      </c>
      <c r="G66" s="1377">
        <f>U138</f>
        <v>-0.48330139279399997</v>
      </c>
      <c r="H66" s="1377">
        <f>U139</f>
        <v>-0.56595716487699999</v>
      </c>
      <c r="S66" s="1379">
        <v>302</v>
      </c>
      <c r="T66" s="1379" t="s">
        <v>456</v>
      </c>
      <c r="U66" s="1380">
        <v>0</v>
      </c>
      <c r="V66" s="1380">
        <f>C90</f>
        <v>0</v>
      </c>
      <c r="AE66" s="1347">
        <v>107</v>
      </c>
      <c r="AF66" s="1347" t="s">
        <v>12648</v>
      </c>
      <c r="AG66" s="1347">
        <v>-0.149975354285</v>
      </c>
      <c r="AI66" s="1347" t="s">
        <v>12675</v>
      </c>
    </row>
    <row r="67" spans="1:35" x14ac:dyDescent="0.45">
      <c r="A67" s="3" t="s">
        <v>129</v>
      </c>
      <c r="B67" s="1377">
        <f>U199</f>
        <v>0</v>
      </c>
      <c r="C67" s="1377">
        <f>U168</f>
        <v>-0.26164161894499999</v>
      </c>
      <c r="D67" s="1377">
        <f>U169</f>
        <v>0</v>
      </c>
      <c r="E67" s="1377">
        <f>U170</f>
        <v>0</v>
      </c>
      <c r="F67" s="1377">
        <f>U171</f>
        <v>0</v>
      </c>
      <c r="G67" s="1377">
        <f>U172</f>
        <v>-0.416919956639</v>
      </c>
      <c r="H67" s="1377">
        <f>U173</f>
        <v>-0.75945964651599995</v>
      </c>
      <c r="S67" s="1379">
        <v>303</v>
      </c>
      <c r="T67" s="1379" t="s">
        <v>458</v>
      </c>
      <c r="U67" s="1380">
        <v>-0.74471438544699997</v>
      </c>
      <c r="V67" s="1380">
        <f>D90</f>
        <v>-0.74471438544699997</v>
      </c>
      <c r="AE67" s="1347">
        <v>108</v>
      </c>
      <c r="AF67" s="1347" t="s">
        <v>12648</v>
      </c>
      <c r="AG67" s="1347">
        <v>-0.17908713325299999</v>
      </c>
      <c r="AI67" s="1347" t="s">
        <v>12680</v>
      </c>
    </row>
    <row ht="14.65" r="68" spans="1:35" thickBot="1" x14ac:dyDescent="0.5">
      <c r="A68" s="15" t="s">
        <v>130</v>
      </c>
      <c r="B68" s="1378">
        <f>U233</f>
        <v>-0.18079091804700001</v>
      </c>
      <c r="C68" s="1378">
        <f>U202</f>
        <v>0</v>
      </c>
      <c r="D68" s="1378">
        <f>U203</f>
        <v>0</v>
      </c>
      <c r="E68" s="1378">
        <f>U204</f>
        <v>0</v>
      </c>
      <c r="F68" s="1378">
        <f>U205</f>
        <v>0</v>
      </c>
      <c r="G68" s="1378">
        <f>U206</f>
        <v>0</v>
      </c>
      <c r="H68" s="1378">
        <f>U207</f>
        <v>0.35898948241799999</v>
      </c>
      <c r="S68" s="1379">
        <v>304</v>
      </c>
      <c r="T68" s="1379" t="s">
        <v>460</v>
      </c>
      <c r="U68" s="1380">
        <v>0</v>
      </c>
      <c r="V68" s="1380">
        <f>E90</f>
        <v>0</v>
      </c>
      <c r="AE68" s="1347">
        <v>109</v>
      </c>
      <c r="AF68" s="1347" t="s">
        <v>12648</v>
      </c>
      <c r="AG68" s="1347">
        <v>-0.19212914375099999</v>
      </c>
      <c r="AI68" s="1347" t="s">
        <v>12688</v>
      </c>
    </row>
    <row r="69" spans="1:35" x14ac:dyDescent="0.45">
      <c r="S69" s="1379">
        <v>305</v>
      </c>
      <c r="T69" s="1379" t="s">
        <v>462</v>
      </c>
      <c r="U69" s="1380">
        <v>0</v>
      </c>
      <c r="V69" s="1380">
        <f>F90</f>
        <v>0</v>
      </c>
      <c r="AE69" s="1347">
        <v>110</v>
      </c>
      <c r="AF69" s="1347" t="s">
        <v>12649</v>
      </c>
      <c r="AG69" s="1347">
        <v>0.21578009019899999</v>
      </c>
      <c r="AI69" s="1347" t="s">
        <v>12652</v>
      </c>
    </row>
    <row r="70" spans="1:35" x14ac:dyDescent="0.45">
      <c r="S70" s="1379">
        <v>306</v>
      </c>
      <c r="T70" s="1379" t="s">
        <v>464</v>
      </c>
      <c r="U70" s="1380">
        <v>0</v>
      </c>
      <c r="V70" s="1380">
        <f>G90</f>
        <v>0</v>
      </c>
      <c r="AE70" s="1347">
        <v>111</v>
      </c>
      <c r="AF70" s="1347" t="s">
        <v>12649</v>
      </c>
      <c r="AG70" s="1347">
        <v>0.173611176344</v>
      </c>
      <c r="AI70" s="1347" t="s">
        <v>12653</v>
      </c>
    </row>
    <row r="71" spans="1:35" x14ac:dyDescent="0.45">
      <c r="A71" s="1338" t="s">
        <v>175</v>
      </c>
      <c r="B71" s="3"/>
      <c r="C71" s="3"/>
      <c r="D71" s="3"/>
      <c r="E71" s="3"/>
      <c r="F71" s="3"/>
      <c r="G71" s="3"/>
      <c r="H71" s="3"/>
      <c r="S71" s="1379">
        <v>307</v>
      </c>
      <c r="T71" s="1379" t="s">
        <v>466</v>
      </c>
      <c r="U71" s="1380">
        <v>0</v>
      </c>
      <c r="V71" s="1380">
        <f>H90</f>
        <v>0</v>
      </c>
      <c r="AE71" s="1347">
        <v>112</v>
      </c>
      <c r="AF71" s="1347" t="s">
        <v>12660</v>
      </c>
      <c r="AG71" s="1349">
        <v>1.5375331316199999E-2</v>
      </c>
      <c r="AI71" s="1347" t="s">
        <v>12658</v>
      </c>
    </row>
    <row r="72" spans="1:35" x14ac:dyDescent="0.45">
      <c r="A72" s="1338" t="s">
        <v>12626</v>
      </c>
      <c r="B72" s="3"/>
      <c r="C72" s="3"/>
      <c r="D72" s="3"/>
      <c r="E72" s="3"/>
      <c r="F72" s="3"/>
      <c r="G72" s="3"/>
      <c r="H72" s="3"/>
      <c r="S72" s="1347">
        <v>308</v>
      </c>
      <c r="T72" s="1347" t="s">
        <v>468</v>
      </c>
      <c r="U72" s="1361">
        <v>0.58461516065899999</v>
      </c>
      <c r="V72" s="1369">
        <f ref="V72:V130" si="12" t="shared">U72</f>
        <v>0.58461516065899999</v>
      </c>
      <c r="AE72" s="1347">
        <v>113</v>
      </c>
      <c r="AF72" s="1347" t="s">
        <v>12649</v>
      </c>
      <c r="AG72" s="1349">
        <v>7.5013924216099995E-2</v>
      </c>
      <c r="AI72" s="1347" t="s">
        <v>12666</v>
      </c>
    </row>
    <row ht="14.65" r="73" spans="1:35" thickBot="1" x14ac:dyDescent="0.5">
      <c r="A73" s="3"/>
      <c r="B73" s="4"/>
      <c r="C73" s="4"/>
      <c r="D73" s="4"/>
      <c r="E73" s="4"/>
      <c r="F73" s="4"/>
      <c r="G73" s="4"/>
      <c r="H73" s="4"/>
      <c r="S73" s="1347">
        <v>309</v>
      </c>
      <c r="T73" s="1347" t="s">
        <v>470</v>
      </c>
      <c r="U73" s="1361">
        <v>-0.18680904856399999</v>
      </c>
      <c r="V73" s="1369">
        <f si="12" t="shared"/>
        <v>-0.18680904856399999</v>
      </c>
      <c r="AE73" s="1347">
        <v>114</v>
      </c>
      <c r="AF73" s="1347" t="s">
        <v>12649</v>
      </c>
      <c r="AG73" s="1349">
        <v>7.3351120189599994E-2</v>
      </c>
      <c r="AI73" s="1347" t="s">
        <v>12675</v>
      </c>
    </row>
    <row r="74" spans="1:35" x14ac:dyDescent="0.4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245</v>
      </c>
      <c r="F74" s="6" t="s">
        <v>246</v>
      </c>
      <c r="G74" s="6" t="s">
        <v>247</v>
      </c>
      <c r="H74" s="6" t="s">
        <v>248</v>
      </c>
      <c r="S74" s="1347">
        <v>310</v>
      </c>
      <c r="T74" s="1347" t="s">
        <v>472</v>
      </c>
      <c r="U74" s="1361">
        <v>-0.115255813636</v>
      </c>
      <c r="V74" s="1369">
        <f si="12" t="shared"/>
        <v>-0.115255813636</v>
      </c>
      <c r="AE74" s="1347">
        <v>115</v>
      </c>
      <c r="AF74" s="1347" t="s">
        <v>12649</v>
      </c>
      <c r="AG74" s="1349">
        <v>9.3983942987200003E-2</v>
      </c>
      <c r="AI74" s="1347" t="s">
        <v>12680</v>
      </c>
    </row>
    <row r="75" spans="1:35" x14ac:dyDescent="0.45">
      <c r="A75" s="3" t="s">
        <v>211</v>
      </c>
      <c r="B75" s="1377">
        <f>LN(B34/K34)-$I5</f>
        <v>0</v>
      </c>
      <c r="C75" s="1377">
        <f>LN(C34/L34)-$I5</f>
        <v>0</v>
      </c>
      <c r="D75" s="1377"/>
      <c r="E75" s="1377"/>
      <c r="F75" s="1377">
        <f ref="F75:G75" si="13" t="shared">LN(F34/O34)-$I5</f>
        <v>0</v>
      </c>
      <c r="G75" s="1377">
        <f si="13" t="shared"/>
        <v>0</v>
      </c>
      <c r="H75" s="1377"/>
      <c r="S75" s="1347">
        <v>311</v>
      </c>
      <c r="T75" s="1347" t="s">
        <v>474</v>
      </c>
      <c r="U75" s="1361">
        <v>0</v>
      </c>
      <c r="V75" s="1369">
        <f si="12" t="shared"/>
        <v>0</v>
      </c>
      <c r="AE75" s="1347">
        <v>116</v>
      </c>
      <c r="AF75" s="1347" t="s">
        <v>12649</v>
      </c>
      <c r="AG75" s="1347">
        <v>0.109678978272</v>
      </c>
      <c r="AI75" s="1347" t="s">
        <v>12688</v>
      </c>
    </row>
    <row r="76" spans="1:35" x14ac:dyDescent="0.45">
      <c r="A76" s="3" t="s">
        <v>212</v>
      </c>
      <c r="B76" s="1377" t="e">
        <f>LN(B35/K35)-$I6</f>
        <v>#DIV/0!</v>
      </c>
      <c r="C76" s="1377"/>
      <c r="D76" s="1377"/>
      <c r="E76" s="1377"/>
      <c r="F76" s="1377">
        <f ref="F76:G76" si="14" t="shared">LN(F35/O35)-$I6</f>
        <v>0</v>
      </c>
      <c r="G76" s="1377">
        <f si="14" t="shared"/>
        <v>0</v>
      </c>
      <c r="H76" s="1377">
        <f>LN(H35/Q35)-$I6</f>
        <v>0</v>
      </c>
      <c r="S76" s="1347">
        <v>312</v>
      </c>
      <c r="T76" s="1347" t="s">
        <v>476</v>
      </c>
      <c r="U76" s="1361">
        <v>0</v>
      </c>
      <c r="V76" s="1369">
        <f si="12" t="shared"/>
        <v>0</v>
      </c>
      <c r="AE76" s="1347">
        <v>131</v>
      </c>
      <c r="AF76" s="1347" t="s">
        <v>12650</v>
      </c>
      <c r="AG76" s="1347">
        <v>1.1543530286899999</v>
      </c>
      <c r="AI76" s="1347" t="s">
        <v>12652</v>
      </c>
    </row>
    <row r="77" spans="1:35" x14ac:dyDescent="0.45">
      <c r="A77" s="3" t="s">
        <v>213</v>
      </c>
      <c r="B77" s="1377">
        <f ref="B77:H77" si="15" t="shared">LN(B36/K36)-$I7</f>
        <v>0</v>
      </c>
      <c r="C77" s="1377">
        <f si="15" t="shared"/>
        <v>0</v>
      </c>
      <c r="D77" s="1377">
        <f si="15" t="shared"/>
        <v>0</v>
      </c>
      <c r="E77" s="1377">
        <f si="15" t="shared"/>
        <v>0</v>
      </c>
      <c r="F77" s="1377">
        <f si="15" t="shared"/>
        <v>0</v>
      </c>
      <c r="G77" s="1377">
        <f si="15" t="shared"/>
        <v>0</v>
      </c>
      <c r="H77" s="1377">
        <f si="15" t="shared"/>
        <v>0</v>
      </c>
      <c r="S77" s="1347">
        <v>313</v>
      </c>
      <c r="T77" s="1347" t="s">
        <v>478</v>
      </c>
      <c r="U77" s="1361">
        <v>0.112751674664</v>
      </c>
      <c r="V77" s="1369">
        <f si="12" t="shared"/>
        <v>0.112751674664</v>
      </c>
      <c r="AE77" s="1347">
        <v>138</v>
      </c>
      <c r="AF77" s="1347" t="s">
        <v>12656</v>
      </c>
      <c r="AG77" s="1347">
        <v>-0.89256110400499999</v>
      </c>
      <c r="AI77" s="1347" t="s">
        <v>12653</v>
      </c>
    </row>
    <row r="78" spans="1:35" x14ac:dyDescent="0.45">
      <c r="A78" s="3" t="s">
        <v>214</v>
      </c>
      <c r="B78" s="1377">
        <f ref="B78:H78" si="16" t="shared">LN(B37/K37)-$I8</f>
        <v>0</v>
      </c>
      <c r="C78" s="1377">
        <f si="16" t="shared"/>
        <v>0</v>
      </c>
      <c r="D78" s="1377">
        <f si="16" t="shared"/>
        <v>0</v>
      </c>
      <c r="E78" s="1377">
        <f si="16" t="shared"/>
        <v>0</v>
      </c>
      <c r="F78" s="1377">
        <f si="16" t="shared"/>
        <v>0</v>
      </c>
      <c r="G78" s="1377">
        <f si="16" t="shared"/>
        <v>0</v>
      </c>
      <c r="H78" s="1377">
        <f si="16" t="shared"/>
        <v>0</v>
      </c>
      <c r="S78" s="1347">
        <v>314</v>
      </c>
      <c r="T78" s="1347" t="s">
        <v>480</v>
      </c>
      <c r="U78" s="1361">
        <v>-0.47378038371199999</v>
      </c>
      <c r="V78" s="1369">
        <f si="12" t="shared"/>
        <v>-0.47378038371199999</v>
      </c>
      <c r="AE78" s="1347">
        <v>146</v>
      </c>
      <c r="AF78" s="1347" t="s">
        <v>12661</v>
      </c>
      <c r="AG78" s="1347">
        <v>0.53132948584100004</v>
      </c>
      <c r="AI78" s="1347" t="s">
        <v>12658</v>
      </c>
    </row>
    <row r="79" spans="1:35" x14ac:dyDescent="0.45">
      <c r="A79" s="3" t="s">
        <v>215</v>
      </c>
      <c r="B79" s="1377">
        <f ref="B79:H79" si="17" t="shared">LN(B38/K38)-$I9</f>
        <v>0</v>
      </c>
      <c r="C79" s="1377">
        <f si="17" t="shared"/>
        <v>0</v>
      </c>
      <c r="D79" s="1377">
        <f si="17" t="shared"/>
        <v>0</v>
      </c>
      <c r="E79" s="1377">
        <f si="17" t="shared"/>
        <v>0</v>
      </c>
      <c r="F79" s="1377">
        <f si="17" t="shared"/>
        <v>0</v>
      </c>
      <c r="G79" s="1377">
        <f si="17" t="shared"/>
        <v>0</v>
      </c>
      <c r="H79" s="1377">
        <f si="17" t="shared"/>
        <v>0</v>
      </c>
      <c r="S79" s="1347">
        <v>316</v>
      </c>
      <c r="T79" s="1347" t="s">
        <v>483</v>
      </c>
      <c r="U79" s="1361">
        <v>0</v>
      </c>
      <c r="V79" s="1369">
        <f si="12" t="shared"/>
        <v>0</v>
      </c>
      <c r="AE79" s="1347">
        <v>147</v>
      </c>
      <c r="AF79" s="1347" t="s">
        <v>12662</v>
      </c>
      <c r="AG79" s="1347">
        <v>0.449535970974</v>
      </c>
      <c r="AI79" s="1347" t="s">
        <v>12658</v>
      </c>
    </row>
    <row r="80" spans="1:35" x14ac:dyDescent="0.45">
      <c r="A80" s="3" t="s">
        <v>129</v>
      </c>
      <c r="B80" s="1377">
        <f ref="B80:H80" si="18" t="shared">LN(B39/K39)-$I10</f>
        <v>0</v>
      </c>
      <c r="C80" s="1377">
        <f si="18" t="shared"/>
        <v>0</v>
      </c>
      <c r="D80" s="1377">
        <f si="18" t="shared"/>
        <v>0</v>
      </c>
      <c r="E80" s="1377">
        <f si="18" t="shared"/>
        <v>0</v>
      </c>
      <c r="F80" s="1377">
        <f si="18" t="shared"/>
        <v>0</v>
      </c>
      <c r="G80" s="1377">
        <f si="18" t="shared"/>
        <v>0</v>
      </c>
      <c r="H80" s="1377">
        <f si="18" t="shared"/>
        <v>0</v>
      </c>
      <c r="S80" s="1347">
        <v>317</v>
      </c>
      <c r="T80" s="1347" t="s">
        <v>485</v>
      </c>
      <c r="U80" s="1361">
        <v>1.25074400924</v>
      </c>
      <c r="V80" s="1369">
        <f si="12" t="shared"/>
        <v>1.25074400924</v>
      </c>
      <c r="AE80" s="1347">
        <v>154</v>
      </c>
      <c r="AF80" s="1347" t="s">
        <v>12656</v>
      </c>
      <c r="AG80" s="1347">
        <v>-0.40669471784299999</v>
      </c>
      <c r="AI80" s="1347" t="s">
        <v>12673</v>
      </c>
    </row>
    <row ht="14.65" r="81" spans="1:35" thickBot="1" x14ac:dyDescent="0.5">
      <c r="A81" s="15" t="s">
        <v>130</v>
      </c>
      <c r="B81" s="1378">
        <f ref="B81:G81" si="19" t="shared">LN(B40/K40)-$I11</f>
        <v>0</v>
      </c>
      <c r="C81" s="1378">
        <f si="19" t="shared"/>
        <v>0</v>
      </c>
      <c r="D81" s="1378">
        <f si="19" t="shared"/>
        <v>0</v>
      </c>
      <c r="E81" s="1378">
        <f si="19" t="shared"/>
        <v>0</v>
      </c>
      <c r="F81" s="1378">
        <f si="19" t="shared"/>
        <v>0</v>
      </c>
      <c r="G81" s="1378">
        <f si="19" t="shared"/>
        <v>0</v>
      </c>
      <c r="H81" s="1378">
        <f>LN(H40/Q40)-$I11</f>
        <v>0</v>
      </c>
      <c r="S81" s="1347">
        <v>318</v>
      </c>
      <c r="T81" s="1347" t="s">
        <v>487</v>
      </c>
      <c r="U81" s="1361">
        <v>1.7780840091600001</v>
      </c>
      <c r="V81" s="1369">
        <f si="12" t="shared"/>
        <v>1.7780840091600001</v>
      </c>
      <c r="AE81" s="1347">
        <v>155</v>
      </c>
      <c r="AF81" s="1347" t="s">
        <v>12650</v>
      </c>
      <c r="AG81" s="1347">
        <v>0.62763871095099999</v>
      </c>
      <c r="AI81" s="1347" t="s">
        <v>12673</v>
      </c>
    </row>
    <row r="82" spans="1:35" x14ac:dyDescent="0.45">
      <c r="S82" s="1347">
        <v>319</v>
      </c>
      <c r="T82" s="1347" t="s">
        <v>489</v>
      </c>
      <c r="U82" s="1361">
        <v>0.58933089640000003</v>
      </c>
      <c r="V82" s="1369">
        <f si="12" t="shared"/>
        <v>0.58933089640000003</v>
      </c>
      <c r="AE82" s="1347">
        <v>162</v>
      </c>
      <c r="AF82" s="1347" t="s">
        <v>12677</v>
      </c>
      <c r="AG82" s="1347">
        <v>-0.61176239378700004</v>
      </c>
      <c r="AI82" s="1347" t="s">
        <v>12675</v>
      </c>
    </row>
    <row r="83" spans="1:35" x14ac:dyDescent="0.45">
      <c r="S83" s="1347">
        <v>320</v>
      </c>
      <c r="T83" s="1347" t="s">
        <v>491</v>
      </c>
      <c r="U83" s="1361">
        <v>1.2248944044500001</v>
      </c>
      <c r="V83" s="1369">
        <f si="12" t="shared"/>
        <v>1.2248944044500001</v>
      </c>
      <c r="AE83" s="1347">
        <v>164</v>
      </c>
      <c r="AF83" s="1347" t="s">
        <v>12678</v>
      </c>
      <c r="AG83" s="1347">
        <v>0.29502698115600001</v>
      </c>
      <c r="AI83" s="1347" t="s">
        <v>12675</v>
      </c>
    </row>
    <row r="84" spans="1:35" x14ac:dyDescent="0.45">
      <c r="A84" s="1338" t="s">
        <v>175</v>
      </c>
      <c r="B84" s="3"/>
      <c r="C84" s="3"/>
      <c r="D84" s="3"/>
      <c r="E84" s="3"/>
      <c r="F84" s="3"/>
      <c r="G84" s="3"/>
      <c r="H84" s="3"/>
      <c r="J84" s="1382"/>
      <c r="K84" s="1383"/>
      <c r="L84" s="1383"/>
      <c r="M84" s="1383"/>
      <c r="N84" s="1383"/>
      <c r="O84" s="1383"/>
      <c r="P84" s="1383"/>
      <c r="Q84" s="1383"/>
      <c r="S84" s="1347">
        <v>321</v>
      </c>
      <c r="T84" s="1347" t="s">
        <v>493</v>
      </c>
      <c r="U84" s="1361">
        <v>-0.64118983167099997</v>
      </c>
      <c r="V84" s="1369">
        <f si="12" t="shared"/>
        <v>-0.64118983167099997</v>
      </c>
      <c r="AE84" s="1347">
        <v>170</v>
      </c>
      <c r="AF84" s="1347" t="s">
        <v>12682</v>
      </c>
      <c r="AG84" s="1347">
        <v>-1.13679650073</v>
      </c>
      <c r="AI84" s="1347" t="s">
        <v>12680</v>
      </c>
    </row>
    <row r="85" spans="1:35" x14ac:dyDescent="0.45">
      <c r="A85" s="1338" t="s">
        <v>12627</v>
      </c>
      <c r="B85" s="3"/>
      <c r="C85" s="3"/>
      <c r="D85" s="3"/>
      <c r="E85" s="3"/>
      <c r="F85" s="3"/>
      <c r="G85" s="3"/>
      <c r="H85" s="3"/>
      <c r="J85" s="1382"/>
      <c r="K85" s="1383"/>
      <c r="L85" s="1383"/>
      <c r="M85" s="1383"/>
      <c r="N85" s="1383"/>
      <c r="O85" s="1383"/>
      <c r="P85" s="1383"/>
      <c r="Q85" s="1383"/>
      <c r="S85" s="1347">
        <v>322</v>
      </c>
      <c r="T85" s="1347" t="s">
        <v>495</v>
      </c>
      <c r="U85" s="1361">
        <v>-0.26216348222300001</v>
      </c>
      <c r="V85" s="1369">
        <f si="12" t="shared"/>
        <v>-0.26216348222300001</v>
      </c>
      <c r="AE85" s="1347">
        <v>171</v>
      </c>
      <c r="AF85" s="1347" t="s">
        <v>12683</v>
      </c>
      <c r="AG85" s="1347">
        <v>0.80187878989000005</v>
      </c>
      <c r="AI85" s="1347" t="s">
        <v>12680</v>
      </c>
    </row>
    <row ht="14.65" r="86" spans="1:35" thickBot="1" x14ac:dyDescent="0.5">
      <c r="A86" s="3"/>
      <c r="B86" s="4"/>
      <c r="C86" s="4"/>
      <c r="D86" s="4"/>
      <c r="E86" s="4"/>
      <c r="F86" s="4"/>
      <c r="G86" s="4"/>
      <c r="H86" s="4"/>
      <c r="J86" s="1383"/>
      <c r="K86" s="1382"/>
      <c r="L86" s="1382"/>
      <c r="M86" s="1382"/>
      <c r="N86" s="1382"/>
      <c r="O86" s="1382"/>
      <c r="P86" s="1382"/>
      <c r="Q86" s="1382"/>
      <c r="S86" s="1347">
        <v>323</v>
      </c>
      <c r="T86" s="1347" t="s">
        <v>497</v>
      </c>
      <c r="U86" s="1361">
        <v>-0.34261970775299999</v>
      </c>
      <c r="V86" s="1369">
        <f si="12" t="shared"/>
        <v>-0.34261970775299999</v>
      </c>
      <c r="AE86" s="1347">
        <v>172</v>
      </c>
      <c r="AF86" s="1347" t="s">
        <v>12684</v>
      </c>
      <c r="AG86" s="1347">
        <v>0.53036306282199996</v>
      </c>
      <c r="AI86" s="1347" t="s">
        <v>12680</v>
      </c>
    </row>
    <row r="87" spans="1:35" x14ac:dyDescent="0.4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245</v>
      </c>
      <c r="F87" s="6" t="s">
        <v>246</v>
      </c>
      <c r="G87" s="6" t="s">
        <v>247</v>
      </c>
      <c r="H87" s="6" t="s">
        <v>248</v>
      </c>
      <c r="J87" s="1384"/>
      <c r="K87" s="1385"/>
      <c r="L87" s="1385"/>
      <c r="M87" s="1385"/>
      <c r="N87" s="1385"/>
      <c r="O87" s="1385"/>
      <c r="P87" s="1385"/>
      <c r="Q87" s="1385"/>
      <c r="S87" s="1347">
        <v>324</v>
      </c>
      <c r="T87" s="1347" t="s">
        <v>499</v>
      </c>
      <c r="U87" s="1361">
        <v>0</v>
      </c>
      <c r="V87" s="1369">
        <f si="12" t="shared"/>
        <v>0</v>
      </c>
      <c r="AE87" s="1347">
        <v>173</v>
      </c>
      <c r="AF87" s="1347" t="s">
        <v>12682</v>
      </c>
      <c r="AG87" s="1347">
        <v>-0.48533998618500002</v>
      </c>
      <c r="AI87" s="1347" t="s">
        <v>12688</v>
      </c>
    </row>
    <row r="88" spans="1:35" x14ac:dyDescent="0.45">
      <c r="A88" s="3" t="s">
        <v>211</v>
      </c>
      <c r="B88" s="1377">
        <f>B62+B75</f>
        <v>0</v>
      </c>
      <c r="C88" s="1377">
        <f>C62+C75</f>
        <v>-0.71110898243599996</v>
      </c>
      <c r="D88" s="1377"/>
      <c r="E88" s="1377"/>
      <c r="F88" s="1377">
        <f>F62+F75</f>
        <v>-1.2076938105299999</v>
      </c>
      <c r="G88" s="1377">
        <f>G62+G75</f>
        <v>-1.82717146308</v>
      </c>
      <c r="H88" s="1377"/>
      <c r="J88" s="1383"/>
      <c r="K88" s="1383"/>
      <c r="L88" s="1383"/>
      <c r="M88" s="1383"/>
      <c r="N88" s="1383"/>
      <c r="O88" s="1383"/>
      <c r="P88" s="1383"/>
      <c r="Q88" s="1383"/>
      <c r="S88" s="1347">
        <v>325</v>
      </c>
      <c r="T88" s="1347" t="s">
        <v>501</v>
      </c>
      <c r="U88" s="1361">
        <v>0</v>
      </c>
      <c r="V88" s="1369">
        <f si="12" t="shared"/>
        <v>0</v>
      </c>
      <c r="AE88" s="1347">
        <v>174</v>
      </c>
      <c r="AF88" s="1347" t="s">
        <v>12678</v>
      </c>
      <c r="AG88" s="1347">
        <v>0.219330681704</v>
      </c>
      <c r="AI88" s="1347" t="s">
        <v>12688</v>
      </c>
    </row>
    <row r="89" spans="1:35" x14ac:dyDescent="0.45">
      <c r="A89" s="3" t="s">
        <v>212</v>
      </c>
      <c r="B89" s="1377" t="e">
        <f>B63+B76</f>
        <v>#DIV/0!</v>
      </c>
      <c r="C89" s="1377"/>
      <c r="D89" s="1377"/>
      <c r="E89" s="1377"/>
      <c r="F89" s="1377">
        <f ref="F89:H89" si="20" t="shared">F63+F76</f>
        <v>1.02246211081</v>
      </c>
      <c r="G89" s="1377">
        <f si="20" t="shared"/>
        <v>2.0692687994700001</v>
      </c>
      <c r="H89" s="1377">
        <f si="20" t="shared"/>
        <v>2.1622947890500002</v>
      </c>
      <c r="J89" s="1383"/>
      <c r="K89" s="1383"/>
      <c r="L89" s="1383"/>
      <c r="M89" s="1383"/>
      <c r="N89" s="1383"/>
      <c r="O89" s="1383"/>
      <c r="P89" s="1383"/>
      <c r="Q89" s="1383"/>
      <c r="S89" s="1347">
        <v>326</v>
      </c>
      <c r="T89" s="1347" t="s">
        <v>503</v>
      </c>
      <c r="U89" s="1361">
        <v>0</v>
      </c>
      <c r="V89" s="1369">
        <f si="12" t="shared"/>
        <v>0</v>
      </c>
      <c r="AE89" s="1347">
        <v>175</v>
      </c>
      <c r="AF89" s="1347" t="s">
        <v>12651</v>
      </c>
      <c r="AG89" s="1347">
        <v>0.47838014869200002</v>
      </c>
      <c r="AI89" s="1347" t="s">
        <v>12652</v>
      </c>
    </row>
    <row r="90" spans="1:35" x14ac:dyDescent="0.45">
      <c r="A90" s="3" t="s">
        <v>213</v>
      </c>
      <c r="B90" s="1377">
        <f ref="B90:H90" si="21" t="shared">B64+B77</f>
        <v>0</v>
      </c>
      <c r="C90" s="1377">
        <f si="21" t="shared"/>
        <v>0</v>
      </c>
      <c r="D90" s="1377">
        <f si="21" t="shared"/>
        <v>-0.74471438544699997</v>
      </c>
      <c r="E90" s="1377">
        <f si="21" t="shared"/>
        <v>0</v>
      </c>
      <c r="F90" s="1377">
        <f si="21" t="shared"/>
        <v>0</v>
      </c>
      <c r="G90" s="1377">
        <f si="21" t="shared"/>
        <v>0</v>
      </c>
      <c r="H90" s="1377">
        <f si="21" t="shared"/>
        <v>0</v>
      </c>
      <c r="J90" s="1383"/>
      <c r="K90" s="1383"/>
      <c r="L90" s="1383"/>
      <c r="M90" s="1383"/>
      <c r="N90" s="1383"/>
      <c r="O90" s="1383"/>
      <c r="P90" s="1383"/>
      <c r="Q90" s="1383"/>
      <c r="S90" s="1347">
        <v>327</v>
      </c>
      <c r="T90" s="1347" t="s">
        <v>505</v>
      </c>
      <c r="U90" s="1361">
        <v>0</v>
      </c>
      <c r="V90" s="1369">
        <f si="12" t="shared"/>
        <v>0</v>
      </c>
      <c r="AE90" s="1347">
        <v>181</v>
      </c>
      <c r="AF90" s="1347" t="s">
        <v>12663</v>
      </c>
      <c r="AG90" s="1347">
        <v>0.14237400597200001</v>
      </c>
      <c r="AI90" s="1347" t="s">
        <v>12658</v>
      </c>
    </row>
    <row r="91" spans="1:35" x14ac:dyDescent="0.45">
      <c r="A91" s="3" t="s">
        <v>214</v>
      </c>
      <c r="B91" s="1377">
        <f ref="B91:H91" si="22" t="shared">B65+B78</f>
        <v>0</v>
      </c>
      <c r="C91" s="1377">
        <f si="22" t="shared"/>
        <v>0.16969119518199999</v>
      </c>
      <c r="D91" s="1377">
        <f si="22" t="shared"/>
        <v>0.49340626914899999</v>
      </c>
      <c r="E91" s="1377">
        <f si="22" t="shared"/>
        <v>0.37994419983299998</v>
      </c>
      <c r="F91" s="1377">
        <f si="22" t="shared"/>
        <v>0</v>
      </c>
      <c r="G91" s="1377">
        <f si="22" t="shared"/>
        <v>-0.23495871103800001</v>
      </c>
      <c r="H91" s="1377">
        <f si="22" t="shared"/>
        <v>-0.35091134456200002</v>
      </c>
      <c r="J91" s="1383"/>
      <c r="K91" s="1383"/>
      <c r="L91" s="1383"/>
      <c r="M91" s="1383"/>
      <c r="N91" s="1383"/>
      <c r="O91" s="1383"/>
      <c r="P91" s="1383"/>
      <c r="Q91" s="1383"/>
      <c r="S91" s="1347">
        <v>328</v>
      </c>
      <c r="T91" s="1347" t="s">
        <v>1058</v>
      </c>
      <c r="U91" s="1361">
        <v>0</v>
      </c>
      <c r="V91" s="1369">
        <f si="12" t="shared"/>
        <v>0</v>
      </c>
      <c r="AE91" s="1347">
        <v>183</v>
      </c>
      <c r="AF91" s="1347" t="s">
        <v>12664</v>
      </c>
      <c r="AG91" s="1347">
        <v>1.1661510393600001</v>
      </c>
      <c r="AI91" s="1347" t="s">
        <v>12658</v>
      </c>
    </row>
    <row r="92" spans="1:35" x14ac:dyDescent="0.45">
      <c r="A92" s="3" t="s">
        <v>215</v>
      </c>
      <c r="B92" s="1377">
        <f ref="B92:H92" si="23" t="shared">B66+B79</f>
        <v>0</v>
      </c>
      <c r="C92" s="1377">
        <f si="23" t="shared"/>
        <v>2.1363353819000001E-2</v>
      </c>
      <c r="D92" s="1377">
        <f si="23" t="shared"/>
        <v>0.15209130060600001</v>
      </c>
      <c r="E92" s="1377">
        <f si="23" t="shared"/>
        <v>0.40352461405000001</v>
      </c>
      <c r="F92" s="1377">
        <f si="23" t="shared"/>
        <v>0.14357679773400001</v>
      </c>
      <c r="G92" s="1377">
        <f si="23" t="shared"/>
        <v>-0.48330139279399997</v>
      </c>
      <c r="H92" s="1377">
        <f si="23" t="shared"/>
        <v>-0.56595716487699999</v>
      </c>
      <c r="J92" s="1383"/>
      <c r="K92" s="1383"/>
      <c r="L92" s="1383"/>
      <c r="M92" s="1383"/>
      <c r="N92" s="1383"/>
      <c r="O92" s="1383"/>
      <c r="P92" s="1383"/>
      <c r="Q92" s="1383"/>
      <c r="S92" s="1347">
        <v>329</v>
      </c>
      <c r="T92" s="1347" t="s">
        <v>507</v>
      </c>
      <c r="U92" s="1361">
        <v>6.62311230207E-2</v>
      </c>
      <c r="V92" s="1369">
        <f si="12" t="shared"/>
        <v>6.62311230207E-2</v>
      </c>
      <c r="AE92" s="1347">
        <v>184</v>
      </c>
      <c r="AF92" s="1347" t="s">
        <v>12665</v>
      </c>
      <c r="AG92" s="1347">
        <v>1.59404940426</v>
      </c>
      <c r="AI92" s="1347" t="s">
        <v>12658</v>
      </c>
    </row>
    <row r="93" spans="1:35" x14ac:dyDescent="0.45">
      <c r="A93" s="3" t="s">
        <v>129</v>
      </c>
      <c r="B93" s="1377">
        <f ref="B93:H93" si="24" t="shared">B67+B80</f>
        <v>0</v>
      </c>
      <c r="C93" s="1377">
        <f si="24" t="shared"/>
        <v>-0.26164161894499999</v>
      </c>
      <c r="D93" s="1377">
        <f si="24" t="shared"/>
        <v>0</v>
      </c>
      <c r="E93" s="1377">
        <f si="24" t="shared"/>
        <v>0</v>
      </c>
      <c r="F93" s="1377">
        <f si="24" t="shared"/>
        <v>0</v>
      </c>
      <c r="G93" s="1377">
        <f si="24" t="shared"/>
        <v>-0.416919956639</v>
      </c>
      <c r="H93" s="1377">
        <f si="24" t="shared"/>
        <v>-0.75945964651599995</v>
      </c>
      <c r="J93" s="1383"/>
      <c r="K93" s="1383"/>
      <c r="L93" s="1383"/>
      <c r="M93" s="1383"/>
      <c r="N93" s="1383"/>
      <c r="O93" s="1383"/>
      <c r="P93" s="1383"/>
      <c r="Q93" s="1383"/>
      <c r="S93" s="1347">
        <v>330</v>
      </c>
      <c r="T93" s="1347" t="s">
        <v>1059</v>
      </c>
      <c r="U93" s="1361">
        <v>0</v>
      </c>
      <c r="V93" s="1369">
        <f si="12" t="shared"/>
        <v>0</v>
      </c>
      <c r="AE93" s="1347">
        <v>195</v>
      </c>
      <c r="AF93" s="1347" t="s">
        <v>12674</v>
      </c>
      <c r="AG93" s="1349">
        <v>4.5416395363000003E-2</v>
      </c>
      <c r="AI93" s="1347" t="s">
        <v>12666</v>
      </c>
    </row>
    <row ht="14.65" r="94" spans="1:35" thickBot="1" x14ac:dyDescent="0.5">
      <c r="A94" s="15" t="s">
        <v>130</v>
      </c>
      <c r="B94" s="1378">
        <f ref="B94:H94" si="25" t="shared">B68+B81</f>
        <v>-0.18079091804700001</v>
      </c>
      <c r="C94" s="1378">
        <f si="25" t="shared"/>
        <v>0</v>
      </c>
      <c r="D94" s="1378">
        <f si="25" t="shared"/>
        <v>0</v>
      </c>
      <c r="E94" s="1378">
        <f si="25" t="shared"/>
        <v>0</v>
      </c>
      <c r="F94" s="1378">
        <f si="25" t="shared"/>
        <v>0</v>
      </c>
      <c r="G94" s="1378">
        <f si="25" t="shared"/>
        <v>0</v>
      </c>
      <c r="H94" s="1378">
        <f si="25" t="shared"/>
        <v>0.35898948241799999</v>
      </c>
      <c r="J94" s="1383"/>
      <c r="K94" s="1383"/>
      <c r="L94" s="1383"/>
      <c r="M94" s="1383"/>
      <c r="N94" s="1383"/>
      <c r="O94" s="1383"/>
      <c r="P94" s="1383"/>
      <c r="Q94" s="1383"/>
      <c r="S94" s="1347">
        <v>331</v>
      </c>
      <c r="T94" s="1347" t="s">
        <v>508</v>
      </c>
      <c r="U94" s="1361">
        <v>7.8148553591200001E-2</v>
      </c>
      <c r="V94" s="1369">
        <f si="12" t="shared"/>
        <v>7.8148553591200001E-2</v>
      </c>
      <c r="AE94" s="1347">
        <v>196</v>
      </c>
      <c r="AF94" s="1347" t="s">
        <v>12664</v>
      </c>
      <c r="AG94" s="1347">
        <v>0.14396484352399999</v>
      </c>
      <c r="AI94" s="1347" t="s">
        <v>12673</v>
      </c>
    </row>
    <row r="95" spans="1:35" x14ac:dyDescent="0.45">
      <c r="J95" s="1386"/>
      <c r="K95" s="1386"/>
      <c r="L95" s="1386"/>
      <c r="M95" s="1386"/>
      <c r="N95" s="1386"/>
      <c r="O95" s="1386"/>
      <c r="P95" s="1386"/>
      <c r="Q95" s="1386"/>
      <c r="S95" s="1347">
        <v>332</v>
      </c>
      <c r="T95" s="1347" t="s">
        <v>1060</v>
      </c>
      <c r="U95" s="1361">
        <v>-0.36162839107299999</v>
      </c>
      <c r="V95" s="1369">
        <f si="12" t="shared"/>
        <v>-0.36162839107299999</v>
      </c>
      <c r="AE95" s="1347">
        <v>197</v>
      </c>
      <c r="AF95" s="1347" t="s">
        <v>12665</v>
      </c>
      <c r="AG95" s="1347">
        <v>0.21876493547600001</v>
      </c>
      <c r="AI95" s="1347" t="s">
        <v>12666</v>
      </c>
    </row>
    <row r="96" spans="1:35" x14ac:dyDescent="0.45">
      <c r="J96" s="1386"/>
      <c r="K96" s="1386"/>
      <c r="L96" s="1386"/>
      <c r="M96" s="1386"/>
      <c r="N96" s="1386"/>
      <c r="O96" s="1386"/>
      <c r="P96" s="1386"/>
      <c r="Q96" s="1386"/>
      <c r="S96" s="1347">
        <v>333</v>
      </c>
      <c r="T96" s="1347" t="s">
        <v>1061</v>
      </c>
      <c r="U96" s="1361">
        <v>-0.16749789355</v>
      </c>
      <c r="V96" s="1369">
        <f si="12" t="shared"/>
        <v>-0.16749789355</v>
      </c>
      <c r="AE96" s="1347">
        <v>207</v>
      </c>
      <c r="AF96" s="1347" t="s">
        <v>12663</v>
      </c>
      <c r="AG96" s="1347">
        <v>0.114269623332</v>
      </c>
      <c r="AI96" s="1347" t="s">
        <v>12675</v>
      </c>
    </row>
    <row r="97" spans="1:35" x14ac:dyDescent="0.45">
      <c r="J97" s="1386"/>
      <c r="K97" s="1386"/>
      <c r="L97" s="1386"/>
      <c r="M97" s="1386"/>
      <c r="N97" s="1386"/>
      <c r="O97" s="1386"/>
      <c r="P97" s="1386"/>
      <c r="Q97" s="1386"/>
      <c r="S97" s="1379">
        <v>351</v>
      </c>
      <c r="T97" s="1379" t="s">
        <v>509</v>
      </c>
      <c r="U97" s="1380">
        <v>0</v>
      </c>
      <c r="V97" s="1380">
        <f>B90</f>
        <v>0</v>
      </c>
      <c r="AE97" s="1347">
        <v>209</v>
      </c>
      <c r="AF97" s="1347" t="s">
        <v>12664</v>
      </c>
      <c r="AG97" s="1347">
        <v>0.249122719479</v>
      </c>
      <c r="AI97" s="1347" t="s">
        <v>12675</v>
      </c>
    </row>
    <row r="98" spans="1:35" x14ac:dyDescent="0.45">
      <c r="A98" s="1381" t="s">
        <v>12691</v>
      </c>
      <c r="B98" s="3"/>
      <c r="C98" s="3"/>
      <c r="D98" s="3"/>
      <c r="E98" s="3"/>
      <c r="F98" s="3"/>
      <c r="G98" s="3"/>
      <c r="H98" s="3"/>
      <c r="J98" s="1386"/>
      <c r="K98" s="1386"/>
      <c r="L98" s="1386"/>
      <c r="M98" s="1386"/>
      <c r="N98" s="1386"/>
      <c r="O98" s="1386"/>
      <c r="P98" s="1386"/>
      <c r="Q98" s="1386"/>
      <c r="S98" s="1370">
        <v>400</v>
      </c>
      <c r="T98" s="1370" t="s">
        <v>511</v>
      </c>
      <c r="U98" s="1371">
        <v>-2.0825068933400002</v>
      </c>
      <c r="V98" s="1371">
        <f>J8</f>
        <v>-2.0825068933400002</v>
      </c>
      <c r="AE98" s="1347">
        <v>210</v>
      </c>
      <c r="AF98" s="1347" t="s">
        <v>12665</v>
      </c>
      <c r="AG98" s="1347">
        <v>0.25694206716599999</v>
      </c>
      <c r="AI98" s="1347" t="s">
        <v>12675</v>
      </c>
    </row>
    <row ht="14.65" r="99" spans="1:35" thickBot="1" x14ac:dyDescent="0.5">
      <c r="A99" s="15"/>
      <c r="B99" s="15"/>
      <c r="C99" s="15"/>
      <c r="D99" s="15"/>
      <c r="E99" s="3"/>
      <c r="F99" s="1376" t="s">
        <v>12621</v>
      </c>
      <c r="G99" s="1356"/>
      <c r="H99" s="1356"/>
      <c r="I99" s="1"/>
      <c r="J99" s="1356"/>
      <c r="K99" s="1386"/>
      <c r="L99" s="1386"/>
      <c r="M99" s="1386"/>
      <c r="N99" s="1386"/>
      <c r="O99" s="1386"/>
      <c r="P99" s="1386"/>
      <c r="Q99" s="1386"/>
      <c r="S99" s="1370">
        <v>401</v>
      </c>
      <c r="T99" s="1370" t="s">
        <v>513</v>
      </c>
      <c r="U99" s="1371">
        <v>2.2906954036</v>
      </c>
      <c r="V99" s="1371">
        <f>J22</f>
        <v>2.2906954036</v>
      </c>
      <c r="AE99" s="1347">
        <v>221</v>
      </c>
      <c r="AF99" s="1347" t="s">
        <v>12674</v>
      </c>
      <c r="AG99" s="1347">
        <v>0.12529901139999999</v>
      </c>
      <c r="AI99" s="1347" t="s">
        <v>12680</v>
      </c>
    </row>
    <row r="100" spans="1:35" x14ac:dyDescent="0.45">
      <c r="A100" s="1387" t="s">
        <v>159</v>
      </c>
      <c r="B100" s="1387" t="s">
        <v>12708</v>
      </c>
      <c r="C100" s="1387" t="s">
        <v>12620</v>
      </c>
      <c r="D100" s="1387" t="s">
        <v>1083</v>
      </c>
      <c r="E100" s="3"/>
      <c r="F100" s="1352" t="s">
        <v>1044</v>
      </c>
      <c r="G100" s="1352" t="s">
        <v>340</v>
      </c>
      <c r="H100" s="1352" t="s">
        <v>1084</v>
      </c>
      <c r="I100" s="1352" t="s">
        <v>1085</v>
      </c>
      <c r="J100" s="1352" t="s">
        <v>1086</v>
      </c>
      <c r="K100" s="1386"/>
      <c r="L100" s="1386"/>
      <c r="M100" s="1386"/>
      <c r="N100" s="1386"/>
      <c r="O100" s="1386"/>
      <c r="P100" s="1386"/>
      <c r="Q100" s="1386"/>
      <c r="S100" s="1379">
        <v>402</v>
      </c>
      <c r="T100" s="1379" t="s">
        <v>515</v>
      </c>
      <c r="U100" s="1380">
        <v>0.16969119518199999</v>
      </c>
      <c r="V100" s="1380">
        <f>C91</f>
        <v>0.16969119518199999</v>
      </c>
      <c r="AE100" s="1347">
        <v>222</v>
      </c>
      <c r="AF100" s="1347" t="s">
        <v>12664</v>
      </c>
      <c r="AG100" s="1347">
        <v>0.51645107443399996</v>
      </c>
      <c r="AI100" s="1347" t="s">
        <v>12680</v>
      </c>
    </row>
    <row r="101" spans="1:35" x14ac:dyDescent="0.45">
      <c r="A101" s="3" t="s">
        <v>117</v>
      </c>
      <c r="B101" s="7">
        <f>output_NHTS!D136</f>
        <v>100000</v>
      </c>
      <c r="C101" s="7">
        <f>output!D136</f>
        <v>100000</v>
      </c>
      <c r="D101" s="1388">
        <f>B101/C101</f>
        <v>1</v>
      </c>
      <c r="E101" s="3"/>
      <c r="F101" s="3">
        <v>1</v>
      </c>
      <c r="G101" s="3" t="s">
        <v>117</v>
      </c>
      <c r="H101" s="1389">
        <v>-0.22601405295499999</v>
      </c>
      <c r="I101" s="1389">
        <f>LN(D101)-LN(D101)</f>
        <v>0</v>
      </c>
      <c r="J101" s="1389">
        <f>H101+I101</f>
        <v>-0.22601405295499999</v>
      </c>
      <c r="S101" s="1379">
        <v>403</v>
      </c>
      <c r="T101" s="1379" t="s">
        <v>517</v>
      </c>
      <c r="U101" s="1380">
        <v>0.49340626914899999</v>
      </c>
      <c r="V101" s="1380">
        <f>D91</f>
        <v>0.49340626914899999</v>
      </c>
      <c r="AE101" s="1347">
        <v>223</v>
      </c>
      <c r="AF101" s="1347" t="s">
        <v>12665</v>
      </c>
      <c r="AG101" s="1347">
        <v>0.61577891945899998</v>
      </c>
      <c r="AI101" s="1347" t="s">
        <v>12680</v>
      </c>
    </row>
    <row r="102" spans="1:35" x14ac:dyDescent="0.45">
      <c r="A102" s="3" t="s">
        <v>118</v>
      </c>
      <c r="B102" s="7">
        <f>output_NHTS!D137</f>
        <v>3000</v>
      </c>
      <c r="C102" s="7">
        <f>output!D137</f>
        <v>3000</v>
      </c>
      <c r="D102" s="1388">
        <f ref="D102:D107" si="26" t="shared">B102/C102</f>
        <v>1</v>
      </c>
      <c r="E102" s="3"/>
      <c r="F102" s="3">
        <v>3</v>
      </c>
      <c r="G102" s="3" t="s">
        <v>118</v>
      </c>
      <c r="H102" s="1389">
        <v>-2.1894916318800002</v>
      </c>
      <c r="I102" s="1389">
        <f>LN(D102)</f>
        <v>0</v>
      </c>
      <c r="J102" s="1389">
        <f ref="J102:J107" si="27" t="shared">H102+I102</f>
        <v>-2.1894916318800002</v>
      </c>
      <c r="S102" s="1379">
        <v>404</v>
      </c>
      <c r="T102" s="1379" t="s">
        <v>519</v>
      </c>
      <c r="U102" s="1380">
        <v>0.37994419983299998</v>
      </c>
      <c r="V102" s="1380">
        <f>E91</f>
        <v>0.37994419983299998</v>
      </c>
      <c r="AE102" s="1347">
        <v>226</v>
      </c>
      <c r="AF102" s="1347" t="s">
        <v>12685</v>
      </c>
      <c r="AG102" s="1349">
        <v>2.2703091891400001E-2</v>
      </c>
      <c r="AI102" s="1347" t="s">
        <v>12680</v>
      </c>
    </row>
    <row r="103" spans="1:35" x14ac:dyDescent="0.45">
      <c r="A103" s="3" t="s">
        <v>4</v>
      </c>
      <c r="B103" s="7">
        <f>output_NHTS!D138</f>
        <v>27000</v>
      </c>
      <c r="C103" s="7">
        <f>output!D138</f>
        <v>27000</v>
      </c>
      <c r="D103" s="1388">
        <f si="26" t="shared"/>
        <v>1</v>
      </c>
      <c r="E103" s="3"/>
      <c r="F103" s="3">
        <v>4</v>
      </c>
      <c r="G103" s="3" t="s">
        <v>4</v>
      </c>
      <c r="H103" s="1389">
        <v>-3.1363370499699998</v>
      </c>
      <c r="I103" s="1389">
        <f ref="I103:I107" si="28" t="shared">LN(D103)</f>
        <v>0</v>
      </c>
      <c r="J103" s="1389">
        <f si="27" t="shared"/>
        <v>-3.1363370499699998</v>
      </c>
      <c r="S103" s="1379">
        <v>405</v>
      </c>
      <c r="T103" s="1379" t="s">
        <v>521</v>
      </c>
      <c r="U103" s="1380">
        <v>0</v>
      </c>
      <c r="V103" s="1380">
        <f>F91</f>
        <v>0</v>
      </c>
      <c r="AE103" s="1347">
        <v>228</v>
      </c>
      <c r="AF103" s="1347" t="s">
        <v>12686</v>
      </c>
      <c r="AG103" s="1347">
        <v>-0.124677687572</v>
      </c>
      <c r="AI103" s="1347" t="s">
        <v>12680</v>
      </c>
    </row>
    <row r="104" spans="1:35" x14ac:dyDescent="0.45">
      <c r="A104" s="3" t="s">
        <v>5</v>
      </c>
      <c r="B104" s="7">
        <f>output_NHTS!D139</f>
        <v>50000</v>
      </c>
      <c r="C104" s="7">
        <f>output!D139</f>
        <v>50000</v>
      </c>
      <c r="D104" s="1388">
        <f si="26" t="shared"/>
        <v>1</v>
      </c>
      <c r="E104" s="3"/>
      <c r="F104" s="3">
        <v>6</v>
      </c>
      <c r="G104" s="3" t="s">
        <v>5</v>
      </c>
      <c r="H104" s="1389">
        <v>-1.4003692729499999</v>
      </c>
      <c r="I104" s="1389">
        <f si="28" t="shared"/>
        <v>0</v>
      </c>
      <c r="J104" s="1389">
        <f si="27" t="shared"/>
        <v>-1.4003692729499999</v>
      </c>
      <c r="S104" s="1379">
        <v>406</v>
      </c>
      <c r="T104" s="1379" t="s">
        <v>523</v>
      </c>
      <c r="U104" s="1380">
        <v>-0.23495871103800001</v>
      </c>
      <c r="V104" s="1380">
        <f>G91</f>
        <v>-0.23495871103800001</v>
      </c>
      <c r="AE104" s="1347">
        <v>235</v>
      </c>
      <c r="AF104" s="1347" t="s">
        <v>12664</v>
      </c>
      <c r="AG104" s="1347">
        <v>0.29394375688000002</v>
      </c>
      <c r="AI104" s="1347" t="s">
        <v>12688</v>
      </c>
    </row>
    <row r="105" spans="1:35" x14ac:dyDescent="0.45">
      <c r="A105" s="3" t="s">
        <v>6</v>
      </c>
      <c r="B105" s="7">
        <f>output_NHTS!D140</f>
        <v>88000</v>
      </c>
      <c r="C105" s="7">
        <f>output!D140</f>
        <v>88000</v>
      </c>
      <c r="D105" s="1388">
        <f si="26" t="shared"/>
        <v>1</v>
      </c>
      <c r="E105" s="3"/>
      <c r="F105" s="3">
        <v>8</v>
      </c>
      <c r="G105" s="3" t="s">
        <v>6</v>
      </c>
      <c r="H105" s="1389">
        <v>-1.79617773946</v>
      </c>
      <c r="I105" s="1389">
        <f si="28" t="shared"/>
        <v>0</v>
      </c>
      <c r="J105" s="1389">
        <f si="27" t="shared"/>
        <v>-1.79617773946</v>
      </c>
      <c r="S105" s="1379">
        <v>407</v>
      </c>
      <c r="T105" s="1379" t="s">
        <v>525</v>
      </c>
      <c r="U105" s="1380">
        <v>-0.35091134456200002</v>
      </c>
      <c r="V105" s="1380">
        <f>H91</f>
        <v>-0.35091134456200002</v>
      </c>
      <c r="AE105" s="1347">
        <v>236</v>
      </c>
      <c r="AF105" s="1347" t="s">
        <v>12665</v>
      </c>
      <c r="AG105" s="1347">
        <v>0.352789652234</v>
      </c>
      <c r="AI105" s="1347" t="s">
        <v>12688</v>
      </c>
    </row>
    <row r="106" spans="1:35" x14ac:dyDescent="0.45">
      <c r="A106" s="3" t="s">
        <v>7</v>
      </c>
      <c r="B106" s="7">
        <f>output_NHTS!D141</f>
        <v>111000</v>
      </c>
      <c r="C106" s="7">
        <f>output!D141</f>
        <v>111000</v>
      </c>
      <c r="D106" s="1388">
        <f si="26" t="shared"/>
        <v>1</v>
      </c>
      <c r="E106" s="3"/>
      <c r="F106" s="3">
        <v>10</v>
      </c>
      <c r="G106" s="3" t="s">
        <v>7</v>
      </c>
      <c r="H106" s="1389">
        <v>-0.271469703452</v>
      </c>
      <c r="I106" s="1389">
        <f si="28" t="shared"/>
        <v>0</v>
      </c>
      <c r="J106" s="1389">
        <f si="27" t="shared"/>
        <v>-0.271469703452</v>
      </c>
      <c r="S106" s="1347">
        <v>408</v>
      </c>
      <c r="T106" s="1347" t="s">
        <v>527</v>
      </c>
      <c r="U106" s="1361">
        <v>-0.41495252702399998</v>
      </c>
      <c r="V106" s="1369">
        <f si="12" t="shared"/>
        <v>-0.41495252702399998</v>
      </c>
      <c r="AE106" s="1347">
        <v>237</v>
      </c>
      <c r="AF106" s="1347" t="s">
        <v>12657</v>
      </c>
      <c r="AG106" s="1347">
        <v>-1.3902039335800001</v>
      </c>
      <c r="AI106" s="1347" t="s">
        <v>12653</v>
      </c>
    </row>
    <row ht="14.65" r="107" spans="1:35" thickBot="1" x14ac:dyDescent="0.5">
      <c r="A107" s="15" t="s">
        <v>8</v>
      </c>
      <c r="B107" s="22">
        <f>output_NHTS!D142</f>
        <v>15000</v>
      </c>
      <c r="C107" s="22">
        <f>output!D142</f>
        <v>15000</v>
      </c>
      <c r="D107" s="1391">
        <f si="26" t="shared"/>
        <v>1</v>
      </c>
      <c r="E107" s="3"/>
      <c r="F107" s="15">
        <v>13</v>
      </c>
      <c r="G107" s="15" t="s">
        <v>8</v>
      </c>
      <c r="H107" s="1390">
        <v>-1.7297485832799999</v>
      </c>
      <c r="I107" s="1390">
        <f si="28" t="shared"/>
        <v>0</v>
      </c>
      <c r="J107" s="1390">
        <f si="27" t="shared"/>
        <v>-1.7297485832799999</v>
      </c>
      <c r="S107" s="1347">
        <v>409</v>
      </c>
      <c r="T107" s="1347" t="s">
        <v>529</v>
      </c>
      <c r="U107" s="1361">
        <v>-7.0369393264800004E-2</v>
      </c>
      <c r="V107" s="1369">
        <f si="12" t="shared"/>
        <v>-7.0369393264800004E-2</v>
      </c>
      <c r="AE107" s="1347">
        <v>238</v>
      </c>
      <c r="AF107" s="1347" t="s">
        <v>12657</v>
      </c>
      <c r="AG107" s="1347">
        <v>0.31366055622900002</v>
      </c>
      <c r="AI107" s="1347" t="s">
        <v>12658</v>
      </c>
    </row>
    <row r="108" spans="1:35" x14ac:dyDescent="0.45">
      <c r="S108" s="1347">
        <v>410</v>
      </c>
      <c r="T108" s="1347" t="s">
        <v>531</v>
      </c>
      <c r="U108" s="1361">
        <v>0</v>
      </c>
      <c r="V108" s="1369">
        <f si="12" t="shared"/>
        <v>0</v>
      </c>
      <c r="AE108" s="1347">
        <v>239</v>
      </c>
      <c r="AF108" s="1347" t="s">
        <v>12657</v>
      </c>
      <c r="AG108" s="1347">
        <v>0.61850625713600005</v>
      </c>
      <c r="AI108" s="1347" t="s">
        <v>12680</v>
      </c>
    </row>
    <row r="109" spans="1:35" x14ac:dyDescent="0.45">
      <c r="S109" s="1347">
        <v>411</v>
      </c>
      <c r="T109" s="1347" t="s">
        <v>533</v>
      </c>
      <c r="U109" s="1361">
        <v>0.115383900761</v>
      </c>
      <c r="V109" s="1369">
        <f si="12" t="shared"/>
        <v>0.115383900761</v>
      </c>
    </row>
    <row r="110" spans="1:35" x14ac:dyDescent="0.45">
      <c r="S110" s="1347">
        <v>412</v>
      </c>
      <c r="T110" s="1347" t="s">
        <v>535</v>
      </c>
      <c r="U110" s="1361">
        <v>2.9663415100999999E-2</v>
      </c>
      <c r="V110" s="1369">
        <f si="12" t="shared"/>
        <v>2.9663415100999999E-2</v>
      </c>
    </row>
    <row r="111" spans="1:35" x14ac:dyDescent="0.45">
      <c r="S111" s="1347">
        <v>413</v>
      </c>
      <c r="T111" s="1347" t="s">
        <v>537</v>
      </c>
      <c r="U111" s="1361">
        <v>0</v>
      </c>
      <c r="V111" s="1369">
        <f si="12" t="shared"/>
        <v>0</v>
      </c>
    </row>
    <row r="112" spans="1:35" x14ac:dyDescent="0.45">
      <c r="S112" s="1347">
        <v>414</v>
      </c>
      <c r="T112" s="1347" t="s">
        <v>539</v>
      </c>
      <c r="U112" s="1361">
        <v>0</v>
      </c>
      <c r="V112" s="1369">
        <f si="12" t="shared"/>
        <v>0</v>
      </c>
    </row>
    <row r="113" spans="19:22" x14ac:dyDescent="0.45">
      <c r="S113" s="1347">
        <v>416</v>
      </c>
      <c r="T113" s="1347" t="s">
        <v>542</v>
      </c>
      <c r="U113" s="1361">
        <v>0</v>
      </c>
      <c r="V113" s="1369">
        <f si="12" t="shared"/>
        <v>0</v>
      </c>
    </row>
    <row r="114" spans="19:22" x14ac:dyDescent="0.45">
      <c r="S114" s="1347">
        <v>417</v>
      </c>
      <c r="T114" s="1347" t="s">
        <v>544</v>
      </c>
      <c r="U114" s="1361">
        <v>-0.384896866713</v>
      </c>
      <c r="V114" s="1369">
        <f si="12" t="shared"/>
        <v>-0.384896866713</v>
      </c>
    </row>
    <row r="115" spans="19:22" x14ac:dyDescent="0.45">
      <c r="S115" s="1347">
        <v>418</v>
      </c>
      <c r="T115" s="1347" t="s">
        <v>546</v>
      </c>
      <c r="U115" s="1361">
        <v>-0.298755266844</v>
      </c>
      <c r="V115" s="1369">
        <f si="12" t="shared"/>
        <v>-0.298755266844</v>
      </c>
    </row>
    <row r="116" spans="19:22" x14ac:dyDescent="0.45">
      <c r="S116" s="1347">
        <v>419</v>
      </c>
      <c r="T116" s="1347" t="s">
        <v>548</v>
      </c>
      <c r="U116" s="1361">
        <v>0</v>
      </c>
      <c r="V116" s="1369">
        <f si="12" t="shared"/>
        <v>0</v>
      </c>
    </row>
    <row r="117" spans="19:22" x14ac:dyDescent="0.45">
      <c r="S117" s="1347">
        <v>420</v>
      </c>
      <c r="T117" s="1347" t="s">
        <v>550</v>
      </c>
      <c r="U117" s="1361">
        <v>-0.45044495678699997</v>
      </c>
      <c r="V117" s="1369">
        <f si="12" t="shared"/>
        <v>-0.45044495678699997</v>
      </c>
    </row>
    <row r="118" spans="19:22" x14ac:dyDescent="0.45">
      <c r="S118" s="1347">
        <v>421</v>
      </c>
      <c r="T118" s="1347" t="s">
        <v>552</v>
      </c>
      <c r="U118" s="1361">
        <v>-0.30637165114300002</v>
      </c>
      <c r="V118" s="1369">
        <f si="12" t="shared"/>
        <v>-0.30637165114300002</v>
      </c>
    </row>
    <row r="119" spans="19:22" x14ac:dyDescent="0.45">
      <c r="S119" s="1347">
        <v>422</v>
      </c>
      <c r="T119" s="1347" t="s">
        <v>554</v>
      </c>
      <c r="U119" s="1361">
        <v>-0.20794112521899999</v>
      </c>
      <c r="V119" s="1369">
        <f si="12" t="shared"/>
        <v>-0.20794112521899999</v>
      </c>
    </row>
    <row r="120" spans="19:22" x14ac:dyDescent="0.45">
      <c r="S120" s="1347">
        <v>423</v>
      </c>
      <c r="T120" s="1347" t="s">
        <v>556</v>
      </c>
      <c r="U120" s="1361">
        <v>6.3943550630299995E-2</v>
      </c>
      <c r="V120" s="1369">
        <f si="12" t="shared"/>
        <v>6.3943550630299995E-2</v>
      </c>
    </row>
    <row r="121" spans="19:22" x14ac:dyDescent="0.45">
      <c r="S121" s="1347">
        <v>424</v>
      </c>
      <c r="T121" s="1347" t="s">
        <v>558</v>
      </c>
      <c r="U121" s="1361">
        <v>0</v>
      </c>
      <c r="V121" s="1369">
        <f si="12" t="shared"/>
        <v>0</v>
      </c>
    </row>
    <row r="122" spans="19:22" x14ac:dyDescent="0.45">
      <c r="S122" s="1347">
        <v>425</v>
      </c>
      <c r="T122" s="1347" t="s">
        <v>560</v>
      </c>
      <c r="U122" s="1361">
        <v>0</v>
      </c>
      <c r="V122" s="1369">
        <f si="12" t="shared"/>
        <v>0</v>
      </c>
    </row>
    <row r="123" spans="19:22" x14ac:dyDescent="0.45">
      <c r="S123" s="1347">
        <v>426</v>
      </c>
      <c r="T123" s="1347" t="s">
        <v>562</v>
      </c>
      <c r="U123" s="1361">
        <v>0</v>
      </c>
      <c r="V123" s="1369">
        <f si="12" t="shared"/>
        <v>0</v>
      </c>
    </row>
    <row r="124" spans="19:22" x14ac:dyDescent="0.45">
      <c r="S124" s="1347">
        <v>427</v>
      </c>
      <c r="T124" s="1347" t="s">
        <v>564</v>
      </c>
      <c r="U124" s="1361">
        <v>0</v>
      </c>
      <c r="V124" s="1369">
        <f si="12" t="shared"/>
        <v>0</v>
      </c>
    </row>
    <row r="125" spans="19:22" x14ac:dyDescent="0.45">
      <c r="S125" s="1347">
        <v>428</v>
      </c>
      <c r="T125" s="1347" t="s">
        <v>1062</v>
      </c>
      <c r="U125" s="1361">
        <v>0</v>
      </c>
      <c r="V125" s="1369">
        <f si="12" t="shared"/>
        <v>0</v>
      </c>
    </row>
    <row r="126" spans="19:22" x14ac:dyDescent="0.45">
      <c r="S126" s="1347">
        <v>429</v>
      </c>
      <c r="T126" s="1347" t="s">
        <v>566</v>
      </c>
      <c r="U126" s="1361">
        <v>2.9308614462100001E-2</v>
      </c>
      <c r="V126" s="1369">
        <f si="12" t="shared"/>
        <v>2.9308614462100001E-2</v>
      </c>
    </row>
    <row r="127" spans="19:22" x14ac:dyDescent="0.45">
      <c r="S127" s="1347">
        <v>430</v>
      </c>
      <c r="T127" s="1347" t="s">
        <v>1063</v>
      </c>
      <c r="U127" s="1361">
        <v>0</v>
      </c>
      <c r="V127" s="1369">
        <f si="12" t="shared"/>
        <v>0</v>
      </c>
    </row>
    <row r="128" spans="19:22" x14ac:dyDescent="0.45">
      <c r="S128" s="1347">
        <v>431</v>
      </c>
      <c r="T128" s="1347" t="s">
        <v>567</v>
      </c>
      <c r="U128" s="1361">
        <v>-7.5671272814599996E-2</v>
      </c>
      <c r="V128" s="1369">
        <f si="12" t="shared"/>
        <v>-7.5671272814599996E-2</v>
      </c>
    </row>
    <row r="129" spans="19:22" x14ac:dyDescent="0.45">
      <c r="S129" s="1347">
        <v>432</v>
      </c>
      <c r="T129" s="1347" t="s">
        <v>1064</v>
      </c>
      <c r="U129" s="1361">
        <v>-0.97950456358000004</v>
      </c>
      <c r="V129" s="1369">
        <f si="12" t="shared"/>
        <v>-0.97950456358000004</v>
      </c>
    </row>
    <row r="130" spans="19:22" x14ac:dyDescent="0.45">
      <c r="S130" s="1347">
        <v>433</v>
      </c>
      <c r="T130" s="1347" t="s">
        <v>1065</v>
      </c>
      <c r="U130" s="1361">
        <v>-0.23241280488499999</v>
      </c>
      <c r="V130" s="1369">
        <f si="12" t="shared"/>
        <v>-0.23241280488499999</v>
      </c>
    </row>
    <row r="131" spans="19:22" x14ac:dyDescent="0.45">
      <c r="S131" s="1379">
        <v>451</v>
      </c>
      <c r="T131" s="1379" t="s">
        <v>568</v>
      </c>
      <c r="U131" s="1380">
        <v>0</v>
      </c>
      <c r="V131" s="1380">
        <f>B91</f>
        <v>0</v>
      </c>
    </row>
    <row r="132" spans="19:22" x14ac:dyDescent="0.45">
      <c r="S132" s="1370">
        <v>500</v>
      </c>
      <c r="T132" s="1370" t="s">
        <v>570</v>
      </c>
      <c r="U132" s="1371">
        <v>-2.2551512740300002</v>
      </c>
      <c r="V132" s="1371">
        <f>J9</f>
        <v>-2.2551512740300002</v>
      </c>
    </row>
    <row r="133" spans="19:22" x14ac:dyDescent="0.45">
      <c r="S133" s="1370">
        <v>501</v>
      </c>
      <c r="T133" s="1370" t="s">
        <v>572</v>
      </c>
      <c r="U133" s="1371">
        <v>1.53876920613</v>
      </c>
      <c r="V133" s="1371">
        <f>J23</f>
        <v>1.53876920613</v>
      </c>
    </row>
    <row r="134" spans="19:22" x14ac:dyDescent="0.45">
      <c r="S134" s="1379">
        <v>502</v>
      </c>
      <c r="T134" s="1379" t="s">
        <v>574</v>
      </c>
      <c r="U134" s="1380">
        <v>2.1363353819000001E-2</v>
      </c>
      <c r="V134" s="1380">
        <f>C92</f>
        <v>2.1363353819000001E-2</v>
      </c>
    </row>
    <row r="135" spans="19:22" x14ac:dyDescent="0.45">
      <c r="S135" s="1379">
        <v>503</v>
      </c>
      <c r="T135" s="1379" t="s">
        <v>576</v>
      </c>
      <c r="U135" s="1380">
        <v>0.15209130060600001</v>
      </c>
      <c r="V135" s="1380">
        <f>D92</f>
        <v>0.15209130060600001</v>
      </c>
    </row>
    <row r="136" spans="19:22" x14ac:dyDescent="0.45">
      <c r="S136" s="1379">
        <v>504</v>
      </c>
      <c r="T136" s="1379" t="s">
        <v>578</v>
      </c>
      <c r="U136" s="1380">
        <v>0.40352461405000001</v>
      </c>
      <c r="V136" s="1380">
        <f>E92</f>
        <v>0.40352461405000001</v>
      </c>
    </row>
    <row r="137" spans="19:22" x14ac:dyDescent="0.45">
      <c r="S137" s="1379">
        <v>505</v>
      </c>
      <c r="T137" s="1379" t="s">
        <v>580</v>
      </c>
      <c r="U137" s="1380">
        <v>0.14357679773400001</v>
      </c>
      <c r="V137" s="1380">
        <f>F92</f>
        <v>0.14357679773400001</v>
      </c>
    </row>
    <row r="138" spans="19:22" x14ac:dyDescent="0.45">
      <c r="S138" s="1379">
        <v>506</v>
      </c>
      <c r="T138" s="1379" t="s">
        <v>582</v>
      </c>
      <c r="U138" s="1380">
        <v>-0.48330139279399997</v>
      </c>
      <c r="V138" s="1380">
        <f>G92</f>
        <v>-0.48330139279399997</v>
      </c>
    </row>
    <row r="139" spans="19:22" x14ac:dyDescent="0.45">
      <c r="S139" s="1379">
        <v>507</v>
      </c>
      <c r="T139" s="1379" t="s">
        <v>584</v>
      </c>
      <c r="U139" s="1380">
        <v>-0.56595716487699999</v>
      </c>
      <c r="V139" s="1380">
        <f>H92</f>
        <v>-0.56595716487699999</v>
      </c>
    </row>
    <row r="140" spans="19:22" x14ac:dyDescent="0.45">
      <c r="S140" s="1347">
        <v>508</v>
      </c>
      <c r="T140" s="1347" t="s">
        <v>586</v>
      </c>
      <c r="U140" s="1361">
        <v>0</v>
      </c>
      <c r="V140" s="1369">
        <f ref="V140:V195" si="29" t="shared">U140</f>
        <v>0</v>
      </c>
    </row>
    <row r="141" spans="19:22" x14ac:dyDescent="0.45">
      <c r="S141" s="1347">
        <v>509</v>
      </c>
      <c r="T141" s="1347" t="s">
        <v>588</v>
      </c>
      <c r="U141" s="1361">
        <v>-0.104561593137</v>
      </c>
      <c r="V141" s="1369">
        <f si="29" t="shared"/>
        <v>-0.104561593137</v>
      </c>
    </row>
    <row r="142" spans="19:22" x14ac:dyDescent="0.45">
      <c r="S142" s="1347">
        <v>510</v>
      </c>
      <c r="T142" s="1347" t="s">
        <v>590</v>
      </c>
      <c r="U142" s="1361">
        <v>0</v>
      </c>
      <c r="V142" s="1369">
        <f si="29" t="shared"/>
        <v>0</v>
      </c>
    </row>
    <row r="143" spans="19:22" x14ac:dyDescent="0.45">
      <c r="S143" s="1347">
        <v>511</v>
      </c>
      <c r="T143" s="1347" t="s">
        <v>592</v>
      </c>
      <c r="U143" s="1361">
        <v>0</v>
      </c>
      <c r="V143" s="1369">
        <f si="29" t="shared"/>
        <v>0</v>
      </c>
    </row>
    <row r="144" spans="19:22" x14ac:dyDescent="0.45">
      <c r="S144" s="1347">
        <v>512</v>
      </c>
      <c r="T144" s="1347" t="s">
        <v>594</v>
      </c>
      <c r="U144" s="1361">
        <v>5.7455556441500001E-2</v>
      </c>
      <c r="V144" s="1369">
        <f si="29" t="shared"/>
        <v>5.7455556441500001E-2</v>
      </c>
    </row>
    <row r="145" spans="19:22" x14ac:dyDescent="0.45">
      <c r="S145" s="1347">
        <v>513</v>
      </c>
      <c r="T145" s="1347" t="s">
        <v>596</v>
      </c>
      <c r="U145" s="1361">
        <v>0.19161158987400001</v>
      </c>
      <c r="V145" s="1369">
        <f si="29" t="shared"/>
        <v>0.19161158987400001</v>
      </c>
    </row>
    <row r="146" spans="19:22" x14ac:dyDescent="0.45">
      <c r="S146" s="1347">
        <v>514</v>
      </c>
      <c r="T146" s="1347" t="s">
        <v>598</v>
      </c>
      <c r="U146" s="1361">
        <v>0</v>
      </c>
      <c r="V146" s="1369">
        <f si="29" t="shared"/>
        <v>0</v>
      </c>
    </row>
    <row r="147" spans="19:22" x14ac:dyDescent="0.45">
      <c r="S147" s="1347">
        <v>516</v>
      </c>
      <c r="T147" s="1347" t="s">
        <v>601</v>
      </c>
      <c r="U147" s="1361">
        <v>0.156453402735</v>
      </c>
      <c r="V147" s="1369">
        <f si="29" t="shared"/>
        <v>0.156453402735</v>
      </c>
    </row>
    <row r="148" spans="19:22" x14ac:dyDescent="0.45">
      <c r="S148" s="1347">
        <v>517</v>
      </c>
      <c r="T148" s="1347" t="s">
        <v>603</v>
      </c>
      <c r="U148" s="1361">
        <v>0</v>
      </c>
      <c r="V148" s="1369">
        <f si="29" t="shared"/>
        <v>0</v>
      </c>
    </row>
    <row r="149" spans="19:22" x14ac:dyDescent="0.45">
      <c r="S149" s="1347">
        <v>518</v>
      </c>
      <c r="T149" s="1347" t="s">
        <v>605</v>
      </c>
      <c r="U149" s="1361">
        <v>0</v>
      </c>
      <c r="V149" s="1369">
        <f si="29" t="shared"/>
        <v>0</v>
      </c>
    </row>
    <row r="150" spans="19:22" x14ac:dyDescent="0.45">
      <c r="S150" s="1347">
        <v>519</v>
      </c>
      <c r="T150" s="1347" t="s">
        <v>607</v>
      </c>
      <c r="U150" s="1361">
        <v>-0.29155341555399999</v>
      </c>
      <c r="V150" s="1369">
        <f si="29" t="shared"/>
        <v>-0.29155341555399999</v>
      </c>
    </row>
    <row r="151" spans="19:22" x14ac:dyDescent="0.45">
      <c r="S151" s="1347">
        <v>520</v>
      </c>
      <c r="T151" s="1347" t="s">
        <v>609</v>
      </c>
      <c r="U151" s="1361">
        <v>0</v>
      </c>
      <c r="V151" s="1369">
        <f si="29" t="shared"/>
        <v>0</v>
      </c>
    </row>
    <row r="152" spans="19:22" x14ac:dyDescent="0.45">
      <c r="S152" s="1347">
        <v>521</v>
      </c>
      <c r="T152" s="1347" t="s">
        <v>611</v>
      </c>
      <c r="U152" s="1361">
        <v>-0.23060470699800001</v>
      </c>
      <c r="V152" s="1369">
        <f si="29" t="shared"/>
        <v>-0.23060470699800001</v>
      </c>
    </row>
    <row r="153" spans="19:22" x14ac:dyDescent="0.45">
      <c r="S153" s="1347">
        <v>522</v>
      </c>
      <c r="T153" s="1347" t="s">
        <v>613</v>
      </c>
      <c r="U153" s="1361">
        <v>-0.30518042548399998</v>
      </c>
      <c r="V153" s="1369">
        <f si="29" t="shared"/>
        <v>-0.30518042548399998</v>
      </c>
    </row>
    <row r="154" spans="19:22" x14ac:dyDescent="0.45">
      <c r="S154" s="1347">
        <v>523</v>
      </c>
      <c r="T154" s="1347" t="s">
        <v>615</v>
      </c>
      <c r="U154" s="1361">
        <v>4.7427549270000001E-2</v>
      </c>
      <c r="V154" s="1369">
        <f si="29" t="shared"/>
        <v>4.7427549270000001E-2</v>
      </c>
    </row>
    <row r="155" spans="19:22" x14ac:dyDescent="0.45">
      <c r="S155" s="1347">
        <v>524</v>
      </c>
      <c r="T155" s="1347" t="s">
        <v>617</v>
      </c>
      <c r="U155" s="1361">
        <v>0</v>
      </c>
      <c r="V155" s="1369">
        <f si="29" t="shared"/>
        <v>0</v>
      </c>
    </row>
    <row r="156" spans="19:22" x14ac:dyDescent="0.45">
      <c r="S156" s="1347">
        <v>525</v>
      </c>
      <c r="T156" s="1347" t="s">
        <v>619</v>
      </c>
      <c r="U156" s="1361">
        <v>0</v>
      </c>
      <c r="V156" s="1369">
        <f si="29" t="shared"/>
        <v>0</v>
      </c>
    </row>
    <row r="157" spans="19:22" x14ac:dyDescent="0.45">
      <c r="S157" s="1347">
        <v>526</v>
      </c>
      <c r="T157" s="1347" t="s">
        <v>621</v>
      </c>
      <c r="U157" s="1361">
        <v>0</v>
      </c>
      <c r="V157" s="1369">
        <f si="29" t="shared"/>
        <v>0</v>
      </c>
    </row>
    <row r="158" spans="19:22" x14ac:dyDescent="0.45">
      <c r="S158" s="1347">
        <v>527</v>
      </c>
      <c r="T158" s="1347" t="s">
        <v>623</v>
      </c>
      <c r="U158" s="1361">
        <v>0</v>
      </c>
      <c r="V158" s="1369">
        <f si="29" t="shared"/>
        <v>0</v>
      </c>
    </row>
    <row r="159" spans="19:22" x14ac:dyDescent="0.45">
      <c r="S159" s="1347">
        <v>528</v>
      </c>
      <c r="T159" s="1347" t="s">
        <v>1066</v>
      </c>
      <c r="U159" s="1361">
        <v>0</v>
      </c>
      <c r="V159" s="1369">
        <f si="29" t="shared"/>
        <v>0</v>
      </c>
    </row>
    <row r="160" spans="19:22" x14ac:dyDescent="0.45">
      <c r="S160" s="1347">
        <v>529</v>
      </c>
      <c r="T160" s="1347" t="s">
        <v>625</v>
      </c>
      <c r="U160" s="1361">
        <v>3.2339996106899999E-2</v>
      </c>
      <c r="V160" s="1369">
        <f si="29" t="shared"/>
        <v>3.2339996106899999E-2</v>
      </c>
    </row>
    <row r="161" spans="19:22" x14ac:dyDescent="0.45">
      <c r="S161" s="1347">
        <v>530</v>
      </c>
      <c r="T161" s="1347" t="s">
        <v>1067</v>
      </c>
      <c r="U161" s="1361">
        <v>0</v>
      </c>
      <c r="V161" s="1369">
        <f si="29" t="shared"/>
        <v>0</v>
      </c>
    </row>
    <row r="162" spans="19:22" x14ac:dyDescent="0.45">
      <c r="S162" s="1347">
        <v>531</v>
      </c>
      <c r="T162" s="1347" t="s">
        <v>626</v>
      </c>
      <c r="U162" s="1361">
        <v>-3.6036766669599998E-2</v>
      </c>
      <c r="V162" s="1369">
        <f si="29" t="shared"/>
        <v>-3.6036766669599998E-2</v>
      </c>
    </row>
    <row r="163" spans="19:22" x14ac:dyDescent="0.45">
      <c r="S163" s="1347">
        <v>532</v>
      </c>
      <c r="T163" s="1347" t="s">
        <v>1068</v>
      </c>
      <c r="U163" s="1361">
        <v>-0.89221574084400002</v>
      </c>
      <c r="V163" s="1369">
        <f si="29" t="shared"/>
        <v>-0.89221574084400002</v>
      </c>
    </row>
    <row r="164" spans="19:22" x14ac:dyDescent="0.45">
      <c r="S164" s="1347">
        <v>533</v>
      </c>
      <c r="T164" s="1347" t="s">
        <v>1069</v>
      </c>
      <c r="U164" s="1361">
        <v>-0.21394173623099999</v>
      </c>
      <c r="V164" s="1369">
        <f si="29" t="shared"/>
        <v>-0.21394173623099999</v>
      </c>
    </row>
    <row r="165" spans="19:22" x14ac:dyDescent="0.45">
      <c r="S165" s="1379">
        <v>551</v>
      </c>
      <c r="T165" s="1379" t="s">
        <v>627</v>
      </c>
      <c r="U165" s="1380">
        <v>0</v>
      </c>
      <c r="V165" s="1380">
        <f>B92</f>
        <v>0</v>
      </c>
    </row>
    <row r="166" spans="19:22" x14ac:dyDescent="0.45">
      <c r="S166" s="1370">
        <v>600</v>
      </c>
      <c r="T166" s="1370" t="s">
        <v>629</v>
      </c>
      <c r="U166" s="1371">
        <v>-2.90980960559</v>
      </c>
      <c r="V166" s="1371">
        <f>J10</f>
        <v>-2.90980960559</v>
      </c>
    </row>
    <row r="167" spans="19:22" x14ac:dyDescent="0.45">
      <c r="S167" s="1370">
        <v>601</v>
      </c>
      <c r="T167" s="1370" t="s">
        <v>631</v>
      </c>
      <c r="U167" s="1371">
        <v>0.682188989252</v>
      </c>
      <c r="V167" s="1371">
        <f>J24</f>
        <v>0.682188989252</v>
      </c>
    </row>
    <row r="168" spans="19:22" x14ac:dyDescent="0.45">
      <c r="S168" s="1379">
        <v>602</v>
      </c>
      <c r="T168" s="1379" t="s">
        <v>633</v>
      </c>
      <c r="U168" s="1380">
        <v>-0.26164161894499999</v>
      </c>
      <c r="V168" s="1380">
        <f>C93</f>
        <v>-0.26164161894499999</v>
      </c>
    </row>
    <row r="169" spans="19:22" x14ac:dyDescent="0.45">
      <c r="S169" s="1379">
        <v>603</v>
      </c>
      <c r="T169" s="1379" t="s">
        <v>635</v>
      </c>
      <c r="U169" s="1380">
        <v>0</v>
      </c>
      <c r="V169" s="1380">
        <f>D93</f>
        <v>0</v>
      </c>
    </row>
    <row r="170" spans="19:22" x14ac:dyDescent="0.45">
      <c r="S170" s="1379">
        <v>604</v>
      </c>
      <c r="T170" s="1379" t="s">
        <v>637</v>
      </c>
      <c r="U170" s="1380">
        <v>0</v>
      </c>
      <c r="V170" s="1380">
        <f>E93</f>
        <v>0</v>
      </c>
    </row>
    <row r="171" spans="19:22" x14ac:dyDescent="0.45">
      <c r="S171" s="1379">
        <v>605</v>
      </c>
      <c r="T171" s="1379" t="s">
        <v>639</v>
      </c>
      <c r="U171" s="1380">
        <v>0</v>
      </c>
      <c r="V171" s="1380">
        <f>F93</f>
        <v>0</v>
      </c>
    </row>
    <row r="172" spans="19:22" x14ac:dyDescent="0.45">
      <c r="S172" s="1379">
        <v>606</v>
      </c>
      <c r="T172" s="1379" t="s">
        <v>641</v>
      </c>
      <c r="U172" s="1380">
        <v>-0.416919956639</v>
      </c>
      <c r="V172" s="1380">
        <f>G93</f>
        <v>-0.416919956639</v>
      </c>
    </row>
    <row r="173" spans="19:22" x14ac:dyDescent="0.45">
      <c r="S173" s="1379">
        <v>607</v>
      </c>
      <c r="T173" s="1379" t="s">
        <v>643</v>
      </c>
      <c r="U173" s="1380">
        <v>-0.75945964651599995</v>
      </c>
      <c r="V173" s="1380">
        <f>H93</f>
        <v>-0.75945964651599995</v>
      </c>
    </row>
    <row r="174" spans="19:22" x14ac:dyDescent="0.45">
      <c r="S174" s="1347">
        <v>608</v>
      </c>
      <c r="T174" s="1347" t="s">
        <v>645</v>
      </c>
      <c r="U174" s="1361">
        <v>-0.28195572470899999</v>
      </c>
      <c r="V174" s="1369">
        <f si="29" t="shared"/>
        <v>-0.28195572470899999</v>
      </c>
    </row>
    <row r="175" spans="19:22" x14ac:dyDescent="0.45">
      <c r="S175" s="1347">
        <v>609</v>
      </c>
      <c r="T175" s="1347" t="s">
        <v>647</v>
      </c>
      <c r="U175" s="1361">
        <v>-0.101685689821</v>
      </c>
      <c r="V175" s="1369">
        <f si="29" t="shared"/>
        <v>-0.101685689821</v>
      </c>
    </row>
    <row r="176" spans="19:22" x14ac:dyDescent="0.45">
      <c r="S176" s="1347">
        <v>610</v>
      </c>
      <c r="T176" s="1347" t="s">
        <v>649</v>
      </c>
      <c r="U176" s="1361">
        <v>-0.12921988156899999</v>
      </c>
      <c r="V176" s="1369">
        <f si="29" t="shared"/>
        <v>-0.12921988156899999</v>
      </c>
    </row>
    <row r="177" spans="19:22" x14ac:dyDescent="0.45">
      <c r="S177" s="1347">
        <v>611</v>
      </c>
      <c r="T177" s="1347" t="s">
        <v>651</v>
      </c>
      <c r="U177" s="1361">
        <v>0</v>
      </c>
      <c r="V177" s="1369">
        <f si="29" t="shared"/>
        <v>0</v>
      </c>
    </row>
    <row r="178" spans="19:22" x14ac:dyDescent="0.45">
      <c r="S178" s="1347">
        <v>612</v>
      </c>
      <c r="T178" s="1347" t="s">
        <v>653</v>
      </c>
      <c r="U178" s="1361">
        <v>8.0869880241699998E-2</v>
      </c>
      <c r="V178" s="1369">
        <f si="29" t="shared"/>
        <v>8.0869880241699998E-2</v>
      </c>
    </row>
    <row r="179" spans="19:22" x14ac:dyDescent="0.45">
      <c r="S179" s="1347">
        <v>613</v>
      </c>
      <c r="T179" s="1347" t="s">
        <v>655</v>
      </c>
      <c r="U179" s="1361">
        <v>0</v>
      </c>
      <c r="V179" s="1369">
        <f si="29" t="shared"/>
        <v>0</v>
      </c>
    </row>
    <row r="180" spans="19:22" x14ac:dyDescent="0.45">
      <c r="S180" s="1347">
        <v>614</v>
      </c>
      <c r="T180" s="1347" t="s">
        <v>657</v>
      </c>
      <c r="U180" s="1361">
        <v>0</v>
      </c>
      <c r="V180" s="1369">
        <f si="29" t="shared"/>
        <v>0</v>
      </c>
    </row>
    <row r="181" spans="19:22" x14ac:dyDescent="0.45">
      <c r="S181" s="1347">
        <v>616</v>
      </c>
      <c r="T181" s="1347" t="s">
        <v>660</v>
      </c>
      <c r="U181" s="1361">
        <v>-0.16267799774799999</v>
      </c>
      <c r="V181" s="1369">
        <f si="29" t="shared"/>
        <v>-0.16267799774799999</v>
      </c>
    </row>
    <row r="182" spans="19:22" x14ac:dyDescent="0.45">
      <c r="S182" s="1347">
        <v>617</v>
      </c>
      <c r="T182" s="1347" t="s">
        <v>662</v>
      </c>
      <c r="U182" s="1361">
        <v>0</v>
      </c>
      <c r="V182" s="1369">
        <f si="29" t="shared"/>
        <v>0</v>
      </c>
    </row>
    <row r="183" spans="19:22" x14ac:dyDescent="0.45">
      <c r="S183" s="1347">
        <v>618</v>
      </c>
      <c r="T183" s="1347" t="s">
        <v>664</v>
      </c>
      <c r="U183" s="1361">
        <v>-0.77288709444399994</v>
      </c>
      <c r="V183" s="1369">
        <f si="29" t="shared"/>
        <v>-0.77288709444399994</v>
      </c>
    </row>
    <row r="184" spans="19:22" x14ac:dyDescent="0.45">
      <c r="S184" s="1347">
        <v>619</v>
      </c>
      <c r="T184" s="1347" t="s">
        <v>666</v>
      </c>
      <c r="U184" s="1361">
        <v>0</v>
      </c>
      <c r="V184" s="1369">
        <f si="29" t="shared"/>
        <v>0</v>
      </c>
    </row>
    <row r="185" spans="19:22" x14ac:dyDescent="0.45">
      <c r="S185" s="1347">
        <v>620</v>
      </c>
      <c r="T185" s="1347" t="s">
        <v>668</v>
      </c>
      <c r="U185" s="1361">
        <v>-0.51821598620999998</v>
      </c>
      <c r="V185" s="1369">
        <f si="29" t="shared"/>
        <v>-0.51821598620999998</v>
      </c>
    </row>
    <row r="186" spans="19:22" x14ac:dyDescent="0.45">
      <c r="S186" s="1347">
        <v>621</v>
      </c>
      <c r="T186" s="1347" t="s">
        <v>670</v>
      </c>
      <c r="U186" s="1361">
        <v>0</v>
      </c>
      <c r="V186" s="1369">
        <f si="29" t="shared"/>
        <v>0</v>
      </c>
    </row>
    <row r="187" spans="19:22" x14ac:dyDescent="0.45">
      <c r="S187" s="1347">
        <v>622</v>
      </c>
      <c r="T187" s="1347" t="s">
        <v>672</v>
      </c>
      <c r="U187" s="1361">
        <v>0</v>
      </c>
      <c r="V187" s="1369">
        <f si="29" t="shared"/>
        <v>0</v>
      </c>
    </row>
    <row r="188" spans="19:22" x14ac:dyDescent="0.45">
      <c r="S188" s="1347">
        <v>623</v>
      </c>
      <c r="T188" s="1347" t="s">
        <v>674</v>
      </c>
      <c r="U188" s="1361">
        <v>0</v>
      </c>
      <c r="V188" s="1369">
        <f si="29" t="shared"/>
        <v>0</v>
      </c>
    </row>
    <row r="189" spans="19:22" x14ac:dyDescent="0.45">
      <c r="S189" s="1347">
        <v>624</v>
      </c>
      <c r="T189" s="1347" t="s">
        <v>676</v>
      </c>
      <c r="U189" s="1361">
        <v>0</v>
      </c>
      <c r="V189" s="1369">
        <f si="29" t="shared"/>
        <v>0</v>
      </c>
    </row>
    <row r="190" spans="19:22" x14ac:dyDescent="0.45">
      <c r="S190" s="1347">
        <v>625</v>
      </c>
      <c r="T190" s="1347" t="s">
        <v>678</v>
      </c>
      <c r="U190" s="1361">
        <v>0</v>
      </c>
      <c r="V190" s="1369">
        <f si="29" t="shared"/>
        <v>0</v>
      </c>
    </row>
    <row r="191" spans="19:22" x14ac:dyDescent="0.45">
      <c r="S191" s="1347">
        <v>626</v>
      </c>
      <c r="T191" s="1347" t="s">
        <v>680</v>
      </c>
      <c r="U191" s="1361">
        <v>0</v>
      </c>
      <c r="V191" s="1369">
        <f si="29" t="shared"/>
        <v>0</v>
      </c>
    </row>
    <row r="192" spans="19:22" x14ac:dyDescent="0.45">
      <c r="S192" s="1347">
        <v>627</v>
      </c>
      <c r="T192" s="1347" t="s">
        <v>682</v>
      </c>
      <c r="U192" s="1361">
        <v>0</v>
      </c>
      <c r="V192" s="1369">
        <f si="29" t="shared"/>
        <v>0</v>
      </c>
    </row>
    <row r="193" spans="19:22" x14ac:dyDescent="0.45">
      <c r="S193" s="1347">
        <v>628</v>
      </c>
      <c r="T193" s="1347" t="s">
        <v>1070</v>
      </c>
      <c r="U193" s="1361">
        <v>0</v>
      </c>
      <c r="V193" s="1369">
        <f si="29" t="shared"/>
        <v>0</v>
      </c>
    </row>
    <row r="194" spans="19:22" x14ac:dyDescent="0.45">
      <c r="S194" s="1347">
        <v>629</v>
      </c>
      <c r="T194" s="1347" t="s">
        <v>684</v>
      </c>
      <c r="U194" s="1361">
        <v>2.6649678941399999E-2</v>
      </c>
      <c r="V194" s="1369">
        <f si="29" t="shared"/>
        <v>2.6649678941399999E-2</v>
      </c>
    </row>
    <row r="195" spans="19:22" x14ac:dyDescent="0.45">
      <c r="S195" s="1347">
        <v>630</v>
      </c>
      <c r="T195" s="1347" t="s">
        <v>1071</v>
      </c>
      <c r="U195" s="1361">
        <v>0</v>
      </c>
      <c r="V195" s="1369">
        <f si="29" t="shared"/>
        <v>0</v>
      </c>
    </row>
    <row r="196" spans="19:22" x14ac:dyDescent="0.45">
      <c r="S196" s="1347">
        <v>631</v>
      </c>
      <c r="T196" s="1347" t="s">
        <v>685</v>
      </c>
      <c r="U196" s="1361">
        <v>-6.50443097217E-2</v>
      </c>
      <c r="V196" s="1369">
        <f ref="V196:V259" si="30" t="shared">U196</f>
        <v>-6.50443097217E-2</v>
      </c>
    </row>
    <row r="197" spans="19:22" x14ac:dyDescent="0.45">
      <c r="S197" s="1347">
        <v>632</v>
      </c>
      <c r="T197" s="1347" t="s">
        <v>1072</v>
      </c>
      <c r="U197" s="1361">
        <v>-0.72078261221700002</v>
      </c>
      <c r="V197" s="1369">
        <f si="30" t="shared"/>
        <v>-0.72078261221700002</v>
      </c>
    </row>
    <row r="198" spans="19:22" x14ac:dyDescent="0.45">
      <c r="S198" s="1347">
        <v>633</v>
      </c>
      <c r="T198" s="1347" t="s">
        <v>1073</v>
      </c>
      <c r="U198" s="1361">
        <v>-8.6248917471399997E-2</v>
      </c>
      <c r="V198" s="1369">
        <f si="30" t="shared"/>
        <v>-8.6248917471399997E-2</v>
      </c>
    </row>
    <row r="199" spans="19:22" x14ac:dyDescent="0.45">
      <c r="S199" s="1379">
        <v>651</v>
      </c>
      <c r="T199" s="1379" t="s">
        <v>686</v>
      </c>
      <c r="U199" s="1380">
        <v>0</v>
      </c>
      <c r="V199" s="1380">
        <f>B93</f>
        <v>0</v>
      </c>
    </row>
    <row r="200" spans="19:22" x14ac:dyDescent="0.45">
      <c r="S200" s="1370">
        <v>700</v>
      </c>
      <c r="T200" s="1370" t="s">
        <v>688</v>
      </c>
      <c r="U200" s="1371">
        <v>-2.08546939905</v>
      </c>
      <c r="V200" s="1371">
        <f>J11</f>
        <v>-2.08546939905</v>
      </c>
    </row>
    <row r="201" spans="19:22" x14ac:dyDescent="0.45">
      <c r="S201" s="1370">
        <v>701</v>
      </c>
      <c r="T201" s="1370" t="s">
        <v>690</v>
      </c>
      <c r="U201" s="1371">
        <v>1.3986335615100001</v>
      </c>
      <c r="V201" s="1371">
        <f>J25</f>
        <v>1.3986335615100001</v>
      </c>
    </row>
    <row r="202" spans="19:22" x14ac:dyDescent="0.45">
      <c r="S202" s="1379">
        <v>702</v>
      </c>
      <c r="T202" s="1379" t="s">
        <v>692</v>
      </c>
      <c r="U202" s="1380">
        <v>0</v>
      </c>
      <c r="V202" s="1380">
        <f>C94</f>
        <v>0</v>
      </c>
    </row>
    <row r="203" spans="19:22" x14ac:dyDescent="0.45">
      <c r="S203" s="1379">
        <v>703</v>
      </c>
      <c r="T203" s="1379" t="s">
        <v>694</v>
      </c>
      <c r="U203" s="1380">
        <v>0</v>
      </c>
      <c r="V203" s="1380">
        <f>D94</f>
        <v>0</v>
      </c>
    </row>
    <row r="204" spans="19:22" x14ac:dyDescent="0.45">
      <c r="S204" s="1379">
        <v>704</v>
      </c>
      <c r="T204" s="1379" t="s">
        <v>696</v>
      </c>
      <c r="U204" s="1380">
        <v>0</v>
      </c>
      <c r="V204" s="1380">
        <f>E94</f>
        <v>0</v>
      </c>
    </row>
    <row r="205" spans="19:22" x14ac:dyDescent="0.45">
      <c r="S205" s="1379">
        <v>705</v>
      </c>
      <c r="T205" s="1379" t="s">
        <v>698</v>
      </c>
      <c r="U205" s="1380">
        <v>0</v>
      </c>
      <c r="V205" s="1380">
        <f>F94</f>
        <v>0</v>
      </c>
    </row>
    <row r="206" spans="19:22" x14ac:dyDescent="0.45">
      <c r="S206" s="1379">
        <v>706</v>
      </c>
      <c r="T206" s="1379" t="s">
        <v>700</v>
      </c>
      <c r="U206" s="1380">
        <v>0</v>
      </c>
      <c r="V206" s="1380">
        <f>G94</f>
        <v>0</v>
      </c>
    </row>
    <row r="207" spans="19:22" x14ac:dyDescent="0.45">
      <c r="S207" s="1379">
        <v>707</v>
      </c>
      <c r="T207" s="1379" t="s">
        <v>702</v>
      </c>
      <c r="U207" s="1380">
        <v>0.35898948241799999</v>
      </c>
      <c r="V207" s="1380">
        <f>H94</f>
        <v>0.35898948241799999</v>
      </c>
    </row>
    <row r="208" spans="19:22" x14ac:dyDescent="0.45">
      <c r="S208" s="1347">
        <v>708</v>
      </c>
      <c r="T208" s="1347" t="s">
        <v>704</v>
      </c>
      <c r="U208" s="1361">
        <v>0.431153967779</v>
      </c>
      <c r="V208" s="1369">
        <f si="30" t="shared"/>
        <v>0.431153967779</v>
      </c>
    </row>
    <row r="209" spans="19:22" x14ac:dyDescent="0.45">
      <c r="S209" s="1347">
        <v>709</v>
      </c>
      <c r="T209" s="1347" t="s">
        <v>706</v>
      </c>
      <c r="U209" s="1361">
        <v>-0.234149263518</v>
      </c>
      <c r="V209" s="1369">
        <f si="30" t="shared"/>
        <v>-0.234149263518</v>
      </c>
    </row>
    <row r="210" spans="19:22" x14ac:dyDescent="0.45">
      <c r="S210" s="1347">
        <v>710</v>
      </c>
      <c r="T210" s="1347" t="s">
        <v>708</v>
      </c>
      <c r="U210" s="1361">
        <v>-0.167536338136</v>
      </c>
      <c r="V210" s="1369">
        <f si="30" t="shared"/>
        <v>-0.167536338136</v>
      </c>
    </row>
    <row r="211" spans="19:22" x14ac:dyDescent="0.45">
      <c r="S211" s="1347">
        <v>711</v>
      </c>
      <c r="T211" s="1347" t="s">
        <v>710</v>
      </c>
      <c r="U211" s="1361">
        <v>0.24127006967100001</v>
      </c>
      <c r="V211" s="1369">
        <f si="30" t="shared"/>
        <v>0.24127006967100001</v>
      </c>
    </row>
    <row r="212" spans="19:22" x14ac:dyDescent="0.45">
      <c r="S212" s="1347">
        <v>712</v>
      </c>
      <c r="T212" s="1347" t="s">
        <v>712</v>
      </c>
      <c r="U212" s="1361">
        <v>9.3852055995699998E-2</v>
      </c>
      <c r="V212" s="1369">
        <f si="30" t="shared"/>
        <v>9.3852055995699998E-2</v>
      </c>
    </row>
    <row r="213" spans="19:22" x14ac:dyDescent="0.45">
      <c r="S213" s="1347">
        <v>713</v>
      </c>
      <c r="T213" s="1347" t="s">
        <v>714</v>
      </c>
      <c r="U213" s="1361">
        <v>0</v>
      </c>
      <c r="V213" s="1369">
        <f si="30" t="shared"/>
        <v>0</v>
      </c>
    </row>
    <row r="214" spans="19:22" x14ac:dyDescent="0.45">
      <c r="S214" s="1347">
        <v>714</v>
      </c>
      <c r="T214" s="1347" t="s">
        <v>716</v>
      </c>
      <c r="U214" s="1361">
        <v>0</v>
      </c>
      <c r="V214" s="1369">
        <f si="30" t="shared"/>
        <v>0</v>
      </c>
    </row>
    <row r="215" spans="19:22" x14ac:dyDescent="0.45">
      <c r="S215" s="1347">
        <v>716</v>
      </c>
      <c r="T215" s="1347" t="s">
        <v>719</v>
      </c>
      <c r="U215" s="1361">
        <v>0</v>
      </c>
      <c r="V215" s="1369">
        <f si="30" t="shared"/>
        <v>0</v>
      </c>
    </row>
    <row r="216" spans="19:22" x14ac:dyDescent="0.45">
      <c r="S216" s="1347">
        <v>717</v>
      </c>
      <c r="T216" s="1347" t="s">
        <v>721</v>
      </c>
      <c r="U216" s="1361">
        <v>0</v>
      </c>
      <c r="V216" s="1369">
        <f si="30" t="shared"/>
        <v>0</v>
      </c>
    </row>
    <row r="217" spans="19:22" x14ac:dyDescent="0.45">
      <c r="S217" s="1347">
        <v>718</v>
      </c>
      <c r="T217" s="1347" t="s">
        <v>723</v>
      </c>
      <c r="U217" s="1361">
        <v>-0.34985702366999999</v>
      </c>
      <c r="V217" s="1369">
        <f si="30" t="shared"/>
        <v>-0.34985702366999999</v>
      </c>
    </row>
    <row r="218" spans="19:22" x14ac:dyDescent="0.45">
      <c r="S218" s="1347">
        <v>719</v>
      </c>
      <c r="T218" s="1347" t="s">
        <v>725</v>
      </c>
      <c r="U218" s="1361">
        <v>0</v>
      </c>
      <c r="V218" s="1369">
        <f si="30" t="shared"/>
        <v>0</v>
      </c>
    </row>
    <row r="219" spans="19:22" x14ac:dyDescent="0.45">
      <c r="S219" s="1347">
        <v>720</v>
      </c>
      <c r="T219" s="1347" t="s">
        <v>727</v>
      </c>
      <c r="U219" s="1361">
        <v>-0.36186341505500003</v>
      </c>
      <c r="V219" s="1369">
        <f si="30" t="shared"/>
        <v>-0.36186341505500003</v>
      </c>
    </row>
    <row r="220" spans="19:22" x14ac:dyDescent="0.45">
      <c r="S220" s="1347">
        <v>721</v>
      </c>
      <c r="T220" s="1347" t="s">
        <v>729</v>
      </c>
      <c r="U220" s="1361">
        <v>0</v>
      </c>
      <c r="V220" s="1369">
        <f si="30" t="shared"/>
        <v>0</v>
      </c>
    </row>
    <row r="221" spans="19:22" x14ac:dyDescent="0.45">
      <c r="S221" s="1347">
        <v>722</v>
      </c>
      <c r="T221" s="1347" t="s">
        <v>731</v>
      </c>
      <c r="U221" s="1361">
        <v>0</v>
      </c>
      <c r="V221" s="1369">
        <f si="30" t="shared"/>
        <v>0</v>
      </c>
    </row>
    <row r="222" spans="19:22" x14ac:dyDescent="0.45">
      <c r="S222" s="1347">
        <v>723</v>
      </c>
      <c r="T222" s="1347" t="s">
        <v>733</v>
      </c>
      <c r="U222" s="1361">
        <v>-0.293229996376</v>
      </c>
      <c r="V222" s="1369">
        <f si="30" t="shared"/>
        <v>-0.293229996376</v>
      </c>
    </row>
    <row r="223" spans="19:22" x14ac:dyDescent="0.45">
      <c r="S223" s="1347">
        <v>724</v>
      </c>
      <c r="T223" s="1347" t="s">
        <v>735</v>
      </c>
      <c r="U223" s="1361">
        <v>-0.54873078522399998</v>
      </c>
      <c r="V223" s="1369">
        <f si="30" t="shared"/>
        <v>-0.54873078522399998</v>
      </c>
    </row>
    <row r="224" spans="19:22" x14ac:dyDescent="0.45">
      <c r="S224" s="1347">
        <v>725</v>
      </c>
      <c r="T224" s="1347" t="s">
        <v>737</v>
      </c>
      <c r="U224" s="1361">
        <v>0</v>
      </c>
      <c r="V224" s="1369">
        <f si="30" t="shared"/>
        <v>0</v>
      </c>
    </row>
    <row r="225" spans="19:22" x14ac:dyDescent="0.45">
      <c r="S225" s="1347">
        <v>726</v>
      </c>
      <c r="T225" s="1347" t="s">
        <v>739</v>
      </c>
      <c r="U225" s="1361">
        <v>0</v>
      </c>
      <c r="V225" s="1369">
        <f si="30" t="shared"/>
        <v>0</v>
      </c>
    </row>
    <row r="226" spans="19:22" x14ac:dyDescent="0.45">
      <c r="S226" s="1347">
        <v>727</v>
      </c>
      <c r="T226" s="1347" t="s">
        <v>741</v>
      </c>
      <c r="U226" s="1361">
        <v>0</v>
      </c>
      <c r="V226" s="1369">
        <f si="30" t="shared"/>
        <v>0</v>
      </c>
    </row>
    <row r="227" spans="19:22" x14ac:dyDescent="0.45">
      <c r="S227" s="1347">
        <v>728</v>
      </c>
      <c r="T227" s="1347" t="s">
        <v>1074</v>
      </c>
      <c r="U227" s="1361">
        <v>0</v>
      </c>
      <c r="V227" s="1369">
        <f si="30" t="shared"/>
        <v>0</v>
      </c>
    </row>
    <row r="228" spans="19:22" x14ac:dyDescent="0.45">
      <c r="S228" s="1347">
        <v>729</v>
      </c>
      <c r="T228" s="1347" t="s">
        <v>743</v>
      </c>
      <c r="U228" s="1361">
        <v>2.29954619822E-2</v>
      </c>
      <c r="V228" s="1369">
        <f si="30" t="shared"/>
        <v>2.29954619822E-2</v>
      </c>
    </row>
    <row r="229" spans="19:22" x14ac:dyDescent="0.45">
      <c r="S229" s="1347">
        <v>730</v>
      </c>
      <c r="T229" s="1347" t="s">
        <v>1075</v>
      </c>
      <c r="U229" s="1361">
        <v>0</v>
      </c>
      <c r="V229" s="1369">
        <f si="30" t="shared"/>
        <v>0</v>
      </c>
    </row>
    <row r="230" spans="19:22" x14ac:dyDescent="0.45">
      <c r="S230" s="1347">
        <v>731</v>
      </c>
      <c r="T230" s="1347" t="s">
        <v>744</v>
      </c>
      <c r="U230" s="1361">
        <v>-0.111980041125</v>
      </c>
      <c r="V230" s="1369">
        <f si="30" t="shared"/>
        <v>-0.111980041125</v>
      </c>
    </row>
    <row r="231" spans="19:22" x14ac:dyDescent="0.45">
      <c r="S231" s="1347">
        <v>732</v>
      </c>
      <c r="T231" s="1347" t="s">
        <v>1076</v>
      </c>
      <c r="U231" s="1361">
        <v>-0.68960917956599999</v>
      </c>
      <c r="V231" s="1369">
        <f si="30" t="shared"/>
        <v>-0.68960917956599999</v>
      </c>
    </row>
    <row r="232" spans="19:22" x14ac:dyDescent="0.45">
      <c r="S232" s="1347">
        <v>733</v>
      </c>
      <c r="T232" s="1347" t="s">
        <v>1077</v>
      </c>
      <c r="U232" s="1361">
        <v>-0.11786941990700001</v>
      </c>
      <c r="V232" s="1369">
        <f si="30" t="shared"/>
        <v>-0.11786941990700001</v>
      </c>
    </row>
    <row r="233" spans="19:22" x14ac:dyDescent="0.45">
      <c r="S233" s="1379">
        <v>751</v>
      </c>
      <c r="T233" s="1379" t="s">
        <v>745</v>
      </c>
      <c r="U233" s="1380">
        <v>-0.18079091804700001</v>
      </c>
      <c r="V233" s="1380">
        <f>B94</f>
        <v>-0.18079091804700001</v>
      </c>
    </row>
    <row r="234" spans="19:22" x14ac:dyDescent="0.45">
      <c r="S234" s="1347">
        <v>802</v>
      </c>
      <c r="T234" s="1347" t="s">
        <v>747</v>
      </c>
      <c r="U234" s="1361">
        <v>0.60977667498099997</v>
      </c>
      <c r="V234" s="1369">
        <f si="30" t="shared"/>
        <v>0.60977667498099997</v>
      </c>
    </row>
    <row r="235" spans="19:22" x14ac:dyDescent="0.45">
      <c r="S235" s="1347">
        <v>803</v>
      </c>
      <c r="T235" s="1347" t="s">
        <v>749</v>
      </c>
      <c r="U235" s="1361">
        <v>0.35295912634999999</v>
      </c>
      <c r="V235" s="1369">
        <f si="30" t="shared"/>
        <v>0.35295912634999999</v>
      </c>
    </row>
    <row r="236" spans="19:22" x14ac:dyDescent="0.45">
      <c r="S236" s="1347">
        <v>804</v>
      </c>
      <c r="T236" s="1347" t="s">
        <v>751</v>
      </c>
      <c r="U236" s="1361">
        <v>0.20798756906099999</v>
      </c>
      <c r="V236" s="1369">
        <f si="30" t="shared"/>
        <v>0.20798756906099999</v>
      </c>
    </row>
    <row r="237" spans="19:22" x14ac:dyDescent="0.45">
      <c r="S237" s="1347">
        <v>805</v>
      </c>
      <c r="T237" s="1347" t="s">
        <v>753</v>
      </c>
      <c r="U237" s="1361">
        <v>0.315354053508</v>
      </c>
      <c r="V237" s="1369">
        <f si="30" t="shared"/>
        <v>0.315354053508</v>
      </c>
    </row>
    <row r="238" spans="19:22" x14ac:dyDescent="0.45">
      <c r="S238" s="1347">
        <v>806</v>
      </c>
      <c r="T238" s="1347" t="s">
        <v>755</v>
      </c>
      <c r="U238" s="1361">
        <v>0.98676165078800004</v>
      </c>
      <c r="V238" s="1369">
        <f si="30" t="shared"/>
        <v>0.98676165078800004</v>
      </c>
    </row>
    <row r="239" spans="19:22" x14ac:dyDescent="0.45">
      <c r="S239" s="1347">
        <v>807</v>
      </c>
      <c r="T239" s="1347" t="s">
        <v>757</v>
      </c>
      <c r="U239" s="1361">
        <v>0.72867818651399996</v>
      </c>
      <c r="V239" s="1369">
        <f si="30" t="shared"/>
        <v>0.72867818651399996</v>
      </c>
    </row>
    <row r="240" spans="19:22" x14ac:dyDescent="0.45">
      <c r="S240" s="1347">
        <v>808</v>
      </c>
      <c r="T240" s="1347" t="s">
        <v>759</v>
      </c>
      <c r="U240" s="1361">
        <v>0</v>
      </c>
      <c r="V240" s="1369">
        <f si="30" t="shared"/>
        <v>0</v>
      </c>
    </row>
    <row r="241" spans="19:22" x14ac:dyDescent="0.45">
      <c r="S241" s="1347">
        <v>809</v>
      </c>
      <c r="T241" s="1347" t="s">
        <v>761</v>
      </c>
      <c r="U241" s="1361">
        <v>0</v>
      </c>
      <c r="V241" s="1369">
        <f si="30" t="shared"/>
        <v>0</v>
      </c>
    </row>
    <row r="242" spans="19:22" x14ac:dyDescent="0.45">
      <c r="S242" s="1347">
        <v>810</v>
      </c>
      <c r="T242" s="1347" t="s">
        <v>763</v>
      </c>
      <c r="U242" s="1361">
        <v>0</v>
      </c>
      <c r="V242" s="1369">
        <f si="30" t="shared"/>
        <v>0</v>
      </c>
    </row>
    <row r="243" spans="19:22" x14ac:dyDescent="0.45">
      <c r="S243" s="1347">
        <v>811</v>
      </c>
      <c r="T243" s="1347" t="s">
        <v>765</v>
      </c>
      <c r="U243" s="1361">
        <v>0</v>
      </c>
      <c r="V243" s="1369">
        <f si="30" t="shared"/>
        <v>0</v>
      </c>
    </row>
    <row r="244" spans="19:22" x14ac:dyDescent="0.45">
      <c r="S244" s="1347">
        <v>812</v>
      </c>
      <c r="T244" s="1347" t="s">
        <v>767</v>
      </c>
      <c r="U244" s="1361">
        <v>0</v>
      </c>
      <c r="V244" s="1369">
        <f si="30" t="shared"/>
        <v>0</v>
      </c>
    </row>
    <row r="245" spans="19:22" x14ac:dyDescent="0.45">
      <c r="S245" s="1347">
        <v>813</v>
      </c>
      <c r="T245" s="1347" t="s">
        <v>769</v>
      </c>
      <c r="U245" s="1361">
        <v>0</v>
      </c>
      <c r="V245" s="1369">
        <f si="30" t="shared"/>
        <v>0</v>
      </c>
    </row>
    <row r="246" spans="19:22" x14ac:dyDescent="0.45">
      <c r="S246" s="1347">
        <v>814</v>
      </c>
      <c r="T246" s="1347" t="s">
        <v>771</v>
      </c>
      <c r="U246" s="1361">
        <v>0</v>
      </c>
      <c r="V246" s="1369">
        <f si="30" t="shared"/>
        <v>0</v>
      </c>
    </row>
    <row r="247" spans="19:22" x14ac:dyDescent="0.45">
      <c r="S247" s="1347">
        <v>816</v>
      </c>
      <c r="T247" s="1347" t="s">
        <v>774</v>
      </c>
      <c r="U247" s="1361">
        <v>-0.18079951417699999</v>
      </c>
      <c r="V247" s="1369">
        <f si="30" t="shared"/>
        <v>-0.18079951417699999</v>
      </c>
    </row>
    <row r="248" spans="19:22" x14ac:dyDescent="0.45">
      <c r="S248" s="1347">
        <v>817</v>
      </c>
      <c r="T248" s="1347" t="s">
        <v>776</v>
      </c>
      <c r="U248" s="1361">
        <v>-0.81715753822299997</v>
      </c>
      <c r="V248" s="1369">
        <f si="30" t="shared"/>
        <v>-0.81715753822299997</v>
      </c>
    </row>
    <row r="249" spans="19:22" x14ac:dyDescent="0.45">
      <c r="S249" s="1347">
        <v>818</v>
      </c>
      <c r="T249" s="1347" t="s">
        <v>778</v>
      </c>
      <c r="U249" s="1361">
        <v>0.67896564697200001</v>
      </c>
      <c r="V249" s="1369">
        <f si="30" t="shared"/>
        <v>0.67896564697200001</v>
      </c>
    </row>
    <row r="250" spans="19:22" x14ac:dyDescent="0.45">
      <c r="S250" s="1347">
        <v>819</v>
      </c>
      <c r="T250" s="1347" t="s">
        <v>780</v>
      </c>
      <c r="U250" s="1361">
        <v>-0.30146391227899999</v>
      </c>
      <c r="V250" s="1369">
        <f si="30" t="shared"/>
        <v>-0.30146391227899999</v>
      </c>
    </row>
    <row r="251" spans="19:22" x14ac:dyDescent="0.45">
      <c r="S251" s="1347">
        <v>820</v>
      </c>
      <c r="T251" s="1347" t="s">
        <v>782</v>
      </c>
      <c r="U251" s="1361">
        <v>0.59568631490599999</v>
      </c>
      <c r="V251" s="1369">
        <f si="30" t="shared"/>
        <v>0.59568631490599999</v>
      </c>
    </row>
    <row r="252" spans="19:22" x14ac:dyDescent="0.45">
      <c r="S252" s="1347">
        <v>821</v>
      </c>
      <c r="T252" s="1347" t="s">
        <v>784</v>
      </c>
      <c r="U252" s="1361">
        <v>0.48251789561800001</v>
      </c>
      <c r="V252" s="1369">
        <f si="30" t="shared"/>
        <v>0.48251789561800001</v>
      </c>
    </row>
    <row r="253" spans="19:22" x14ac:dyDescent="0.45">
      <c r="S253" s="1347">
        <v>822</v>
      </c>
      <c r="T253" s="1347" t="s">
        <v>786</v>
      </c>
      <c r="U253" s="1361">
        <v>0</v>
      </c>
      <c r="V253" s="1369">
        <f si="30" t="shared"/>
        <v>0</v>
      </c>
    </row>
    <row r="254" spans="19:22" x14ac:dyDescent="0.45">
      <c r="S254" s="1347">
        <v>823</v>
      </c>
      <c r="T254" s="1347" t="s">
        <v>788</v>
      </c>
      <c r="U254" s="1361">
        <v>0</v>
      </c>
      <c r="V254" s="1369">
        <f si="30" t="shared"/>
        <v>0</v>
      </c>
    </row>
    <row r="255" spans="19:22" x14ac:dyDescent="0.45">
      <c r="S255" s="1347">
        <v>824</v>
      </c>
      <c r="T255" s="1347" t="s">
        <v>790</v>
      </c>
      <c r="U255" s="1361">
        <v>0.57205792138099998</v>
      </c>
      <c r="V255" s="1369">
        <f si="30" t="shared"/>
        <v>0.57205792138099998</v>
      </c>
    </row>
    <row r="256" spans="19:22" x14ac:dyDescent="0.45">
      <c r="S256" s="1347">
        <v>825</v>
      </c>
      <c r="T256" s="1347" t="s">
        <v>792</v>
      </c>
      <c r="U256" s="1361">
        <v>0</v>
      </c>
      <c r="V256" s="1369">
        <f si="30" t="shared"/>
        <v>0</v>
      </c>
    </row>
    <row r="257" spans="19:22" x14ac:dyDescent="0.45">
      <c r="S257" s="1347">
        <v>826</v>
      </c>
      <c r="T257" s="1347" t="s">
        <v>794</v>
      </c>
      <c r="U257" s="1361">
        <v>1.5230910946399999E-3</v>
      </c>
      <c r="V257" s="1369">
        <f si="30" t="shared"/>
        <v>1.5230910946399999E-3</v>
      </c>
    </row>
    <row r="258" spans="19:22" x14ac:dyDescent="0.45">
      <c r="S258" s="1347">
        <v>827</v>
      </c>
      <c r="T258" s="1347" t="s">
        <v>796</v>
      </c>
      <c r="U258" s="1361">
        <v>1.9262479263599998E-2</v>
      </c>
      <c r="V258" s="1369">
        <f si="30" t="shared"/>
        <v>1.9262479263599998E-2</v>
      </c>
    </row>
    <row r="259" spans="19:22" x14ac:dyDescent="0.45">
      <c r="S259" s="1347">
        <v>828</v>
      </c>
      <c r="T259" s="1347" t="s">
        <v>1078</v>
      </c>
      <c r="U259" s="1361">
        <v>0</v>
      </c>
      <c r="V259" s="1369">
        <f si="30" t="shared"/>
        <v>0</v>
      </c>
    </row>
    <row r="260" spans="19:22" x14ac:dyDescent="0.45">
      <c r="S260" s="1347">
        <v>851</v>
      </c>
      <c r="T260" s="1347" t="s">
        <v>798</v>
      </c>
      <c r="U260" s="1361">
        <v>0</v>
      </c>
      <c r="V260" s="1369">
        <f ref="V260:V323" si="31" t="shared">U260</f>
        <v>0</v>
      </c>
    </row>
    <row r="261" spans="19:22" x14ac:dyDescent="0.45">
      <c r="S261" s="1347">
        <v>902</v>
      </c>
      <c r="T261" s="1347" t="s">
        <v>800</v>
      </c>
      <c r="U261" s="1361">
        <v>0</v>
      </c>
      <c r="V261" s="1369">
        <f si="31" t="shared"/>
        <v>0</v>
      </c>
    </row>
    <row r="262" spans="19:22" x14ac:dyDescent="0.45">
      <c r="S262" s="1347">
        <v>903</v>
      </c>
      <c r="T262" s="1347" t="s">
        <v>802</v>
      </c>
      <c r="U262" s="1361">
        <v>0</v>
      </c>
      <c r="V262" s="1369">
        <f si="31" t="shared"/>
        <v>0</v>
      </c>
    </row>
    <row r="263" spans="19:22" x14ac:dyDescent="0.45">
      <c r="S263" s="1347">
        <v>904</v>
      </c>
      <c r="T263" s="1347" t="s">
        <v>804</v>
      </c>
      <c r="U263" s="1361">
        <v>7.1217396064699998E-2</v>
      </c>
      <c r="V263" s="1369">
        <f si="31" t="shared"/>
        <v>7.1217396064699998E-2</v>
      </c>
    </row>
    <row r="264" spans="19:22" x14ac:dyDescent="0.45">
      <c r="S264" s="1347">
        <v>905</v>
      </c>
      <c r="T264" s="1347" t="s">
        <v>806</v>
      </c>
      <c r="U264" s="1361">
        <v>0</v>
      </c>
      <c r="V264" s="1369">
        <f si="31" t="shared"/>
        <v>0</v>
      </c>
    </row>
    <row r="265" spans="19:22" x14ac:dyDescent="0.45">
      <c r="S265" s="1347">
        <v>906</v>
      </c>
      <c r="T265" s="1347" t="s">
        <v>808</v>
      </c>
      <c r="U265" s="1361">
        <v>0.96179941879599995</v>
      </c>
      <c r="V265" s="1369">
        <f si="31" t="shared"/>
        <v>0.96179941879599995</v>
      </c>
    </row>
    <row r="266" spans="19:22" x14ac:dyDescent="0.45">
      <c r="S266" s="1347">
        <v>907</v>
      </c>
      <c r="T266" s="1347" t="s">
        <v>810</v>
      </c>
      <c r="U266" s="1361">
        <v>0.243967243976</v>
      </c>
      <c r="V266" s="1369">
        <f si="31" t="shared"/>
        <v>0.243967243976</v>
      </c>
    </row>
    <row r="267" spans="19:22" x14ac:dyDescent="0.45">
      <c r="S267" s="1347">
        <v>908</v>
      </c>
      <c r="T267" s="1347" t="s">
        <v>812</v>
      </c>
      <c r="U267" s="1361">
        <v>0</v>
      </c>
      <c r="V267" s="1369">
        <f si="31" t="shared"/>
        <v>0</v>
      </c>
    </row>
    <row r="268" spans="19:22" x14ac:dyDescent="0.45">
      <c r="S268" s="1347">
        <v>909</v>
      </c>
      <c r="T268" s="1347" t="s">
        <v>814</v>
      </c>
      <c r="U268" s="1361">
        <v>0</v>
      </c>
      <c r="V268" s="1369">
        <f si="31" t="shared"/>
        <v>0</v>
      </c>
    </row>
    <row r="269" spans="19:22" x14ac:dyDescent="0.45">
      <c r="S269" s="1347">
        <v>910</v>
      </c>
      <c r="T269" s="1347" t="s">
        <v>816</v>
      </c>
      <c r="U269" s="1361">
        <v>0</v>
      </c>
      <c r="V269" s="1369">
        <f si="31" t="shared"/>
        <v>0</v>
      </c>
    </row>
    <row r="270" spans="19:22" x14ac:dyDescent="0.45">
      <c r="S270" s="1347">
        <v>911</v>
      </c>
      <c r="T270" s="1347" t="s">
        <v>818</v>
      </c>
      <c r="U270" s="1361">
        <v>0</v>
      </c>
      <c r="V270" s="1369">
        <f si="31" t="shared"/>
        <v>0</v>
      </c>
    </row>
    <row r="271" spans="19:22" x14ac:dyDescent="0.45">
      <c r="S271" s="1347">
        <v>912</v>
      </c>
      <c r="T271" s="1347" t="s">
        <v>820</v>
      </c>
      <c r="U271" s="1361">
        <v>0</v>
      </c>
      <c r="V271" s="1369">
        <f si="31" t="shared"/>
        <v>0</v>
      </c>
    </row>
    <row r="272" spans="19:22" x14ac:dyDescent="0.45">
      <c r="S272" s="1347">
        <v>913</v>
      </c>
      <c r="T272" s="1347" t="s">
        <v>822</v>
      </c>
      <c r="U272" s="1361">
        <v>0</v>
      </c>
      <c r="V272" s="1369">
        <f si="31" t="shared"/>
        <v>0</v>
      </c>
    </row>
    <row r="273" spans="19:22" x14ac:dyDescent="0.45">
      <c r="S273" s="1347">
        <v>914</v>
      </c>
      <c r="T273" s="1347" t="s">
        <v>824</v>
      </c>
      <c r="U273" s="1361">
        <v>0</v>
      </c>
      <c r="V273" s="1369">
        <f si="31" t="shared"/>
        <v>0</v>
      </c>
    </row>
    <row r="274" spans="19:22" x14ac:dyDescent="0.45">
      <c r="S274" s="1347">
        <v>916</v>
      </c>
      <c r="T274" s="1347" t="s">
        <v>827</v>
      </c>
      <c r="U274" s="1361">
        <v>0</v>
      </c>
      <c r="V274" s="1369">
        <f si="31" t="shared"/>
        <v>0</v>
      </c>
    </row>
    <row r="275" spans="19:22" x14ac:dyDescent="0.45">
      <c r="S275" s="1347">
        <v>917</v>
      </c>
      <c r="T275" s="1347" t="s">
        <v>829</v>
      </c>
      <c r="U275" s="1361">
        <v>0</v>
      </c>
      <c r="V275" s="1369">
        <f si="31" t="shared"/>
        <v>0</v>
      </c>
    </row>
    <row r="276" spans="19:22" x14ac:dyDescent="0.45">
      <c r="S276" s="1347">
        <v>918</v>
      </c>
      <c r="T276" s="1347" t="s">
        <v>831</v>
      </c>
      <c r="U276" s="1361">
        <v>0</v>
      </c>
      <c r="V276" s="1369">
        <f si="31" t="shared"/>
        <v>0</v>
      </c>
    </row>
    <row r="277" spans="19:22" x14ac:dyDescent="0.45">
      <c r="S277" s="1347">
        <v>919</v>
      </c>
      <c r="T277" s="1347" t="s">
        <v>833</v>
      </c>
      <c r="U277" s="1361">
        <v>0</v>
      </c>
      <c r="V277" s="1369">
        <f si="31" t="shared"/>
        <v>0</v>
      </c>
    </row>
    <row r="278" spans="19:22" x14ac:dyDescent="0.45">
      <c r="S278" s="1347">
        <v>920</v>
      </c>
      <c r="T278" s="1347" t="s">
        <v>835</v>
      </c>
      <c r="U278" s="1361">
        <v>0</v>
      </c>
      <c r="V278" s="1369">
        <f si="31" t="shared"/>
        <v>0</v>
      </c>
    </row>
    <row r="279" spans="19:22" x14ac:dyDescent="0.45">
      <c r="S279" s="1347">
        <v>921</v>
      </c>
      <c r="T279" s="1347" t="s">
        <v>837</v>
      </c>
      <c r="U279" s="1361">
        <v>0</v>
      </c>
      <c r="V279" s="1369">
        <f si="31" t="shared"/>
        <v>0</v>
      </c>
    </row>
    <row r="280" spans="19:22" x14ac:dyDescent="0.45">
      <c r="S280" s="1347">
        <v>922</v>
      </c>
      <c r="T280" s="1347" t="s">
        <v>839</v>
      </c>
      <c r="U280" s="1361">
        <v>0</v>
      </c>
      <c r="V280" s="1369">
        <f si="31" t="shared"/>
        <v>0</v>
      </c>
    </row>
    <row r="281" spans="19:22" x14ac:dyDescent="0.45">
      <c r="S281" s="1347">
        <v>923</v>
      </c>
      <c r="T281" s="1347" t="s">
        <v>841</v>
      </c>
      <c r="U281" s="1361">
        <v>0</v>
      </c>
      <c r="V281" s="1369">
        <f si="31" t="shared"/>
        <v>0</v>
      </c>
    </row>
    <row r="282" spans="19:22" x14ac:dyDescent="0.45">
      <c r="S282" s="1347">
        <v>924</v>
      </c>
      <c r="T282" s="1347" t="s">
        <v>843</v>
      </c>
      <c r="U282" s="1361">
        <v>0.29114282556600002</v>
      </c>
      <c r="V282" s="1369">
        <f si="31" t="shared"/>
        <v>0.29114282556600002</v>
      </c>
    </row>
    <row r="283" spans="19:22" x14ac:dyDescent="0.45">
      <c r="S283" s="1347">
        <v>925</v>
      </c>
      <c r="T283" s="1347" t="s">
        <v>845</v>
      </c>
      <c r="U283" s="1361">
        <v>0</v>
      </c>
      <c r="V283" s="1369">
        <f si="31" t="shared"/>
        <v>0</v>
      </c>
    </row>
    <row r="284" spans="19:22" x14ac:dyDescent="0.45">
      <c r="S284" s="1347">
        <v>926</v>
      </c>
      <c r="T284" s="1347" t="s">
        <v>847</v>
      </c>
      <c r="U284" s="1361">
        <v>0</v>
      </c>
      <c r="V284" s="1369">
        <f si="31" t="shared"/>
        <v>0</v>
      </c>
    </row>
    <row r="285" spans="19:22" x14ac:dyDescent="0.45">
      <c r="S285" s="1347">
        <v>927</v>
      </c>
      <c r="T285" s="1347" t="s">
        <v>849</v>
      </c>
      <c r="U285" s="1361">
        <v>0</v>
      </c>
      <c r="V285" s="1369">
        <f si="31" t="shared"/>
        <v>0</v>
      </c>
    </row>
    <row r="286" spans="19:22" x14ac:dyDescent="0.45">
      <c r="S286" s="1347">
        <v>928</v>
      </c>
      <c r="T286" s="1347" t="s">
        <v>1079</v>
      </c>
      <c r="U286" s="1361">
        <v>0</v>
      </c>
      <c r="V286" s="1369">
        <f si="31" t="shared"/>
        <v>0</v>
      </c>
    </row>
    <row r="287" spans="19:22" x14ac:dyDescent="0.45">
      <c r="S287" s="1347">
        <v>951</v>
      </c>
      <c r="T287" s="1347" t="s">
        <v>851</v>
      </c>
      <c r="U287" s="1361">
        <v>0</v>
      </c>
      <c r="V287" s="1369">
        <f si="31" t="shared"/>
        <v>0</v>
      </c>
    </row>
    <row r="288" spans="19:22" x14ac:dyDescent="0.45">
      <c r="S288" s="1347">
        <v>1010</v>
      </c>
      <c r="T288" s="1347" t="s">
        <v>853</v>
      </c>
      <c r="U288" s="1361">
        <v>0.45786643087000001</v>
      </c>
      <c r="V288" s="1369">
        <f si="31" t="shared"/>
        <v>0.45786643087000001</v>
      </c>
    </row>
    <row r="289" spans="19:22" x14ac:dyDescent="0.45">
      <c r="S289" s="1347">
        <v>1011</v>
      </c>
      <c r="T289" s="1347" t="s">
        <v>855</v>
      </c>
      <c r="U289" s="1361">
        <v>-1.89314616394</v>
      </c>
      <c r="V289" s="1369">
        <f si="31" t="shared"/>
        <v>-1.89314616394</v>
      </c>
    </row>
    <row r="290" spans="19:22" x14ac:dyDescent="0.45">
      <c r="S290" s="1347">
        <v>1012</v>
      </c>
      <c r="T290" s="1347" t="s">
        <v>857</v>
      </c>
      <c r="U290" s="1361">
        <v>0.18030694579100001</v>
      </c>
      <c r="V290" s="1369">
        <f si="31" t="shared"/>
        <v>0.18030694579100001</v>
      </c>
    </row>
    <row r="291" spans="19:22" x14ac:dyDescent="0.45">
      <c r="S291" s="1347">
        <v>1013</v>
      </c>
      <c r="T291" s="1347" t="s">
        <v>859</v>
      </c>
      <c r="U291" s="1361">
        <v>1.0017474184599999</v>
      </c>
      <c r="V291" s="1369">
        <f si="31" t="shared"/>
        <v>1.0017474184599999</v>
      </c>
    </row>
    <row r="292" spans="19:22" x14ac:dyDescent="0.45">
      <c r="S292" s="1347">
        <v>1014</v>
      </c>
      <c r="T292" s="1347" t="s">
        <v>861</v>
      </c>
      <c r="U292" s="1361">
        <v>-0.28287807831299999</v>
      </c>
      <c r="V292" s="1369">
        <f si="31" t="shared"/>
        <v>-0.28287807831299999</v>
      </c>
    </row>
    <row r="293" spans="19:22" x14ac:dyDescent="0.45">
      <c r="S293" s="1347">
        <v>1015</v>
      </c>
      <c r="T293" s="1347" t="s">
        <v>863</v>
      </c>
      <c r="U293" s="1361">
        <v>-0.194127679345</v>
      </c>
      <c r="V293" s="1369">
        <f si="31" t="shared"/>
        <v>-0.194127679345</v>
      </c>
    </row>
    <row r="294" spans="19:22" x14ac:dyDescent="0.45">
      <c r="S294" s="1347">
        <v>1016</v>
      </c>
      <c r="T294" s="1347" t="s">
        <v>865</v>
      </c>
      <c r="U294" s="1361">
        <v>0.46459217164200001</v>
      </c>
      <c r="V294" s="1369">
        <f si="31" t="shared"/>
        <v>0.46459217164200001</v>
      </c>
    </row>
    <row r="295" spans="19:22" x14ac:dyDescent="0.45">
      <c r="S295" s="1347">
        <v>1018</v>
      </c>
      <c r="T295" s="1347" t="s">
        <v>868</v>
      </c>
      <c r="U295" s="1361">
        <v>-1.38992994507E-2</v>
      </c>
      <c r="V295" s="1369">
        <f si="31" t="shared"/>
        <v>-1.38992994507E-2</v>
      </c>
    </row>
    <row r="296" spans="19:22" x14ac:dyDescent="0.45">
      <c r="S296" s="1347">
        <v>1019</v>
      </c>
      <c r="T296" s="1347" t="s">
        <v>870</v>
      </c>
      <c r="U296" s="1361">
        <v>-2.6690635235499999E-2</v>
      </c>
      <c r="V296" s="1369">
        <f si="31" t="shared"/>
        <v>-2.6690635235499999E-2</v>
      </c>
    </row>
    <row r="297" spans="19:22" x14ac:dyDescent="0.45">
      <c r="S297" s="1347">
        <v>1020</v>
      </c>
      <c r="T297" s="1347" t="s">
        <v>872</v>
      </c>
      <c r="U297" s="1361">
        <v>0.95021951402399996</v>
      </c>
      <c r="V297" s="1369">
        <f si="31" t="shared"/>
        <v>0.95021951402399996</v>
      </c>
    </row>
    <row r="298" spans="19:22" x14ac:dyDescent="0.45">
      <c r="S298" s="1347">
        <v>1021</v>
      </c>
      <c r="T298" s="1347" t="s">
        <v>874</v>
      </c>
      <c r="U298" s="1361">
        <v>4.6119139492799999E-2</v>
      </c>
      <c r="V298" s="1369">
        <f si="31" t="shared"/>
        <v>4.6119139492799999E-2</v>
      </c>
    </row>
    <row r="299" spans="19:22" x14ac:dyDescent="0.45">
      <c r="S299" s="1347">
        <v>1022</v>
      </c>
      <c r="T299" s="1347" t="s">
        <v>876</v>
      </c>
      <c r="U299" s="1361">
        <v>-0.50334562369900004</v>
      </c>
      <c r="V299" s="1369">
        <f si="31" t="shared"/>
        <v>-0.50334562369900004</v>
      </c>
    </row>
    <row r="300" spans="19:22" x14ac:dyDescent="0.45">
      <c r="S300" s="1347">
        <v>1023</v>
      </c>
      <c r="T300" s="1347" t="s">
        <v>878</v>
      </c>
      <c r="U300" s="1361">
        <v>1.0587748827500001</v>
      </c>
      <c r="V300" s="1369">
        <f si="31" t="shared"/>
        <v>1.0587748827500001</v>
      </c>
    </row>
    <row r="301" spans="19:22" x14ac:dyDescent="0.45">
      <c r="S301" s="1347">
        <v>1024</v>
      </c>
      <c r="T301" s="1347" t="s">
        <v>880</v>
      </c>
      <c r="U301" s="1361">
        <v>-0.53848378214500003</v>
      </c>
      <c r="V301" s="1369">
        <f si="31" t="shared"/>
        <v>-0.53848378214500003</v>
      </c>
    </row>
    <row r="302" spans="19:22" x14ac:dyDescent="0.45">
      <c r="S302" s="1347">
        <v>1025</v>
      </c>
      <c r="T302" s="1347" t="s">
        <v>882</v>
      </c>
      <c r="U302" s="1361">
        <v>-0.56980481664100002</v>
      </c>
      <c r="V302" s="1369">
        <f si="31" t="shared"/>
        <v>-0.56980481664100002</v>
      </c>
    </row>
    <row r="303" spans="19:22" x14ac:dyDescent="0.45">
      <c r="S303" s="1347">
        <v>1026</v>
      </c>
      <c r="T303" s="1347" t="s">
        <v>884</v>
      </c>
      <c r="U303" s="1361">
        <v>-0.36556883931099998</v>
      </c>
      <c r="V303" s="1369">
        <f si="31" t="shared"/>
        <v>-0.36556883931099998</v>
      </c>
    </row>
    <row r="304" spans="19:22" x14ac:dyDescent="0.45">
      <c r="S304" s="1347">
        <v>1028</v>
      </c>
      <c r="T304" s="1347" t="s">
        <v>886</v>
      </c>
      <c r="U304" s="1361">
        <v>-5.12318617046E-2</v>
      </c>
      <c r="V304" s="1369">
        <f si="31" t="shared"/>
        <v>-5.12318617046E-2</v>
      </c>
    </row>
    <row r="305" spans="19:22" x14ac:dyDescent="0.45">
      <c r="S305" s="1347">
        <v>1029</v>
      </c>
      <c r="T305" s="1347" t="s">
        <v>888</v>
      </c>
      <c r="U305" s="1361">
        <v>0</v>
      </c>
      <c r="V305" s="1369">
        <f si="31" t="shared"/>
        <v>0</v>
      </c>
    </row>
    <row r="306" spans="19:22" x14ac:dyDescent="0.45">
      <c r="S306" s="1347">
        <v>1033</v>
      </c>
      <c r="T306" s="1347" t="s">
        <v>890</v>
      </c>
      <c r="U306" s="1361">
        <v>2.3191467598700002</v>
      </c>
      <c r="V306" s="1369">
        <f si="31" t="shared"/>
        <v>2.3191467598700002</v>
      </c>
    </row>
    <row r="307" spans="19:22" x14ac:dyDescent="0.45">
      <c r="S307" s="1347">
        <v>1034</v>
      </c>
      <c r="T307" s="1347" t="s">
        <v>892</v>
      </c>
      <c r="U307" s="1361">
        <v>0.43882869599800001</v>
      </c>
      <c r="V307" s="1369">
        <f si="31" t="shared"/>
        <v>0.43882869599800001</v>
      </c>
    </row>
    <row r="308" spans="19:22" x14ac:dyDescent="0.45">
      <c r="S308" s="1347">
        <v>1035</v>
      </c>
      <c r="T308" s="1347" t="s">
        <v>894</v>
      </c>
      <c r="U308" s="1361">
        <v>0.38801901626300001</v>
      </c>
      <c r="V308" s="1369">
        <f si="31" t="shared"/>
        <v>0.38801901626300001</v>
      </c>
    </row>
    <row r="309" spans="19:22" x14ac:dyDescent="0.45">
      <c r="S309" s="1347">
        <v>1036</v>
      </c>
      <c r="T309" s="1347" t="s">
        <v>896</v>
      </c>
      <c r="U309" s="1361">
        <v>0.60596435895300005</v>
      </c>
      <c r="V309" s="1369">
        <f si="31" t="shared"/>
        <v>0.60596435895300005</v>
      </c>
    </row>
    <row r="310" spans="19:22" x14ac:dyDescent="0.45">
      <c r="S310" s="1347">
        <v>1043</v>
      </c>
      <c r="T310" s="1347" t="s">
        <v>898</v>
      </c>
      <c r="U310" s="1361">
        <v>-0.54382622784000001</v>
      </c>
      <c r="V310" s="1369">
        <f si="31" t="shared"/>
        <v>-0.54382622784000001</v>
      </c>
    </row>
    <row r="311" spans="19:22" x14ac:dyDescent="0.45">
      <c r="S311" s="1347">
        <v>1044</v>
      </c>
      <c r="T311" s="1347" t="s">
        <v>900</v>
      </c>
      <c r="U311" s="1361">
        <v>0.15599073698400001</v>
      </c>
      <c r="V311" s="1369">
        <f si="31" t="shared"/>
        <v>0.15599073698400001</v>
      </c>
    </row>
    <row r="312" spans="19:22" x14ac:dyDescent="0.45">
      <c r="S312" s="1347">
        <v>1045</v>
      </c>
      <c r="T312" s="1347" t="s">
        <v>902</v>
      </c>
      <c r="U312" s="1361">
        <v>0.14237055478999999</v>
      </c>
      <c r="V312" s="1369">
        <f si="31" t="shared"/>
        <v>0.14237055478999999</v>
      </c>
    </row>
    <row r="313" spans="19:22" x14ac:dyDescent="0.45">
      <c r="S313" s="1347">
        <v>1046</v>
      </c>
      <c r="T313" s="1347" t="s">
        <v>904</v>
      </c>
      <c r="U313" s="1361">
        <v>0.23516411117700001</v>
      </c>
      <c r="V313" s="1369">
        <f si="31" t="shared"/>
        <v>0.23516411117700001</v>
      </c>
    </row>
    <row r="314" spans="19:22" x14ac:dyDescent="0.45">
      <c r="S314" s="1347">
        <v>1053</v>
      </c>
      <c r="T314" s="1347" t="s">
        <v>906</v>
      </c>
      <c r="U314" s="1361">
        <v>-0.39185646229999999</v>
      </c>
      <c r="V314" s="1369">
        <f si="31" t="shared"/>
        <v>-0.39185646229999999</v>
      </c>
    </row>
    <row r="315" spans="19:22" x14ac:dyDescent="0.45">
      <c r="S315" s="1347">
        <v>1054</v>
      </c>
      <c r="T315" s="1347" t="s">
        <v>908</v>
      </c>
      <c r="U315" s="1361">
        <v>0.18528363720900001</v>
      </c>
      <c r="V315" s="1369">
        <f si="31" t="shared"/>
        <v>0.18528363720900001</v>
      </c>
    </row>
    <row r="316" spans="19:22" x14ac:dyDescent="0.45">
      <c r="S316" s="1347">
        <v>1055</v>
      </c>
      <c r="T316" s="1347" t="s">
        <v>910</v>
      </c>
      <c r="U316" s="1361">
        <v>0.50750506111000004</v>
      </c>
      <c r="V316" s="1369">
        <f si="31" t="shared"/>
        <v>0.50750506111000004</v>
      </c>
    </row>
    <row r="317" spans="19:22" x14ac:dyDescent="0.45">
      <c r="S317" s="1347">
        <v>1056</v>
      </c>
      <c r="T317" s="1347" t="s">
        <v>912</v>
      </c>
      <c r="U317" s="1361">
        <v>-0.31245288367200003</v>
      </c>
      <c r="V317" s="1369">
        <f si="31" t="shared"/>
        <v>-0.31245288367200003</v>
      </c>
    </row>
    <row r="318" spans="19:22" x14ac:dyDescent="0.45">
      <c r="S318" s="1347">
        <v>1063</v>
      </c>
      <c r="T318" s="1347" t="s">
        <v>914</v>
      </c>
      <c r="U318" s="1361">
        <v>-6.4681278984199994E-2</v>
      </c>
      <c r="V318" s="1369">
        <f si="31" t="shared"/>
        <v>-6.4681278984199994E-2</v>
      </c>
    </row>
    <row r="319" spans="19:22" x14ac:dyDescent="0.45">
      <c r="S319" s="1347">
        <v>1064</v>
      </c>
      <c r="T319" s="1347" t="s">
        <v>916</v>
      </c>
      <c r="U319" s="1361">
        <v>0.221464065658</v>
      </c>
      <c r="V319" s="1369">
        <f si="31" t="shared"/>
        <v>0.221464065658</v>
      </c>
    </row>
    <row r="320" spans="19:22" x14ac:dyDescent="0.45">
      <c r="S320" s="1347">
        <v>1065</v>
      </c>
      <c r="T320" s="1347" t="s">
        <v>918</v>
      </c>
      <c r="U320" s="1361">
        <v>0.29629414684499999</v>
      </c>
      <c r="V320" s="1369">
        <f si="31" t="shared"/>
        <v>0.29629414684499999</v>
      </c>
    </row>
    <row r="321" spans="19:22" x14ac:dyDescent="0.45">
      <c r="S321" s="1347">
        <v>1066</v>
      </c>
      <c r="T321" s="1347" t="s">
        <v>920</v>
      </c>
      <c r="U321" s="1361">
        <v>-0.267306995178</v>
      </c>
      <c r="V321" s="1369">
        <f si="31" t="shared"/>
        <v>-0.267306995178</v>
      </c>
    </row>
    <row r="322" spans="19:22" x14ac:dyDescent="0.45">
      <c r="S322" s="1347">
        <v>1073</v>
      </c>
      <c r="T322" s="1347" t="s">
        <v>922</v>
      </c>
      <c r="U322" s="1361">
        <v>-0.54163888619599998</v>
      </c>
      <c r="V322" s="1369">
        <f si="31" t="shared"/>
        <v>-0.54163888619599998</v>
      </c>
    </row>
    <row r="323" spans="19:22" x14ac:dyDescent="0.45">
      <c r="S323" s="1347">
        <v>1074</v>
      </c>
      <c r="T323" s="1347" t="s">
        <v>924</v>
      </c>
      <c r="U323" s="1361">
        <v>-7.6209529090599998E-2</v>
      </c>
      <c r="V323" s="1369">
        <f si="31" t="shared"/>
        <v>-7.6209529090599998E-2</v>
      </c>
    </row>
    <row r="324" spans="19:22" x14ac:dyDescent="0.45">
      <c r="S324" s="1347">
        <v>1075</v>
      </c>
      <c r="T324" s="1347" t="s">
        <v>926</v>
      </c>
      <c r="U324" s="1361">
        <v>0.110794657029</v>
      </c>
      <c r="V324" s="1369">
        <f ref="V324:V384" si="32" t="shared">U324</f>
        <v>0.110794657029</v>
      </c>
    </row>
    <row r="325" spans="19:22" x14ac:dyDescent="0.45">
      <c r="S325" s="1347">
        <v>1076</v>
      </c>
      <c r="T325" s="1347" t="s">
        <v>928</v>
      </c>
      <c r="U325" s="1361">
        <v>0.411725267462</v>
      </c>
      <c r="V325" s="1369">
        <f si="32" t="shared"/>
        <v>0.411725267462</v>
      </c>
    </row>
    <row r="326" spans="19:22" x14ac:dyDescent="0.45">
      <c r="S326" s="1347">
        <v>1112</v>
      </c>
      <c r="T326" s="1347" t="s">
        <v>930</v>
      </c>
      <c r="U326" s="1361">
        <v>-1.5644309596599999</v>
      </c>
      <c r="V326" s="1369">
        <f si="32" t="shared"/>
        <v>-1.5644309596599999</v>
      </c>
    </row>
    <row r="327" spans="19:22" x14ac:dyDescent="0.45">
      <c r="S327" s="1347">
        <v>1113</v>
      </c>
      <c r="T327" s="1347" t="s">
        <v>932</v>
      </c>
      <c r="U327" s="1361">
        <v>-1.2740274169500001</v>
      </c>
      <c r="V327" s="1369">
        <f si="32" t="shared"/>
        <v>-1.2740274169500001</v>
      </c>
    </row>
    <row r="328" spans="19:22" x14ac:dyDescent="0.45">
      <c r="S328" s="1347">
        <v>1114</v>
      </c>
      <c r="T328" s="1347" t="s">
        <v>934</v>
      </c>
      <c r="U328" s="1361">
        <v>-1.0749348599599999</v>
      </c>
      <c r="V328" s="1369">
        <f si="32" t="shared"/>
        <v>-1.0749348599599999</v>
      </c>
    </row>
    <row r="329" spans="19:22" x14ac:dyDescent="0.45">
      <c r="S329" s="1347">
        <v>1115</v>
      </c>
      <c r="T329" s="1347" t="s">
        <v>936</v>
      </c>
      <c r="U329" s="1361">
        <v>-0.94518526709999995</v>
      </c>
      <c r="V329" s="1369">
        <f si="32" t="shared"/>
        <v>-0.94518526709999995</v>
      </c>
    </row>
    <row r="330" spans="19:22" x14ac:dyDescent="0.45">
      <c r="S330" s="1347">
        <v>1116</v>
      </c>
      <c r="T330" s="1347" t="s">
        <v>938</v>
      </c>
      <c r="U330" s="1361">
        <v>-0.50215980633099999</v>
      </c>
      <c r="V330" s="1369">
        <f si="32" t="shared"/>
        <v>-0.50215980633099999</v>
      </c>
    </row>
    <row r="331" spans="19:22" x14ac:dyDescent="0.45">
      <c r="S331" s="1347">
        <v>1117</v>
      </c>
      <c r="T331" s="1347" t="s">
        <v>940</v>
      </c>
      <c r="U331" s="1361">
        <v>-0.540636525358</v>
      </c>
      <c r="V331" s="1369">
        <f si="32" t="shared"/>
        <v>-0.540636525358</v>
      </c>
    </row>
    <row r="332" spans="19:22" x14ac:dyDescent="0.45">
      <c r="S332" s="1347">
        <v>1123</v>
      </c>
      <c r="T332" s="1347" t="s">
        <v>942</v>
      </c>
      <c r="U332" s="1361">
        <v>-1.3616026243299999</v>
      </c>
      <c r="V332" s="1369">
        <f si="32" t="shared"/>
        <v>-1.3616026243299999</v>
      </c>
    </row>
    <row r="333" spans="19:22" x14ac:dyDescent="0.45">
      <c r="S333" s="1347">
        <v>1124</v>
      </c>
      <c r="T333" s="1347" t="s">
        <v>944</v>
      </c>
      <c r="U333" s="1361">
        <v>-0.84898836229399999</v>
      </c>
      <c r="V333" s="1369">
        <f si="32" t="shared"/>
        <v>-0.84898836229399999</v>
      </c>
    </row>
    <row r="334" spans="19:22" x14ac:dyDescent="0.45">
      <c r="S334" s="1347">
        <v>1125</v>
      </c>
      <c r="T334" s="1347" t="s">
        <v>946</v>
      </c>
      <c r="U334" s="1361">
        <v>-0.78613389560799996</v>
      </c>
      <c r="V334" s="1369">
        <f si="32" t="shared"/>
        <v>-0.78613389560799996</v>
      </c>
    </row>
    <row r="335" spans="19:22" x14ac:dyDescent="0.45">
      <c r="S335" s="1347">
        <v>1126</v>
      </c>
      <c r="T335" s="1347" t="s">
        <v>948</v>
      </c>
      <c r="U335" s="1361">
        <v>-0.54681847911299997</v>
      </c>
      <c r="V335" s="1369">
        <f si="32" t="shared"/>
        <v>-0.54681847911299997</v>
      </c>
    </row>
    <row r="336" spans="19:22" x14ac:dyDescent="0.45">
      <c r="S336" s="1347">
        <v>1127</v>
      </c>
      <c r="T336" s="1347" t="s">
        <v>950</v>
      </c>
      <c r="U336" s="1361">
        <v>-0.52556611822199994</v>
      </c>
      <c r="V336" s="1369">
        <f si="32" t="shared"/>
        <v>-0.52556611822199994</v>
      </c>
    </row>
    <row r="337" spans="19:22" x14ac:dyDescent="0.45">
      <c r="S337" s="1347">
        <v>1134</v>
      </c>
      <c r="T337" s="1347" t="s">
        <v>952</v>
      </c>
      <c r="U337" s="1361">
        <v>0.36235102462699997</v>
      </c>
      <c r="V337" s="1369">
        <f si="32" t="shared"/>
        <v>0.36235102462699997</v>
      </c>
    </row>
    <row r="338" spans="19:22" x14ac:dyDescent="0.45">
      <c r="S338" s="1347">
        <v>1135</v>
      </c>
      <c r="T338" s="1347" t="s">
        <v>954</v>
      </c>
      <c r="U338" s="1361">
        <v>-0.10012866324</v>
      </c>
      <c r="V338" s="1369">
        <f si="32" t="shared"/>
        <v>-0.10012866324</v>
      </c>
    </row>
    <row r="339" spans="19:22" x14ac:dyDescent="0.45">
      <c r="S339" s="1347">
        <v>1136</v>
      </c>
      <c r="T339" s="1347" t="s">
        <v>956</v>
      </c>
      <c r="U339" s="1361">
        <v>-0.106732192286</v>
      </c>
      <c r="V339" s="1369">
        <f si="32" t="shared"/>
        <v>-0.106732192286</v>
      </c>
    </row>
    <row r="340" spans="19:22" x14ac:dyDescent="0.45">
      <c r="S340" s="1347">
        <v>1137</v>
      </c>
      <c r="T340" s="1347" t="s">
        <v>958</v>
      </c>
      <c r="U340" s="1361">
        <v>0.216505983215</v>
      </c>
      <c r="V340" s="1369">
        <f si="32" t="shared"/>
        <v>0.216505983215</v>
      </c>
    </row>
    <row r="341" spans="19:22" x14ac:dyDescent="0.45">
      <c r="S341" s="1347">
        <v>1145</v>
      </c>
      <c r="T341" s="1347" t="s">
        <v>960</v>
      </c>
      <c r="U341" s="1361">
        <v>-5.5921311625300001E-2</v>
      </c>
      <c r="V341" s="1369">
        <f si="32" t="shared"/>
        <v>-5.5921311625300001E-2</v>
      </c>
    </row>
    <row r="342" spans="19:22" x14ac:dyDescent="0.45">
      <c r="S342" s="1347">
        <v>1146</v>
      </c>
      <c r="T342" s="1347" t="s">
        <v>962</v>
      </c>
      <c r="U342" s="1361">
        <v>0.24358333611300001</v>
      </c>
      <c r="V342" s="1369">
        <f si="32" t="shared"/>
        <v>0.24358333611300001</v>
      </c>
    </row>
    <row r="343" spans="19:22" x14ac:dyDescent="0.45">
      <c r="S343" s="1347">
        <v>1147</v>
      </c>
      <c r="T343" s="1347" t="s">
        <v>964</v>
      </c>
      <c r="U343" s="1361">
        <v>-0.18853487847799999</v>
      </c>
      <c r="V343" s="1369">
        <f si="32" t="shared"/>
        <v>-0.18853487847799999</v>
      </c>
    </row>
    <row r="344" spans="19:22" x14ac:dyDescent="0.45">
      <c r="S344" s="1347">
        <v>1156</v>
      </c>
      <c r="T344" s="1347" t="s">
        <v>966</v>
      </c>
      <c r="U344" s="1361">
        <v>-0.442260708467</v>
      </c>
      <c r="V344" s="1369">
        <f si="32" t="shared"/>
        <v>-0.442260708467</v>
      </c>
    </row>
    <row r="345" spans="19:22" x14ac:dyDescent="0.45">
      <c r="S345" s="1347">
        <v>1157</v>
      </c>
      <c r="T345" s="1347" t="s">
        <v>968</v>
      </c>
      <c r="U345" s="1361">
        <v>1.03014939628E-2</v>
      </c>
      <c r="V345" s="1369">
        <f si="32" t="shared"/>
        <v>1.03014939628E-2</v>
      </c>
    </row>
    <row r="346" spans="19:22" x14ac:dyDescent="0.45">
      <c r="S346" s="1347">
        <v>1213</v>
      </c>
      <c r="T346" s="1347" t="s">
        <v>970</v>
      </c>
      <c r="U346" s="1361">
        <v>-1.36481525144</v>
      </c>
      <c r="V346" s="1369">
        <f si="32" t="shared"/>
        <v>-1.36481525144</v>
      </c>
    </row>
    <row r="347" spans="19:22" x14ac:dyDescent="0.45">
      <c r="S347" s="1347">
        <v>1214</v>
      </c>
      <c r="T347" s="1347" t="s">
        <v>972</v>
      </c>
      <c r="U347" s="1361">
        <v>-0.61775033894800002</v>
      </c>
      <c r="V347" s="1369">
        <f si="32" t="shared"/>
        <v>-0.61775033894800002</v>
      </c>
    </row>
    <row r="348" spans="19:22" x14ac:dyDescent="0.45">
      <c r="S348" s="1347">
        <v>1215</v>
      </c>
      <c r="T348" s="1347" t="s">
        <v>974</v>
      </c>
      <c r="U348" s="1361">
        <v>-0.64325229668899997</v>
      </c>
      <c r="V348" s="1369">
        <f si="32" t="shared"/>
        <v>-0.64325229668899997</v>
      </c>
    </row>
    <row r="349" spans="19:22" x14ac:dyDescent="0.45">
      <c r="S349" s="1347">
        <v>1216</v>
      </c>
      <c r="T349" s="1347" t="s">
        <v>976</v>
      </c>
      <c r="U349" s="1361">
        <v>-0.44793136682599999</v>
      </c>
      <c r="V349" s="1369">
        <f si="32" t="shared"/>
        <v>-0.44793136682599999</v>
      </c>
    </row>
    <row r="350" spans="19:22" x14ac:dyDescent="0.45">
      <c r="S350" s="1347">
        <v>1217</v>
      </c>
      <c r="T350" s="1347" t="s">
        <v>978</v>
      </c>
      <c r="U350" s="1361">
        <v>-0.93801074918799998</v>
      </c>
      <c r="V350" s="1369">
        <f si="32" t="shared"/>
        <v>-0.93801074918799998</v>
      </c>
    </row>
    <row r="351" spans="19:22" x14ac:dyDescent="0.45">
      <c r="S351" s="1347">
        <v>1223</v>
      </c>
      <c r="T351" s="1347" t="s">
        <v>980</v>
      </c>
      <c r="U351" s="1361">
        <v>-1.1092063858900001</v>
      </c>
      <c r="V351" s="1369">
        <f si="32" t="shared"/>
        <v>-1.1092063858900001</v>
      </c>
    </row>
    <row r="352" spans="19:22" x14ac:dyDescent="0.45">
      <c r="S352" s="1347">
        <v>1224</v>
      </c>
      <c r="T352" s="1347" t="s">
        <v>982</v>
      </c>
      <c r="U352" s="1361">
        <v>-0.37840972925499999</v>
      </c>
      <c r="V352" s="1369">
        <f si="32" t="shared"/>
        <v>-0.37840972925499999</v>
      </c>
    </row>
    <row r="353" spans="19:22" x14ac:dyDescent="0.45">
      <c r="S353" s="1347">
        <v>1225</v>
      </c>
      <c r="T353" s="1347" t="s">
        <v>984</v>
      </c>
      <c r="U353" s="1361">
        <v>-1.13150811347</v>
      </c>
      <c r="V353" s="1369">
        <f si="32" t="shared"/>
        <v>-1.13150811347</v>
      </c>
    </row>
    <row r="354" spans="19:22" x14ac:dyDescent="0.45">
      <c r="S354" s="1347">
        <v>1226</v>
      </c>
      <c r="T354" s="1347" t="s">
        <v>986</v>
      </c>
      <c r="U354" s="1361">
        <v>0.46235910839400002</v>
      </c>
      <c r="V354" s="1369">
        <f si="32" t="shared"/>
        <v>0.46235910839400002</v>
      </c>
    </row>
    <row r="355" spans="19:22" x14ac:dyDescent="0.45">
      <c r="S355" s="1347">
        <v>1227</v>
      </c>
      <c r="T355" s="1347" t="s">
        <v>988</v>
      </c>
      <c r="U355" s="1361">
        <v>-0.18611062162</v>
      </c>
      <c r="V355" s="1369">
        <f si="32" t="shared"/>
        <v>-0.18611062162</v>
      </c>
    </row>
    <row r="356" spans="19:22" x14ac:dyDescent="0.45">
      <c r="S356" s="1347">
        <v>1234</v>
      </c>
      <c r="T356" s="1347" t="s">
        <v>990</v>
      </c>
      <c r="U356" s="1361">
        <v>-0.52820419371100003</v>
      </c>
      <c r="V356" s="1369">
        <f si="32" t="shared"/>
        <v>-0.52820419371100003</v>
      </c>
    </row>
    <row r="357" spans="19:22" x14ac:dyDescent="0.45">
      <c r="S357" s="1347">
        <v>1235</v>
      </c>
      <c r="T357" s="1347" t="s">
        <v>992</v>
      </c>
      <c r="U357" s="1361">
        <v>-0.73156894307999998</v>
      </c>
      <c r="V357" s="1369">
        <f si="32" t="shared"/>
        <v>-0.73156894307999998</v>
      </c>
    </row>
    <row r="358" spans="19:22" x14ac:dyDescent="0.45">
      <c r="S358" s="1347">
        <v>1236</v>
      </c>
      <c r="T358" s="1347" t="s">
        <v>994</v>
      </c>
      <c r="U358" s="1361">
        <v>-0.38019855195000002</v>
      </c>
      <c r="V358" s="1369">
        <f si="32" t="shared"/>
        <v>-0.38019855195000002</v>
      </c>
    </row>
    <row r="359" spans="19:22" x14ac:dyDescent="0.45">
      <c r="S359" s="1347">
        <v>1237</v>
      </c>
      <c r="T359" s="1347" t="s">
        <v>996</v>
      </c>
      <c r="U359" s="1361">
        <v>-0.17169006107099999</v>
      </c>
      <c r="V359" s="1369">
        <f si="32" t="shared"/>
        <v>-0.17169006107099999</v>
      </c>
    </row>
    <row r="360" spans="19:22" x14ac:dyDescent="0.45">
      <c r="S360" s="1347">
        <v>1245</v>
      </c>
      <c r="T360" s="1347" t="s">
        <v>998</v>
      </c>
      <c r="U360" s="1361">
        <v>-0.20732203726000001</v>
      </c>
      <c r="V360" s="1369">
        <f si="32" t="shared"/>
        <v>-0.20732203726000001</v>
      </c>
    </row>
    <row r="361" spans="19:22" x14ac:dyDescent="0.45">
      <c r="S361" s="1347">
        <v>1246</v>
      </c>
      <c r="T361" s="1347" t="s">
        <v>1000</v>
      </c>
      <c r="U361" s="1361">
        <v>-0.48987563118100003</v>
      </c>
      <c r="V361" s="1369">
        <f si="32" t="shared"/>
        <v>-0.48987563118100003</v>
      </c>
    </row>
    <row r="362" spans="19:22" x14ac:dyDescent="0.45">
      <c r="S362" s="1347">
        <v>1247</v>
      </c>
      <c r="T362" s="1347" t="s">
        <v>1002</v>
      </c>
      <c r="U362" s="1361">
        <v>-0.70672408033</v>
      </c>
      <c r="V362" s="1369">
        <f si="32" t="shared"/>
        <v>-0.70672408033</v>
      </c>
    </row>
    <row r="363" spans="19:22" x14ac:dyDescent="0.45">
      <c r="S363" s="1347">
        <v>1256</v>
      </c>
      <c r="T363" s="1347" t="s">
        <v>1004</v>
      </c>
      <c r="U363" s="1361">
        <v>-0.48653889900000002</v>
      </c>
      <c r="V363" s="1369">
        <f si="32" t="shared"/>
        <v>-0.48653889900000002</v>
      </c>
    </row>
    <row r="364" spans="19:22" x14ac:dyDescent="0.45">
      <c r="S364" s="1347">
        <v>1257</v>
      </c>
      <c r="T364" s="1347" t="s">
        <v>1006</v>
      </c>
      <c r="U364" s="1361">
        <v>-0.64057657042600002</v>
      </c>
      <c r="V364" s="1369">
        <f si="32" t="shared"/>
        <v>-0.64057657042600002</v>
      </c>
    </row>
    <row r="365" spans="19:22" x14ac:dyDescent="0.45">
      <c r="S365" s="1347">
        <v>1311</v>
      </c>
      <c r="T365" s="1347" t="s">
        <v>1008</v>
      </c>
      <c r="U365" s="1361">
        <v>-3.0895488316500002</v>
      </c>
      <c r="V365" s="1369">
        <f si="32" t="shared"/>
        <v>-3.0895488316500002</v>
      </c>
    </row>
    <row r="366" spans="19:22" x14ac:dyDescent="0.45">
      <c r="S366" s="1347">
        <v>1312</v>
      </c>
      <c r="T366" s="1347" t="s">
        <v>1010</v>
      </c>
      <c r="U366" s="1361">
        <v>-4.6880391214500001</v>
      </c>
      <c r="V366" s="1369">
        <f si="32" t="shared"/>
        <v>-4.6880391214500001</v>
      </c>
    </row>
    <row r="367" spans="19:22" x14ac:dyDescent="0.45">
      <c r="S367" s="1347">
        <v>1313</v>
      </c>
      <c r="T367" s="1347" t="s">
        <v>1012</v>
      </c>
      <c r="U367" s="1361">
        <v>-5.2719733197699998</v>
      </c>
      <c r="V367" s="1369">
        <f si="32" t="shared"/>
        <v>-5.2719733197699998</v>
      </c>
    </row>
    <row r="368" spans="19:22" x14ac:dyDescent="0.45">
      <c r="S368" s="1347">
        <v>1321</v>
      </c>
      <c r="T368" s="1347" t="s">
        <v>1014</v>
      </c>
      <c r="U368" s="1361">
        <v>-2.98919984582</v>
      </c>
      <c r="V368" s="1369">
        <f si="32" t="shared"/>
        <v>-2.98919984582</v>
      </c>
    </row>
    <row r="369" spans="19:22" x14ac:dyDescent="0.45">
      <c r="S369" s="1347">
        <v>1322</v>
      </c>
      <c r="T369" s="1347" t="s">
        <v>1016</v>
      </c>
      <c r="U369" s="1361">
        <v>-4.5628566934299997</v>
      </c>
      <c r="V369" s="1369">
        <f si="32" t="shared"/>
        <v>-4.5628566934299997</v>
      </c>
    </row>
    <row r="370" spans="19:22" x14ac:dyDescent="0.45">
      <c r="S370" s="1347">
        <v>1323</v>
      </c>
      <c r="T370" s="1347" t="s">
        <v>1018</v>
      </c>
      <c r="U370" s="1361">
        <v>-5.1473826788899997</v>
      </c>
      <c r="V370" s="1369">
        <f si="32" t="shared"/>
        <v>-5.1473826788899997</v>
      </c>
    </row>
    <row r="371" spans="19:22" x14ac:dyDescent="0.45">
      <c r="S371" s="1347">
        <v>1331</v>
      </c>
      <c r="T371" s="1347" t="s">
        <v>1020</v>
      </c>
      <c r="U371" s="1361">
        <v>-2.7935912245000001</v>
      </c>
      <c r="V371" s="1369">
        <f si="32" t="shared"/>
        <v>-2.7935912245000001</v>
      </c>
    </row>
    <row r="372" spans="19:22" x14ac:dyDescent="0.45">
      <c r="S372" s="1347">
        <v>1332</v>
      </c>
      <c r="T372" s="1347" t="s">
        <v>1022</v>
      </c>
      <c r="U372" s="1361">
        <v>-4.48645805507</v>
      </c>
      <c r="V372" s="1369">
        <f si="32" t="shared"/>
        <v>-4.48645805507</v>
      </c>
    </row>
    <row r="373" spans="19:22" x14ac:dyDescent="0.45">
      <c r="S373" s="1347">
        <v>1401</v>
      </c>
      <c r="T373" s="1347" t="s">
        <v>1024</v>
      </c>
      <c r="U373" s="1361">
        <v>6.7478150238300005E-2</v>
      </c>
      <c r="V373" s="1369">
        <f si="32" t="shared"/>
        <v>6.7478150238300005E-2</v>
      </c>
    </row>
    <row r="374" spans="19:22" x14ac:dyDescent="0.45">
      <c r="S374" s="1347">
        <v>1402</v>
      </c>
      <c r="T374" s="1347" t="s">
        <v>1026</v>
      </c>
      <c r="U374" s="1361">
        <v>0.242762214772</v>
      </c>
      <c r="V374" s="1369">
        <f si="32" t="shared"/>
        <v>0.242762214772</v>
      </c>
    </row>
    <row r="375" spans="19:22" x14ac:dyDescent="0.45">
      <c r="S375" s="1347">
        <v>1403</v>
      </c>
      <c r="T375" s="1347" t="s">
        <v>1028</v>
      </c>
      <c r="U375" s="1361">
        <v>0.56918922083500001</v>
      </c>
      <c r="V375" s="1369">
        <f si="32" t="shared"/>
        <v>0.56918922083500001</v>
      </c>
    </row>
    <row r="376" spans="19:22" x14ac:dyDescent="0.45">
      <c r="S376" s="1347">
        <v>1404</v>
      </c>
      <c r="T376" s="1347" t="s">
        <v>1030</v>
      </c>
      <c r="U376" s="1361">
        <v>-0.78749655288599996</v>
      </c>
      <c r="V376" s="1369">
        <f si="32" t="shared"/>
        <v>-0.78749655288599996</v>
      </c>
    </row>
    <row r="377" spans="19:22" x14ac:dyDescent="0.45">
      <c r="S377" s="1347">
        <v>1405</v>
      </c>
      <c r="T377" s="1347" t="s">
        <v>1032</v>
      </c>
      <c r="U377" s="1361">
        <v>-3.33577933428E-2</v>
      </c>
      <c r="V377" s="1369">
        <f si="32" t="shared"/>
        <v>-3.33577933428E-2</v>
      </c>
    </row>
    <row r="378" spans="19:22" x14ac:dyDescent="0.45">
      <c r="S378" s="1347">
        <v>1406</v>
      </c>
      <c r="T378" s="1347" t="s">
        <v>1080</v>
      </c>
      <c r="U378" s="1361">
        <v>0</v>
      </c>
      <c r="V378" s="1369">
        <f si="32" t="shared"/>
        <v>0</v>
      </c>
    </row>
    <row r="379" spans="19:22" x14ac:dyDescent="0.45">
      <c r="S379" s="1347">
        <v>1411</v>
      </c>
      <c r="T379" s="1347" t="s">
        <v>1034</v>
      </c>
      <c r="U379" s="1361">
        <v>0.275597517954</v>
      </c>
      <c r="V379" s="1369">
        <f si="32" t="shared"/>
        <v>0.275597517954</v>
      </c>
    </row>
    <row r="380" spans="19:22" x14ac:dyDescent="0.45">
      <c r="S380" s="1347">
        <v>1412</v>
      </c>
      <c r="T380" s="1347" t="s">
        <v>1036</v>
      </c>
      <c r="U380" s="1361">
        <v>0.17673343790000001</v>
      </c>
      <c r="V380" s="1369">
        <f si="32" t="shared"/>
        <v>0.17673343790000001</v>
      </c>
    </row>
    <row r="381" spans="19:22" x14ac:dyDescent="0.45">
      <c r="S381" s="1347">
        <v>1413</v>
      </c>
      <c r="T381" s="1347" t="s">
        <v>1038</v>
      </c>
      <c r="U381" s="1361">
        <v>0</v>
      </c>
      <c r="V381" s="1369">
        <f si="32" t="shared"/>
        <v>0</v>
      </c>
    </row>
    <row r="382" spans="19:22" x14ac:dyDescent="0.45">
      <c r="S382" s="1347">
        <v>1414</v>
      </c>
      <c r="T382" s="1347" t="s">
        <v>1040</v>
      </c>
      <c r="U382" s="1361">
        <v>0.537087817676</v>
      </c>
      <c r="V382" s="1369">
        <f si="32" t="shared"/>
        <v>0.537087817676</v>
      </c>
    </row>
    <row r="383" spans="19:22" x14ac:dyDescent="0.45">
      <c r="S383" s="1347">
        <v>1415</v>
      </c>
      <c r="T383" s="1347" t="s">
        <v>1042</v>
      </c>
      <c r="U383" s="1361">
        <v>4.1828202442499999E-3</v>
      </c>
      <c r="V383" s="1369">
        <f si="32" t="shared"/>
        <v>4.1828202442499999E-3</v>
      </c>
    </row>
    <row r="384" spans="19:22" x14ac:dyDescent="0.45">
      <c r="S384" s="1347">
        <v>1416</v>
      </c>
      <c r="T384" s="1347" t="s">
        <v>1081</v>
      </c>
      <c r="U384" s="1361">
        <v>0</v>
      </c>
      <c r="V384" s="1369">
        <f si="32" t="shared"/>
        <v>0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133</vt:i4>
      </vt:variant>
    </vt:vector>
  </HeadingPairs>
  <TitlesOfParts>
    <vt:vector baseType="lpstr" size="149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Peter Andrews</cp:lastModifiedBy>
  <dcterms:modified xsi:type="dcterms:W3CDTF">2016-07-01T21:16:07Z</dcterms:modified>
</cp:coreProperties>
</file>