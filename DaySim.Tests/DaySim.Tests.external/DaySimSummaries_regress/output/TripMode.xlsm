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windowHeight="5040" windowWidth="7950" xWindow="240" yWindow="30"/>
  </bookViews>
  <sheets>
    <sheet name="All Purposes" r:id="rId1" sheetId="18"/>
    <sheet name="Workbased" r:id="rId2" sheetId="7"/>
    <sheet name="Work" r:id="rId3" sheetId="11"/>
    <sheet name="School" r:id="rId4" sheetId="12"/>
    <sheet name="Escort" r:id="rId5" sheetId="13"/>
    <sheet name="Personal_Business" r:id="rId6" sheetId="14"/>
    <sheet name="Shop" r:id="rId7" sheetId="15"/>
    <sheet name="Meal" r:id="rId8" sheetId="16"/>
    <sheet name="SocRec" r:id="rId9" sheetId="17"/>
    <sheet name="Documentation" r:id="rId10" sheetId="19"/>
  </sheets>
  <definedNames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1">Work!$B$5:$I$15</definedName>
    <definedName name="out3">School!$B$5:$I$15</definedName>
    <definedName name="out5">Escort!$B$5:$I$15</definedName>
    <definedName name="out7">Personal_Business!$B$5:$I$15</definedName>
    <definedName name="out9">Shop!$B$5:$I$15</definedName>
    <definedName name="out11">Meal!$B$5:$I$15</definedName>
    <definedName name="out13">SocRec!$B$5:$I$15</definedName>
    <definedName name="out15">Workbased!$B$5:$I$15</definedName>
    <definedName name="out2">Work!$M$5:$T$15</definedName>
    <definedName name="out4">School!$M$5:$T$15</definedName>
    <definedName name="out6">Escort!$M$5:$T$15</definedName>
    <definedName name="out8">Personal_Business!$M$5:$T$15</definedName>
    <definedName name="out10">Shop!$M$5:$T$15</definedName>
    <definedName name="out12">Meal!$M$5:$T$15</definedName>
    <definedName name="out14">SocRec!$M$5:$T$15</definedName>
    <definedName name="out16">Workbased!$M$5:$T$15</definedName>
  </definedNames>
  <calcPr calcId="171027"/>
</workbook>
</file>

<file path=xl/calcChain.xml><?xml version="1.0" encoding="utf-8"?>
<calcChain xmlns="http://schemas.openxmlformats.org/spreadsheetml/2006/main">
  <c i="18" l="1" r="B6"/>
  <c i="7" l="1" r="J11"/>
  <c i="7" r="J12"/>
  <c i="7" r="J13"/>
  <c i="1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11" r="U11"/>
  <c i="11" r="U12"/>
  <c i="11" r="U13"/>
  <c i="12" r="U11"/>
  <c i="12" r="U12"/>
  <c i="12" r="U13"/>
  <c i="13" r="U11"/>
  <c i="13" r="U12"/>
  <c i="13" r="U13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P16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E16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P16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E16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P16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E16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P16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E16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P16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E16"/>
  <c i="13" r="D16"/>
  <c i="13" r="D30" s="1"/>
  <c i="13" r="C16"/>
  <c i="13" r="C30" s="1"/>
  <c i="13" r="B16"/>
  <c i="13" r="B29" s="1"/>
  <c i="13" r="U15"/>
  <c i="13" r="J15"/>
  <c i="13" r="U14"/>
  <c i="13" r="J14"/>
  <c i="13" r="U10"/>
  <c i="13" r="J10"/>
  <c i="13" r="U9"/>
  <c i="13" r="J9"/>
  <c i="13" r="U8"/>
  <c i="13" r="J8"/>
  <c i="13" r="U7"/>
  <c i="13" r="J7"/>
  <c i="13" r="U6"/>
  <c i="13" r="J6"/>
  <c i="13" r="U5"/>
  <c i="13" r="J5"/>
  <c i="12" r="T16"/>
  <c i="12" r="T30" s="1"/>
  <c i="12" r="S16"/>
  <c i="12" r="S30" s="1"/>
  <c i="12" r="R16"/>
  <c i="12" r="R30" s="1"/>
  <c i="12" r="Q16"/>
  <c i="12" r="P16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E16"/>
  <c i="12" r="D16"/>
  <c i="12" r="D30" s="1"/>
  <c i="12" r="C16"/>
  <c i="12" r="C30" s="1"/>
  <c i="12" r="B16"/>
  <c i="12" r="B29" s="1"/>
  <c i="12" r="U15"/>
  <c i="12" r="J15"/>
  <c i="12" r="U14"/>
  <c i="12" r="J14"/>
  <c i="12" r="U10"/>
  <c i="12" r="J10"/>
  <c i="12" r="U9"/>
  <c i="12" r="J9"/>
  <c i="12" r="U8"/>
  <c i="12" r="J8"/>
  <c i="12" r="U7"/>
  <c i="12" r="J7"/>
  <c i="12" r="U6"/>
  <c i="12" r="J6"/>
  <c i="12" r="U5"/>
  <c i="12" r="J5"/>
  <c i="11" r="T16"/>
  <c i="11" r="T31" s="1"/>
  <c i="11" r="S16"/>
  <c i="11" r="S32" s="1"/>
  <c i="11" r="R16"/>
  <c i="11" r="R33" s="1"/>
  <c i="11" r="Q16"/>
  <c i="11" r="P16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E16"/>
  <c i="11" r="D16"/>
  <c i="11" r="D32" s="1"/>
  <c i="11" r="C16"/>
  <c i="11" r="C33" s="1"/>
  <c i="11" r="B16"/>
  <c i="11" r="B29" s="1"/>
  <c i="11" r="U15"/>
  <c i="11" r="J15"/>
  <c i="11" r="U14"/>
  <c i="11" r="J14"/>
  <c i="11" r="U10"/>
  <c i="11" r="J10"/>
  <c i="11" r="U9"/>
  <c i="11" r="J9"/>
  <c i="11" r="U8"/>
  <c i="11" r="J8"/>
  <c i="11" r="U7"/>
  <c i="11" r="J7"/>
  <c i="11" r="U6"/>
  <c i="11" r="J6"/>
  <c i="11" r="U5"/>
  <c i="11" r="J5"/>
  <c i="7" r="R16"/>
  <c i="7" r="R33" s="1"/>
  <c i="7" r="U8"/>
  <c i="7" r="U7"/>
  <c i="7" r="J8"/>
  <c i="7" r="J7"/>
  <c i="7" r="G16"/>
  <c i="7" r="G33" s="1"/>
  <c i="7" r="J15"/>
  <c i="7" r="J14"/>
  <c i="7" r="J10"/>
  <c i="7" r="J9"/>
  <c i="7" r="J6"/>
  <c i="7" r="J5"/>
  <c i="7" r="U15"/>
  <c i="7" r="U14"/>
  <c i="7" r="U10"/>
  <c i="7" r="U9"/>
  <c i="7" r="U6"/>
  <c i="7" r="U5"/>
  <c i="7" r="T16"/>
  <c i="7" r="T31" s="1"/>
  <c i="7" r="S16"/>
  <c i="7" r="S32" s="1"/>
  <c i="7" r="Q16"/>
  <c i="7" r="P16"/>
  <c i="7" r="O16"/>
  <c i="7" r="O32" s="1"/>
  <c i="7" r="N16"/>
  <c i="7" r="N33" s="1"/>
  <c i="7" r="M16"/>
  <c i="7" r="M30" s="1"/>
  <c i="7" r="I16"/>
  <c i="7" r="I31" s="1"/>
  <c i="7" r="H16"/>
  <c i="7" r="H32" s="1"/>
  <c i="7" r="F16"/>
  <c i="7" r="E16"/>
  <c i="7" r="D16"/>
  <c i="7" r="D32" s="1"/>
  <c i="7" r="C16"/>
  <c i="7" r="C33" s="1"/>
  <c i="7" r="B16"/>
  <c i="7" r="B29" s="1"/>
  <c i="7" l="1" r="P31"/>
  <c i="7" r="F30"/>
  <c i="12" r="E30"/>
  <c i="13" r="E30"/>
  <c i="14" r="E30"/>
  <c i="15" r="E30"/>
  <c i="16" r="E30"/>
  <c i="17" r="E30"/>
  <c i="12" r="F30"/>
  <c i="13" r="F30"/>
  <c i="14" r="F30"/>
  <c i="15" r="F30"/>
  <c i="15" r="Q47" s="1"/>
  <c i="16" r="F30"/>
  <c i="17" r="F30"/>
  <c i="11" r="E31"/>
  <c i="11" r="F30"/>
  <c i="11" r="Q47" s="1"/>
  <c i="7" r="Q30"/>
  <c i="11" r="P31"/>
  <c i="12" r="P30"/>
  <c i="13" r="P30"/>
  <c i="13" r="P47" s="1"/>
  <c i="14" r="P30"/>
  <c i="15" r="P30"/>
  <c i="15" r="P47" s="1"/>
  <c i="16" r="P30"/>
  <c i="16" r="P47" s="1"/>
  <c i="17" r="P30"/>
  <c i="11" r="Q30"/>
  <c i="12" r="Q30"/>
  <c i="13" r="Q30"/>
  <c i="14" r="Q30"/>
  <c i="14" r="Q47" s="1"/>
  <c i="15" r="Q30"/>
  <c i="16" r="Q30"/>
  <c i="16" r="Q47" s="1"/>
  <c i="17" r="Q30"/>
  <c i="17" r="Q47" s="1"/>
  <c i="7" r="E31"/>
  <c i="18" r="I16"/>
  <c i="18" r="I33" s="1"/>
  <c i="18" r="R16"/>
  <c i="18" r="R33" s="1"/>
  <c i="18" r="U13"/>
  <c i="18" r="Y9" s="1"/>
  <c i="18" r="N16"/>
  <c i="18" r="N33" s="1"/>
  <c i="18" r="F16"/>
  <c i="18" r="M16"/>
  <c i="18" r="M33" s="1"/>
  <c i="18" r="E16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X9" s="1"/>
  <c i="18" r="U11"/>
  <c i="17" r="O28"/>
  <c i="15" r="O28"/>
  <c i="13" r="O28"/>
  <c i="11" r="O28"/>
  <c i="11" r="O30"/>
  <c i="7" r="O30"/>
  <c i="16" r="S28"/>
  <c i="14" r="S28"/>
  <c i="12" r="S28"/>
  <c i="11" r="S29"/>
  <c i="7" r="O29"/>
  <c i="12" r="Q47"/>
  <c i="13" r="Q47"/>
  <c i="16" r="S47"/>
  <c i="14" r="S47"/>
  <c i="12" r="S47"/>
  <c i="12" r="P47"/>
  <c i="12" r="T47"/>
  <c i="13" r="T47"/>
  <c i="14" r="P47"/>
  <c i="14" r="T47"/>
  <c i="15" r="T47"/>
  <c i="16" r="T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Y5" s="1"/>
  <c i="18" r="U14"/>
  <c i="18" r="Y10" s="1"/>
  <c i="18" r="P16"/>
  <c i="18" r="D16"/>
  <c i="18" r="D33" s="1"/>
  <c i="18" r="U6"/>
  <c i="18" r="Y6" s="1"/>
  <c i="18" r="U7"/>
  <c i="18" r="Y7" s="1"/>
  <c i="18" r="U8"/>
  <c i="18" r="U9"/>
  <c i="18" r="U10"/>
  <c i="18" r="U15"/>
  <c i="18" r="Y11" s="1"/>
  <c i="18" r="J6"/>
  <c i="18" r="X6" s="1"/>
  <c i="18" r="J7"/>
  <c i="18" r="X7" s="1"/>
  <c i="18" r="J8"/>
  <c i="18" r="J9"/>
  <c i="18" r="J10"/>
  <c i="18" r="J14"/>
  <c i="18" r="X10" s="1"/>
  <c i="18" r="J15"/>
  <c i="18" r="X11" s="1"/>
  <c i="18" r="H16"/>
  <c i="18" r="H33" s="1"/>
  <c i="18" r="J5"/>
  <c i="18" r="X5" s="1"/>
  <c i="17" r="J16"/>
  <c i="17" r="J28" s="1"/>
  <c i="17" r="U16"/>
  <c i="17" r="U26" s="1"/>
  <c i="16" r="J16"/>
  <c i="16" r="J29" s="1"/>
  <c i="16" r="U16"/>
  <c i="16" r="P17" s="1"/>
  <c i="18" r="F42" s="1"/>
  <c i="15" r="J16"/>
  <c i="15" r="E17" s="1"/>
  <c i="18" r="D41" s="1"/>
  <c i="15" r="U16"/>
  <c i="15" r="P17" s="1"/>
  <c i="18" r="F41" s="1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2" r="P17" s="1"/>
  <c i="18" r="F38" s="1"/>
  <c i="11" r="J16"/>
  <c i="11" r="J22" s="1"/>
  <c i="11" r="U16"/>
  <c i="11" r="U30" s="1"/>
  <c i="7" r="U16"/>
  <c i="7" r="U30" s="1"/>
  <c i="17" l="1" r="P47"/>
  <c i="17" r="Q17"/>
  <c i="18" r="E43" s="1"/>
  <c i="15" r="Q17"/>
  <c i="18" r="E41" s="1"/>
  <c i="7" r="E17"/>
  <c i="18" r="D44" s="1"/>
  <c i="16" r="Q17"/>
  <c i="18" r="E42" s="1"/>
  <c i="14" r="Q17"/>
  <c i="18" r="E40" s="1"/>
  <c i="11" r="F17"/>
  <c i="18" r="C37" s="1"/>
  <c i="11" r="E17"/>
  <c i="18" r="D37" s="1"/>
  <c i="18" r="P33"/>
  <c i="17" r="F17"/>
  <c i="18" r="C43" s="1"/>
  <c i="16" r="F17"/>
  <c i="18" r="C42" s="1"/>
  <c i="15" r="F17"/>
  <c i="18" r="C41" s="1"/>
  <c i="14" r="F17"/>
  <c i="18" r="C40" s="1"/>
  <c i="12" r="Q17"/>
  <c i="18" r="E38" s="1"/>
  <c i="13" r="F17"/>
  <c i="18" r="C39" s="1"/>
  <c i="11" r="Q17"/>
  <c i="18" r="E37" s="1"/>
  <c i="12" r="F17"/>
  <c i="18" r="C38" s="1"/>
  <c i="18" r="Q33"/>
  <c i="17" r="P17"/>
  <c i="18" r="F43" s="1"/>
  <c i="17" r="E17"/>
  <c i="18" r="D43" s="1"/>
  <c i="13" r="Q17"/>
  <c i="18" r="E39" s="1"/>
  <c i="16" r="E17"/>
  <c i="18" r="D42" s="1"/>
  <c i="14" r="P17"/>
  <c i="18" r="F40" s="1"/>
  <c i="14" r="E17"/>
  <c i="18" r="D40" s="1"/>
  <c i="13" r="P17"/>
  <c i="18" r="F39" s="1"/>
  <c i="13" r="E17"/>
  <c i="18" r="D39" s="1"/>
  <c i="18" r="X8"/>
  <c i="18" r="E30"/>
  <c i="12" r="E17"/>
  <c i="18" r="D38" s="1"/>
  <c i="18" r="F33"/>
  <c i="11" r="P17"/>
  <c i="18" r="F37" s="1"/>
  <c i="7" r="F17"/>
  <c i="18" r="C44" s="1"/>
  <c i="7" r="Q17"/>
  <c i="18" r="E44" s="1"/>
  <c i="7" r="P17"/>
  <c i="18" r="F44" s="1"/>
  <c i="18" r="Y8"/>
  <c i="13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P17" s="1"/>
  <c i="18" r="F45" s="1"/>
  <c i="18" r="J16"/>
  <c i="18" r="F17" s="1"/>
  <c i="18" r="C45" s="1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18" l="1" r="P50"/>
  <c i="18" r="AA50" s="1"/>
  <c i="18" r="X12"/>
  <c i="18" r="Q17"/>
  <c i="18" r="E45" s="1"/>
  <c i="18" r="P47"/>
  <c i="18" r="AA47" s="1"/>
  <c i="18" r="Y12"/>
  <c i="18" r="E17"/>
  <c i="18" r="D45" s="1"/>
  <c i="18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18" l="1" r="AA12"/>
  <c i="18" r="AA6"/>
  <c i="18" r="AA7"/>
  <c i="18" r="AA5"/>
  <c i="18" r="AA10"/>
  <c i="18" r="AA9"/>
  <c i="18" r="AA11"/>
  <c i="18" r="AA8"/>
  <c i="18" r="Z12"/>
  <c i="18" r="Z7"/>
  <c i="18" r="Z6"/>
  <c i="18" r="Z9"/>
  <c i="18" r="Z5"/>
  <c i="18" r="Z11"/>
  <c i="18" r="Z10"/>
  <c i="18" r="Z8"/>
  <c i="18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</calcChain>
</file>

<file path=xl/sharedStrings.xml><?xml version="1.0" encoding="utf-8"?>
<sst xmlns="http://schemas.openxmlformats.org/spreadsheetml/2006/main" count="1135" uniqueCount="78">
  <si>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</si>
  <si>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</si>
  <si>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</si>
  <si>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</si>
  <si>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</si>
  <si>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</si>
  <si>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</si>
  <si>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</si>
  <si>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</si>
  <si>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</si>
  <si>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</si>
  <si>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</si>
  <si>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</si>
  <si>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</si>
  <si>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</si>
  <si>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</si>
  <si>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School Bus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</si>
  <si>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</si>
  <si>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</si>
  <si>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</si>
  <si>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</si>
  <si>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</si>
  <si>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</si>
  <si>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</si>
  <si>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</si>
  <si>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</si>
  <si>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</si>
  <si>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</si>
  <si>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</si>
  <si>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</si>
  <si>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</si>
  <si>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</si>
  <si>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</si>
  <si>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</si>
  <si>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Purpose</t>
  </si>
  <si>
    <t>Work</t>
  </si>
  <si>
    <t>School</t>
  </si>
  <si>
    <t>Escort</t>
  </si>
  <si>
    <t>Personal Business</t>
  </si>
  <si>
    <t>Shop</t>
  </si>
  <si>
    <t>Meal</t>
  </si>
  <si>
    <t>Social Recreation</t>
  </si>
  <si>
    <t>Workbased</t>
  </si>
  <si>
    <t>WalkTrn%</t>
  </si>
  <si>
    <t>DriveTrn%</t>
  </si>
  <si>
    <t>Survey</t>
  </si>
  <si>
    <t>DaySim</t>
  </si>
  <si>
    <t>Transit</t>
  </si>
  <si>
    <t>Count</t>
  </si>
  <si>
    <t>Share</t>
  </si>
  <si>
    <t>Reference</t>
  </si>
  <si>
    <t>New</t>
  </si>
  <si>
    <t>Table X. Reference Work Tour Modes: Reference</t>
  </si>
  <si>
    <t>Table X. Reference Work Tour Mode Shares: Reference</t>
  </si>
  <si>
    <t>Table X. New Work Tour Modes: New</t>
  </si>
  <si>
    <t>Table X. New Work Tour Mode Shares: New</t>
  </si>
  <si>
    <t>Table X. New-Reference Work Tour Mode Share Difference</t>
  </si>
  <si>
    <t>Table X. New Workbased Tour Modes: New</t>
  </si>
  <si>
    <t>Table X. New Workbased Tour Mode Shares: New</t>
  </si>
  <si>
    <t>Table X. New-Reference Workbased Tour Mode Share Difference</t>
  </si>
  <si>
    <t>Table X. New School Tour Modes: New</t>
  </si>
  <si>
    <t>Table X. New School Tour Mode Shares: New</t>
  </si>
  <si>
    <t>Table X. New-Reference School Tour Mode Share Difference</t>
  </si>
  <si>
    <t>Table X. New Escort Tour Modes: New</t>
  </si>
  <si>
    <t>Table X. New Escort Tour Mode Shares: New</t>
  </si>
  <si>
    <t>Table X. New-Reference Escort Tour Mode Share Difference</t>
  </si>
  <si>
    <t>Table X. New Personal Business Tour Modes: New</t>
  </si>
  <si>
    <t>Table X. New Personal Business Tour Mode Shares: New</t>
  </si>
  <si>
    <t>Table X. New-Reference Personal Business Tour Mode Share Difference</t>
  </si>
  <si>
    <t>Table X. New Shop Tour Modes: New</t>
  </si>
  <si>
    <t>Table X. New Shop Tour Mode Shares: New</t>
  </si>
  <si>
    <t>Table X. New-Reference Shop Tour Mode Share Difference</t>
  </si>
  <si>
    <t>Table X. New Meal Tour Modes: New</t>
  </si>
  <si>
    <t>Table X. New Meal Tour Mode Shares: New</t>
  </si>
  <si>
    <t>Table X. New-Reference Meal Tour Mode Share Difference</t>
  </si>
  <si>
    <t>Table X. New Social/Recreational Tour Modes: New</t>
  </si>
  <si>
    <t>Table X. New Social/Recreational Tour Mode Shares: New</t>
  </si>
  <si>
    <t>Table X. New-Reference Social/Recreational Tour Mode Share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</si>
</sst>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  <xf applyAlignment="0" applyBorder="0" applyFill="0" applyFont="0" applyProtection="0" borderId="0" fillId="0" fontId="5" numFmtId="9"/>
  </cellStyleXfs>
  <cellXfs count="42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Font="1" applyNumberFormat="1" borderId="0" fillId="0" fontId="0" numFmtId="164" xfId="8"/>
    <xf applyFont="1" applyNumberFormat="1" borderId="0" fillId="0" fontId="0" numFmtId="10" xfId="8"/>
    <xf applyBorder="1" applyFont="1" borderId="2" fillId="0" fontId="1" numFmtId="0" xfId="0"/>
    <xf applyBorder="1" applyFont="1" borderId="4" fillId="0" fontId="1" numFmtId="0" xfId="0"/>
    <xf applyBorder="1" applyFont="1" applyNumberFormat="1" borderId="4" fillId="0" fontId="1" numFmtId="164" xfId="0"/>
    <xf applyBorder="1" borderId="5" fillId="0" fontId="0" numFmtId="0" xfId="0"/>
    <xf applyAlignment="1" applyBorder="1" applyFill="1" borderId="0" fillId="0" fontId="0" numFmtId="0" xfId="0">
      <alignment horizontal="center"/>
    </xf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Border="1" applyFont="1" borderId="5" fillId="0" fontId="1" numFmtId="0" xfId="0">
      <alignment horizontal="center"/>
    </xf>
    <xf applyAlignment="1" borderId="0" fillId="0" fontId="0" numFmtId="0" xfId="0">
      <alignment horizontal="center"/>
    </xf>
  </cellXfs>
  <cellStyles count="9"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Purposes'!$X$4</c:f>
              <c:strCache>
                <c:ptCount val="1"/>
                <c:pt idx="0">
                  <c:v>Survey</c:v>
                </c:pt>
              </c:strCache>
            </c:strRef>
          </c:tx>
          <c:invertIfNegative val="0"/>
          <c:cat>
            <c:strRef>
              <c:f>'All Purposes'!$W$5:$W$11</c:f>
              <c:strCache>
                <c:ptCount val="7"/>
                <c:pt idx="0">
                  <c:v>DA</c:v>
                </c:pt>
                <c:pt idx="1">
                  <c:v>SR2</c:v>
                </c:pt>
                <c:pt idx="2">
                  <c:v>SR3</c:v>
                </c:pt>
                <c:pt idx="3">
                  <c:v>Transit</c:v>
                </c:pt>
                <c:pt idx="4">
                  <c:v>School Bus</c:v>
                </c:pt>
                <c:pt idx="5">
                  <c:v>Bike</c:v>
                </c:pt>
                <c:pt idx="6">
                  <c:v>Walk</c:v>
                </c:pt>
              </c:strCache>
            </c:strRef>
          </c:cat>
          <c:val>
            <c:numRef>
              <c:f>'All Purposes'!$Z$5:$Z$11</c:f>
              <c:numCache>
                <c:formatCode>0.0%</c:formatCode>
                <c:ptCount val="7"/>
                <c:pt idx="0">
                  <c:v>0.52707636142379066</c:v>
                </c:pt>
                <c:pt idx="1">
                  <c:v>0.20512625494371767</c:v>
                </c:pt>
                <c:pt idx="2">
                  <c:v>0.17341040462427745</c:v>
                </c:pt>
                <c:pt idx="3">
                  <c:v>1.7341040462427744E-2</c:v>
                </c:pt>
                <c:pt idx="4">
                  <c:v>3.2476422269546702E-2</c:v>
                </c:pt>
                <c:pt idx="5">
                  <c:v>3.0422878004259203E-3</c:v>
                </c:pt>
                <c:pt idx="6">
                  <c:v>4.1527228475813811E-2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9-4A9E-AB14-A0B17DA63D16}"/>
            </c:ext>
          </c:extLst>
        </c:ser>
        <c:ser>
          <c:idx val="1"/>
          <c:order val="1"/>
          <c:tx>
            <c:strRef>
              <c:f>'All Purposes'!$Y$4</c:f>
              <c:strCache>
                <c:ptCount val="1"/>
                <c:pt idx="0">
                  <c:v>DaySim</c:v>
                </c:pt>
              </c:strCache>
            </c:strRef>
          </c:tx>
          <c:invertIfNegative val="0"/>
          <c:cat>
            <c:strRef>
              <c:f>'All Purposes'!$W$5:$W$11</c:f>
              <c:strCache>
                <c:ptCount val="7"/>
                <c:pt idx="0">
                  <c:v>DA</c:v>
                </c:pt>
                <c:pt idx="1">
                  <c:v>SR2</c:v>
                </c:pt>
                <c:pt idx="2">
                  <c:v>SR3</c:v>
                </c:pt>
                <c:pt idx="3">
                  <c:v>Transit</c:v>
                </c:pt>
                <c:pt idx="4">
                  <c:v>School Bus</c:v>
                </c:pt>
                <c:pt idx="5">
                  <c:v>Bike</c:v>
                </c:pt>
                <c:pt idx="6">
                  <c:v>Walk</c:v>
                </c:pt>
              </c:strCache>
            </c:strRef>
          </c:cat>
          <c:val>
            <c:numRef>
              <c:f>'All Purposes'!$AA$5:$AA$11</c:f>
              <c:numCache>
                <c:formatCode>0.0%</c:formatCode>
                <c:ptCount val="7"/>
                <c:pt idx="0">
                  <c:v>0.52707636142379066</c:v>
                </c:pt>
                <c:pt idx="1">
                  <c:v>0.20512625494371767</c:v>
                </c:pt>
                <c:pt idx="2">
                  <c:v>0.17341040462427745</c:v>
                </c:pt>
                <c:pt idx="3">
                  <c:v>1.7341040462427744E-2</c:v>
                </c:pt>
                <c:pt idx="4">
                  <c:v>3.2476422269546702E-2</c:v>
                </c:pt>
                <c:pt idx="5">
                  <c:v>3.0422878004259203E-3</c:v>
                </c:pt>
                <c:pt idx="6">
                  <c:v>4.1527228475813811E-2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29-4A9E-AB14-A0B17DA63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05664"/>
        <c:axId val="130548864"/>
      </c:barChart>
      <c:catAx>
        <c:axId val="86705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0548864"/>
        <c:crosses val="autoZero"/>
        <c:auto val="1"/>
        <c:lblAlgn val="ctr"/>
        <c:lblOffset val="100"/>
        <c:noMultiLvlLbl val="0"/>
      </c:catAx>
      <c:valAx>
        <c:axId val="13054886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86705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footer="0.3" header="0.3" l="0.7" r="0.7" t="0.75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16</xdr:col>
      <xdr:colOff>133350</xdr:colOff>
      <xdr:row>12</xdr:row>
      <xdr:rowOff>185736</xdr:rowOff>
    </xdr:from>
    <xdr:to>
      <xdr:col>22</xdr:col>
      <xdr:colOff>704850</xdr:colOff>
      <xdr:row>27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tabSelected="1" workbookViewId="0">
      <selection activeCell="L2" sqref="L2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  <col min="24" max="24" customWidth="true" width="25.0" collapsed="true"/>
    <col min="25" max="33" customWidth="true" width="10.73046875" collapsed="true"/>
  </cols>
  <sheetData>
    <row ht="14.65" r="2" spans="1:27" thickBot="1" x14ac:dyDescent="0.5">
      <c r="A2" s="1" t="s">
        <v>52</v>
      </c>
      <c r="B2" s="1"/>
      <c r="C2" s="2"/>
      <c r="D2" s="2"/>
      <c r="E2" s="2"/>
      <c r="F2" s="2"/>
      <c r="G2" s="2"/>
      <c r="H2" s="2"/>
      <c r="I2" s="2"/>
      <c r="J2" s="2"/>
      <c r="L2" s="1" t="s">
        <v>54</v>
      </c>
      <c r="M2" s="1"/>
      <c r="N2" s="2"/>
      <c r="O2" s="2"/>
      <c r="P2" s="2"/>
      <c r="Q2" s="2"/>
      <c r="R2" s="2"/>
      <c r="S2" s="2"/>
      <c r="T2" s="2"/>
      <c r="U2" s="2"/>
    </row>
    <row r="3" spans="1:27" x14ac:dyDescent="0.45">
      <c r="A3" s="3"/>
      <c r="B3" s="38" t="s">
        <v>23</v>
      </c>
      <c r="C3" s="39"/>
      <c r="D3" s="39"/>
      <c r="E3" s="39"/>
      <c r="F3" s="39"/>
      <c r="G3" s="39"/>
      <c r="H3" s="39"/>
      <c r="I3" s="39"/>
      <c r="J3" s="11"/>
      <c r="L3" s="3"/>
      <c r="M3" s="38" t="s">
        <v>23</v>
      </c>
      <c r="N3" s="39"/>
      <c r="O3" s="39"/>
      <c r="P3" s="39"/>
      <c r="Q3" s="39"/>
      <c r="R3" s="39"/>
      <c r="S3" s="39"/>
      <c r="T3" s="39"/>
      <c r="U3" s="39"/>
      <c r="X3" s="41" t="s">
        <v>48</v>
      </c>
      <c r="Y3" s="41"/>
      <c r="Z3" s="41" t="s">
        <v>49</v>
      </c>
      <c r="AA3" s="41"/>
    </row>
    <row r="4" spans="1:27" x14ac:dyDescent="0.45">
      <c r="A4" s="4" t="s">
        <v>0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4</v>
      </c>
      <c r="H4" s="5" t="s">
        <v>5</v>
      </c>
      <c r="I4" s="5" t="s">
        <v>15</v>
      </c>
      <c r="J4" s="5" t="s">
        <v>7</v>
      </c>
      <c r="L4" s="4" t="s">
        <v>0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4</v>
      </c>
      <c r="S4" s="5" t="s">
        <v>5</v>
      </c>
      <c r="T4" s="5" t="s">
        <v>15</v>
      </c>
      <c r="U4" s="5" t="s">
        <v>7</v>
      </c>
      <c r="X4" s="36" t="s">
        <v>45</v>
      </c>
      <c r="Y4" s="36" t="s">
        <v>46</v>
      </c>
      <c r="Z4" s="36" t="s">
        <v>45</v>
      </c>
      <c r="AA4" s="36" t="s">
        <v>46</v>
      </c>
    </row>
    <row r="5" spans="1:27" x14ac:dyDescent="0.45">
      <c r="A5" t="s">
        <v>1</v>
      </c>
      <c r="B5" s="6">
        <f>SUM(Work!B5,Workbased!B5,School!B5,Escort!B5,Personal_Business!B5,Shop!B5,Meal!B5,SocRec!B5)</f>
        <v>5545000</v>
      </c>
      <c r="C5" s="6">
        <f>SUM(Work!C5,Workbased!C5,School!C5,Escort!C5,Personal_Business!C5,Shop!C5,Meal!C5,SocRec!C5)</f>
        <v>841000</v>
      </c>
      <c r="D5" s="6">
        <f>SUM(Work!D5,Workbased!D5,School!D5,Escort!D5,Personal_Business!D5,Shop!D5,Meal!D5,SocRec!D5)</f>
        <v>394000</v>
      </c>
      <c r="E5" s="6">
        <f>SUM(Work!E5,Workbased!E5,School!E5,Escort!E5,Personal_Business!E5,Shop!E5,Meal!E5,SocRec!E5)</f>
        <v>90000</v>
      </c>
      <c r="F5" s="6">
        <f>SUM(Work!F5,Workbased!F5,School!F5,Escort!F5,Personal_Business!F5,Shop!F5,Meal!F5,SocRec!F5)</f>
        <v>56000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4000</v>
      </c>
      <c r="J5" s="6">
        <f>SUM(B5:I5)</f>
        <v>6930000</v>
      </c>
      <c r="K5" s="6"/>
      <c r="L5" t="s">
        <v>1</v>
      </c>
      <c r="M5" s="6">
        <f>SUM(Work!M5,Workbased!M5,School!M5,Escort!M5,Personal_Business!M5,Shop!M5,Meal!M5,SocRec!M5)</f>
        <v>5545000</v>
      </c>
      <c r="N5" s="6">
        <f>SUM(Work!N5,Workbased!N5,School!N5,Escort!N5,Personal_Business!N5,Shop!N5,Meal!N5,SocRec!N5)</f>
        <v>841000</v>
      </c>
      <c r="O5" s="6">
        <f>SUM(Work!O5,Workbased!O5,School!O5,Escort!O5,Personal_Business!O5,Shop!O5,Meal!O5,SocRec!O5)</f>
        <v>394000</v>
      </c>
      <c r="P5" s="6">
        <f>SUM(Work!P5,Workbased!P5,School!P5,Escort!P5,Personal_Business!P5,Shop!P5,Meal!P5,SocRec!P5)</f>
        <v>90000</v>
      </c>
      <c r="Q5" s="6">
        <f>SUM(Work!Q5,Workbased!Q5,School!Q5,Escort!Q5,Personal_Business!Q5,Shop!Q5,Meal!Q5,SocRec!Q5)</f>
        <v>56000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4000</v>
      </c>
      <c r="U5" s="6">
        <f ref="U5:U15" si="0" t="shared">SUM(M5:T5)</f>
        <v>6930000</v>
      </c>
      <c r="W5" t="s">
        <v>10</v>
      </c>
      <c r="X5" s="6">
        <f>J5</f>
        <v>6930000</v>
      </c>
      <c r="Y5" s="6">
        <f>U5</f>
        <v>6930000</v>
      </c>
      <c r="Z5" s="30">
        <f>X5/X$12</f>
        <v>0.52707636142379066</v>
      </c>
      <c r="AA5" s="30">
        <f>Y5/Y$12</f>
        <v>0.52707636142379066</v>
      </c>
    </row>
    <row r="6" spans="1:27" x14ac:dyDescent="0.45">
      <c r="A6" t="s">
        <v>11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2241000</v>
      </c>
      <c r="D6" s="6">
        <f>SUM(Work!D6,Workbased!D6,School!D6,Escort!D6,Personal_Business!D6,Shop!D6,Meal!D6,SocRec!D6)</f>
        <v>190000</v>
      </c>
      <c r="E6" s="6">
        <f>SUM(Work!E6,Workbased!E6,School!E6,Escort!E6,Personal_Business!E6,Shop!E6,Meal!E6,SocRec!E6)</f>
        <v>0</v>
      </c>
      <c r="F6" s="6">
        <f>SUM(Work!F6,Workbased!F6,School!F6,Escort!F6,Personal_Business!F6,Shop!F6,Meal!F6,SocRec!F6)</f>
        <v>31000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235000</v>
      </c>
      <c r="J6" s="6">
        <f ref="J6:J15" si="1" t="shared">SUM(B6:I6)</f>
        <v>2697000</v>
      </c>
      <c r="K6" s="6"/>
      <c r="L6" t="s">
        <v>11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2241000</v>
      </c>
      <c r="O6" s="6">
        <f>SUM(Work!O6,Workbased!O6,School!O6,Escort!O6,Personal_Business!O6,Shop!O6,Meal!O6,SocRec!O6)</f>
        <v>190000</v>
      </c>
      <c r="P6" s="6">
        <f>SUM(Work!P6,Workbased!P6,School!P6,Escort!P6,Personal_Business!P6,Shop!P6,Meal!P6,SocRec!P6)</f>
        <v>0</v>
      </c>
      <c r="Q6" s="6">
        <f>SUM(Work!Q6,Workbased!Q6,School!Q6,Escort!Q6,Personal_Business!Q6,Shop!Q6,Meal!Q6,SocRec!Q6)</f>
        <v>31000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235000</v>
      </c>
      <c r="U6" s="6">
        <f si="0" t="shared"/>
        <v>2697000</v>
      </c>
      <c r="W6" t="s">
        <v>11</v>
      </c>
      <c r="X6" s="6">
        <f ref="X6:X7" si="2" t="shared">J6</f>
        <v>2697000</v>
      </c>
      <c r="Y6" s="6">
        <f ref="Y6:Y7" si="3" t="shared">U6</f>
        <v>2697000</v>
      </c>
      <c r="Z6" s="30">
        <f ref="Z6:AA12" si="4" t="shared">X6/X$12</f>
        <v>0.20512625494371767</v>
      </c>
      <c r="AA6" s="30">
        <f si="4" t="shared"/>
        <v>0.20512625494371767</v>
      </c>
    </row>
    <row r="7" spans="1:27" x14ac:dyDescent="0.45">
      <c r="A7" t="s">
        <v>32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2185000</v>
      </c>
      <c r="E7" s="6">
        <f>SUM(Work!E7,Workbased!E7,School!E7,Escort!E7,Personal_Business!E7,Shop!E7,Meal!E7,SocRec!E7)</f>
        <v>0</v>
      </c>
      <c r="F7" s="6">
        <f>SUM(Work!F7,Workbased!F7,School!F7,Escort!F7,Personal_Business!F7,Shop!F7,Meal!F7,SocRec!F7)</f>
        <v>6000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89000</v>
      </c>
      <c r="J7" s="6">
        <f si="1" t="shared"/>
        <v>2280000</v>
      </c>
      <c r="K7" s="6"/>
      <c r="L7" t="s">
        <v>32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2185000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6000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89000</v>
      </c>
      <c r="U7" s="6">
        <f si="0" t="shared"/>
        <v>2280000</v>
      </c>
      <c r="W7" t="s">
        <v>32</v>
      </c>
      <c r="X7" s="6">
        <f si="2" t="shared"/>
        <v>2280000</v>
      </c>
      <c r="Y7" s="6">
        <f si="3" t="shared"/>
        <v>2280000</v>
      </c>
      <c r="Z7" s="30">
        <f si="4" t="shared"/>
        <v>0.17341040462427745</v>
      </c>
      <c r="AA7" s="30">
        <f si="4" t="shared"/>
        <v>0.17341040462427745</v>
      </c>
    </row>
    <row r="8" spans="1:27" x14ac:dyDescent="0.45">
      <c r="A8" t="s">
        <v>27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64000</v>
      </c>
      <c r="F8" s="6">
        <f>SUM(Work!F8,Workbased!F8,School!F8,Escort!F8,Personal_Business!F8,Shop!F8,Meal!F8,SocRec!F8)</f>
        <v>164000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0</v>
      </c>
      <c r="J8" s="6">
        <f si="1" t="shared"/>
        <v>228000</v>
      </c>
      <c r="K8" s="6"/>
      <c r="L8" t="s">
        <v>27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64000</v>
      </c>
      <c r="Q8" s="6">
        <f>SUM(Work!Q8,Workbased!Q8,School!Q8,Escort!Q8,Personal_Business!Q8,Shop!Q8,Meal!Q8,SocRec!Q8)</f>
        <v>164000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0</v>
      </c>
      <c r="U8" s="6">
        <f si="0" t="shared"/>
        <v>228000</v>
      </c>
      <c r="W8" t="s">
        <v>47</v>
      </c>
      <c r="X8" s="6">
        <f>J8+J9+J10+J11+J12</f>
        <v>228000</v>
      </c>
      <c r="Y8" s="6">
        <f>U8+U9+U10+U11+U12</f>
        <v>228000</v>
      </c>
      <c r="Z8" s="30">
        <f si="4" t="shared"/>
        <v>1.7341040462427744E-2</v>
      </c>
      <c r="AA8" s="30">
        <f si="4" t="shared"/>
        <v>1.7341040462427744E-2</v>
      </c>
    </row>
    <row r="9" spans="1:27" x14ac:dyDescent="0.45">
      <c r="A9" t="s">
        <v>28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28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  <c r="W9" t="s">
        <v>16</v>
      </c>
      <c r="X9" s="6">
        <f>J13</f>
        <v>427000</v>
      </c>
      <c r="Y9" s="6">
        <f>U13</f>
        <v>427000</v>
      </c>
      <c r="Z9" s="30">
        <f si="4" t="shared"/>
        <v>3.2476422269546702E-2</v>
      </c>
      <c r="AA9" s="30">
        <f si="4" t="shared"/>
        <v>3.2476422269546702E-2</v>
      </c>
    </row>
    <row r="10" spans="1:27" x14ac:dyDescent="0.45">
      <c r="A10" t="s">
        <v>29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0</v>
      </c>
      <c r="K10" s="6"/>
      <c r="L10" t="s">
        <v>29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si="0" t="shared"/>
        <v>0</v>
      </c>
      <c r="W10" t="s">
        <v>4</v>
      </c>
      <c r="X10" s="6">
        <f ref="X10:X11" si="5" t="shared">J14</f>
        <v>40000</v>
      </c>
      <c r="Y10" s="6">
        <f ref="Y10:Y11" si="6" t="shared">U14</f>
        <v>40000</v>
      </c>
      <c r="Z10" s="30">
        <f si="4" t="shared"/>
        <v>3.0422878004259203E-3</v>
      </c>
      <c r="AA10" s="30">
        <f si="4" t="shared"/>
        <v>3.0422878004259203E-3</v>
      </c>
    </row>
    <row r="11" spans="1:27" x14ac:dyDescent="0.45">
      <c r="A11" t="s">
        <v>30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0</v>
      </c>
      <c r="K11" s="6"/>
      <c r="L11" t="s">
        <v>30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si="0" t="shared"/>
        <v>0</v>
      </c>
      <c r="W11" t="s">
        <v>5</v>
      </c>
      <c r="X11" s="6">
        <f si="5" t="shared"/>
        <v>546000</v>
      </c>
      <c r="Y11" s="6">
        <f si="6" t="shared"/>
        <v>546000</v>
      </c>
      <c r="Z11" s="30">
        <f si="4" t="shared"/>
        <v>4.1527228475813811E-2</v>
      </c>
      <c r="AA11" s="30">
        <f si="4" t="shared"/>
        <v>4.1527228475813811E-2</v>
      </c>
    </row>
    <row r="12" spans="1:27" x14ac:dyDescent="0.45">
      <c r="A12" t="s">
        <v>31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31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si="0" t="shared"/>
        <v>0</v>
      </c>
      <c r="W12" t="s">
        <v>7</v>
      </c>
      <c r="X12" s="6">
        <f>SUM(X5:X11)</f>
        <v>13148000</v>
      </c>
      <c r="Y12" s="6">
        <f>SUM(Y5:Y11)</f>
        <v>13148000</v>
      </c>
      <c r="Z12" s="30">
        <f si="4" t="shared"/>
        <v>1</v>
      </c>
      <c r="AA12" s="30">
        <f si="4" t="shared"/>
        <v>1</v>
      </c>
    </row>
    <row r="13" spans="1:27" x14ac:dyDescent="0.45">
      <c r="A13" t="s">
        <v>16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427000</v>
      </c>
      <c r="J13" s="6">
        <f si="1" t="shared"/>
        <v>427000</v>
      </c>
      <c r="K13" s="6"/>
      <c r="L13" t="s">
        <v>16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427000</v>
      </c>
      <c r="U13" s="6">
        <f si="0" t="shared"/>
        <v>427000</v>
      </c>
    </row>
    <row r="14" spans="1:27" x14ac:dyDescent="0.45">
      <c r="A14" t="s">
        <v>4</v>
      </c>
      <c r="B14" s="6">
        <f>SUM(Work!B14,Workbased!B14,School!B14,Escort!B14,Personal_Business!B14,Shop!B14,Meal!B14,SocRec!B14)</f>
        <v>0</v>
      </c>
      <c r="C14" s="6">
        <f>SUM(Work!C14,Workbased!C14,School!C14,Escort!C14,Personal_Business!C14,Shop!C14,Meal!C14,SocRec!C14)</f>
        <v>0</v>
      </c>
      <c r="D14" s="6">
        <f>SUM(Work!D14,Workbased!D14,School!D14,Escort!D14,Personal_Business!D14,Shop!D14,Meal!D14,SocRec!D14)</f>
        <v>0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0</v>
      </c>
      <c r="G14" s="6">
        <f>SUM(Work!G14,Workbased!G14,School!G14,Escort!G14,Personal_Business!G14,Shop!G14,Meal!G14,SocRec!G14)</f>
        <v>40000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0</v>
      </c>
      <c r="J14" s="6">
        <f si="1" t="shared"/>
        <v>40000</v>
      </c>
      <c r="K14" s="6"/>
      <c r="L14" t="s">
        <v>4</v>
      </c>
      <c r="M14" s="6">
        <f>SUM(Work!M14,Workbased!M14,School!M14,Escort!M14,Personal_Business!M14,Shop!M14,Meal!M14,SocRec!M14)</f>
        <v>0</v>
      </c>
      <c r="N14" s="6">
        <f>SUM(Work!N14,Workbased!N14,School!N14,Escort!N14,Personal_Business!N14,Shop!N14,Meal!N14,SocRec!N14)</f>
        <v>0</v>
      </c>
      <c r="O14" s="6">
        <f>SUM(Work!O14,Workbased!O14,School!O14,Escort!O14,Personal_Business!O14,Shop!O14,Meal!O14,SocRec!O14)</f>
        <v>0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0</v>
      </c>
      <c r="R14" s="6">
        <f>SUM(Work!R14,Workbased!R14,School!R14,Escort!R14,Personal_Business!R14,Shop!R14,Meal!R14,SocRec!R14)</f>
        <v>40000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0</v>
      </c>
      <c r="U14" s="6">
        <f si="0" t="shared"/>
        <v>40000</v>
      </c>
    </row>
    <row r="15" spans="1:27" x14ac:dyDescent="0.45">
      <c r="A15" s="4" t="s">
        <v>5</v>
      </c>
      <c r="B15" s="6">
        <f>SUM(Work!B15,Workbased!B15,School!B15,Escort!B15,Personal_Business!B15,Shop!B15,Meal!B15,SocRec!B15)</f>
        <v>6000</v>
      </c>
      <c r="C15" s="6">
        <f>SUM(Work!C15,Workbased!C15,School!C15,Escort!C15,Personal_Business!C15,Shop!C15,Meal!C15,SocRec!C15)</f>
        <v>16000</v>
      </c>
      <c r="D15" s="6">
        <f>SUM(Work!D15,Workbased!D15,School!D15,Escort!D15,Personal_Business!D15,Shop!D15,Meal!D15,SocRec!D15)</f>
        <v>13000</v>
      </c>
      <c r="E15" s="6">
        <f>SUM(Work!E15,Workbased!E15,School!E15,Escort!E15,Personal_Business!E15,Shop!E15,Meal!E15,SocRec!E15)</f>
        <v>0</v>
      </c>
      <c r="F15" s="6">
        <f>SUM(Work!F15,Workbased!F15,School!F15,Escort!F15,Personal_Business!F15,Shop!F15,Meal!F15,SocRec!F15)</f>
        <v>42000</v>
      </c>
      <c r="G15" s="6">
        <f>SUM(Work!G15,Workbased!G15,School!G15,Escort!G15,Personal_Business!G15,Shop!G15,Meal!G15,SocRec!G15)</f>
        <v>9000</v>
      </c>
      <c r="H15" s="6">
        <f>SUM(Work!H15,Workbased!H15,School!H15,Escort!H15,Personal_Business!H15,Shop!H15,Meal!H15,SocRec!H15)</f>
        <v>445000</v>
      </c>
      <c r="I15" s="6">
        <f>SUM(Work!I15,Workbased!I15,School!I15,Escort!I15,Personal_Business!I15,Shop!I15,Meal!I15,SocRec!I15)</f>
        <v>15000</v>
      </c>
      <c r="J15" s="6">
        <f si="1" t="shared"/>
        <v>546000</v>
      </c>
      <c r="K15" s="6"/>
      <c r="L15" s="4" t="s">
        <v>5</v>
      </c>
      <c r="M15" s="6">
        <f>SUM(Work!M15,Workbased!M15,School!M15,Escort!M15,Personal_Business!M15,Shop!M15,Meal!M15,SocRec!M15)</f>
        <v>6000</v>
      </c>
      <c r="N15" s="6">
        <f>SUM(Work!N15,Workbased!N15,School!N15,Escort!N15,Personal_Business!N15,Shop!N15,Meal!N15,SocRec!N15)</f>
        <v>16000</v>
      </c>
      <c r="O15" s="6">
        <f>SUM(Work!O15,Workbased!O15,School!O15,Escort!O15,Personal_Business!O15,Shop!O15,Meal!O15,SocRec!O15)</f>
        <v>13000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42000</v>
      </c>
      <c r="R15" s="6">
        <f>SUM(Work!R15,Workbased!R15,School!R15,Escort!R15,Personal_Business!R15,Shop!R15,Meal!R15,SocRec!R15)</f>
        <v>9000</v>
      </c>
      <c r="S15" s="6">
        <f>SUM(Work!S15,Workbased!S15,School!S15,Escort!S15,Personal_Business!S15,Shop!S15,Meal!S15,SocRec!S15)</f>
        <v>445000</v>
      </c>
      <c r="T15" s="6">
        <f>SUM(Work!T15,Workbased!T15,School!T15,Escort!T15,Personal_Business!T15,Shop!T15,Meal!T15,SocRec!T15)</f>
        <v>15000</v>
      </c>
      <c r="U15" s="6">
        <f si="0" t="shared"/>
        <v>546000</v>
      </c>
    </row>
    <row ht="14.65" r="16" spans="1:27" thickBot="1" x14ac:dyDescent="0.5">
      <c r="A16" s="12" t="s">
        <v>7</v>
      </c>
      <c r="B16" s="16">
        <f ref="B16:J16" si="7" t="shared">SUM(B5:B15)</f>
        <v>5551000</v>
      </c>
      <c r="C16" s="16">
        <f si="7" t="shared"/>
        <v>3098000</v>
      </c>
      <c r="D16" s="16">
        <f si="7" t="shared"/>
        <v>2782000</v>
      </c>
      <c r="E16" s="16">
        <f si="7" t="shared"/>
        <v>154000</v>
      </c>
      <c r="F16" s="16">
        <f si="7" t="shared"/>
        <v>299000</v>
      </c>
      <c r="G16" s="16">
        <f si="7" t="shared"/>
        <v>49000</v>
      </c>
      <c r="H16" s="16">
        <f si="7" t="shared"/>
        <v>445000</v>
      </c>
      <c r="I16" s="16">
        <f si="7" t="shared"/>
        <v>770000</v>
      </c>
      <c r="J16" s="16">
        <f si="7" t="shared"/>
        <v>13148000</v>
      </c>
      <c r="L16" s="9" t="s">
        <v>7</v>
      </c>
      <c r="M16" s="16">
        <f ref="M16:U16" si="8" t="shared">SUM(M5:M15)</f>
        <v>5551000</v>
      </c>
      <c r="N16" s="16">
        <f si="8" t="shared"/>
        <v>3098000</v>
      </c>
      <c r="O16" s="16">
        <f si="8" t="shared"/>
        <v>2782000</v>
      </c>
      <c r="P16" s="16">
        <f si="8" t="shared"/>
        <v>154000</v>
      </c>
      <c r="Q16" s="16">
        <f si="8" t="shared"/>
        <v>299000</v>
      </c>
      <c r="R16" s="16">
        <f si="8" t="shared"/>
        <v>49000</v>
      </c>
      <c r="S16" s="16">
        <f si="8" t="shared"/>
        <v>445000</v>
      </c>
      <c r="T16" s="16">
        <f si="8" t="shared"/>
        <v>770000</v>
      </c>
      <c r="U16" s="16">
        <f si="8" t="shared"/>
        <v>13148000</v>
      </c>
    </row>
    <row r="17" spans="1:21" x14ac:dyDescent="0.45">
      <c r="E17" s="30">
        <f>E16/J16</f>
        <v>1.1712808031639793E-2</v>
      </c>
      <c r="F17" s="30">
        <f>F16/J16</f>
        <v>2.2741101308183752E-2</v>
      </c>
      <c r="P17" s="30">
        <f>P16/U16</f>
        <v>1.1712808031639793E-2</v>
      </c>
      <c r="Q17" s="30">
        <f>Q16/U16</f>
        <v>2.2741101308183752E-2</v>
      </c>
    </row>
    <row ht="14.65" r="19" spans="1:21" thickBot="1" x14ac:dyDescent="0.5">
      <c r="A19" s="1" t="s">
        <v>53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55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8" t="s">
        <v>23</v>
      </c>
      <c r="C20" s="39"/>
      <c r="D20" s="39"/>
      <c r="E20" s="39"/>
      <c r="F20" s="39"/>
      <c r="G20" s="39"/>
      <c r="H20" s="39"/>
      <c r="I20" s="39"/>
      <c r="J20" s="11"/>
      <c r="L20" s="3"/>
      <c r="M20" s="38" t="s">
        <v>23</v>
      </c>
      <c r="N20" s="39"/>
      <c r="O20" s="39"/>
      <c r="P20" s="39"/>
      <c r="Q20" s="39"/>
      <c r="R20" s="39"/>
      <c r="S20" s="39"/>
      <c r="T20" s="39"/>
      <c r="U20" s="39"/>
    </row>
    <row r="21" spans="1:21" x14ac:dyDescent="0.45">
      <c r="A21" s="4" t="s">
        <v>0</v>
      </c>
      <c r="B21" s="5" t="s">
        <v>10</v>
      </c>
      <c r="C21" s="5" t="s">
        <v>11</v>
      </c>
      <c r="D21" s="5" t="s">
        <v>12</v>
      </c>
      <c r="E21" s="5" t="s">
        <v>13</v>
      </c>
      <c r="F21" s="5" t="s">
        <v>14</v>
      </c>
      <c r="G21" s="5" t="s">
        <v>4</v>
      </c>
      <c r="H21" s="5" t="s">
        <v>5</v>
      </c>
      <c r="I21" s="5" t="s">
        <v>15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13</v>
      </c>
      <c r="Q21" s="5" t="s">
        <v>14</v>
      </c>
      <c r="R21" s="5" t="s">
        <v>4</v>
      </c>
      <c r="S21" s="5" t="s">
        <v>5</v>
      </c>
      <c r="T21" s="5" t="s">
        <v>15</v>
      </c>
      <c r="U21" s="5" t="s">
        <v>7</v>
      </c>
    </row>
    <row r="22" spans="1:21" x14ac:dyDescent="0.45">
      <c r="A22" t="s">
        <v>1</v>
      </c>
      <c r="B22" s="13">
        <f ref="B22:D33" si="9" t="shared">B5/B$16</f>
        <v>0.99891911367321207</v>
      </c>
      <c r="C22" s="13">
        <f si="9" t="shared"/>
        <v>0.27146546158812135</v>
      </c>
      <c r="D22" s="13">
        <f si="9" t="shared"/>
        <v>0.14162473040977713</v>
      </c>
      <c r="E22" s="13">
        <f ref="E22:E33" si="10" t="shared">IF(E$16&gt;0,E5/E$16,0)</f>
        <v>0.58441558441558439</v>
      </c>
      <c r="F22" s="13">
        <f ref="F22:J33" si="11" t="shared">F5/F$16</f>
        <v>0.18729096989966554</v>
      </c>
      <c r="G22" s="13">
        <f si="11" t="shared"/>
        <v>0</v>
      </c>
      <c r="H22" s="13">
        <f si="11" t="shared"/>
        <v>0</v>
      </c>
      <c r="I22" s="13">
        <f si="11" t="shared"/>
        <v>5.1948051948051948E-3</v>
      </c>
      <c r="J22" s="13">
        <f si="11" t="shared"/>
        <v>0.52707636142379066</v>
      </c>
      <c r="K22" s="6"/>
      <c r="L22" t="s">
        <v>1</v>
      </c>
      <c r="M22" s="13">
        <f ref="M22:P22" si="12" t="shared">M5/M$16</f>
        <v>0.99891911367321207</v>
      </c>
      <c r="N22" s="13">
        <f si="12" t="shared"/>
        <v>0.27146546158812135</v>
      </c>
      <c r="O22" s="13">
        <f si="12" t="shared"/>
        <v>0.14162473040977713</v>
      </c>
      <c r="P22" s="13">
        <f si="12" t="shared"/>
        <v>0.58441558441558439</v>
      </c>
      <c r="Q22" s="13">
        <f ref="Q22:U33" si="13" t="shared">Q5/Q$16</f>
        <v>0.18729096989966554</v>
      </c>
      <c r="R22" s="13">
        <f si="13" t="shared"/>
        <v>0</v>
      </c>
      <c r="S22" s="13">
        <f si="13" t="shared"/>
        <v>0</v>
      </c>
      <c r="T22" s="13">
        <f si="13" t="shared"/>
        <v>5.1948051948051948E-3</v>
      </c>
      <c r="U22" s="13">
        <f si="13" t="shared"/>
        <v>0.52707636142379066</v>
      </c>
    </row>
    <row r="23" spans="1:21" x14ac:dyDescent="0.45">
      <c r="A23" t="s">
        <v>11</v>
      </c>
      <c r="B23" s="13">
        <f si="9" t="shared"/>
        <v>0</v>
      </c>
      <c r="C23" s="13">
        <f si="9" t="shared"/>
        <v>0.72336991607488699</v>
      </c>
      <c r="D23" s="13">
        <f si="9" t="shared"/>
        <v>6.8296189791516901E-2</v>
      </c>
      <c r="E23" s="13">
        <f si="10" t="shared"/>
        <v>0</v>
      </c>
      <c r="F23" s="13">
        <f si="11" t="shared"/>
        <v>0.10367892976588629</v>
      </c>
      <c r="G23" s="13">
        <f si="11" t="shared"/>
        <v>0</v>
      </c>
      <c r="H23" s="13">
        <f si="11" t="shared"/>
        <v>0</v>
      </c>
      <c r="I23" s="13">
        <f si="11" t="shared"/>
        <v>0.30519480519480519</v>
      </c>
      <c r="J23" s="13">
        <f si="11" t="shared"/>
        <v>0.20512625494371767</v>
      </c>
      <c r="K23" s="6"/>
      <c r="L23" t="s">
        <v>11</v>
      </c>
      <c r="M23" s="13">
        <f ref="M23:P23" si="14" t="shared">M6/M$16</f>
        <v>0</v>
      </c>
      <c r="N23" s="13">
        <f si="14" t="shared"/>
        <v>0.72336991607488699</v>
      </c>
      <c r="O23" s="13">
        <f si="14" t="shared"/>
        <v>6.8296189791516901E-2</v>
      </c>
      <c r="P23" s="13">
        <f si="14" t="shared"/>
        <v>0</v>
      </c>
      <c r="Q23" s="13">
        <f si="13" t="shared"/>
        <v>0.10367892976588629</v>
      </c>
      <c r="R23" s="13">
        <f si="13" t="shared"/>
        <v>0</v>
      </c>
      <c r="S23" s="13">
        <f si="13" t="shared"/>
        <v>0</v>
      </c>
      <c r="T23" s="13">
        <f si="13" t="shared"/>
        <v>0.30519480519480519</v>
      </c>
      <c r="U23" s="13">
        <f si="13" t="shared"/>
        <v>0.20512625494371767</v>
      </c>
    </row>
    <row r="24" spans="1:21" x14ac:dyDescent="0.45">
      <c r="A24" t="s">
        <v>32</v>
      </c>
      <c r="B24" s="13">
        <f si="9" t="shared"/>
        <v>0</v>
      </c>
      <c r="C24" s="13">
        <f si="9" t="shared"/>
        <v>0</v>
      </c>
      <c r="D24" s="13">
        <f si="9" t="shared"/>
        <v>0.78540618260244432</v>
      </c>
      <c r="E24" s="13">
        <f si="10" t="shared"/>
        <v>0</v>
      </c>
      <c r="F24" s="13">
        <f si="11" t="shared"/>
        <v>2.0066889632107024E-2</v>
      </c>
      <c r="G24" s="13">
        <f si="11" t="shared"/>
        <v>0</v>
      </c>
      <c r="H24" s="13">
        <f si="11" t="shared"/>
        <v>0</v>
      </c>
      <c r="I24" s="13">
        <f si="11" t="shared"/>
        <v>0.11558441558441558</v>
      </c>
      <c r="J24" s="13">
        <f si="11" t="shared"/>
        <v>0.17341040462427745</v>
      </c>
      <c r="K24" s="6"/>
      <c r="L24" t="s">
        <v>32</v>
      </c>
      <c r="M24" s="13">
        <f ref="M24:P24" si="15" t="shared">M7/M$16</f>
        <v>0</v>
      </c>
      <c r="N24" s="13">
        <f si="15" t="shared"/>
        <v>0</v>
      </c>
      <c r="O24" s="13">
        <f si="15" t="shared"/>
        <v>0.78540618260244432</v>
      </c>
      <c r="P24" s="13">
        <f si="15" t="shared"/>
        <v>0</v>
      </c>
      <c r="Q24" s="13">
        <f si="13" t="shared"/>
        <v>2.0066889632107024E-2</v>
      </c>
      <c r="R24" s="13">
        <f si="13" t="shared"/>
        <v>0</v>
      </c>
      <c r="S24" s="13">
        <f si="13" t="shared"/>
        <v>0</v>
      </c>
      <c r="T24" s="13">
        <f si="13" t="shared"/>
        <v>0.11558441558441558</v>
      </c>
      <c r="U24" s="13">
        <f si="13" t="shared"/>
        <v>0.17341040462427745</v>
      </c>
    </row>
    <row r="25" spans="1:21" x14ac:dyDescent="0.45">
      <c r="A25" t="s">
        <v>27</v>
      </c>
      <c r="B25" s="13">
        <f si="9" t="shared"/>
        <v>0</v>
      </c>
      <c r="C25" s="13">
        <f si="9" t="shared"/>
        <v>0</v>
      </c>
      <c r="D25" s="13">
        <f si="9" t="shared"/>
        <v>0</v>
      </c>
      <c r="E25" s="13">
        <f si="10" t="shared"/>
        <v>0.41558441558441561</v>
      </c>
      <c r="F25" s="13">
        <f si="11" t="shared"/>
        <v>0.54849498327759194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1.7341040462427744E-2</v>
      </c>
      <c r="K25" s="6"/>
      <c r="L25" t="s">
        <v>27</v>
      </c>
      <c r="M25" s="13">
        <f ref="M25:P25" si="16" t="shared">M8/M$16</f>
        <v>0</v>
      </c>
      <c r="N25" s="13">
        <f si="16" t="shared"/>
        <v>0</v>
      </c>
      <c r="O25" s="13">
        <f si="16" t="shared"/>
        <v>0</v>
      </c>
      <c r="P25" s="13">
        <f si="16" t="shared"/>
        <v>0.41558441558441561</v>
      </c>
      <c r="Q25" s="13">
        <f si="13" t="shared"/>
        <v>0.54849498327759194</v>
      </c>
      <c r="R25" s="13">
        <f si="13" t="shared"/>
        <v>0</v>
      </c>
      <c r="S25" s="13">
        <f si="13" t="shared"/>
        <v>0</v>
      </c>
      <c r="T25" s="13">
        <f si="13" t="shared"/>
        <v>0</v>
      </c>
      <c r="U25" s="13">
        <f si="13" t="shared"/>
        <v>1.7341040462427744E-2</v>
      </c>
    </row>
    <row r="26" spans="1:21" x14ac:dyDescent="0.45">
      <c r="A26" t="s">
        <v>28</v>
      </c>
      <c r="B26" s="13">
        <f si="9" t="shared"/>
        <v>0</v>
      </c>
      <c r="C26" s="13">
        <f si="9" t="shared"/>
        <v>0</v>
      </c>
      <c r="D26" s="13">
        <f si="9" t="shared"/>
        <v>0</v>
      </c>
      <c r="E26" s="13">
        <f si="10" t="shared"/>
        <v>0</v>
      </c>
      <c r="F26" s="13">
        <f si="11" t="shared"/>
        <v>0</v>
      </c>
      <c r="G26" s="13">
        <f si="11" t="shared"/>
        <v>0</v>
      </c>
      <c r="H26" s="13">
        <f si="11" t="shared"/>
        <v>0</v>
      </c>
      <c r="I26" s="13">
        <f si="11" t="shared"/>
        <v>0</v>
      </c>
      <c r="J26" s="13">
        <f si="11" t="shared"/>
        <v>0</v>
      </c>
      <c r="K26" s="6"/>
      <c r="L26" t="s">
        <v>28</v>
      </c>
      <c r="M26" s="13">
        <f ref="M26:P26" si="17" t="shared">M9/M$16</f>
        <v>0</v>
      </c>
      <c r="N26" s="13">
        <f si="17" t="shared"/>
        <v>0</v>
      </c>
      <c r="O26" s="13">
        <f si="17" t="shared"/>
        <v>0</v>
      </c>
      <c r="P26" s="13">
        <f si="17" t="shared"/>
        <v>0</v>
      </c>
      <c r="Q26" s="13">
        <f si="13" t="shared"/>
        <v>0</v>
      </c>
      <c r="R26" s="13">
        <f si="13" t="shared"/>
        <v>0</v>
      </c>
      <c r="S26" s="13">
        <f si="13" t="shared"/>
        <v>0</v>
      </c>
      <c r="T26" s="13">
        <f si="13" t="shared"/>
        <v>0</v>
      </c>
      <c r="U26" s="13">
        <f si="13" t="shared"/>
        <v>0</v>
      </c>
    </row>
    <row r="27" spans="1:21" x14ac:dyDescent="0.45">
      <c r="A27" t="s">
        <v>29</v>
      </c>
      <c r="B27" s="13">
        <f si="9" t="shared"/>
        <v>0</v>
      </c>
      <c r="C27" s="13">
        <f si="9" t="shared"/>
        <v>0</v>
      </c>
      <c r="D27" s="13">
        <f si="9" t="shared"/>
        <v>0</v>
      </c>
      <c r="E27" s="13">
        <f si="10" t="shared"/>
        <v>0</v>
      </c>
      <c r="F27" s="13">
        <f si="11" t="shared"/>
        <v>0</v>
      </c>
      <c r="G27" s="13">
        <f si="11" t="shared"/>
        <v>0</v>
      </c>
      <c r="H27" s="13">
        <f si="11" t="shared"/>
        <v>0</v>
      </c>
      <c r="I27" s="13">
        <f si="11" t="shared"/>
        <v>0</v>
      </c>
      <c r="J27" s="13">
        <f si="11" t="shared"/>
        <v>0</v>
      </c>
      <c r="K27" s="6"/>
      <c r="L27" t="s">
        <v>29</v>
      </c>
      <c r="M27" s="13">
        <f ref="M27:P27" si="18" t="shared">M10/M$16</f>
        <v>0</v>
      </c>
      <c r="N27" s="13">
        <f si="18" t="shared"/>
        <v>0</v>
      </c>
      <c r="O27" s="13">
        <f si="18" t="shared"/>
        <v>0</v>
      </c>
      <c r="P27" s="13">
        <f si="18" t="shared"/>
        <v>0</v>
      </c>
      <c r="Q27" s="13">
        <f si="13" t="shared"/>
        <v>0</v>
      </c>
      <c r="R27" s="13">
        <f si="13" t="shared"/>
        <v>0</v>
      </c>
      <c r="S27" s="13">
        <f si="13" t="shared"/>
        <v>0</v>
      </c>
      <c r="T27" s="13">
        <f si="13" t="shared"/>
        <v>0</v>
      </c>
      <c r="U27" s="13">
        <f si="13" t="shared"/>
        <v>0</v>
      </c>
    </row>
    <row r="28" spans="1:21" x14ac:dyDescent="0.45">
      <c r="A28" t="s">
        <v>30</v>
      </c>
      <c r="B28" s="13">
        <f si="9" t="shared"/>
        <v>0</v>
      </c>
      <c r="C28" s="13">
        <f si="9" t="shared"/>
        <v>0</v>
      </c>
      <c r="D28" s="13">
        <f si="9" t="shared"/>
        <v>0</v>
      </c>
      <c r="E28" s="13">
        <f si="10" t="shared"/>
        <v>0</v>
      </c>
      <c r="F28" s="13">
        <f si="11" t="shared"/>
        <v>0</v>
      </c>
      <c r="G28" s="13">
        <f si="11" t="shared"/>
        <v>0</v>
      </c>
      <c r="H28" s="13">
        <f si="11" t="shared"/>
        <v>0</v>
      </c>
      <c r="I28" s="13">
        <f si="11" t="shared"/>
        <v>0</v>
      </c>
      <c r="J28" s="13">
        <f si="11" t="shared"/>
        <v>0</v>
      </c>
      <c r="K28" s="6"/>
      <c r="L28" t="s">
        <v>30</v>
      </c>
      <c r="M28" s="13">
        <f ref="M28:P28" si="19" t="shared">M11/M$16</f>
        <v>0</v>
      </c>
      <c r="N28" s="13">
        <f si="19" t="shared"/>
        <v>0</v>
      </c>
      <c r="O28" s="13">
        <f si="19" t="shared"/>
        <v>0</v>
      </c>
      <c r="P28" s="13">
        <f si="19" t="shared"/>
        <v>0</v>
      </c>
      <c r="Q28" s="13">
        <f si="13" t="shared"/>
        <v>0</v>
      </c>
      <c r="R28" s="13">
        <f si="13" t="shared"/>
        <v>0</v>
      </c>
      <c r="S28" s="13">
        <f si="13" t="shared"/>
        <v>0</v>
      </c>
      <c r="T28" s="13">
        <f si="13" t="shared"/>
        <v>0</v>
      </c>
      <c r="U28" s="13">
        <f si="13" t="shared"/>
        <v>0</v>
      </c>
    </row>
    <row r="29" spans="1:21" x14ac:dyDescent="0.45">
      <c r="A29" t="s">
        <v>31</v>
      </c>
      <c r="B29" s="13">
        <f si="9" t="shared"/>
        <v>0</v>
      </c>
      <c r="C29" s="13">
        <f si="9" t="shared"/>
        <v>0</v>
      </c>
      <c r="D29" s="13">
        <f si="9" t="shared"/>
        <v>0</v>
      </c>
      <c r="E29" s="13">
        <f si="10" t="shared"/>
        <v>0</v>
      </c>
      <c r="F29" s="13">
        <f si="11" t="shared"/>
        <v>0</v>
      </c>
      <c r="G29" s="13">
        <f si="11" t="shared"/>
        <v>0</v>
      </c>
      <c r="H29" s="13">
        <f si="11" t="shared"/>
        <v>0</v>
      </c>
      <c r="I29" s="13">
        <f si="11" t="shared"/>
        <v>0</v>
      </c>
      <c r="J29" s="13">
        <f si="11" t="shared"/>
        <v>0</v>
      </c>
      <c r="K29" s="6"/>
      <c r="L29" t="s">
        <v>31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0</v>
      </c>
      <c r="Q29" s="13">
        <f si="13" t="shared"/>
        <v>0</v>
      </c>
      <c r="R29" s="13">
        <f si="13" t="shared"/>
        <v>0</v>
      </c>
      <c r="S29" s="13">
        <f si="13" t="shared"/>
        <v>0</v>
      </c>
      <c r="T29" s="13">
        <f si="13" t="shared"/>
        <v>0</v>
      </c>
      <c r="U29" s="13">
        <f si="13" t="shared"/>
        <v>0</v>
      </c>
    </row>
    <row r="30" spans="1:21" x14ac:dyDescent="0.45">
      <c r="A30" t="s">
        <v>16</v>
      </c>
      <c r="B30" s="13">
        <f si="9" t="shared"/>
        <v>0</v>
      </c>
      <c r="C30" s="13">
        <f si="9" t="shared"/>
        <v>0</v>
      </c>
      <c r="D30" s="13">
        <f si="9" t="shared"/>
        <v>0</v>
      </c>
      <c r="E30" s="13">
        <f si="10" t="shared"/>
        <v>0</v>
      </c>
      <c r="F30" s="13">
        <f si="11" t="shared"/>
        <v>0</v>
      </c>
      <c r="G30" s="13">
        <f si="11" t="shared"/>
        <v>0</v>
      </c>
      <c r="H30" s="13">
        <f si="11" t="shared"/>
        <v>0</v>
      </c>
      <c r="I30" s="13">
        <f si="11" t="shared"/>
        <v>0.55454545454545456</v>
      </c>
      <c r="J30" s="13">
        <f si="11" t="shared"/>
        <v>3.2476422269546702E-2</v>
      </c>
      <c r="K30" s="6"/>
      <c r="L30" t="s">
        <v>16</v>
      </c>
      <c r="M30" s="13">
        <f ref="M30:P30" si="21" t="shared">M13/M$16</f>
        <v>0</v>
      </c>
      <c r="N30" s="13">
        <f si="21" t="shared"/>
        <v>0</v>
      </c>
      <c r="O30" s="13">
        <f si="21" t="shared"/>
        <v>0</v>
      </c>
      <c r="P30" s="13">
        <f si="21" t="shared"/>
        <v>0</v>
      </c>
      <c r="Q30" s="13">
        <f si="13" t="shared"/>
        <v>0</v>
      </c>
      <c r="R30" s="13">
        <f si="13" t="shared"/>
        <v>0</v>
      </c>
      <c r="S30" s="13">
        <f si="13" t="shared"/>
        <v>0</v>
      </c>
      <c r="T30" s="13">
        <f si="13" t="shared"/>
        <v>0.55454545454545456</v>
      </c>
      <c r="U30" s="13">
        <f si="13" t="shared"/>
        <v>3.2476422269546702E-2</v>
      </c>
    </row>
    <row r="31" spans="1:21" x14ac:dyDescent="0.45">
      <c r="A31" t="s">
        <v>4</v>
      </c>
      <c r="B31" s="13">
        <f si="9" t="shared"/>
        <v>0</v>
      </c>
      <c r="C31" s="13">
        <f si="9" t="shared"/>
        <v>0</v>
      </c>
      <c r="D31" s="13">
        <f si="9" t="shared"/>
        <v>0</v>
      </c>
      <c r="E31" s="13">
        <f si="10" t="shared"/>
        <v>0</v>
      </c>
      <c r="F31" s="13">
        <f si="11" t="shared"/>
        <v>0</v>
      </c>
      <c r="G31" s="13">
        <f si="11" t="shared"/>
        <v>0.81632653061224492</v>
      </c>
      <c r="H31" s="13">
        <f si="11" t="shared"/>
        <v>0</v>
      </c>
      <c r="I31" s="13">
        <f si="11" t="shared"/>
        <v>0</v>
      </c>
      <c r="J31" s="13">
        <f si="11" t="shared"/>
        <v>3.0422878004259203E-3</v>
      </c>
      <c r="K31" s="6"/>
      <c r="L31" t="s">
        <v>4</v>
      </c>
      <c r="M31" s="13">
        <f ref="M31:P31" si="22" t="shared">M14/M$16</f>
        <v>0</v>
      </c>
      <c r="N31" s="13">
        <f si="22" t="shared"/>
        <v>0</v>
      </c>
      <c r="O31" s="13">
        <f si="22" t="shared"/>
        <v>0</v>
      </c>
      <c r="P31" s="13">
        <f si="22" t="shared"/>
        <v>0</v>
      </c>
      <c r="Q31" s="13">
        <f si="13" t="shared"/>
        <v>0</v>
      </c>
      <c r="R31" s="13">
        <f si="13" t="shared"/>
        <v>0.81632653061224492</v>
      </c>
      <c r="S31" s="13">
        <f si="13" t="shared"/>
        <v>0</v>
      </c>
      <c r="T31" s="13">
        <f si="13" t="shared"/>
        <v>0</v>
      </c>
      <c r="U31" s="13">
        <f si="13" t="shared"/>
        <v>3.0422878004259203E-3</v>
      </c>
    </row>
    <row r="32" spans="1:21" x14ac:dyDescent="0.45">
      <c r="A32" s="4" t="s">
        <v>5</v>
      </c>
      <c r="B32" s="14">
        <f si="9" t="shared"/>
        <v>1.0808863267879661E-3</v>
      </c>
      <c r="C32" s="14">
        <f si="9" t="shared"/>
        <v>5.1646223369916072E-3</v>
      </c>
      <c r="D32" s="14">
        <f si="9" t="shared"/>
        <v>4.6728971962616819E-3</v>
      </c>
      <c r="E32" s="13">
        <f si="10" t="shared"/>
        <v>0</v>
      </c>
      <c r="F32" s="14">
        <f si="11" t="shared"/>
        <v>0.14046822742474915</v>
      </c>
      <c r="G32" s="14">
        <f si="11" t="shared"/>
        <v>0.18367346938775511</v>
      </c>
      <c r="H32" s="14">
        <f si="11" t="shared"/>
        <v>1</v>
      </c>
      <c r="I32" s="14">
        <f si="11" t="shared"/>
        <v>1.948051948051948E-2</v>
      </c>
      <c r="J32" s="14">
        <f si="11" t="shared"/>
        <v>4.1527228475813811E-2</v>
      </c>
      <c r="K32" s="6"/>
      <c r="L32" s="4" t="s">
        <v>5</v>
      </c>
      <c r="M32" s="14">
        <f ref="M32:P32" si="23" t="shared">M15/M$16</f>
        <v>1.0808863267879661E-3</v>
      </c>
      <c r="N32" s="14">
        <f si="23" t="shared"/>
        <v>5.1646223369916072E-3</v>
      </c>
      <c r="O32" s="14">
        <f si="23" t="shared"/>
        <v>4.6728971962616819E-3</v>
      </c>
      <c r="P32" s="14">
        <f si="23" t="shared"/>
        <v>0</v>
      </c>
      <c r="Q32" s="14">
        <f si="13" t="shared"/>
        <v>0.14046822742474915</v>
      </c>
      <c r="R32" s="14">
        <f si="13" t="shared"/>
        <v>0.18367346938775511</v>
      </c>
      <c r="S32" s="14">
        <f si="13" t="shared"/>
        <v>1</v>
      </c>
      <c r="T32" s="14">
        <f si="13" t="shared"/>
        <v>1.948051948051948E-2</v>
      </c>
      <c r="U32" s="14">
        <f si="13" t="shared"/>
        <v>4.1527228475813811E-2</v>
      </c>
    </row>
    <row ht="14.65" r="33" spans="1:32" thickBot="1" x14ac:dyDescent="0.5">
      <c r="A33" s="12" t="s">
        <v>7</v>
      </c>
      <c r="B33" s="15">
        <f si="9" t="shared"/>
        <v>1</v>
      </c>
      <c r="C33" s="15">
        <f si="9" t="shared"/>
        <v>1</v>
      </c>
      <c r="D33" s="15">
        <f si="9" t="shared"/>
        <v>1</v>
      </c>
      <c r="E33" s="15">
        <f si="10" t="shared"/>
        <v>1</v>
      </c>
      <c r="F33" s="15">
        <f si="11" t="shared"/>
        <v>1</v>
      </c>
      <c r="G33" s="15">
        <f si="11" t="shared"/>
        <v>1</v>
      </c>
      <c r="H33" s="15">
        <f si="11" t="shared"/>
        <v>1</v>
      </c>
      <c r="I33" s="15">
        <f si="11" t="shared"/>
        <v>1</v>
      </c>
      <c r="J33" s="15">
        <f si="11" t="shared"/>
        <v>1</v>
      </c>
      <c r="L33" s="9" t="s">
        <v>7</v>
      </c>
      <c r="M33" s="15">
        <f ref="M33:P33" si="24" t="shared">M16/M$16</f>
        <v>1</v>
      </c>
      <c r="N33" s="15">
        <f si="24" t="shared"/>
        <v>1</v>
      </c>
      <c r="O33" s="15">
        <f si="24" t="shared"/>
        <v>1</v>
      </c>
      <c r="P33" s="15">
        <f si="24" t="shared"/>
        <v>1</v>
      </c>
      <c r="Q33" s="15">
        <f si="13" t="shared"/>
        <v>1</v>
      </c>
      <c r="R33" s="15">
        <f si="13" t="shared"/>
        <v>1</v>
      </c>
      <c r="S33" s="15">
        <f si="13" t="shared"/>
        <v>1</v>
      </c>
      <c r="T33" s="15">
        <f si="13" t="shared"/>
        <v>1</v>
      </c>
      <c r="U33" s="15">
        <f si="13" t="shared"/>
        <v>1</v>
      </c>
    </row>
    <row r="35" spans="1:32" x14ac:dyDescent="0.45">
      <c r="B35" s="35"/>
      <c r="C35" s="40" t="s">
        <v>50</v>
      </c>
      <c r="D35" s="40"/>
      <c r="E35" s="40" t="s">
        <v>51</v>
      </c>
      <c r="F35" s="40"/>
    </row>
    <row ht="14.65" r="36" spans="1:32" thickBot="1" x14ac:dyDescent="0.5">
      <c r="B36" s="32" t="s">
        <v>34</v>
      </c>
      <c r="C36" s="32" t="s">
        <v>43</v>
      </c>
      <c r="D36" s="32" t="s">
        <v>44</v>
      </c>
      <c r="E36" s="32" t="s">
        <v>43</v>
      </c>
      <c r="F36" s="32" t="s">
        <v>44</v>
      </c>
      <c r="L36" s="1" t="s">
        <v>56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24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45">
      <c r="B37" t="s">
        <v>35</v>
      </c>
      <c r="C37" s="30">
        <f>Work!F$17</f>
        <v>4.3644168852849989E-2</v>
      </c>
      <c r="D37" s="30">
        <f>Work!E$17</f>
        <v>3.6727879799666109E-2</v>
      </c>
      <c r="E37" s="30">
        <f>Work!Q$17</f>
        <v>4.3644168852849989E-2</v>
      </c>
      <c r="F37" s="30">
        <f>Work!P$17</f>
        <v>3.6727879799666109E-2</v>
      </c>
      <c r="L37" s="3"/>
      <c r="M37" s="38" t="s">
        <v>23</v>
      </c>
      <c r="N37" s="39"/>
      <c r="O37" s="39"/>
      <c r="P37" s="39"/>
      <c r="Q37" s="39"/>
      <c r="R37" s="39"/>
      <c r="S37" s="39"/>
      <c r="T37" s="39"/>
      <c r="U37" s="39"/>
      <c r="W37" s="23"/>
      <c r="X37" s="37" t="s">
        <v>23</v>
      </c>
      <c r="Y37" s="37"/>
      <c r="Z37" s="37"/>
      <c r="AA37" s="37"/>
      <c r="AB37" s="37"/>
      <c r="AC37" s="37"/>
      <c r="AD37" s="37"/>
      <c r="AE37" s="37"/>
      <c r="AF37" s="24"/>
    </row>
    <row r="38" spans="1:32" x14ac:dyDescent="0.45">
      <c r="B38" t="s">
        <v>36</v>
      </c>
      <c r="C38" s="30">
        <f>School!F$17</f>
        <v>3.6331413380593709E-2</v>
      </c>
      <c r="D38" s="30">
        <f>School!E$17</f>
        <v>0</v>
      </c>
      <c r="E38" s="30">
        <f>School!Q$17</f>
        <v>3.6331413380593709E-2</v>
      </c>
      <c r="F38" s="30">
        <f>School!P$17</f>
        <v>0</v>
      </c>
      <c r="L38" s="4" t="s">
        <v>0</v>
      </c>
      <c r="M38" s="5" t="s">
        <v>10</v>
      </c>
      <c r="N38" s="5" t="s">
        <v>11</v>
      </c>
      <c r="O38" s="5" t="s">
        <v>12</v>
      </c>
      <c r="P38" s="5" t="s">
        <v>13</v>
      </c>
      <c r="Q38" s="5" t="s">
        <v>14</v>
      </c>
      <c r="R38" s="5" t="s">
        <v>4</v>
      </c>
      <c r="S38" s="5" t="s">
        <v>5</v>
      </c>
      <c r="T38" s="5" t="s">
        <v>15</v>
      </c>
      <c r="U38" s="5" t="s">
        <v>7</v>
      </c>
      <c r="W38" s="25" t="s">
        <v>0</v>
      </c>
      <c r="X38" s="26" t="s">
        <v>10</v>
      </c>
      <c r="Y38" s="26" t="s">
        <v>11</v>
      </c>
      <c r="Z38" s="26" t="s">
        <v>12</v>
      </c>
      <c r="AA38" s="26" t="s">
        <v>13</v>
      </c>
      <c r="AB38" s="26" t="s">
        <v>14</v>
      </c>
      <c r="AC38" s="5" t="s">
        <v>4</v>
      </c>
      <c r="AD38" s="5" t="s">
        <v>5</v>
      </c>
      <c r="AE38" s="5" t="s">
        <v>15</v>
      </c>
      <c r="AF38" s="26" t="s">
        <v>7</v>
      </c>
    </row>
    <row r="39" spans="1:32" x14ac:dyDescent="0.45">
      <c r="B39" t="s">
        <v>37</v>
      </c>
      <c r="C39" s="30">
        <f>Escort!F$17</f>
        <v>0</v>
      </c>
      <c r="D39" s="30">
        <f>Escort!E$17</f>
        <v>0</v>
      </c>
      <c r="E39" s="30">
        <f>Escort!Q$17</f>
        <v>0</v>
      </c>
      <c r="F39" s="30">
        <f>Escort!P$17</f>
        <v>0</v>
      </c>
      <c r="L39" t="s">
        <v>1</v>
      </c>
      <c r="M39" s="13">
        <f ref="M39:P44" si="25" t="shared">M22-B22</f>
        <v>0</v>
      </c>
      <c r="N39" s="13">
        <f si="25" t="shared"/>
        <v>0</v>
      </c>
      <c r="O39" s="13">
        <f si="25" t="shared"/>
        <v>0</v>
      </c>
      <c r="P39" s="13">
        <f si="25" t="shared"/>
        <v>0</v>
      </c>
      <c r="Q39" s="13">
        <f ref="Q39:Q50" si="26" t="shared">Q22-F22</f>
        <v>0</v>
      </c>
      <c r="R39" s="13">
        <f ref="R39:R50" si="27" t="shared">R22-G22</f>
        <v>0</v>
      </c>
      <c r="S39" s="13">
        <f ref="S39:S50" si="28" t="shared">S22-H22</f>
        <v>0</v>
      </c>
      <c r="T39" s="13">
        <f ref="T39:T50" si="29" t="shared">T22-I22</f>
        <v>0</v>
      </c>
      <c r="U39" s="13">
        <f ref="U39:U50" si="30" t="shared">U22-J22</f>
        <v>0</v>
      </c>
      <c r="W39" s="21" t="s">
        <v>1</v>
      </c>
      <c r="X39" s="22">
        <f>M39</f>
        <v>0</v>
      </c>
      <c r="Y39" s="22">
        <f ref="Y39:AF39" si="31" t="shared">N39</f>
        <v>0</v>
      </c>
      <c r="Z39" s="22">
        <f si="31" t="shared"/>
        <v>0</v>
      </c>
      <c r="AA39" s="22">
        <f si="31" t="shared"/>
        <v>0</v>
      </c>
      <c r="AB39" s="22">
        <f si="31" t="shared"/>
        <v>0</v>
      </c>
      <c r="AC39" s="22">
        <f si="31" t="shared"/>
        <v>0</v>
      </c>
      <c r="AD39" s="22">
        <f si="31" t="shared"/>
        <v>0</v>
      </c>
      <c r="AE39" s="22">
        <f si="31" t="shared"/>
        <v>0</v>
      </c>
      <c r="AF39" s="22">
        <f si="31" t="shared"/>
        <v>0</v>
      </c>
    </row>
    <row r="40" spans="1:32" x14ac:dyDescent="0.45">
      <c r="B40" t="s">
        <v>38</v>
      </c>
      <c r="C40" s="30">
        <f>Personal_Business!F$17</f>
        <v>1.3357079252003561E-2</v>
      </c>
      <c r="D40" s="30">
        <f>Personal_Business!E$17</f>
        <v>0</v>
      </c>
      <c r="E40" s="30">
        <f>Personal_Business!Q$17</f>
        <v>1.3357079252003561E-2</v>
      </c>
      <c r="F40" s="30">
        <f>Personal_Business!P$17</f>
        <v>0</v>
      </c>
      <c r="L40" t="s">
        <v>8</v>
      </c>
      <c r="M40" s="13">
        <f si="25" t="shared"/>
        <v>0</v>
      </c>
      <c r="N40" s="13">
        <f si="25" t="shared"/>
        <v>0</v>
      </c>
      <c r="O40" s="13">
        <f si="25" t="shared"/>
        <v>0</v>
      </c>
      <c r="P40" s="13">
        <f si="25" t="shared"/>
        <v>0</v>
      </c>
      <c r="Q40" s="13">
        <f si="26" t="shared"/>
        <v>0</v>
      </c>
      <c r="R40" s="13">
        <f si="27" t="shared"/>
        <v>0</v>
      </c>
      <c r="S40" s="13">
        <f si="28" t="shared"/>
        <v>0</v>
      </c>
      <c r="T40" s="13">
        <f si="29" t="shared"/>
        <v>0</v>
      </c>
      <c r="U40" s="13">
        <f si="30" t="shared"/>
        <v>0</v>
      </c>
      <c r="W40" s="27" t="s">
        <v>8</v>
      </c>
      <c r="X40" s="22">
        <f ref="X40:X49" si="32" t="shared">M40</f>
        <v>0</v>
      </c>
      <c r="Y40" s="22">
        <f ref="Y40:Y50" si="33" t="shared">N40</f>
        <v>0</v>
      </c>
      <c r="Z40" s="22">
        <f ref="Z40:Z50" si="34" t="shared">O40</f>
        <v>0</v>
      </c>
      <c r="AA40" s="22">
        <f ref="AA40:AA50" si="35" t="shared">P40</f>
        <v>0</v>
      </c>
      <c r="AB40" s="22">
        <f ref="AB40:AB50" si="36" t="shared">Q40</f>
        <v>0</v>
      </c>
      <c r="AC40" s="22">
        <f ref="AC40:AC50" si="37" t="shared">R40</f>
        <v>0</v>
      </c>
      <c r="AD40" s="22">
        <f ref="AD40:AD50" si="38" t="shared">S40</f>
        <v>0</v>
      </c>
      <c r="AE40" s="22">
        <f ref="AE40:AE50" si="39" t="shared">T40</f>
        <v>0</v>
      </c>
      <c r="AF40" s="22">
        <f ref="AF40:AF50" si="40" t="shared">U40</f>
        <v>0</v>
      </c>
    </row>
    <row r="41" spans="1:32" x14ac:dyDescent="0.45">
      <c r="B41" t="s">
        <v>39</v>
      </c>
      <c r="C41" s="30">
        <f>Shop!F$17</f>
        <v>8.5714285714285719E-3</v>
      </c>
      <c r="D41" s="30">
        <f>Shop!E$17</f>
        <v>0</v>
      </c>
      <c r="E41" s="30">
        <f>Shop!Q$17</f>
        <v>8.5714285714285719E-3</v>
      </c>
      <c r="F41" s="30">
        <f>Shop!P$17</f>
        <v>0</v>
      </c>
      <c r="L41" t="s">
        <v>9</v>
      </c>
      <c r="M41" s="13">
        <f si="25" t="shared"/>
        <v>0</v>
      </c>
      <c r="N41" s="13">
        <f si="25" t="shared"/>
        <v>0</v>
      </c>
      <c r="O41" s="13">
        <f si="25" t="shared"/>
        <v>0</v>
      </c>
      <c r="P41" s="13">
        <f si="25" t="shared"/>
        <v>0</v>
      </c>
      <c r="Q41" s="13">
        <f si="26" t="shared"/>
        <v>0</v>
      </c>
      <c r="R41" s="13">
        <f si="27" t="shared"/>
        <v>0</v>
      </c>
      <c r="S41" s="13">
        <f si="28" t="shared"/>
        <v>0</v>
      </c>
      <c r="T41" s="13">
        <f si="29" t="shared"/>
        <v>0</v>
      </c>
      <c r="U41" s="13">
        <f si="30" t="shared"/>
        <v>0</v>
      </c>
      <c r="W41" s="27" t="s">
        <v>9</v>
      </c>
      <c r="X41" s="22">
        <f si="32" t="shared"/>
        <v>0</v>
      </c>
      <c r="Y41" s="22">
        <f si="33" t="shared"/>
        <v>0</v>
      </c>
      <c r="Z41" s="22">
        <f si="34" t="shared"/>
        <v>0</v>
      </c>
      <c r="AA41" s="22">
        <f si="35" t="shared"/>
        <v>0</v>
      </c>
      <c r="AB41" s="22">
        <f si="36" t="shared"/>
        <v>0</v>
      </c>
      <c r="AC41" s="22">
        <f si="37" t="shared"/>
        <v>0</v>
      </c>
      <c r="AD41" s="22">
        <f si="38" t="shared"/>
        <v>0</v>
      </c>
      <c r="AE41" s="22">
        <f si="39" t="shared"/>
        <v>0</v>
      </c>
      <c r="AF41" s="22">
        <f si="40" t="shared"/>
        <v>0</v>
      </c>
    </row>
    <row r="42" spans="1:32" x14ac:dyDescent="0.45">
      <c r="B42" t="s">
        <v>40</v>
      </c>
      <c r="C42" s="30">
        <f>Meal!F$17</f>
        <v>3.0075187969924814E-3</v>
      </c>
      <c r="D42" s="30">
        <f>Meal!E$17</f>
        <v>0</v>
      </c>
      <c r="E42" s="30">
        <f>Meal!Q$17</f>
        <v>3.0075187969924814E-3</v>
      </c>
      <c r="F42" s="30">
        <f>Meal!P$17</f>
        <v>0</v>
      </c>
      <c r="L42" t="s">
        <v>27</v>
      </c>
      <c r="M42" s="13">
        <f si="25" t="shared"/>
        <v>0</v>
      </c>
      <c r="N42" s="13">
        <f si="25" t="shared"/>
        <v>0</v>
      </c>
      <c r="O42" s="13">
        <f si="25" t="shared"/>
        <v>0</v>
      </c>
      <c r="P42" s="13">
        <f si="25" t="shared"/>
        <v>0</v>
      </c>
      <c r="Q42" s="13">
        <f si="26" t="shared"/>
        <v>0</v>
      </c>
      <c r="R42" s="13">
        <f si="27" t="shared"/>
        <v>0</v>
      </c>
      <c r="S42" s="13">
        <f si="28" t="shared"/>
        <v>0</v>
      </c>
      <c r="T42" s="13">
        <f si="29" t="shared"/>
        <v>0</v>
      </c>
      <c r="U42" s="13">
        <f si="30" t="shared"/>
        <v>0</v>
      </c>
      <c r="W42" t="s">
        <v>27</v>
      </c>
      <c r="X42" s="22">
        <f si="32" t="shared"/>
        <v>0</v>
      </c>
      <c r="Y42" s="22">
        <f si="33" t="shared"/>
        <v>0</v>
      </c>
      <c r="Z42" s="22">
        <f si="34" t="shared"/>
        <v>0</v>
      </c>
      <c r="AA42" s="22">
        <f si="35" t="shared"/>
        <v>0</v>
      </c>
      <c r="AB42" s="22">
        <f si="36" t="shared"/>
        <v>0</v>
      </c>
      <c r="AC42" s="22">
        <f si="37" t="shared"/>
        <v>0</v>
      </c>
      <c r="AD42" s="22">
        <f si="38" t="shared"/>
        <v>0</v>
      </c>
      <c r="AE42" s="22">
        <f si="39" t="shared"/>
        <v>0</v>
      </c>
      <c r="AF42" s="22">
        <f si="40" t="shared"/>
        <v>0</v>
      </c>
    </row>
    <row r="43" spans="1:32" x14ac:dyDescent="0.45">
      <c r="B43" t="s">
        <v>41</v>
      </c>
      <c r="C43" s="30">
        <f>SocRec!F$17</f>
        <v>6.6042927903137037E-3</v>
      </c>
      <c r="D43" s="30">
        <f>SocRec!E$17</f>
        <v>0</v>
      </c>
      <c r="E43" s="30">
        <f>SocRec!Q$17</f>
        <v>6.6042927903137037E-3</v>
      </c>
      <c r="F43" s="30">
        <f>SocRec!P$17</f>
        <v>0</v>
      </c>
      <c r="L43" t="s">
        <v>28</v>
      </c>
      <c r="M43" s="13">
        <f si="25" t="shared"/>
        <v>0</v>
      </c>
      <c r="N43" s="13">
        <f si="25" t="shared"/>
        <v>0</v>
      </c>
      <c r="O43" s="13">
        <f si="25" t="shared"/>
        <v>0</v>
      </c>
      <c r="P43" s="13">
        <f si="25" t="shared"/>
        <v>0</v>
      </c>
      <c r="Q43" s="13">
        <f si="26" t="shared"/>
        <v>0</v>
      </c>
      <c r="R43" s="13">
        <f si="27" t="shared"/>
        <v>0</v>
      </c>
      <c r="S43" s="13">
        <f si="28" t="shared"/>
        <v>0</v>
      </c>
      <c r="T43" s="13">
        <f si="29" t="shared"/>
        <v>0</v>
      </c>
      <c r="U43" s="13">
        <f si="30" t="shared"/>
        <v>0</v>
      </c>
      <c r="W43" t="s">
        <v>28</v>
      </c>
      <c r="X43" s="22">
        <f si="32" t="shared"/>
        <v>0</v>
      </c>
      <c r="Y43" s="22">
        <f si="33" t="shared"/>
        <v>0</v>
      </c>
      <c r="Z43" s="22">
        <f si="34" t="shared"/>
        <v>0</v>
      </c>
      <c r="AA43" s="22">
        <f si="35" t="shared"/>
        <v>0</v>
      </c>
      <c r="AB43" s="22">
        <f si="36" t="shared"/>
        <v>0</v>
      </c>
      <c r="AC43" s="22">
        <f si="37" t="shared"/>
        <v>0</v>
      </c>
      <c r="AD43" s="22">
        <f si="38" t="shared"/>
        <v>0</v>
      </c>
      <c r="AE43" s="22">
        <f si="39" t="shared"/>
        <v>0</v>
      </c>
      <c r="AF43" s="22">
        <f si="40" t="shared"/>
        <v>0</v>
      </c>
    </row>
    <row r="44" spans="1:32" x14ac:dyDescent="0.45">
      <c r="B44" t="s">
        <v>42</v>
      </c>
      <c r="C44" s="30">
        <f>Workbased!F$17</f>
        <v>2.136752136752137E-3</v>
      </c>
      <c r="D44" s="30">
        <f>Workbased!E$17</f>
        <v>0</v>
      </c>
      <c r="E44" s="30">
        <f>Workbased!Q$17</f>
        <v>2.136752136752137E-3</v>
      </c>
      <c r="F44" s="30">
        <f>Workbased!P$17</f>
        <v>0</v>
      </c>
      <c r="L44" t="s">
        <v>29</v>
      </c>
      <c r="M44" s="13">
        <f si="25" t="shared"/>
        <v>0</v>
      </c>
      <c r="N44" s="13">
        <f si="25" t="shared"/>
        <v>0</v>
      </c>
      <c r="O44" s="13">
        <f si="25" t="shared"/>
        <v>0</v>
      </c>
      <c r="P44" s="13">
        <f si="25" t="shared"/>
        <v>0</v>
      </c>
      <c r="Q44" s="13">
        <f si="26" t="shared"/>
        <v>0</v>
      </c>
      <c r="R44" s="13">
        <f si="27" t="shared"/>
        <v>0</v>
      </c>
      <c r="S44" s="13">
        <f si="28" t="shared"/>
        <v>0</v>
      </c>
      <c r="T44" s="13">
        <f si="29" t="shared"/>
        <v>0</v>
      </c>
      <c r="U44" s="13">
        <f si="30" t="shared"/>
        <v>0</v>
      </c>
      <c r="W44" t="s">
        <v>29</v>
      </c>
      <c r="X44" s="22">
        <f si="32" t="shared"/>
        <v>0</v>
      </c>
      <c r="Y44" s="22">
        <f si="33" t="shared"/>
        <v>0</v>
      </c>
      <c r="Z44" s="22">
        <f si="34" t="shared"/>
        <v>0</v>
      </c>
      <c r="AA44" s="22">
        <f si="35" t="shared"/>
        <v>0</v>
      </c>
      <c r="AB44" s="22">
        <f si="36" t="shared"/>
        <v>0</v>
      </c>
      <c r="AC44" s="22">
        <f si="37" t="shared"/>
        <v>0</v>
      </c>
      <c r="AD44" s="22">
        <f si="38" t="shared"/>
        <v>0</v>
      </c>
      <c r="AE44" s="22">
        <f si="39" t="shared"/>
        <v>0</v>
      </c>
      <c r="AF44" s="22">
        <f si="40" t="shared"/>
        <v>0</v>
      </c>
    </row>
    <row r="45" spans="1:32" x14ac:dyDescent="0.45">
      <c r="B45" s="33" t="s">
        <v>7</v>
      </c>
      <c r="C45" s="34">
        <f>F17</f>
        <v>2.2741101308183752E-2</v>
      </c>
      <c r="D45" s="34">
        <f>E17</f>
        <v>1.1712808031639793E-2</v>
      </c>
      <c r="E45" s="34">
        <f>Q17</f>
        <v>2.2741101308183752E-2</v>
      </c>
      <c r="F45" s="34">
        <f>P17</f>
        <v>1.1712808031639793E-2</v>
      </c>
      <c r="L45" t="s">
        <v>30</v>
      </c>
      <c r="M45" s="13">
        <f ref="M45:M47" si="41" t="shared">M28-B28</f>
        <v>0</v>
      </c>
      <c r="N45" s="13">
        <f ref="N45:N47" si="42" t="shared">N28-C28</f>
        <v>0</v>
      </c>
      <c r="O45" s="13">
        <f ref="O45:O47" si="43" t="shared">O28-D28</f>
        <v>0</v>
      </c>
      <c r="P45" s="13">
        <f ref="P45:P47" si="44" t="shared">P28-E28</f>
        <v>0</v>
      </c>
      <c r="Q45" s="13">
        <f si="26" t="shared"/>
        <v>0</v>
      </c>
      <c r="R45" s="13">
        <f si="27" t="shared"/>
        <v>0</v>
      </c>
      <c r="S45" s="13">
        <f si="28" t="shared"/>
        <v>0</v>
      </c>
      <c r="T45" s="13">
        <f si="29" t="shared"/>
        <v>0</v>
      </c>
      <c r="U45" s="13">
        <f si="30" t="shared"/>
        <v>0</v>
      </c>
      <c r="W45" t="s">
        <v>30</v>
      </c>
      <c r="X45" s="22">
        <f si="32" t="shared"/>
        <v>0</v>
      </c>
      <c r="Y45" s="22">
        <f si="33" t="shared"/>
        <v>0</v>
      </c>
      <c r="Z45" s="22">
        <f si="34" t="shared"/>
        <v>0</v>
      </c>
      <c r="AA45" s="22">
        <f si="35" t="shared"/>
        <v>0</v>
      </c>
      <c r="AB45" s="22">
        <f si="36" t="shared"/>
        <v>0</v>
      </c>
      <c r="AC45" s="22">
        <f si="37" t="shared"/>
        <v>0</v>
      </c>
      <c r="AD45" s="22">
        <f si="38" t="shared"/>
        <v>0</v>
      </c>
      <c r="AE45" s="22">
        <f si="39" t="shared"/>
        <v>0</v>
      </c>
      <c r="AF45" s="22">
        <f si="40" t="shared"/>
        <v>0</v>
      </c>
    </row>
    <row r="46" spans="1:32" x14ac:dyDescent="0.45">
      <c r="L46" t="s">
        <v>31</v>
      </c>
      <c r="M46" s="13">
        <f si="41" t="shared"/>
        <v>0</v>
      </c>
      <c r="N46" s="13">
        <f si="42" t="shared"/>
        <v>0</v>
      </c>
      <c r="O46" s="13">
        <f si="43" t="shared"/>
        <v>0</v>
      </c>
      <c r="P46" s="13">
        <f si="44" t="shared"/>
        <v>0</v>
      </c>
      <c r="Q46" s="13">
        <f si="26" t="shared"/>
        <v>0</v>
      </c>
      <c r="R46" s="13">
        <f si="27" t="shared"/>
        <v>0</v>
      </c>
      <c r="S46" s="13">
        <f si="28" t="shared"/>
        <v>0</v>
      </c>
      <c r="T46" s="13">
        <f si="29" t="shared"/>
        <v>0</v>
      </c>
      <c r="U46" s="13">
        <f si="30" t="shared"/>
        <v>0</v>
      </c>
      <c r="W46" t="s">
        <v>31</v>
      </c>
      <c r="X46" s="22">
        <f si="32" t="shared"/>
        <v>0</v>
      </c>
      <c r="Y46" s="22">
        <f si="33" t="shared"/>
        <v>0</v>
      </c>
      <c r="Z46" s="22">
        <f si="34" t="shared"/>
        <v>0</v>
      </c>
      <c r="AA46" s="22">
        <f si="35" t="shared"/>
        <v>0</v>
      </c>
      <c r="AB46" s="22">
        <f si="36" t="shared"/>
        <v>0</v>
      </c>
      <c r="AC46" s="22">
        <f si="37" t="shared"/>
        <v>0</v>
      </c>
      <c r="AD46" s="22">
        <f si="38" t="shared"/>
        <v>0</v>
      </c>
      <c r="AE46" s="22">
        <f si="39" t="shared"/>
        <v>0</v>
      </c>
      <c r="AF46" s="22">
        <f si="40" t="shared"/>
        <v>0</v>
      </c>
    </row>
    <row r="47" spans="1:32" x14ac:dyDescent="0.45">
      <c r="L47" t="s">
        <v>16</v>
      </c>
      <c r="M47" s="13">
        <f si="41" t="shared"/>
        <v>0</v>
      </c>
      <c r="N47" s="13">
        <f si="42" t="shared"/>
        <v>0</v>
      </c>
      <c r="O47" s="13">
        <f si="43" t="shared"/>
        <v>0</v>
      </c>
      <c r="P47" s="13">
        <f si="44" t="shared"/>
        <v>0</v>
      </c>
      <c r="Q47" s="13">
        <f si="26" t="shared"/>
        <v>0</v>
      </c>
      <c r="R47" s="13">
        <f si="27" t="shared"/>
        <v>0</v>
      </c>
      <c r="S47" s="13">
        <f si="28" t="shared"/>
        <v>0</v>
      </c>
      <c r="T47" s="13">
        <f si="29" t="shared"/>
        <v>0</v>
      </c>
      <c r="U47" s="13">
        <f si="30" t="shared"/>
        <v>0</v>
      </c>
      <c r="W47" s="21" t="s">
        <v>16</v>
      </c>
      <c r="X47" s="22">
        <f si="32" t="shared"/>
        <v>0</v>
      </c>
      <c r="Y47" s="22">
        <f si="33" t="shared"/>
        <v>0</v>
      </c>
      <c r="Z47" s="22">
        <f si="34" t="shared"/>
        <v>0</v>
      </c>
      <c r="AA47" s="22">
        <f si="35" t="shared"/>
        <v>0</v>
      </c>
      <c r="AB47" s="22">
        <f si="36" t="shared"/>
        <v>0</v>
      </c>
      <c r="AC47" s="22">
        <f si="37" t="shared"/>
        <v>0</v>
      </c>
      <c r="AD47" s="22">
        <f si="38" t="shared"/>
        <v>0</v>
      </c>
      <c r="AE47" s="22">
        <f si="39" t="shared"/>
        <v>0</v>
      </c>
      <c r="AF47" s="22">
        <f si="40" t="shared"/>
        <v>0</v>
      </c>
    </row>
    <row r="48" spans="1:32" x14ac:dyDescent="0.45">
      <c r="L48" t="s">
        <v>4</v>
      </c>
      <c r="M48" s="13">
        <f ref="M48:P50" si="45" t="shared">M31-B31</f>
        <v>0</v>
      </c>
      <c r="N48" s="13">
        <f si="45" t="shared"/>
        <v>0</v>
      </c>
      <c r="O48" s="13">
        <f si="45" t="shared"/>
        <v>0</v>
      </c>
      <c r="P48" s="13">
        <f si="45" t="shared"/>
        <v>0</v>
      </c>
      <c r="Q48" s="13">
        <f si="26" t="shared"/>
        <v>0</v>
      </c>
      <c r="R48" s="13">
        <f si="27" t="shared"/>
        <v>0</v>
      </c>
      <c r="S48" s="13">
        <f si="28" t="shared"/>
        <v>0</v>
      </c>
      <c r="T48" s="13">
        <f si="29" t="shared"/>
        <v>0</v>
      </c>
      <c r="U48" s="13">
        <f si="30" t="shared"/>
        <v>0</v>
      </c>
      <c r="W48" s="27" t="s">
        <v>4</v>
      </c>
      <c r="X48" s="22">
        <f si="32" t="shared"/>
        <v>0</v>
      </c>
      <c r="Y48" s="22">
        <f si="33" t="shared"/>
        <v>0</v>
      </c>
      <c r="Z48" s="22">
        <f si="34" t="shared"/>
        <v>0</v>
      </c>
      <c r="AA48" s="22">
        <f si="35" t="shared"/>
        <v>0</v>
      </c>
      <c r="AB48" s="22">
        <f si="36" t="shared"/>
        <v>0</v>
      </c>
      <c r="AC48" s="22">
        <f si="37" t="shared"/>
        <v>0</v>
      </c>
      <c r="AD48" s="22">
        <f si="38" t="shared"/>
        <v>0</v>
      </c>
      <c r="AE48" s="22">
        <f si="39" t="shared"/>
        <v>0</v>
      </c>
      <c r="AF48" s="22">
        <f si="40" t="shared"/>
        <v>0</v>
      </c>
    </row>
    <row r="49" spans="12:32" x14ac:dyDescent="0.45">
      <c r="L49" s="4" t="s">
        <v>5</v>
      </c>
      <c r="M49" s="17">
        <f si="45" t="shared"/>
        <v>0</v>
      </c>
      <c r="N49" s="17">
        <f si="45" t="shared"/>
        <v>0</v>
      </c>
      <c r="O49" s="17">
        <f si="45" t="shared"/>
        <v>0</v>
      </c>
      <c r="P49" s="17">
        <f si="45" t="shared"/>
        <v>0</v>
      </c>
      <c r="Q49" s="17">
        <f si="26" t="shared"/>
        <v>0</v>
      </c>
      <c r="R49" s="17">
        <f si="27" t="shared"/>
        <v>0</v>
      </c>
      <c r="S49" s="17">
        <f si="28" t="shared"/>
        <v>0</v>
      </c>
      <c r="T49" s="17">
        <f si="29" t="shared"/>
        <v>0</v>
      </c>
      <c r="U49" s="13">
        <f si="30" t="shared"/>
        <v>0</v>
      </c>
      <c r="W49" s="20" t="s">
        <v>5</v>
      </c>
      <c r="X49" s="22">
        <f si="32" t="shared"/>
        <v>0</v>
      </c>
      <c r="Y49" s="22">
        <f si="33" t="shared"/>
        <v>0</v>
      </c>
      <c r="Z49" s="22">
        <f si="34" t="shared"/>
        <v>0</v>
      </c>
      <c r="AA49" s="22">
        <f si="35" t="shared"/>
        <v>0</v>
      </c>
      <c r="AB49" s="22">
        <f si="36" t="shared"/>
        <v>0</v>
      </c>
      <c r="AC49" s="22">
        <f si="37" t="shared"/>
        <v>0</v>
      </c>
      <c r="AD49" s="22">
        <f si="38" t="shared"/>
        <v>0</v>
      </c>
      <c r="AE49" s="22">
        <f si="39" t="shared"/>
        <v>0</v>
      </c>
      <c r="AF49" s="22">
        <f si="40" t="shared"/>
        <v>0</v>
      </c>
    </row>
    <row ht="14.65" r="50" spans="12:32" thickBot="1" x14ac:dyDescent="0.5">
      <c r="L50" s="9" t="s">
        <v>7</v>
      </c>
      <c r="M50" s="15">
        <f si="45" t="shared"/>
        <v>0</v>
      </c>
      <c r="N50" s="15">
        <f si="45" t="shared"/>
        <v>0</v>
      </c>
      <c r="O50" s="15">
        <f si="45" t="shared"/>
        <v>0</v>
      </c>
      <c r="P50" s="15">
        <f si="45" t="shared"/>
        <v>0</v>
      </c>
      <c r="Q50" s="15">
        <f si="26" t="shared"/>
        <v>0</v>
      </c>
      <c r="R50" s="15">
        <f si="27" t="shared"/>
        <v>0</v>
      </c>
      <c r="S50" s="15">
        <f si="28" t="shared"/>
        <v>0</v>
      </c>
      <c r="T50" s="15">
        <f si="29" t="shared"/>
        <v>0</v>
      </c>
      <c r="U50" s="15">
        <f si="30" t="shared"/>
        <v>0</v>
      </c>
      <c r="W50" s="28" t="s">
        <v>7</v>
      </c>
      <c r="X50" s="29">
        <f>M50</f>
        <v>0</v>
      </c>
      <c r="Y50" s="29">
        <f si="33" t="shared"/>
        <v>0</v>
      </c>
      <c r="Z50" s="29">
        <f si="34" t="shared"/>
        <v>0</v>
      </c>
      <c r="AA50" s="29">
        <f si="35" t="shared"/>
        <v>0</v>
      </c>
      <c r="AB50" s="29">
        <f si="36" t="shared"/>
        <v>0</v>
      </c>
      <c r="AC50" s="29">
        <f si="37" t="shared"/>
        <v>0</v>
      </c>
      <c r="AD50" s="29">
        <f si="38" t="shared"/>
        <v>0</v>
      </c>
      <c r="AE50" s="29">
        <f si="39" t="shared"/>
        <v>0</v>
      </c>
      <c r="AF50" s="29">
        <f si="40" t="shared"/>
        <v>0</v>
      </c>
    </row>
  </sheetData>
  <mergeCells count="10">
    <mergeCell ref="X37:AE37"/>
    <mergeCell ref="B3:I3"/>
    <mergeCell ref="M3:U3"/>
    <mergeCell ref="B20:I20"/>
    <mergeCell ref="M20:U20"/>
    <mergeCell ref="M37:U37"/>
    <mergeCell ref="C35:D35"/>
    <mergeCell ref="E35:F35"/>
    <mergeCell ref="X3:Y3"/>
    <mergeCell ref="Z3:AA3"/>
  </mergeCells>
  <pageMargins bottom="0.75" footer="0.3" header="0.3" left="0.7" right="0.7" top="0.75"/>
  <pageSetup orientation="portrait" r:id="rId1" verticalDpi="0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F50"/>
  <sheetViews>
    <sheetView workbookViewId="0">
      <selection activeCell="P17" sqref="P17:Q17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ht="14.65" r="2" spans="1:21" thickBot="1" x14ac:dyDescent="0.5">
      <c r="A2" s="1" t="s">
        <v>52</v>
      </c>
      <c r="B2" s="1"/>
      <c r="C2" s="2"/>
      <c r="D2" s="2"/>
      <c r="E2" s="2"/>
      <c r="F2" s="2"/>
      <c r="G2" s="2"/>
      <c r="H2" s="2"/>
      <c r="I2" s="2"/>
      <c r="J2" s="2"/>
      <c r="L2" s="1" t="s">
        <v>57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8" t="s">
        <v>17</v>
      </c>
      <c r="C3" s="38"/>
      <c r="D3" s="38"/>
      <c r="E3" s="38"/>
      <c r="F3" s="38"/>
      <c r="G3" s="38"/>
      <c r="H3" s="38"/>
      <c r="I3" s="38"/>
      <c r="J3" s="7"/>
      <c r="L3" s="3"/>
      <c r="M3" s="38" t="s">
        <v>17</v>
      </c>
      <c r="N3" s="38"/>
      <c r="O3" s="38"/>
      <c r="P3" s="38"/>
      <c r="Q3" s="38"/>
      <c r="R3" s="38"/>
      <c r="S3" s="38"/>
      <c r="T3" s="38"/>
      <c r="U3" s="38"/>
    </row>
    <row r="4" spans="1:21" x14ac:dyDescent="0.45">
      <c r="A4" s="4" t="s">
        <v>0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4</v>
      </c>
      <c r="H4" s="5" t="s">
        <v>5</v>
      </c>
      <c r="I4" s="5" t="s">
        <v>15</v>
      </c>
      <c r="J4" s="5" t="s">
        <v>7</v>
      </c>
      <c r="L4" s="4" t="s">
        <v>0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4</v>
      </c>
      <c r="S4" s="5" t="s">
        <v>5</v>
      </c>
      <c r="T4" s="5" t="s">
        <v>15</v>
      </c>
      <c r="U4" s="5" t="s">
        <v>7</v>
      </c>
    </row>
    <row r="5" spans="1:21" x14ac:dyDescent="0.45">
      <c r="A5" t="s">
        <v>1</v>
      </c>
      <c r="B5" s="6" t="n">
        <v>550000.0</v>
      </c>
      <c r="C5" s="6" t="n">
        <v>20000.0</v>
      </c>
      <c r="D5" s="6" t="n">
        <v>20000.0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606000</v>
      </c>
      <c r="K5" s="6"/>
      <c r="L5" t="s">
        <v>1</v>
      </c>
      <c r="M5" s="6" t="n">
        <v>550000.0</v>
      </c>
      <c r="N5" s="6" t="n">
        <v>20000.0</v>
      </c>
      <c r="O5" s="6" t="n">
        <v>20000.0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606000</v>
      </c>
    </row>
    <row r="6" spans="1:21" x14ac:dyDescent="0.45">
      <c r="A6" t="s">
        <v>11</v>
      </c>
      <c r="B6" s="6" t="n">
        <v>0.0</v>
      </c>
      <c r="C6" s="6" t="n">
        <v>100000.0</v>
      </c>
      <c r="D6" s="6" t="n">
        <v>30000.0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155000</v>
      </c>
      <c r="K6" s="6"/>
      <c r="L6" t="s">
        <v>11</v>
      </c>
      <c r="M6" s="6" t="n">
        <v>0.0</v>
      </c>
      <c r="N6" s="6" t="n">
        <v>100000.0</v>
      </c>
      <c r="O6" s="6" t="n">
        <v>30000.0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155000</v>
      </c>
    </row>
    <row r="7" spans="1:21" x14ac:dyDescent="0.45">
      <c r="A7" t="s">
        <v>32</v>
      </c>
      <c r="B7" s="6" t="n">
        <v>0.0</v>
      </c>
      <c r="C7" s="6" t="n">
        <v>0.0</v>
      </c>
      <c r="D7" s="6" t="n">
        <v>90000.0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63000</v>
      </c>
      <c r="K7" s="6"/>
      <c r="L7" t="s">
        <v>32</v>
      </c>
      <c r="M7" s="6" t="n">
        <v>0.0</v>
      </c>
      <c r="N7" s="6" t="n">
        <v>0.0</v>
      </c>
      <c r="O7" s="6" t="n">
        <v>90000.0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63000</v>
      </c>
    </row>
    <row r="8" spans="1:21" x14ac:dyDescent="0.45">
      <c r="A8" t="s">
        <v>27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 si="1" t="shared"/>
        <v>2000</v>
      </c>
      <c r="K8" s="6"/>
      <c r="L8" t="s">
        <v>27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2000</v>
      </c>
    </row>
    <row r="9" spans="1:21" x14ac:dyDescent="0.45">
      <c r="A9" t="s">
        <v>28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28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45">
      <c r="A10" t="s">
        <v>29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29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45">
      <c r="A11" t="s">
        <v>30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30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45">
      <c r="A12" t="s">
        <v>31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31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45">
      <c r="A13" t="s">
        <v>16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16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4000</v>
      </c>
      <c r="K14" s="6"/>
      <c r="L14" t="s">
        <v>4</v>
      </c>
      <c r="M14" s="6" t="n">
        <v>0.0</v>
      </c>
      <c r="N14" s="6" t="n">
        <v>0.0</v>
      </c>
      <c r="O14" s="6" t="n">
        <v>0.0</v>
      </c>
      <c r="P14" s="6" t="n">
        <v>0.0</v>
      </c>
      <c r="Q14" s="6" t="n">
        <v>0.0</v>
      </c>
      <c r="R14" s="6" t="n">
        <v>0.0</v>
      </c>
      <c r="S14" s="6" t="n">
        <v>0.0</v>
      </c>
      <c r="T14" s="6" t="n">
        <v>0.0</v>
      </c>
      <c r="U14" s="6">
        <f si="0" t="shared"/>
        <v>4000</v>
      </c>
    </row>
    <row r="15" spans="1:21" x14ac:dyDescent="0.45">
      <c r="A15" s="4" t="s">
        <v>5</v>
      </c>
      <c r="B15" s="10" t="n">
        <v>0.0</v>
      </c>
      <c r="C15" s="10" t="n">
        <v>0.0</v>
      </c>
      <c r="D15" s="10" t="n">
        <v>0.0</v>
      </c>
      <c r="E15" s="10" t="n">
        <v>0.0</v>
      </c>
      <c r="F15" s="10" t="n">
        <v>0.0</v>
      </c>
      <c r="G15" s="10" t="n">
        <v>0.0</v>
      </c>
      <c r="H15" s="10" t="n">
        <v>150000.0</v>
      </c>
      <c r="I15" s="10" t="n">
        <v>0.0</v>
      </c>
      <c r="J15" s="6">
        <f si="1" t="shared"/>
        <v>106000</v>
      </c>
      <c r="K15" s="6"/>
      <c r="L15" s="4" t="s">
        <v>5</v>
      </c>
      <c r="M15" s="8" t="n">
        <v>0.0</v>
      </c>
      <c r="N15" s="8" t="n">
        <v>0.0</v>
      </c>
      <c r="O15" s="8" t="n">
        <v>0.0</v>
      </c>
      <c r="P15" s="8" t="n">
        <v>0.0</v>
      </c>
      <c r="Q15" s="8" t="n">
        <v>0.0</v>
      </c>
      <c r="R15" s="8" t="n">
        <v>0.0</v>
      </c>
      <c r="S15" s="8" t="n">
        <v>150000.0</v>
      </c>
      <c r="T15" s="8" t="n">
        <v>0.0</v>
      </c>
      <c r="U15" s="6">
        <f si="0" t="shared"/>
        <v>106000</v>
      </c>
    </row>
    <row ht="14.65" r="16" spans="1:21" thickBot="1" x14ac:dyDescent="0.5">
      <c r="A16" s="12" t="s">
        <v>7</v>
      </c>
      <c r="B16" s="16">
        <f ref="B16:J16" si="2" t="shared">SUM(B5:B15)</f>
        <v>525000</v>
      </c>
      <c r="C16" s="16">
        <f si="2" t="shared"/>
        <v>215000</v>
      </c>
      <c r="D16" s="16">
        <f si="2" t="shared"/>
        <v>91000</v>
      </c>
      <c r="E16" s="16">
        <f si="2" t="shared"/>
        <v>0</v>
      </c>
      <c r="F16" s="16">
        <f si="2" t="shared"/>
        <v>2000</v>
      </c>
      <c r="G16" s="16">
        <f si="2" t="shared"/>
        <v>8000</v>
      </c>
      <c r="H16" s="16">
        <f si="2" t="shared"/>
        <v>95000</v>
      </c>
      <c r="I16" s="16">
        <f si="2" t="shared"/>
        <v>0</v>
      </c>
      <c r="J16" s="16">
        <f si="2" t="shared"/>
        <v>936000</v>
      </c>
      <c r="L16" s="9" t="s">
        <v>7</v>
      </c>
      <c r="M16" s="16">
        <f ref="M16:U16" si="3" t="shared">SUM(M5:M15)</f>
        <v>525000</v>
      </c>
      <c r="N16" s="16">
        <f si="3" t="shared"/>
        <v>215000</v>
      </c>
      <c r="O16" s="16">
        <f si="3" t="shared"/>
        <v>91000</v>
      </c>
      <c r="P16" s="16">
        <f si="3" t="shared"/>
        <v>0</v>
      </c>
      <c r="Q16" s="16">
        <f si="3" t="shared"/>
        <v>2000</v>
      </c>
      <c r="R16" s="16">
        <f si="3" t="shared"/>
        <v>8000</v>
      </c>
      <c r="S16" s="16">
        <f si="3" t="shared"/>
        <v>95000</v>
      </c>
      <c r="T16" s="16">
        <f si="3" t="shared"/>
        <v>0</v>
      </c>
      <c r="U16" s="16">
        <f si="3" t="shared"/>
        <v>936000</v>
      </c>
    </row>
    <row r="17" spans="1:21" x14ac:dyDescent="0.45">
      <c r="E17" s="30">
        <f>E16/J16</f>
        <v>0</v>
      </c>
      <c r="F17" s="30">
        <f>F16/J16</f>
        <v>2.136752136752137E-3</v>
      </c>
      <c r="P17" s="30">
        <f>P16/U16</f>
        <v>0</v>
      </c>
      <c r="Q17" s="30">
        <f>Q16/U16</f>
        <v>2.136752136752137E-3</v>
      </c>
    </row>
    <row ht="14.65" r="19" spans="1:21" thickBot="1" x14ac:dyDescent="0.5">
      <c r="A19" s="1" t="s">
        <v>53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58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8" t="s">
        <v>17</v>
      </c>
      <c r="C20" s="38"/>
      <c r="D20" s="38"/>
      <c r="E20" s="38"/>
      <c r="F20" s="38"/>
      <c r="G20" s="38"/>
      <c r="H20" s="38"/>
      <c r="I20" s="38"/>
      <c r="J20" s="7"/>
      <c r="L20" s="3"/>
      <c r="M20" s="38" t="s">
        <v>17</v>
      </c>
      <c r="N20" s="38"/>
      <c r="O20" s="38"/>
      <c r="P20" s="38"/>
      <c r="Q20" s="38"/>
      <c r="R20" s="38"/>
      <c r="S20" s="38"/>
      <c r="T20" s="38"/>
      <c r="U20" s="38"/>
    </row>
    <row r="21" spans="1:21" x14ac:dyDescent="0.45">
      <c r="A21" s="4" t="s">
        <v>0</v>
      </c>
      <c r="B21" s="5" t="s">
        <v>10</v>
      </c>
      <c r="C21" s="5" t="s">
        <v>11</v>
      </c>
      <c r="D21" s="5" t="s">
        <v>12</v>
      </c>
      <c r="E21" s="5" t="s">
        <v>13</v>
      </c>
      <c r="F21" s="5" t="s">
        <v>14</v>
      </c>
      <c r="G21" s="5" t="s">
        <v>4</v>
      </c>
      <c r="H21" s="5" t="s">
        <v>5</v>
      </c>
      <c r="I21" s="5" t="s">
        <v>15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13</v>
      </c>
      <c r="Q21" s="5" t="s">
        <v>14</v>
      </c>
      <c r="R21" s="5" t="s">
        <v>4</v>
      </c>
      <c r="S21" s="5" t="s">
        <v>5</v>
      </c>
      <c r="T21" s="5" t="s">
        <v>15</v>
      </c>
      <c r="U21" s="5" t="s">
        <v>7</v>
      </c>
    </row>
    <row r="22" spans="1:21" x14ac:dyDescent="0.45">
      <c r="A22" t="s">
        <v>1</v>
      </c>
      <c r="B22" s="13">
        <f ref="B22:J22" si="4" t="shared">B5/B$16</f>
        <v>0.99809523809523815</v>
      </c>
      <c r="C22" s="13">
        <f si="4" t="shared"/>
        <v>0.2930232558139535</v>
      </c>
      <c r="D22" s="13">
        <f si="4" t="shared"/>
        <v>0.2087912087912088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0.64743589743589747</v>
      </c>
      <c r="K22" s="6"/>
      <c r="L22" t="s">
        <v>1</v>
      </c>
      <c r="M22" s="13">
        <f ref="M22:P22" si="5" t="shared">M5/M$16</f>
        <v>0.99809523809523815</v>
      </c>
      <c r="N22" s="13">
        <f si="5" t="shared"/>
        <v>0.2930232558139535</v>
      </c>
      <c r="O22" s="13">
        <f si="5" t="shared"/>
        <v>0.2087912087912088</v>
      </c>
      <c r="P22" s="13" t="e">
        <f si="5" t="shared"/>
        <v>#DIV/0!</v>
      </c>
      <c r="Q22" s="13">
        <f ref="Q22:U33" si="6" t="shared">Q5/Q$16</f>
        <v>0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0.64743589743589747</v>
      </c>
    </row>
    <row r="23" spans="1:21" x14ac:dyDescent="0.45">
      <c r="A23" t="s">
        <v>11</v>
      </c>
      <c r="B23" s="13">
        <f ref="B23:J23" si="7" t="shared">B6/B$16</f>
        <v>0</v>
      </c>
      <c r="C23" s="13">
        <f si="7" t="shared"/>
        <v>0.69302325581395352</v>
      </c>
      <c r="D23" s="13">
        <f si="7" t="shared"/>
        <v>6.5934065934065936E-2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0.16559829059829059</v>
      </c>
      <c r="K23" s="6"/>
      <c r="L23" t="s">
        <v>11</v>
      </c>
      <c r="M23" s="13">
        <f ref="M23:P23" si="8" t="shared">M6/M$16</f>
        <v>0</v>
      </c>
      <c r="N23" s="13">
        <f si="8" t="shared"/>
        <v>0.69302325581395352</v>
      </c>
      <c r="O23" s="13">
        <f si="8" t="shared"/>
        <v>6.5934065934065936E-2</v>
      </c>
      <c r="P23" s="13" t="e">
        <f si="8" t="shared"/>
        <v>#DIV/0!</v>
      </c>
      <c r="Q23" s="13">
        <f si="6" t="shared"/>
        <v>0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0.16559829059829059</v>
      </c>
    </row>
    <row r="24" spans="1:21" x14ac:dyDescent="0.45">
      <c r="A24" t="s">
        <v>32</v>
      </c>
      <c r="B24" s="13">
        <f ref="B24:J24" si="9" t="shared">B7/B$16</f>
        <v>0</v>
      </c>
      <c r="C24" s="13">
        <f si="9" t="shared"/>
        <v>0</v>
      </c>
      <c r="D24" s="13">
        <f si="9" t="shared"/>
        <v>0.69230769230769229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6.7307692307692304E-2</v>
      </c>
      <c r="K24" s="6"/>
      <c r="L24" t="s">
        <v>32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0.69230769230769229</v>
      </c>
      <c r="P24" s="13" t="e">
        <f si="10" t="shared"/>
        <v>#DIV/0!</v>
      </c>
      <c r="Q24" s="13">
        <f si="6" t="shared"/>
        <v>0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6.7307692307692304E-2</v>
      </c>
    </row>
    <row r="25" spans="1:21" x14ac:dyDescent="0.45">
      <c r="A25" t="s">
        <v>27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1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2.136752136752137E-3</v>
      </c>
      <c r="K25" s="6"/>
      <c r="L25" t="s">
        <v>27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1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2.136752136752137E-3</v>
      </c>
    </row>
    <row r="26" spans="1:21" x14ac:dyDescent="0.45">
      <c r="A26" t="s">
        <v>28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28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45">
      <c r="A27" t="s">
        <v>29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29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45">
      <c r="A28" t="s">
        <v>30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30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45">
      <c r="A29" t="s">
        <v>31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31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45">
      <c r="A30" t="s">
        <v>16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16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4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0.5</v>
      </c>
      <c r="H31" s="13">
        <f si="23" t="shared"/>
        <v>0</v>
      </c>
      <c r="I31" s="13" t="e">
        <f si="23" t="shared"/>
        <v>#DIV/0!</v>
      </c>
      <c r="J31" s="13">
        <f si="23" t="shared"/>
        <v>4.2735042735042739E-3</v>
      </c>
      <c r="K31" s="6"/>
      <c r="L31" t="s">
        <v>4</v>
      </c>
      <c r="M31" s="13">
        <f ref="M31:P31" si="24" t="shared">M14/M$16</f>
        <v>0</v>
      </c>
      <c r="N31" s="13">
        <f si="24" t="shared"/>
        <v>0</v>
      </c>
      <c r="O31" s="13">
        <f si="24" t="shared"/>
        <v>0</v>
      </c>
      <c r="P31" s="13" t="e">
        <f si="24" t="shared"/>
        <v>#DIV/0!</v>
      </c>
      <c r="Q31" s="13">
        <f si="6" t="shared"/>
        <v>0</v>
      </c>
      <c r="R31" s="13">
        <f si="6" t="shared"/>
        <v>0.5</v>
      </c>
      <c r="S31" s="13">
        <f si="6" t="shared"/>
        <v>0</v>
      </c>
      <c r="T31" s="13" t="e">
        <f si="6" t="shared"/>
        <v>#DIV/0!</v>
      </c>
      <c r="U31" s="13">
        <f si="6" t="shared"/>
        <v>4.2735042735042739E-3</v>
      </c>
    </row>
    <row r="32" spans="1:21" x14ac:dyDescent="0.45">
      <c r="A32" s="4" t="s">
        <v>5</v>
      </c>
      <c r="B32" s="14">
        <f ref="B32:J32" si="25" t="shared">B15/B$16</f>
        <v>1.9047619047619048E-3</v>
      </c>
      <c r="C32" s="14">
        <f si="25" t="shared"/>
        <v>1.3953488372093023E-2</v>
      </c>
      <c r="D32" s="14">
        <f si="25" t="shared"/>
        <v>3.2967032967032968E-2</v>
      </c>
      <c r="E32" s="14" t="e">
        <f si="25" t="shared"/>
        <v>#DIV/0!</v>
      </c>
      <c r="F32" s="14">
        <f si="25" t="shared"/>
        <v>0</v>
      </c>
      <c r="G32" s="14">
        <f si="25" t="shared"/>
        <v>0.5</v>
      </c>
      <c r="H32" s="14">
        <f si="25" t="shared"/>
        <v>1</v>
      </c>
      <c r="I32" s="14" t="e">
        <f si="25" t="shared"/>
        <v>#DIV/0!</v>
      </c>
      <c r="J32" s="14">
        <f si="25" t="shared"/>
        <v>0.11324786324786325</v>
      </c>
      <c r="K32" s="6"/>
      <c r="L32" s="4" t="s">
        <v>5</v>
      </c>
      <c r="M32" s="14">
        <f ref="M32:P32" si="26" t="shared">M15/M$16</f>
        <v>1.9047619047619048E-3</v>
      </c>
      <c r="N32" s="14">
        <f si="26" t="shared"/>
        <v>1.3953488372093023E-2</v>
      </c>
      <c r="O32" s="14">
        <f si="26" t="shared"/>
        <v>3.2967032967032968E-2</v>
      </c>
      <c r="P32" s="14" t="e">
        <f si="26" t="shared"/>
        <v>#DIV/0!</v>
      </c>
      <c r="Q32" s="14">
        <f si="6" t="shared"/>
        <v>0</v>
      </c>
      <c r="R32" s="14">
        <f si="6" t="shared"/>
        <v>0.5</v>
      </c>
      <c r="S32" s="14">
        <f si="6" t="shared"/>
        <v>1</v>
      </c>
      <c r="T32" s="14" t="e">
        <f si="6" t="shared"/>
        <v>#DIV/0!</v>
      </c>
      <c r="U32" s="14">
        <f si="6" t="shared"/>
        <v>0.11324786324786325</v>
      </c>
    </row>
    <row ht="14.65" r="33" spans="1:32" thickBot="1" x14ac:dyDescent="0.5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4.65" r="36" spans="1:32" thickBot="1" x14ac:dyDescent="0.5">
      <c r="L36" s="1" t="s">
        <v>59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8" t="s">
        <v>17</v>
      </c>
      <c r="N37" s="38"/>
      <c r="O37" s="38"/>
      <c r="P37" s="38"/>
      <c r="Q37" s="38"/>
      <c r="R37" s="38"/>
      <c r="S37" s="38"/>
      <c r="T37" s="38"/>
      <c r="U37" s="38"/>
    </row>
    <row r="38" spans="1:32" x14ac:dyDescent="0.45">
      <c r="L38" s="4" t="s">
        <v>0</v>
      </c>
      <c r="M38" s="5" t="s">
        <v>10</v>
      </c>
      <c r="N38" s="5" t="s">
        <v>11</v>
      </c>
      <c r="O38" s="5" t="s">
        <v>12</v>
      </c>
      <c r="P38" s="5" t="s">
        <v>13</v>
      </c>
      <c r="Q38" s="5" t="s">
        <v>14</v>
      </c>
      <c r="R38" s="5" t="s">
        <v>4</v>
      </c>
      <c r="S38" s="5" t="s">
        <v>5</v>
      </c>
      <c r="T38" s="5" t="s">
        <v>15</v>
      </c>
      <c r="U38" s="5" t="s">
        <v>7</v>
      </c>
    </row>
    <row r="39" spans="1:32" x14ac:dyDescent="0.45">
      <c r="L39" t="s">
        <v>1</v>
      </c>
      <c r="M39" s="13">
        <f ref="M39:P41" si="29" t="shared">M22-B22</f>
        <v>0</v>
      </c>
      <c r="N39" s="13">
        <f si="29" t="shared"/>
        <v>0</v>
      </c>
      <c r="O39" s="13">
        <f si="29" t="shared"/>
        <v>0</v>
      </c>
      <c r="P39" s="13" t="e">
        <f si="29" t="shared"/>
        <v>#DIV/0!</v>
      </c>
      <c r="Q39" s="13">
        <f ref="Q39:Q50" si="30" t="shared">Q22-F22</f>
        <v>0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8</v>
      </c>
      <c r="M40" s="13">
        <f si="29" t="shared"/>
        <v>0</v>
      </c>
      <c r="N40" s="13">
        <f si="29" t="shared"/>
        <v>0</v>
      </c>
      <c r="O40" s="13">
        <f si="29" t="shared"/>
        <v>0</v>
      </c>
      <c r="P40" s="13" t="e">
        <f si="29" t="shared"/>
        <v>#DIV/0!</v>
      </c>
      <c r="Q40" s="13">
        <f si="30" t="shared"/>
        <v>0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0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9</v>
      </c>
      <c r="M41" s="13">
        <f si="29" t="shared"/>
        <v>0</v>
      </c>
      <c r="N41" s="13">
        <f si="29" t="shared"/>
        <v>0</v>
      </c>
      <c r="O41" s="13">
        <f si="29" t="shared"/>
        <v>0</v>
      </c>
      <c r="P41" s="13" t="e">
        <f si="29" t="shared"/>
        <v>#DIV/0!</v>
      </c>
      <c r="Q41" s="13">
        <f si="30" t="shared"/>
        <v>0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0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27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28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29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30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31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16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ref="M48:P48" si="42" t="shared">M31-B31</f>
        <v>0</v>
      </c>
      <c r="N48" s="13">
        <f si="42" t="shared"/>
        <v>0</v>
      </c>
      <c r="O48" s="13">
        <f si="42" t="shared"/>
        <v>0</v>
      </c>
      <c r="P48" s="13" t="e">
        <f si="42" t="shared"/>
        <v>#DIV/0!</v>
      </c>
      <c r="Q48" s="13">
        <f si="30" t="shared"/>
        <v>0</v>
      </c>
      <c r="R48" s="13">
        <f si="31" t="shared"/>
        <v>0</v>
      </c>
      <c r="S48" s="13">
        <f si="32" t="shared"/>
        <v>0</v>
      </c>
      <c r="T48" s="13" t="e">
        <f si="33" t="shared"/>
        <v>#DIV/0!</v>
      </c>
      <c r="U48" s="13">
        <f si="34" t="shared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ref="M49:P49" si="43" t="shared">M32-B32</f>
        <v>0</v>
      </c>
      <c r="N49" s="17">
        <f si="43" t="shared"/>
        <v>0</v>
      </c>
      <c r="O49" s="17">
        <f si="43" t="shared"/>
        <v>0</v>
      </c>
      <c r="P49" s="17" t="e">
        <f si="43" t="shared"/>
        <v>#DIV/0!</v>
      </c>
      <c r="Q49" s="17">
        <f si="30" t="shared"/>
        <v>0</v>
      </c>
      <c r="R49" s="17">
        <f si="31" t="shared"/>
        <v>0</v>
      </c>
      <c r="S49" s="17">
        <f si="32" t="shared"/>
        <v>0</v>
      </c>
      <c r="T49" s="17" t="e">
        <f si="33" t="shared"/>
        <v>#DIV/0!</v>
      </c>
      <c r="U49" s="13">
        <f si="34" t="shared"/>
        <v>0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4.65" r="50" spans="12:32" thickBot="1" x14ac:dyDescent="0.5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F50"/>
  <sheetViews>
    <sheetView workbookViewId="0">
      <selection activeCell="P17" sqref="P17:Q17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ht="14.65" r="2" spans="1:21" thickBot="1" x14ac:dyDescent="0.5">
      <c r="A2" s="1" t="s">
        <v>52</v>
      </c>
      <c r="B2" s="1"/>
      <c r="C2" s="2"/>
      <c r="D2" s="2"/>
      <c r="E2" s="2"/>
      <c r="F2" s="2"/>
      <c r="G2" s="2"/>
      <c r="H2" s="2"/>
      <c r="I2" s="2"/>
      <c r="J2" s="2"/>
      <c r="L2" s="1" t="s">
        <v>54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8" t="s">
        <v>6</v>
      </c>
      <c r="C3" s="38"/>
      <c r="D3" s="38"/>
      <c r="E3" s="38"/>
      <c r="F3" s="38"/>
      <c r="G3" s="38"/>
      <c r="H3" s="38"/>
      <c r="I3" s="38"/>
      <c r="J3" s="11"/>
      <c r="L3" s="3"/>
      <c r="M3" s="39" t="s">
        <v>6</v>
      </c>
      <c r="N3" s="39"/>
      <c r="O3" s="39"/>
      <c r="P3" s="39"/>
      <c r="Q3" s="39"/>
      <c r="R3" s="39"/>
      <c r="S3" s="39"/>
      <c r="T3" s="39"/>
      <c r="U3" s="39"/>
    </row>
    <row r="4" spans="1:21" x14ac:dyDescent="0.45">
      <c r="A4" s="4" t="s">
        <v>0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4</v>
      </c>
      <c r="H4" s="5" t="s">
        <v>5</v>
      </c>
      <c r="I4" s="5" t="s">
        <v>15</v>
      </c>
      <c r="J4" s="5" t="s">
        <v>7</v>
      </c>
      <c r="L4" s="4" t="s">
        <v>0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4</v>
      </c>
      <c r="S4" s="5" t="s">
        <v>5</v>
      </c>
      <c r="T4" s="5" t="s">
        <v>15</v>
      </c>
      <c r="U4" s="5" t="s">
        <v>7</v>
      </c>
    </row>
    <row r="5" spans="1:21" x14ac:dyDescent="0.45">
      <c r="A5" t="s">
        <v>1</v>
      </c>
      <c r="B5" s="6" t="n">
        <v>2770000.0</v>
      </c>
      <c r="C5" s="6" t="n">
        <v>490000.0</v>
      </c>
      <c r="D5" s="6" t="n">
        <v>190000.0</v>
      </c>
      <c r="E5" s="6" t="n">
        <v>100000.0</v>
      </c>
      <c r="F5" s="6" t="n">
        <v>70000.0</v>
      </c>
      <c r="G5" s="6" t="n">
        <v>0.0</v>
      </c>
      <c r="H5" s="6" t="n">
        <v>0.0</v>
      </c>
      <c r="I5" s="6" t="n">
        <v>0.0</v>
      </c>
      <c r="J5" s="6">
        <f>SUM(B5:I5)</f>
        <v>3586000</v>
      </c>
      <c r="K5" s="6"/>
      <c r="L5" t="s">
        <v>1</v>
      </c>
      <c r="M5" s="6" t="n">
        <v>2770000.0</v>
      </c>
      <c r="N5" s="6" t="n">
        <v>490000.0</v>
      </c>
      <c r="O5" s="6" t="n">
        <v>190000.0</v>
      </c>
      <c r="P5" s="6" t="n">
        <v>100000.0</v>
      </c>
      <c r="Q5" s="6" t="n">
        <v>70000.0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3586000</v>
      </c>
    </row>
    <row r="6" spans="1:21" x14ac:dyDescent="0.45">
      <c r="A6" t="s">
        <v>11</v>
      </c>
      <c r="B6" s="6" t="n">
        <v>0.0</v>
      </c>
      <c r="C6" s="6" t="n">
        <v>290000.0</v>
      </c>
      <c r="D6" s="6" t="n">
        <v>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250000</v>
      </c>
      <c r="K6" s="6"/>
      <c r="L6" t="s">
        <v>11</v>
      </c>
      <c r="M6" s="6" t="n">
        <v>0.0</v>
      </c>
      <c r="N6" s="6" t="n">
        <v>290000.0</v>
      </c>
      <c r="O6" s="6" t="n">
        <v>0.0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250000</v>
      </c>
    </row>
    <row r="7" spans="1:21" x14ac:dyDescent="0.45">
      <c r="A7" t="s">
        <v>32</v>
      </c>
      <c r="B7" s="6" t="n">
        <v>0.0</v>
      </c>
      <c r="C7" s="6" t="n">
        <v>0.0</v>
      </c>
      <c r="D7" s="6" t="n">
        <v>100000.0</v>
      </c>
      <c r="E7" s="6" t="n">
        <v>0.0</v>
      </c>
      <c r="F7" s="6" t="n">
        <v>10000.0</v>
      </c>
      <c r="G7" s="6" t="n">
        <v>0.0</v>
      </c>
      <c r="H7" s="6" t="n">
        <v>0.0</v>
      </c>
      <c r="I7" s="6" t="n">
        <v>0.0</v>
      </c>
      <c r="J7" s="6">
        <f si="1" t="shared"/>
        <v>121000</v>
      </c>
      <c r="K7" s="6"/>
      <c r="L7" t="s">
        <v>32</v>
      </c>
      <c r="M7" s="6" t="n">
        <v>0.0</v>
      </c>
      <c r="N7" s="6" t="n">
        <v>0.0</v>
      </c>
      <c r="O7" s="6" t="n">
        <v>100000.0</v>
      </c>
      <c r="P7" s="6" t="n">
        <v>0.0</v>
      </c>
      <c r="Q7" s="6" t="n">
        <v>10000.0</v>
      </c>
      <c r="R7" s="6" t="n">
        <v>0.0</v>
      </c>
      <c r="S7" s="6" t="n">
        <v>0.0</v>
      </c>
      <c r="T7" s="6" t="n">
        <v>0.0</v>
      </c>
      <c r="U7" s="6">
        <f si="0" t="shared"/>
        <v>121000</v>
      </c>
    </row>
    <row r="8" spans="1:21" x14ac:dyDescent="0.45">
      <c r="A8" t="s">
        <v>27</v>
      </c>
      <c r="B8" s="6" t="n">
        <v>0.0</v>
      </c>
      <c r="C8" s="6" t="n">
        <v>0.0</v>
      </c>
      <c r="D8" s="6" t="n">
        <v>0.0</v>
      </c>
      <c r="E8" s="6" t="n">
        <v>80000.0</v>
      </c>
      <c r="F8" s="6" t="n">
        <v>150000.0</v>
      </c>
      <c r="G8" s="6" t="n">
        <v>0.0</v>
      </c>
      <c r="H8" s="6" t="n">
        <v>0.0</v>
      </c>
      <c r="I8" s="6" t="n">
        <v>0.0</v>
      </c>
      <c r="J8" s="6">
        <f si="1" t="shared"/>
        <v>171000</v>
      </c>
      <c r="K8" s="6"/>
      <c r="L8" t="s">
        <v>27</v>
      </c>
      <c r="M8" s="6" t="n">
        <v>0.0</v>
      </c>
      <c r="N8" s="6" t="n">
        <v>0.0</v>
      </c>
      <c r="O8" s="6" t="n">
        <v>0.0</v>
      </c>
      <c r="P8" s="6" t="n">
        <v>80000.0</v>
      </c>
      <c r="Q8" s="6" t="n">
        <v>150000.0</v>
      </c>
      <c r="R8" s="6" t="n">
        <v>0.0</v>
      </c>
      <c r="S8" s="6" t="n">
        <v>0.0</v>
      </c>
      <c r="T8" s="6" t="n">
        <v>0.0</v>
      </c>
      <c r="U8" s="6">
        <f si="0" t="shared"/>
        <v>171000</v>
      </c>
    </row>
    <row r="9" spans="1:21" x14ac:dyDescent="0.45">
      <c r="A9" t="s">
        <v>28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28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45">
      <c r="A10" t="s">
        <v>29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29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45">
      <c r="A11" t="s">
        <v>30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30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45">
      <c r="A12" t="s">
        <v>31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31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45">
      <c r="A13" t="s">
        <v>16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16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5000</v>
      </c>
      <c r="K14" s="6"/>
      <c r="L14" t="s">
        <v>4</v>
      </c>
      <c r="M14" s="6" t="n">
        <v>0.0</v>
      </c>
      <c r="N14" s="6" t="n">
        <v>0.0</v>
      </c>
      <c r="O14" s="6" t="n">
        <v>0.0</v>
      </c>
      <c r="P14" s="6" t="n">
        <v>0.0</v>
      </c>
      <c r="Q14" s="6" t="n">
        <v>0.0</v>
      </c>
      <c r="R14" s="6" t="n">
        <v>0.0</v>
      </c>
      <c r="S14" s="6" t="n">
        <v>0.0</v>
      </c>
      <c r="T14" s="6" t="n">
        <v>0.0</v>
      </c>
      <c r="U14" s="6">
        <f si="0" t="shared"/>
        <v>5000</v>
      </c>
    </row>
    <row r="15" spans="1:21" x14ac:dyDescent="0.45">
      <c r="A15" s="4" t="s">
        <v>5</v>
      </c>
      <c r="B15" s="10" t="n">
        <v>0.0</v>
      </c>
      <c r="C15" s="10" t="n">
        <v>10000.0</v>
      </c>
      <c r="D15" s="10" t="n">
        <v>0.0</v>
      </c>
      <c r="E15" s="10" t="n">
        <v>0.0</v>
      </c>
      <c r="F15" s="10" t="n">
        <v>30000.0</v>
      </c>
      <c r="G15" s="10" t="n">
        <v>0.0</v>
      </c>
      <c r="H15" s="10" t="n">
        <v>50000.0</v>
      </c>
      <c r="I15" s="10" t="n">
        <v>0.0</v>
      </c>
      <c r="J15" s="6">
        <f si="1" t="shared"/>
        <v>60000</v>
      </c>
      <c r="K15" s="6"/>
      <c r="L15" s="4" t="s">
        <v>5</v>
      </c>
      <c r="M15" s="8" t="n">
        <v>0.0</v>
      </c>
      <c r="N15" s="8" t="n">
        <v>10000.0</v>
      </c>
      <c r="O15" s="8" t="n">
        <v>0.0</v>
      </c>
      <c r="P15" s="8" t="n">
        <v>0.0</v>
      </c>
      <c r="Q15" s="8" t="n">
        <v>30000.0</v>
      </c>
      <c r="R15" s="8" t="n">
        <v>0.0</v>
      </c>
      <c r="S15" s="8" t="n">
        <v>50000.0</v>
      </c>
      <c r="T15" s="8" t="n">
        <v>0.0</v>
      </c>
      <c r="U15" s="6">
        <f si="0" t="shared"/>
        <v>60000</v>
      </c>
    </row>
    <row ht="14.65" r="16" spans="1:21" thickBot="1" x14ac:dyDescent="0.5">
      <c r="A16" s="12" t="s">
        <v>7</v>
      </c>
      <c r="B16" s="16">
        <f ref="B16:J16" si="2" t="shared">SUM(B5:B15)</f>
        <v>2844000</v>
      </c>
      <c r="C16" s="16">
        <f si="2" t="shared"/>
        <v>662000</v>
      </c>
      <c r="D16" s="16">
        <f si="2" t="shared"/>
        <v>319000</v>
      </c>
      <c r="E16" s="16">
        <f si="2" t="shared"/>
        <v>154000</v>
      </c>
      <c r="F16" s="16">
        <f si="2" t="shared"/>
        <v>183000</v>
      </c>
      <c r="G16" s="16">
        <f si="2" t="shared"/>
        <v>7000</v>
      </c>
      <c r="H16" s="16">
        <f si="2" t="shared"/>
        <v>24000</v>
      </c>
      <c r="I16" s="16">
        <f si="2" t="shared"/>
        <v>0</v>
      </c>
      <c r="J16" s="16">
        <f si="2" t="shared"/>
        <v>4193000</v>
      </c>
      <c r="L16" s="9" t="s">
        <v>7</v>
      </c>
      <c r="M16" s="16">
        <f ref="M16:U16" si="3" t="shared">SUM(M5:M15)</f>
        <v>2844000</v>
      </c>
      <c r="N16" s="16">
        <f si="3" t="shared"/>
        <v>662000</v>
      </c>
      <c r="O16" s="16">
        <f si="3" t="shared"/>
        <v>319000</v>
      </c>
      <c r="P16" s="16">
        <f si="3" t="shared"/>
        <v>154000</v>
      </c>
      <c r="Q16" s="16">
        <f si="3" t="shared"/>
        <v>183000</v>
      </c>
      <c r="R16" s="16">
        <f si="3" t="shared"/>
        <v>7000</v>
      </c>
      <c r="S16" s="16">
        <f si="3" t="shared"/>
        <v>24000</v>
      </c>
      <c r="T16" s="16">
        <f si="3" t="shared"/>
        <v>0</v>
      </c>
      <c r="U16" s="16">
        <f si="3" t="shared"/>
        <v>4193000</v>
      </c>
    </row>
    <row r="17" spans="1:21" x14ac:dyDescent="0.45">
      <c r="E17" s="30">
        <f>E16/J16</f>
        <v>3.6727879799666109E-2</v>
      </c>
      <c r="F17" s="30">
        <f>F16/J16</f>
        <v>4.3644168852849989E-2</v>
      </c>
      <c r="P17" s="30">
        <f>P16/U16</f>
        <v>3.6727879799666109E-2</v>
      </c>
      <c r="Q17" s="30">
        <f>Q16/U16</f>
        <v>4.3644168852849989E-2</v>
      </c>
    </row>
    <row ht="14.65" r="19" spans="1:21" thickBot="1" x14ac:dyDescent="0.5">
      <c r="A19" s="1" t="s">
        <v>53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55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8" t="s">
        <v>6</v>
      </c>
      <c r="C20" s="38"/>
      <c r="D20" s="38"/>
      <c r="E20" s="38"/>
      <c r="F20" s="38"/>
      <c r="G20" s="38"/>
      <c r="H20" s="38"/>
      <c r="I20" s="38"/>
      <c r="J20" s="11"/>
      <c r="L20" s="3"/>
      <c r="M20" s="39" t="s">
        <v>6</v>
      </c>
      <c r="N20" s="39"/>
      <c r="O20" s="39"/>
      <c r="P20" s="39"/>
      <c r="Q20" s="39"/>
      <c r="R20" s="39"/>
      <c r="S20" s="39"/>
      <c r="T20" s="39"/>
      <c r="U20" s="39"/>
    </row>
    <row r="21" spans="1:21" x14ac:dyDescent="0.45">
      <c r="A21" s="4" t="s">
        <v>0</v>
      </c>
      <c r="B21" s="5" t="s">
        <v>10</v>
      </c>
      <c r="C21" s="5" t="s">
        <v>11</v>
      </c>
      <c r="D21" s="5" t="s">
        <v>12</v>
      </c>
      <c r="E21" s="5" t="s">
        <v>13</v>
      </c>
      <c r="F21" s="5" t="s">
        <v>14</v>
      </c>
      <c r="G21" s="5" t="s">
        <v>4</v>
      </c>
      <c r="H21" s="5" t="s">
        <v>5</v>
      </c>
      <c r="I21" s="5" t="s">
        <v>15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13</v>
      </c>
      <c r="Q21" s="5" t="s">
        <v>14</v>
      </c>
      <c r="R21" s="5" t="s">
        <v>4</v>
      </c>
      <c r="S21" s="5" t="s">
        <v>5</v>
      </c>
      <c r="T21" s="5" t="s">
        <v>15</v>
      </c>
      <c r="U21" s="5" t="s">
        <v>7</v>
      </c>
    </row>
    <row r="22" spans="1:21" x14ac:dyDescent="0.45">
      <c r="A22" t="s">
        <v>1</v>
      </c>
      <c r="B22" s="13">
        <f ref="B22:J22" si="4" t="shared">B5/B$16</f>
        <v>0.99859353023909991</v>
      </c>
      <c r="C22" s="13">
        <f si="4" t="shared"/>
        <v>0.6465256797583081</v>
      </c>
      <c r="D22" s="13">
        <f si="4" t="shared"/>
        <v>0.57053291536050155</v>
      </c>
      <c r="E22" s="13">
        <f si="4" t="shared"/>
        <v>0.58441558441558439</v>
      </c>
      <c r="F22" s="13">
        <f si="4" t="shared"/>
        <v>0.25136612021857924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0.85523491533508234</v>
      </c>
      <c r="K22" s="6"/>
      <c r="L22" t="s">
        <v>1</v>
      </c>
      <c r="M22" s="13">
        <f ref="M22:P22" si="5" t="shared">M5/M$16</f>
        <v>0.99859353023909991</v>
      </c>
      <c r="N22" s="13">
        <f si="5" t="shared"/>
        <v>0.6465256797583081</v>
      </c>
      <c r="O22" s="13">
        <f si="5" t="shared"/>
        <v>0.57053291536050155</v>
      </c>
      <c r="P22" s="13">
        <f si="5" t="shared"/>
        <v>0.58441558441558439</v>
      </c>
      <c r="Q22" s="13">
        <f ref="Q22:U33" si="6" t="shared">Q5/Q$16</f>
        <v>0.25136612021857924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0.85523491533508234</v>
      </c>
    </row>
    <row r="23" spans="1:21" x14ac:dyDescent="0.45">
      <c r="A23" t="s">
        <v>11</v>
      </c>
      <c r="B23" s="13">
        <f ref="B23:J23" si="7" t="shared">B6/B$16</f>
        <v>0</v>
      </c>
      <c r="C23" s="13">
        <f si="7" t="shared"/>
        <v>0.34894259818731116</v>
      </c>
      <c r="D23" s="13">
        <f si="7" t="shared"/>
        <v>4.3887147335423198E-2</v>
      </c>
      <c r="E23" s="13">
        <f si="7" t="shared"/>
        <v>0</v>
      </c>
      <c r="F23" s="13">
        <f si="7" t="shared"/>
        <v>2.7322404371584699E-2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5.9623181492964465E-2</v>
      </c>
      <c r="K23" s="6"/>
      <c r="L23" t="s">
        <v>11</v>
      </c>
      <c r="M23" s="13">
        <f ref="M23:P23" si="8" t="shared">M6/M$16</f>
        <v>0</v>
      </c>
      <c r="N23" s="13">
        <f si="8" t="shared"/>
        <v>0.34894259818731116</v>
      </c>
      <c r="O23" s="13">
        <f si="8" t="shared"/>
        <v>4.3887147335423198E-2</v>
      </c>
      <c r="P23" s="13">
        <f si="8" t="shared"/>
        <v>0</v>
      </c>
      <c r="Q23" s="13">
        <f si="6" t="shared"/>
        <v>2.7322404371584699E-2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5.9623181492964465E-2</v>
      </c>
    </row>
    <row r="24" spans="1:21" x14ac:dyDescent="0.45">
      <c r="A24" t="s">
        <v>32</v>
      </c>
      <c r="B24" s="13">
        <f ref="B24:J24" si="9" t="shared">B7/B$16</f>
        <v>0</v>
      </c>
      <c r="C24" s="13">
        <f si="9" t="shared"/>
        <v>0</v>
      </c>
      <c r="D24" s="13">
        <f si="9" t="shared"/>
        <v>0.37617554858934171</v>
      </c>
      <c r="E24" s="13">
        <f si="9" t="shared"/>
        <v>0</v>
      </c>
      <c r="F24" s="13">
        <f si="9" t="shared"/>
        <v>5.4644808743169399E-3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2.8857619842594801E-2</v>
      </c>
      <c r="K24" s="6"/>
      <c r="L24" t="s">
        <v>32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0.37617554858934171</v>
      </c>
      <c r="P24" s="13">
        <f si="10" t="shared"/>
        <v>0</v>
      </c>
      <c r="Q24" s="13">
        <f si="6" t="shared"/>
        <v>5.4644808743169399E-3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2.8857619842594801E-2</v>
      </c>
    </row>
    <row r="25" spans="1:21" x14ac:dyDescent="0.45">
      <c r="A25" t="s">
        <v>27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0.41558441558441561</v>
      </c>
      <c r="F25" s="13">
        <f si="11" t="shared"/>
        <v>0.58469945355191255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4.0782256141187696E-2</v>
      </c>
      <c r="K25" s="6"/>
      <c r="L25" t="s">
        <v>27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0.41558441558441561</v>
      </c>
      <c r="Q25" s="13">
        <f si="6" t="shared"/>
        <v>0.58469945355191255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4.0782256141187696E-2</v>
      </c>
    </row>
    <row r="26" spans="1:21" x14ac:dyDescent="0.45">
      <c r="A26" t="s">
        <v>28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28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45">
      <c r="A27" t="s">
        <v>29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29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45">
      <c r="A28" t="s">
        <v>30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30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0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45">
      <c r="A29" t="s">
        <v>31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31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0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45">
      <c r="A30" t="s">
        <v>16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16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4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0.7142857142857143</v>
      </c>
      <c r="H31" s="13">
        <f si="23" t="shared"/>
        <v>0</v>
      </c>
      <c r="I31" s="13" t="e">
        <f si="23" t="shared"/>
        <v>#DIV/0!</v>
      </c>
      <c r="J31" s="13">
        <f si="23" t="shared"/>
        <v>1.1924636298592892E-3</v>
      </c>
      <c r="K31" s="6"/>
      <c r="L31" t="s">
        <v>4</v>
      </c>
      <c r="M31" s="13">
        <f ref="M31:P31" si="24" t="shared">M14/M$16</f>
        <v>0</v>
      </c>
      <c r="N31" s="13">
        <f si="24" t="shared"/>
        <v>0</v>
      </c>
      <c r="O31" s="13">
        <f si="24" t="shared"/>
        <v>0</v>
      </c>
      <c r="P31" s="13">
        <f si="24" t="shared"/>
        <v>0</v>
      </c>
      <c r="Q31" s="13">
        <f si="6" t="shared"/>
        <v>0</v>
      </c>
      <c r="R31" s="13">
        <f si="6" t="shared"/>
        <v>0.7142857142857143</v>
      </c>
      <c r="S31" s="13">
        <f si="6" t="shared"/>
        <v>0</v>
      </c>
      <c r="T31" s="13" t="e">
        <f si="6" t="shared"/>
        <v>#DIV/0!</v>
      </c>
      <c r="U31" s="13">
        <f si="6" t="shared"/>
        <v>1.1924636298592892E-3</v>
      </c>
    </row>
    <row r="32" spans="1:21" x14ac:dyDescent="0.45">
      <c r="A32" s="4" t="s">
        <v>5</v>
      </c>
      <c r="B32" s="14">
        <f ref="B32:J32" si="25" t="shared">B15/B$16</f>
        <v>1.4064697609001407E-3</v>
      </c>
      <c r="C32" s="14">
        <f si="25" t="shared"/>
        <v>4.5317220543806651E-3</v>
      </c>
      <c r="D32" s="14">
        <f si="25" t="shared"/>
        <v>9.4043887147335428E-3</v>
      </c>
      <c r="E32" s="14">
        <f si="25" t="shared"/>
        <v>0</v>
      </c>
      <c r="F32" s="14">
        <f si="25" t="shared"/>
        <v>0.13114754098360656</v>
      </c>
      <c r="G32" s="14">
        <f si="25" t="shared"/>
        <v>0.2857142857142857</v>
      </c>
      <c r="H32" s="14">
        <f si="25" t="shared"/>
        <v>1</v>
      </c>
      <c r="I32" s="14" t="e">
        <f si="25" t="shared"/>
        <v>#DIV/0!</v>
      </c>
      <c r="J32" s="14">
        <f si="25" t="shared"/>
        <v>1.4309563558311471E-2</v>
      </c>
      <c r="K32" s="6"/>
      <c r="L32" s="4" t="s">
        <v>5</v>
      </c>
      <c r="M32" s="14">
        <f ref="M32:P32" si="26" t="shared">M15/M$16</f>
        <v>1.4064697609001407E-3</v>
      </c>
      <c r="N32" s="14">
        <f si="26" t="shared"/>
        <v>4.5317220543806651E-3</v>
      </c>
      <c r="O32" s="14">
        <f si="26" t="shared"/>
        <v>9.4043887147335428E-3</v>
      </c>
      <c r="P32" s="14">
        <f si="26" t="shared"/>
        <v>0</v>
      </c>
      <c r="Q32" s="14">
        <f si="6" t="shared"/>
        <v>0.13114754098360656</v>
      </c>
      <c r="R32" s="14">
        <f si="6" t="shared"/>
        <v>0.2857142857142857</v>
      </c>
      <c r="S32" s="14">
        <f si="6" t="shared"/>
        <v>1</v>
      </c>
      <c r="T32" s="14" t="e">
        <f si="6" t="shared"/>
        <v>#DIV/0!</v>
      </c>
      <c r="U32" s="14">
        <f si="6" t="shared"/>
        <v>1.4309563558311471E-2</v>
      </c>
    </row>
    <row ht="14.65" r="33" spans="1:32" thickBot="1" x14ac:dyDescent="0.5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4.65" r="36" spans="1:32" thickBot="1" x14ac:dyDescent="0.5">
      <c r="L36" s="1" t="s">
        <v>56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9" t="s">
        <v>6</v>
      </c>
      <c r="N37" s="39"/>
      <c r="O37" s="39"/>
      <c r="P37" s="39"/>
      <c r="Q37" s="39"/>
      <c r="R37" s="39"/>
      <c r="S37" s="39"/>
      <c r="T37" s="39"/>
      <c r="U37" s="39"/>
    </row>
    <row r="38" spans="1:32" x14ac:dyDescent="0.45">
      <c r="L38" s="4" t="s">
        <v>0</v>
      </c>
      <c r="M38" s="5" t="s">
        <v>10</v>
      </c>
      <c r="N38" s="5" t="s">
        <v>11</v>
      </c>
      <c r="O38" s="5" t="s">
        <v>12</v>
      </c>
      <c r="P38" s="5" t="s">
        <v>13</v>
      </c>
      <c r="Q38" s="5" t="s">
        <v>14</v>
      </c>
      <c r="R38" s="5" t="s">
        <v>4</v>
      </c>
      <c r="S38" s="5" t="s">
        <v>5</v>
      </c>
      <c r="T38" s="5" t="s">
        <v>15</v>
      </c>
      <c r="U38" s="5" t="s">
        <v>7</v>
      </c>
    </row>
    <row r="39" spans="1:32" x14ac:dyDescent="0.45">
      <c r="L39" t="s">
        <v>1</v>
      </c>
      <c r="M39" s="13">
        <f ref="M39:P44" si="29" t="shared">M22-B22</f>
        <v>0</v>
      </c>
      <c r="N39" s="13">
        <f si="29" t="shared"/>
        <v>0</v>
      </c>
      <c r="O39" s="13">
        <f si="29" t="shared"/>
        <v>0</v>
      </c>
      <c r="P39" s="13">
        <f si="29" t="shared"/>
        <v>0</v>
      </c>
      <c r="Q39" s="13">
        <f ref="Q39:Q50" si="30" t="shared">Q22-F22</f>
        <v>0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8</v>
      </c>
      <c r="M40" s="13">
        <f si="29" t="shared"/>
        <v>0</v>
      </c>
      <c r="N40" s="13">
        <f si="29" t="shared"/>
        <v>0</v>
      </c>
      <c r="O40" s="13">
        <f si="29" t="shared"/>
        <v>0</v>
      </c>
      <c r="P40" s="13">
        <f si="29" t="shared"/>
        <v>0</v>
      </c>
      <c r="Q40" s="13">
        <f si="30" t="shared"/>
        <v>0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0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9</v>
      </c>
      <c r="M41" s="13">
        <f si="29" t="shared"/>
        <v>0</v>
      </c>
      <c r="N41" s="13">
        <f si="29" t="shared"/>
        <v>0</v>
      </c>
      <c r="O41" s="13">
        <f si="29" t="shared"/>
        <v>0</v>
      </c>
      <c r="P41" s="13">
        <f si="29" t="shared"/>
        <v>0</v>
      </c>
      <c r="Q41" s="13">
        <f si="30" t="shared"/>
        <v>0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0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27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0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28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29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0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30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0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31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0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16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ref="M48:P50" si="39" t="shared">M31-B31</f>
        <v>0</v>
      </c>
      <c r="N48" s="13">
        <f si="39" t="shared"/>
        <v>0</v>
      </c>
      <c r="O48" s="13">
        <f si="39" t="shared"/>
        <v>0</v>
      </c>
      <c r="P48" s="13">
        <f si="39" t="shared"/>
        <v>0</v>
      </c>
      <c r="Q48" s="13">
        <f si="30" t="shared"/>
        <v>0</v>
      </c>
      <c r="R48" s="13">
        <f si="31" t="shared"/>
        <v>0</v>
      </c>
      <c r="S48" s="13">
        <f si="32" t="shared"/>
        <v>0</v>
      </c>
      <c r="T48" s="13" t="e">
        <f si="33" t="shared"/>
        <v>#DIV/0!</v>
      </c>
      <c r="U48" s="13">
        <f si="34" t="shared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si="39" t="shared"/>
        <v>0</v>
      </c>
      <c r="N49" s="17">
        <f si="39" t="shared"/>
        <v>0</v>
      </c>
      <c r="O49" s="17">
        <f si="39" t="shared"/>
        <v>0</v>
      </c>
      <c r="P49" s="17">
        <f si="39" t="shared"/>
        <v>0</v>
      </c>
      <c r="Q49" s="17">
        <f si="30" t="shared"/>
        <v>0</v>
      </c>
      <c r="R49" s="17">
        <f si="31" t="shared"/>
        <v>0</v>
      </c>
      <c r="S49" s="17">
        <f si="32" t="shared"/>
        <v>0</v>
      </c>
      <c r="T49" s="17" t="e">
        <f si="33" t="shared"/>
        <v>#DIV/0!</v>
      </c>
      <c r="U49" s="13">
        <f si="34" t="shared"/>
        <v>0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4.65" r="50" spans="12:32" thickBot="1" x14ac:dyDescent="0.5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F50"/>
  <sheetViews>
    <sheetView workbookViewId="0">
      <selection activeCell="P17" sqref="P17:Q17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ht="14.65" r="2" spans="1:21" thickBot="1" x14ac:dyDescent="0.5">
      <c r="A2" s="1" t="s">
        <v>52</v>
      </c>
      <c r="B2" s="1"/>
      <c r="C2" s="2"/>
      <c r="D2" s="2"/>
      <c r="E2" s="2"/>
      <c r="F2" s="2"/>
      <c r="G2" s="2"/>
      <c r="H2" s="2"/>
      <c r="I2" s="2"/>
      <c r="J2" s="2"/>
      <c r="L2" s="1" t="s">
        <v>60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8" t="s">
        <v>18</v>
      </c>
      <c r="C3" s="39"/>
      <c r="D3" s="39"/>
      <c r="E3" s="39"/>
      <c r="F3" s="39"/>
      <c r="G3" s="39"/>
      <c r="H3" s="39"/>
      <c r="I3" s="39"/>
      <c r="J3" s="11"/>
      <c r="L3" s="3"/>
      <c r="M3" s="38" t="s">
        <v>18</v>
      </c>
      <c r="N3" s="39"/>
      <c r="O3" s="39"/>
      <c r="P3" s="39"/>
      <c r="Q3" s="39"/>
      <c r="R3" s="39"/>
      <c r="S3" s="39"/>
      <c r="T3" s="39"/>
      <c r="U3" s="39"/>
    </row>
    <row r="4" spans="1:21" x14ac:dyDescent="0.45">
      <c r="A4" s="4" t="s">
        <v>0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4</v>
      </c>
      <c r="H4" s="5" t="s">
        <v>5</v>
      </c>
      <c r="I4" s="5" t="s">
        <v>15</v>
      </c>
      <c r="J4" s="5" t="s">
        <v>7</v>
      </c>
      <c r="L4" s="4" t="s">
        <v>0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4</v>
      </c>
      <c r="S4" s="5" t="s">
        <v>5</v>
      </c>
      <c r="T4" s="5" t="s">
        <v>15</v>
      </c>
      <c r="U4" s="5" t="s">
        <v>7</v>
      </c>
    </row>
    <row r="5" spans="1:21" x14ac:dyDescent="0.45">
      <c r="A5" t="s">
        <v>1</v>
      </c>
      <c r="B5" s="6" t="n">
        <v>190000.0</v>
      </c>
      <c r="C5" s="6" t="n">
        <v>10000.0</v>
      </c>
      <c r="D5" s="6" t="n">
        <v>0.0</v>
      </c>
      <c r="E5" s="6" t="n">
        <v>0.0</v>
      </c>
      <c r="F5" s="6" t="n">
        <v>10000.0</v>
      </c>
      <c r="G5" s="6" t="n">
        <v>0.0</v>
      </c>
      <c r="H5" s="6" t="n">
        <v>0.0</v>
      </c>
      <c r="I5" s="6" t="n">
        <v>0.0</v>
      </c>
      <c r="J5" s="6">
        <f>SUM(B5:I5)</f>
        <v>280000</v>
      </c>
      <c r="K5" s="6"/>
      <c r="L5" t="s">
        <v>1</v>
      </c>
      <c r="M5" s="6" t="n">
        <v>190000.0</v>
      </c>
      <c r="N5" s="6" t="n">
        <v>10000.0</v>
      </c>
      <c r="O5" s="6" t="n">
        <v>0.0</v>
      </c>
      <c r="P5" s="6" t="n">
        <v>0.0</v>
      </c>
      <c r="Q5" s="6" t="n">
        <v>10000.0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280000</v>
      </c>
    </row>
    <row r="6" spans="1:21" x14ac:dyDescent="0.45">
      <c r="A6" t="s">
        <v>11</v>
      </c>
      <c r="B6" s="6" t="n">
        <v>0.0</v>
      </c>
      <c r="C6" s="6" t="n">
        <v>430000.0</v>
      </c>
      <c r="D6" s="6" t="n">
        <v>20000.0</v>
      </c>
      <c r="E6" s="6" t="n">
        <v>0.0</v>
      </c>
      <c r="F6" s="6" t="n">
        <v>10000.0</v>
      </c>
      <c r="G6" s="6" t="n">
        <v>0.0</v>
      </c>
      <c r="H6" s="6" t="n">
        <v>0.0</v>
      </c>
      <c r="I6" s="6" t="n">
        <v>100000.0</v>
      </c>
      <c r="J6" s="6">
        <f ref="J6:J15" si="1" t="shared">SUM(B6:I6)</f>
        <v>623000</v>
      </c>
      <c r="K6" s="6"/>
      <c r="L6" t="s">
        <v>11</v>
      </c>
      <c r="M6" s="6" t="n">
        <v>0.0</v>
      </c>
      <c r="N6" s="6" t="n">
        <v>430000.0</v>
      </c>
      <c r="O6" s="6" t="n">
        <v>20000.0</v>
      </c>
      <c r="P6" s="6" t="n">
        <v>0.0</v>
      </c>
      <c r="Q6" s="6" t="n">
        <v>10000.0</v>
      </c>
      <c r="R6" s="6" t="n">
        <v>0.0</v>
      </c>
      <c r="S6" s="6" t="n">
        <v>0.0</v>
      </c>
      <c r="T6" s="6" t="n">
        <v>100000.0</v>
      </c>
      <c r="U6" s="6">
        <f si="0" t="shared"/>
        <v>623000</v>
      </c>
    </row>
    <row r="7" spans="1:21" x14ac:dyDescent="0.45">
      <c r="A7" t="s">
        <v>32</v>
      </c>
      <c r="B7" s="6" t="n">
        <v>0.0</v>
      </c>
      <c r="C7" s="6" t="n">
        <v>0.0</v>
      </c>
      <c r="D7" s="6" t="n">
        <v>680000.0</v>
      </c>
      <c r="E7" s="6" t="n">
        <v>0.0</v>
      </c>
      <c r="F7" s="6" t="n">
        <v>20000.0</v>
      </c>
      <c r="G7" s="6" t="n">
        <v>0.0</v>
      </c>
      <c r="H7" s="6" t="n">
        <v>0.0</v>
      </c>
      <c r="I7" s="6" t="n">
        <v>60000.0</v>
      </c>
      <c r="J7" s="6">
        <f si="1" t="shared"/>
        <v>740000</v>
      </c>
      <c r="K7" s="6"/>
      <c r="L7" t="s">
        <v>32</v>
      </c>
      <c r="M7" s="6" t="n">
        <v>0.0</v>
      </c>
      <c r="N7" s="6" t="n">
        <v>0.0</v>
      </c>
      <c r="O7" s="6" t="n">
        <v>680000.0</v>
      </c>
      <c r="P7" s="6" t="n">
        <v>0.0</v>
      </c>
      <c r="Q7" s="6" t="n">
        <v>20000.0</v>
      </c>
      <c r="R7" s="6" t="n">
        <v>0.0</v>
      </c>
      <c r="S7" s="6" t="n">
        <v>0.0</v>
      </c>
      <c r="T7" s="6" t="n">
        <v>60000.0</v>
      </c>
      <c r="U7" s="6">
        <f si="0" t="shared"/>
        <v>740000</v>
      </c>
    </row>
    <row r="8" spans="1:21" x14ac:dyDescent="0.45">
      <c r="A8" t="s">
        <v>27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60000.0</v>
      </c>
      <c r="G8" s="6" t="n">
        <v>0.0</v>
      </c>
      <c r="H8" s="6" t="n">
        <v>0.0</v>
      </c>
      <c r="I8" s="6" t="n">
        <v>0.0</v>
      </c>
      <c r="J8" s="6">
        <f si="1" t="shared"/>
        <v>38000</v>
      </c>
      <c r="K8" s="6"/>
      <c r="L8" t="s">
        <v>27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60000.0</v>
      </c>
      <c r="R8" s="6" t="n">
        <v>0.0</v>
      </c>
      <c r="S8" s="6" t="n">
        <v>0.0</v>
      </c>
      <c r="T8" s="6" t="n">
        <v>0.0</v>
      </c>
      <c r="U8" s="6">
        <f si="0" t="shared"/>
        <v>38000</v>
      </c>
    </row>
    <row r="9" spans="1:21" x14ac:dyDescent="0.45">
      <c r="A9" t="s">
        <v>28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28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45">
      <c r="A10" t="s">
        <v>29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29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45">
      <c r="A11" t="s">
        <v>30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30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45">
      <c r="A12" t="s">
        <v>31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31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45">
      <c r="A13" t="s">
        <v>16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250000.0</v>
      </c>
      <c r="J13" s="6">
        <f si="1" t="shared"/>
        <v>427000</v>
      </c>
      <c r="K13" s="6"/>
      <c r="L13" t="s">
        <v>16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250000.0</v>
      </c>
      <c r="U13" s="6">
        <f si="0" t="shared"/>
        <v>427000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30000.0</v>
      </c>
      <c r="H14" s="6" t="n">
        <v>0.0</v>
      </c>
      <c r="I14" s="6" t="n">
        <v>0.0</v>
      </c>
      <c r="J14" s="6">
        <f si="1" t="shared"/>
        <v>18000</v>
      </c>
      <c r="K14" s="6"/>
      <c r="L14" t="s">
        <v>4</v>
      </c>
      <c r="M14" s="6" t="n">
        <v>0.0</v>
      </c>
      <c r="N14" s="6" t="n">
        <v>0.0</v>
      </c>
      <c r="O14" s="6" t="n">
        <v>0.0</v>
      </c>
      <c r="P14" s="6" t="n">
        <v>0.0</v>
      </c>
      <c r="Q14" s="6" t="n">
        <v>0.0</v>
      </c>
      <c r="R14" s="6" t="n">
        <v>30000.0</v>
      </c>
      <c r="S14" s="6" t="n">
        <v>0.0</v>
      </c>
      <c r="T14" s="6" t="n">
        <v>0.0</v>
      </c>
      <c r="U14" s="6">
        <f si="0" t="shared"/>
        <v>18000</v>
      </c>
    </row>
    <row r="15" spans="1:21" x14ac:dyDescent="0.45">
      <c r="A15" s="4" t="s">
        <v>5</v>
      </c>
      <c r="B15" s="10" t="n">
        <v>0.0</v>
      </c>
      <c r="C15" s="10" t="n">
        <v>0.0</v>
      </c>
      <c r="D15" s="10" t="n">
        <v>0.0</v>
      </c>
      <c r="E15" s="10" t="n">
        <v>0.0</v>
      </c>
      <c r="F15" s="10" t="n">
        <v>20000.0</v>
      </c>
      <c r="G15" s="10" t="n">
        <v>10000.0</v>
      </c>
      <c r="H15" s="10" t="n">
        <v>20000.0</v>
      </c>
      <c r="I15" s="10" t="n">
        <v>0.0</v>
      </c>
      <c r="J15" s="6">
        <f si="1" t="shared"/>
        <v>131000</v>
      </c>
      <c r="K15" s="6"/>
      <c r="L15" s="4" t="s">
        <v>5</v>
      </c>
      <c r="M15" s="8" t="n">
        <v>0.0</v>
      </c>
      <c r="N15" s="8" t="n">
        <v>0.0</v>
      </c>
      <c r="O15" s="8" t="n">
        <v>0.0</v>
      </c>
      <c r="P15" s="8" t="n">
        <v>0.0</v>
      </c>
      <c r="Q15" s="8" t="n">
        <v>20000.0</v>
      </c>
      <c r="R15" s="8" t="n">
        <v>10000.0</v>
      </c>
      <c r="S15" s="8" t="n">
        <v>20000.0</v>
      </c>
      <c r="T15" s="8" t="n">
        <v>0.0</v>
      </c>
      <c r="U15" s="6">
        <f si="0" t="shared"/>
        <v>131000</v>
      </c>
    </row>
    <row ht="14.65" r="16" spans="1:21" thickBot="1" x14ac:dyDescent="0.5">
      <c r="A16" s="12" t="s">
        <v>7</v>
      </c>
      <c r="B16" s="16">
        <f ref="B16:J16" si="2" t="shared">SUM(B5:B15)</f>
        <v>239000</v>
      </c>
      <c r="C16" s="16">
        <f si="2" t="shared"/>
        <v>316000</v>
      </c>
      <c r="D16" s="16">
        <f si="2" t="shared"/>
        <v>729000</v>
      </c>
      <c r="E16" s="16">
        <f si="2" t="shared"/>
        <v>0</v>
      </c>
      <c r="F16" s="16">
        <f si="2" t="shared"/>
        <v>82000</v>
      </c>
      <c r="G16" s="16">
        <f si="2" t="shared"/>
        <v>20000</v>
      </c>
      <c r="H16" s="16">
        <f si="2" t="shared"/>
        <v>101000</v>
      </c>
      <c r="I16" s="16">
        <f si="2" t="shared"/>
        <v>770000</v>
      </c>
      <c r="J16" s="16">
        <f si="2" t="shared"/>
        <v>2257000</v>
      </c>
      <c r="L16" s="9" t="s">
        <v>7</v>
      </c>
      <c r="M16" s="16">
        <f ref="M16:U16" si="3" t="shared">SUM(M5:M15)</f>
        <v>239000</v>
      </c>
      <c r="N16" s="16">
        <f si="3" t="shared"/>
        <v>316000</v>
      </c>
      <c r="O16" s="16">
        <f si="3" t="shared"/>
        <v>729000</v>
      </c>
      <c r="P16" s="16">
        <f si="3" t="shared"/>
        <v>0</v>
      </c>
      <c r="Q16" s="16">
        <f si="3" t="shared"/>
        <v>82000</v>
      </c>
      <c r="R16" s="16">
        <f si="3" t="shared"/>
        <v>20000</v>
      </c>
      <c r="S16" s="16">
        <f si="3" t="shared"/>
        <v>101000</v>
      </c>
      <c r="T16" s="16">
        <f si="3" t="shared"/>
        <v>770000</v>
      </c>
      <c r="U16" s="16">
        <f si="3" t="shared"/>
        <v>2257000</v>
      </c>
    </row>
    <row r="17" spans="1:21" x14ac:dyDescent="0.45">
      <c r="E17" s="30">
        <f>E16/J16</f>
        <v>0</v>
      </c>
      <c r="F17" s="31">
        <f>F16/J16</f>
        <v>3.6331413380593709E-2</v>
      </c>
      <c r="P17" s="30">
        <f>P16/U16</f>
        <v>0</v>
      </c>
      <c r="Q17" s="31">
        <f>Q16/U16</f>
        <v>3.6331413380593709E-2</v>
      </c>
    </row>
    <row ht="14.65" r="19" spans="1:21" thickBot="1" x14ac:dyDescent="0.5">
      <c r="A19" s="1" t="s">
        <v>53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61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8" t="s">
        <v>18</v>
      </c>
      <c r="C20" s="39"/>
      <c r="D20" s="39"/>
      <c r="E20" s="39"/>
      <c r="F20" s="39"/>
      <c r="G20" s="39"/>
      <c r="H20" s="39"/>
      <c r="I20" s="39"/>
      <c r="J20" s="11"/>
      <c r="L20" s="3"/>
      <c r="M20" s="38" t="s">
        <v>18</v>
      </c>
      <c r="N20" s="39"/>
      <c r="O20" s="39"/>
      <c r="P20" s="39"/>
      <c r="Q20" s="39"/>
      <c r="R20" s="39"/>
      <c r="S20" s="39"/>
      <c r="T20" s="39"/>
      <c r="U20" s="39"/>
    </row>
    <row r="21" spans="1:21" x14ac:dyDescent="0.45">
      <c r="A21" s="4" t="s">
        <v>0</v>
      </c>
      <c r="B21" s="5" t="s">
        <v>10</v>
      </c>
      <c r="C21" s="5" t="s">
        <v>11</v>
      </c>
      <c r="D21" s="5" t="s">
        <v>12</v>
      </c>
      <c r="E21" s="5" t="s">
        <v>13</v>
      </c>
      <c r="F21" s="5" t="s">
        <v>14</v>
      </c>
      <c r="G21" s="5" t="s">
        <v>4</v>
      </c>
      <c r="H21" s="5" t="s">
        <v>5</v>
      </c>
      <c r="I21" s="5" t="s">
        <v>15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13</v>
      </c>
      <c r="Q21" s="5" t="s">
        <v>14</v>
      </c>
      <c r="R21" s="5" t="s">
        <v>4</v>
      </c>
      <c r="S21" s="5" t="s">
        <v>5</v>
      </c>
      <c r="T21" s="5" t="s">
        <v>15</v>
      </c>
      <c r="U21" s="5" t="s">
        <v>7</v>
      </c>
    </row>
    <row r="22" spans="1:21" x14ac:dyDescent="0.45">
      <c r="A22" t="s">
        <v>1</v>
      </c>
      <c r="B22" s="13">
        <f ref="B22:J22" si="4" t="shared">B5/B$16</f>
        <v>1</v>
      </c>
      <c r="C22" s="13">
        <f si="4" t="shared"/>
        <v>4.1139240506329111E-2</v>
      </c>
      <c r="D22" s="13">
        <f si="4" t="shared"/>
        <v>2.194787379972565E-2</v>
      </c>
      <c r="E22" s="13" t="e">
        <f si="4" t="shared"/>
        <v>#DIV/0!</v>
      </c>
      <c r="F22" s="13">
        <f si="4" t="shared"/>
        <v>9.7560975609756101E-2</v>
      </c>
      <c r="G22" s="13">
        <f si="4" t="shared"/>
        <v>0</v>
      </c>
      <c r="H22" s="13">
        <f si="4" t="shared"/>
        <v>0</v>
      </c>
      <c r="I22" s="13">
        <f si="4" t="shared"/>
        <v>5.1948051948051948E-3</v>
      </c>
      <c r="J22" s="13">
        <f si="4" t="shared"/>
        <v>0.12405848471422241</v>
      </c>
      <c r="K22" s="6"/>
      <c r="L22" t="s">
        <v>1</v>
      </c>
      <c r="M22" s="13">
        <f ref="M22:P22" si="5" t="shared">M5/M$16</f>
        <v>1</v>
      </c>
      <c r="N22" s="13">
        <f si="5" t="shared"/>
        <v>4.1139240506329111E-2</v>
      </c>
      <c r="O22" s="13">
        <f si="5" t="shared"/>
        <v>2.194787379972565E-2</v>
      </c>
      <c r="P22" s="13" t="e">
        <f si="5" t="shared"/>
        <v>#DIV/0!</v>
      </c>
      <c r="Q22" s="13">
        <f ref="Q22:U33" si="6" t="shared">Q5/Q$16</f>
        <v>9.7560975609756101E-2</v>
      </c>
      <c r="R22" s="13">
        <f si="6" t="shared"/>
        <v>0</v>
      </c>
      <c r="S22" s="13">
        <f si="6" t="shared"/>
        <v>0</v>
      </c>
      <c r="T22" s="13">
        <f si="6" t="shared"/>
        <v>5.1948051948051948E-3</v>
      </c>
      <c r="U22" s="13">
        <f si="6" t="shared"/>
        <v>0.12405848471422241</v>
      </c>
    </row>
    <row r="23" spans="1:21" x14ac:dyDescent="0.45">
      <c r="A23" t="s">
        <v>11</v>
      </c>
      <c r="B23" s="13">
        <f ref="B23:J23" si="7" t="shared">B6/B$16</f>
        <v>0</v>
      </c>
      <c r="C23" s="13">
        <f si="7" t="shared"/>
        <v>0.95253164556962022</v>
      </c>
      <c r="D23" s="13">
        <f si="7" t="shared"/>
        <v>8.9163237311385465E-2</v>
      </c>
      <c r="E23" s="13" t="e">
        <f si="7" t="shared"/>
        <v>#DIV/0!</v>
      </c>
      <c r="F23" s="13">
        <f si="7" t="shared"/>
        <v>0.26829268292682928</v>
      </c>
      <c r="G23" s="13">
        <f si="7" t="shared"/>
        <v>0</v>
      </c>
      <c r="H23" s="13">
        <f si="7" t="shared"/>
        <v>0</v>
      </c>
      <c r="I23" s="13">
        <f si="7" t="shared"/>
        <v>0.30519480519480519</v>
      </c>
      <c r="J23" s="13">
        <f si="7" t="shared"/>
        <v>0.27603012848914488</v>
      </c>
      <c r="K23" s="6"/>
      <c r="L23" t="s">
        <v>11</v>
      </c>
      <c r="M23" s="13">
        <f ref="M23:P23" si="8" t="shared">M6/M$16</f>
        <v>0</v>
      </c>
      <c r="N23" s="13">
        <f si="8" t="shared"/>
        <v>0.95253164556962022</v>
      </c>
      <c r="O23" s="13">
        <f si="8" t="shared"/>
        <v>8.9163237311385465E-2</v>
      </c>
      <c r="P23" s="13" t="e">
        <f si="8" t="shared"/>
        <v>#DIV/0!</v>
      </c>
      <c r="Q23" s="13">
        <f si="6" t="shared"/>
        <v>0.26829268292682928</v>
      </c>
      <c r="R23" s="13">
        <f si="6" t="shared"/>
        <v>0</v>
      </c>
      <c r="S23" s="13">
        <f si="6" t="shared"/>
        <v>0</v>
      </c>
      <c r="T23" s="13">
        <f si="6" t="shared"/>
        <v>0.30519480519480519</v>
      </c>
      <c r="U23" s="13">
        <f si="6" t="shared"/>
        <v>0.27603012848914488</v>
      </c>
    </row>
    <row r="24" spans="1:21" x14ac:dyDescent="0.45">
      <c r="A24" t="s">
        <v>32</v>
      </c>
      <c r="B24" s="13">
        <f ref="B24:J24" si="9" t="shared">B7/B$16</f>
        <v>0</v>
      </c>
      <c r="C24" s="13">
        <f si="9" t="shared"/>
        <v>0</v>
      </c>
      <c r="D24" s="13">
        <f si="9" t="shared"/>
        <v>0.88751714677640603</v>
      </c>
      <c r="E24" s="13" t="e">
        <f si="9" t="shared"/>
        <v>#DIV/0!</v>
      </c>
      <c r="F24" s="13">
        <f si="9" t="shared"/>
        <v>4.878048780487805E-2</v>
      </c>
      <c r="G24" s="13">
        <f si="9" t="shared"/>
        <v>0</v>
      </c>
      <c r="H24" s="13">
        <f si="9" t="shared"/>
        <v>0</v>
      </c>
      <c r="I24" s="13">
        <f si="9" t="shared"/>
        <v>0.11558441558441558</v>
      </c>
      <c r="J24" s="13">
        <f si="9" t="shared"/>
        <v>0.32786885245901637</v>
      </c>
      <c r="K24" s="6"/>
      <c r="L24" t="s">
        <v>32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0.88751714677640603</v>
      </c>
      <c r="P24" s="13" t="e">
        <f si="10" t="shared"/>
        <v>#DIV/0!</v>
      </c>
      <c r="Q24" s="13">
        <f si="6" t="shared"/>
        <v>4.878048780487805E-2</v>
      </c>
      <c r="R24" s="13">
        <f si="6" t="shared"/>
        <v>0</v>
      </c>
      <c r="S24" s="13">
        <f si="6" t="shared"/>
        <v>0</v>
      </c>
      <c r="T24" s="13">
        <f si="6" t="shared"/>
        <v>0.11558441558441558</v>
      </c>
      <c r="U24" s="13">
        <f si="6" t="shared"/>
        <v>0.32786885245901637</v>
      </c>
    </row>
    <row r="25" spans="1:21" x14ac:dyDescent="0.45">
      <c r="A25" t="s">
        <v>27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0.46341463414634149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1.6836508639787327E-2</v>
      </c>
      <c r="K25" s="6"/>
      <c r="L25" t="s">
        <v>27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0.46341463414634149</v>
      </c>
      <c r="R25" s="13">
        <f si="6" t="shared"/>
        <v>0</v>
      </c>
      <c r="S25" s="13">
        <f si="6" t="shared"/>
        <v>0</v>
      </c>
      <c r="T25" s="13">
        <f si="6" t="shared"/>
        <v>0</v>
      </c>
      <c r="U25" s="13">
        <f si="6" t="shared"/>
        <v>1.6836508639787327E-2</v>
      </c>
    </row>
    <row r="26" spans="1:21" x14ac:dyDescent="0.45">
      <c r="A26" t="s">
        <v>28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28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45">
      <c r="A27" t="s">
        <v>29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29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>
        <f si="6" t="shared"/>
        <v>0</v>
      </c>
      <c r="U27" s="13">
        <f si="6" t="shared"/>
        <v>0</v>
      </c>
    </row>
    <row r="28" spans="1:21" x14ac:dyDescent="0.45">
      <c r="A28" t="s">
        <v>30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30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>
        <f si="6" t="shared"/>
        <v>0</v>
      </c>
      <c r="U28" s="13">
        <f si="6" t="shared"/>
        <v>0</v>
      </c>
    </row>
    <row r="29" spans="1:21" x14ac:dyDescent="0.45">
      <c r="A29" t="s">
        <v>31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31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>
        <f si="6" t="shared"/>
        <v>0</v>
      </c>
      <c r="U29" s="13">
        <f si="6" t="shared"/>
        <v>0</v>
      </c>
    </row>
    <row r="30" spans="1:21" x14ac:dyDescent="0.45">
      <c r="A30" t="s">
        <v>16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0.55454545454545456</v>
      </c>
      <c r="J30" s="13">
        <f si="21" t="shared"/>
        <v>0.1891891891891892</v>
      </c>
      <c r="K30" s="6"/>
      <c r="L30" t="s">
        <v>16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0.55454545454545456</v>
      </c>
      <c r="U30" s="13">
        <f si="6" t="shared"/>
        <v>0.1891891891891892</v>
      </c>
    </row>
    <row r="31" spans="1:21" x14ac:dyDescent="0.4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0.9</v>
      </c>
      <c r="H31" s="13">
        <f si="23" t="shared"/>
        <v>0</v>
      </c>
      <c r="I31" s="13">
        <f si="23" t="shared"/>
        <v>0</v>
      </c>
      <c r="J31" s="13">
        <f si="23" t="shared"/>
        <v>7.9751883030571551E-3</v>
      </c>
      <c r="K31" s="6"/>
      <c r="L31" t="s">
        <v>4</v>
      </c>
      <c r="M31" s="13">
        <f ref="M31:P31" si="24" t="shared">M14/M$16</f>
        <v>0</v>
      </c>
      <c r="N31" s="13">
        <f si="24" t="shared"/>
        <v>0</v>
      </c>
      <c r="O31" s="13">
        <f si="24" t="shared"/>
        <v>0</v>
      </c>
      <c r="P31" s="13" t="e">
        <f si="24" t="shared"/>
        <v>#DIV/0!</v>
      </c>
      <c r="Q31" s="13">
        <f si="6" t="shared"/>
        <v>0</v>
      </c>
      <c r="R31" s="13">
        <f si="6" t="shared"/>
        <v>0.9</v>
      </c>
      <c r="S31" s="13">
        <f si="6" t="shared"/>
        <v>0</v>
      </c>
      <c r="T31" s="13">
        <f si="6" t="shared"/>
        <v>0</v>
      </c>
      <c r="U31" s="13">
        <f si="6" t="shared"/>
        <v>7.9751883030571551E-3</v>
      </c>
    </row>
    <row r="32" spans="1:21" x14ac:dyDescent="0.45">
      <c r="A32" s="4" t="s">
        <v>5</v>
      </c>
      <c r="B32" s="14">
        <f ref="B32:J32" si="25" t="shared">B15/B$16</f>
        <v>0</v>
      </c>
      <c r="C32" s="14">
        <f si="25" t="shared"/>
        <v>6.3291139240506328E-3</v>
      </c>
      <c r="D32" s="14">
        <f si="25" t="shared"/>
        <v>1.3717421124828531E-3</v>
      </c>
      <c r="E32" s="14" t="e">
        <f si="25" t="shared"/>
        <v>#DIV/0!</v>
      </c>
      <c r="F32" s="14">
        <f si="25" t="shared"/>
        <v>0.12195121951219512</v>
      </c>
      <c r="G32" s="14">
        <f si="25" t="shared"/>
        <v>0.1</v>
      </c>
      <c r="H32" s="14">
        <f si="25" t="shared"/>
        <v>1</v>
      </c>
      <c r="I32" s="14">
        <f si="25" t="shared"/>
        <v>1.948051948051948E-2</v>
      </c>
      <c r="J32" s="14">
        <f si="25" t="shared"/>
        <v>5.8041648205582629E-2</v>
      </c>
      <c r="K32" s="6"/>
      <c r="L32" s="4" t="s">
        <v>5</v>
      </c>
      <c r="M32" s="14">
        <f ref="M32:P32" si="26" t="shared">M15/M$16</f>
        <v>0</v>
      </c>
      <c r="N32" s="14">
        <f si="26" t="shared"/>
        <v>6.3291139240506328E-3</v>
      </c>
      <c r="O32" s="14">
        <f si="26" t="shared"/>
        <v>1.3717421124828531E-3</v>
      </c>
      <c r="P32" s="14" t="e">
        <f si="26" t="shared"/>
        <v>#DIV/0!</v>
      </c>
      <c r="Q32" s="14">
        <f si="6" t="shared"/>
        <v>0.12195121951219512</v>
      </c>
      <c r="R32" s="14">
        <f si="6" t="shared"/>
        <v>0.1</v>
      </c>
      <c r="S32" s="14">
        <f si="6" t="shared"/>
        <v>1</v>
      </c>
      <c r="T32" s="14">
        <f si="6" t="shared"/>
        <v>1.948051948051948E-2</v>
      </c>
      <c r="U32" s="14">
        <f si="6" t="shared"/>
        <v>5.8041648205582629E-2</v>
      </c>
    </row>
    <row ht="14.65" r="33" spans="1:32" thickBot="1" x14ac:dyDescent="0.5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4.65" r="36" spans="1:32" thickBot="1" x14ac:dyDescent="0.5">
      <c r="L36" s="1" t="s">
        <v>62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8" t="s">
        <v>18</v>
      </c>
      <c r="N37" s="39"/>
      <c r="O37" s="39"/>
      <c r="P37" s="39"/>
      <c r="Q37" s="39"/>
      <c r="R37" s="39"/>
      <c r="S37" s="39"/>
      <c r="T37" s="39"/>
      <c r="U37" s="39"/>
    </row>
    <row r="38" spans="1:32" x14ac:dyDescent="0.45">
      <c r="L38" s="4" t="s">
        <v>0</v>
      </c>
      <c r="M38" s="5" t="s">
        <v>10</v>
      </c>
      <c r="N38" s="5" t="s">
        <v>11</v>
      </c>
      <c r="O38" s="5" t="s">
        <v>12</v>
      </c>
      <c r="P38" s="5" t="s">
        <v>13</v>
      </c>
      <c r="Q38" s="5" t="s">
        <v>14</v>
      </c>
      <c r="R38" s="5" t="s">
        <v>4</v>
      </c>
      <c r="S38" s="5" t="s">
        <v>5</v>
      </c>
      <c r="T38" s="5" t="s">
        <v>15</v>
      </c>
      <c r="U38" s="5" t="s">
        <v>7</v>
      </c>
    </row>
    <row r="39" spans="1:32" x14ac:dyDescent="0.45">
      <c r="L39" t="s">
        <v>1</v>
      </c>
      <c r="M39" s="13">
        <f ref="M39:P44" si="29" t="shared">M22-B22</f>
        <v>0</v>
      </c>
      <c r="N39" s="13">
        <f si="29" t="shared"/>
        <v>0</v>
      </c>
      <c r="O39" s="13">
        <f si="29" t="shared"/>
        <v>0</v>
      </c>
      <c r="P39" s="13" t="e">
        <f si="29" t="shared"/>
        <v>#DIV/0!</v>
      </c>
      <c r="Q39" s="13">
        <f ref="Q39:Q50" si="30" t="shared">Q22-F22</f>
        <v>0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0</v>
      </c>
      <c r="U39" s="13">
        <f ref="U39:U50" si="34" t="shared">U22-J22</f>
        <v>0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11</v>
      </c>
      <c r="M40" s="13">
        <f si="29" t="shared"/>
        <v>0</v>
      </c>
      <c r="N40" s="13">
        <f si="29" t="shared"/>
        <v>0</v>
      </c>
      <c r="O40" s="13">
        <f si="29" t="shared"/>
        <v>0</v>
      </c>
      <c r="P40" s="13" t="e">
        <f si="29" t="shared"/>
        <v>#DIV/0!</v>
      </c>
      <c r="Q40" s="13">
        <f si="30" t="shared"/>
        <v>0</v>
      </c>
      <c r="R40" s="13">
        <f si="31" t="shared"/>
        <v>0</v>
      </c>
      <c r="S40" s="13">
        <f si="32" t="shared"/>
        <v>0</v>
      </c>
      <c r="T40" s="13">
        <f si="33" t="shared"/>
        <v>0</v>
      </c>
      <c r="U40" s="13">
        <f si="34" t="shared"/>
        <v>0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32</v>
      </c>
      <c r="M41" s="13">
        <f si="29" t="shared"/>
        <v>0</v>
      </c>
      <c r="N41" s="13">
        <f si="29" t="shared"/>
        <v>0</v>
      </c>
      <c r="O41" s="13">
        <f si="29" t="shared"/>
        <v>0</v>
      </c>
      <c r="P41" s="13" t="e">
        <f si="29" t="shared"/>
        <v>#DIV/0!</v>
      </c>
      <c r="Q41" s="13">
        <f si="30" t="shared"/>
        <v>0</v>
      </c>
      <c r="R41" s="13">
        <f si="31" t="shared"/>
        <v>0</v>
      </c>
      <c r="S41" s="13">
        <f si="32" t="shared"/>
        <v>0</v>
      </c>
      <c r="T41" s="13">
        <f si="33" t="shared"/>
        <v>0</v>
      </c>
      <c r="U41" s="13">
        <f si="34" t="shared"/>
        <v>0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27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>
        <f si="33" t="shared"/>
        <v>0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28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29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>
        <f si="33" t="shared"/>
        <v>0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30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>
        <f si="33" t="shared"/>
        <v>0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31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>
        <f si="33" t="shared"/>
        <v>0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16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0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ref="M48:P50" si="39" t="shared">M31-B31</f>
        <v>0</v>
      </c>
      <c r="N48" s="13">
        <f si="39" t="shared"/>
        <v>0</v>
      </c>
      <c r="O48" s="13">
        <f si="39" t="shared"/>
        <v>0</v>
      </c>
      <c r="P48" s="13" t="e">
        <f si="39" t="shared"/>
        <v>#DIV/0!</v>
      </c>
      <c r="Q48" s="13">
        <f si="30" t="shared"/>
        <v>0</v>
      </c>
      <c r="R48" s="13">
        <f si="31" t="shared"/>
        <v>0</v>
      </c>
      <c r="S48" s="13">
        <f si="32" t="shared"/>
        <v>0</v>
      </c>
      <c r="T48" s="13">
        <f si="33" t="shared"/>
        <v>0</v>
      </c>
      <c r="U48" s="13">
        <f si="34" t="shared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si="39" t="shared"/>
        <v>0</v>
      </c>
      <c r="N49" s="17">
        <f si="39" t="shared"/>
        <v>0</v>
      </c>
      <c r="O49" s="17">
        <f si="39" t="shared"/>
        <v>0</v>
      </c>
      <c r="P49" s="17" t="e">
        <f si="39" t="shared"/>
        <v>#DIV/0!</v>
      </c>
      <c r="Q49" s="17">
        <f si="30" t="shared"/>
        <v>0</v>
      </c>
      <c r="R49" s="17">
        <f si="31" t="shared"/>
        <v>0</v>
      </c>
      <c r="S49" s="17">
        <f si="32" t="shared"/>
        <v>0</v>
      </c>
      <c r="T49" s="17">
        <f si="33" t="shared"/>
        <v>0</v>
      </c>
      <c r="U49" s="13">
        <f si="34" t="shared"/>
        <v>0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4.65" r="50" spans="12:32" thickBot="1" x14ac:dyDescent="0.5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F50"/>
  <sheetViews>
    <sheetView workbookViewId="0" zoomScaleNormal="100">
      <selection activeCell="P17" sqref="P17:Q17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ht="14.65" r="2" spans="1:21" thickBot="1" x14ac:dyDescent="0.5">
      <c r="A2" s="1" t="s">
        <v>52</v>
      </c>
      <c r="B2" s="1"/>
      <c r="C2" s="2"/>
      <c r="D2" s="2"/>
      <c r="E2" s="2"/>
      <c r="F2" s="2"/>
      <c r="G2" s="2"/>
      <c r="H2" s="2"/>
      <c r="I2" s="2"/>
      <c r="J2" s="2"/>
      <c r="L2" s="1" t="s">
        <v>63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8" t="s">
        <v>19</v>
      </c>
      <c r="C3" s="38"/>
      <c r="D3" s="38"/>
      <c r="E3" s="38"/>
      <c r="F3" s="38"/>
      <c r="G3" s="38"/>
      <c r="H3" s="38"/>
      <c r="I3" s="38"/>
      <c r="J3" s="11"/>
      <c r="L3" s="3"/>
      <c r="M3" s="38" t="s">
        <v>19</v>
      </c>
      <c r="N3" s="38"/>
      <c r="O3" s="38"/>
      <c r="P3" s="38"/>
      <c r="Q3" s="38"/>
      <c r="R3" s="38"/>
      <c r="S3" s="38"/>
      <c r="T3" s="38"/>
      <c r="U3" s="38"/>
    </row>
    <row r="4" spans="1:21" x14ac:dyDescent="0.45">
      <c r="A4" s="4" t="s">
        <v>0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4</v>
      </c>
      <c r="H4" s="5" t="s">
        <v>5</v>
      </c>
      <c r="I4" s="5" t="s">
        <v>15</v>
      </c>
      <c r="J4" s="5" t="s">
        <v>7</v>
      </c>
      <c r="L4" s="4" t="s">
        <v>0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4</v>
      </c>
      <c r="S4" s="5" t="s">
        <v>5</v>
      </c>
      <c r="T4" s="5" t="s">
        <v>15</v>
      </c>
      <c r="U4" s="5" t="s">
        <v>7</v>
      </c>
    </row>
    <row r="5" spans="1:21" x14ac:dyDescent="0.45">
      <c r="A5" t="s">
        <v>1</v>
      </c>
      <c r="B5" s="6" t="n">
        <v>0.0</v>
      </c>
      <c r="C5" s="6" t="n">
        <v>130000.0</v>
      </c>
      <c r="D5" s="6" t="n">
        <v>80000.0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222000</v>
      </c>
      <c r="K5" s="6"/>
      <c r="L5" t="s">
        <v>1</v>
      </c>
      <c r="M5" s="6" t="n">
        <v>0.0</v>
      </c>
      <c r="N5" s="6" t="n">
        <v>130000.0</v>
      </c>
      <c r="O5" s="6" t="n">
        <v>80000.0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222000</v>
      </c>
    </row>
    <row r="6" spans="1:21" x14ac:dyDescent="0.45">
      <c r="A6" t="s">
        <v>11</v>
      </c>
      <c r="B6" s="6" t="n">
        <v>0.0</v>
      </c>
      <c r="C6" s="6" t="n">
        <v>610000.0</v>
      </c>
      <c r="D6" s="6" t="n">
        <v>80000.0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706000</v>
      </c>
      <c r="K6" s="6"/>
      <c r="L6" t="s">
        <v>11</v>
      </c>
      <c r="M6" s="6" t="n">
        <v>0.0</v>
      </c>
      <c r="N6" s="6" t="n">
        <v>610000.0</v>
      </c>
      <c r="O6" s="6" t="n">
        <v>80000.0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706000</v>
      </c>
    </row>
    <row r="7" spans="1:21" x14ac:dyDescent="0.45">
      <c r="A7" t="s">
        <v>32</v>
      </c>
      <c r="B7" s="6" t="n">
        <v>0.0</v>
      </c>
      <c r="C7" s="6" t="n">
        <v>0.0</v>
      </c>
      <c r="D7" s="6" t="n">
        <v>980000.0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841000</v>
      </c>
      <c r="K7" s="6"/>
      <c r="L7" t="s">
        <v>32</v>
      </c>
      <c r="M7" s="6" t="n">
        <v>0.0</v>
      </c>
      <c r="N7" s="6" t="n">
        <v>0.0</v>
      </c>
      <c r="O7" s="6" t="n">
        <v>980000.0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841000</v>
      </c>
    </row>
    <row r="8" spans="1:21" x14ac:dyDescent="0.45">
      <c r="A8" t="s">
        <v>27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 si="1" t="shared"/>
        <v>0</v>
      </c>
      <c r="K8" s="6"/>
      <c r="L8" t="s">
        <v>27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45">
      <c r="A9" t="s">
        <v>28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28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45">
      <c r="A10" t="s">
        <v>29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29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45">
      <c r="A11" t="s">
        <v>30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30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45">
      <c r="A12" t="s">
        <v>31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31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45">
      <c r="A13" t="s">
        <v>16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16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2000</v>
      </c>
      <c r="K14" s="6"/>
      <c r="L14" t="s">
        <v>4</v>
      </c>
      <c r="M14" s="6" t="n">
        <v>0.0</v>
      </c>
      <c r="N14" s="6" t="n">
        <v>0.0</v>
      </c>
      <c r="O14" s="6" t="n">
        <v>0.0</v>
      </c>
      <c r="P14" s="6" t="n">
        <v>0.0</v>
      </c>
      <c r="Q14" s="6" t="n">
        <v>0.0</v>
      </c>
      <c r="R14" s="6" t="n">
        <v>0.0</v>
      </c>
      <c r="S14" s="6" t="n">
        <v>0.0</v>
      </c>
      <c r="T14" s="6" t="n">
        <v>0.0</v>
      </c>
      <c r="U14" s="6">
        <f si="0" t="shared"/>
        <v>2000</v>
      </c>
    </row>
    <row r="15" spans="1:21" x14ac:dyDescent="0.45">
      <c r="A15" s="4" t="s">
        <v>5</v>
      </c>
      <c r="B15" s="10" t="n">
        <v>0.0</v>
      </c>
      <c r="C15" s="10" t="n">
        <v>0.0</v>
      </c>
      <c r="D15" s="10" t="n">
        <v>0.0</v>
      </c>
      <c r="E15" s="10" t="n">
        <v>0.0</v>
      </c>
      <c r="F15" s="10" t="n">
        <v>0.0</v>
      </c>
      <c r="G15" s="10" t="n">
        <v>0.0</v>
      </c>
      <c r="H15" s="10" t="n">
        <v>20000.0</v>
      </c>
      <c r="I15" s="10" t="n">
        <v>0.0</v>
      </c>
      <c r="J15" s="6">
        <f si="1" t="shared"/>
        <v>36000</v>
      </c>
      <c r="K15" s="6"/>
      <c r="L15" s="4" t="s">
        <v>5</v>
      </c>
      <c r="M15" s="8" t="n">
        <v>0.0</v>
      </c>
      <c r="N15" s="8" t="n">
        <v>0.0</v>
      </c>
      <c r="O15" s="8" t="n">
        <v>0.0</v>
      </c>
      <c r="P15" s="8" t="n">
        <v>0.0</v>
      </c>
      <c r="Q15" s="8" t="n">
        <v>0.0</v>
      </c>
      <c r="R15" s="8" t="n">
        <v>0.0</v>
      </c>
      <c r="S15" s="8" t="n">
        <v>20000.0</v>
      </c>
      <c r="T15" s="8" t="n">
        <v>0.0</v>
      </c>
      <c r="U15" s="6">
        <f si="0" t="shared"/>
        <v>36000</v>
      </c>
    </row>
    <row ht="14.65" r="16" spans="1:21" thickBot="1" x14ac:dyDescent="0.5">
      <c r="A16" s="12" t="s">
        <v>7</v>
      </c>
      <c r="B16" s="16">
        <f ref="B16:J16" si="2" t="shared">SUM(B5:B15)</f>
        <v>2000</v>
      </c>
      <c r="C16" s="16">
        <f si="2" t="shared"/>
        <v>749000</v>
      </c>
      <c r="D16" s="16">
        <f si="2" t="shared"/>
        <v>1026000</v>
      </c>
      <c r="E16" s="16">
        <f si="2" t="shared"/>
        <v>0</v>
      </c>
      <c r="F16" s="16">
        <f si="2" t="shared"/>
        <v>0</v>
      </c>
      <c r="G16" s="16">
        <f si="2" t="shared"/>
        <v>2000</v>
      </c>
      <c r="H16" s="16">
        <f si="2" t="shared"/>
        <v>28000</v>
      </c>
      <c r="I16" s="16">
        <f si="2" t="shared"/>
        <v>0</v>
      </c>
      <c r="J16" s="16">
        <f si="2" t="shared"/>
        <v>1807000</v>
      </c>
      <c r="L16" s="9" t="s">
        <v>7</v>
      </c>
      <c r="M16" s="16">
        <f ref="M16:U16" si="3" t="shared">SUM(M5:M15)</f>
        <v>2000</v>
      </c>
      <c r="N16" s="16">
        <f si="3" t="shared"/>
        <v>749000</v>
      </c>
      <c r="O16" s="16">
        <f si="3" t="shared"/>
        <v>1026000</v>
      </c>
      <c r="P16" s="16">
        <f si="3" t="shared"/>
        <v>0</v>
      </c>
      <c r="Q16" s="16">
        <f si="3" t="shared"/>
        <v>0</v>
      </c>
      <c r="R16" s="16">
        <f si="3" t="shared"/>
        <v>2000</v>
      </c>
      <c r="S16" s="16">
        <f si="3" t="shared"/>
        <v>28000</v>
      </c>
      <c r="T16" s="16">
        <f si="3" t="shared"/>
        <v>0</v>
      </c>
      <c r="U16" s="16">
        <f si="3" t="shared"/>
        <v>1807000</v>
      </c>
    </row>
    <row r="17" spans="1:21" x14ac:dyDescent="0.45">
      <c r="E17" s="30">
        <f>E16/J16</f>
        <v>0</v>
      </c>
      <c r="F17" s="31">
        <f>F16/J16</f>
        <v>0</v>
      </c>
      <c r="P17" s="30">
        <f>P16/U16</f>
        <v>0</v>
      </c>
      <c r="Q17" s="31">
        <f>Q16/U16</f>
        <v>0</v>
      </c>
    </row>
    <row ht="14.65" r="19" spans="1:21" thickBot="1" x14ac:dyDescent="0.5">
      <c r="A19" s="1" t="s">
        <v>53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64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8" t="s">
        <v>19</v>
      </c>
      <c r="C20" s="38"/>
      <c r="D20" s="38"/>
      <c r="E20" s="38"/>
      <c r="F20" s="38"/>
      <c r="G20" s="38"/>
      <c r="H20" s="38"/>
      <c r="I20" s="38"/>
      <c r="J20" s="11"/>
      <c r="L20" s="3"/>
      <c r="M20" s="38" t="s">
        <v>19</v>
      </c>
      <c r="N20" s="38"/>
      <c r="O20" s="38"/>
      <c r="P20" s="38"/>
      <c r="Q20" s="38"/>
      <c r="R20" s="38"/>
      <c r="S20" s="38"/>
      <c r="T20" s="38"/>
      <c r="U20" s="38"/>
    </row>
    <row r="21" spans="1:21" x14ac:dyDescent="0.45">
      <c r="A21" s="4" t="s">
        <v>0</v>
      </c>
      <c r="B21" s="5" t="s">
        <v>10</v>
      </c>
      <c r="C21" s="5" t="s">
        <v>11</v>
      </c>
      <c r="D21" s="5" t="s">
        <v>12</v>
      </c>
      <c r="E21" s="5" t="s">
        <v>13</v>
      </c>
      <c r="F21" s="5" t="s">
        <v>14</v>
      </c>
      <c r="G21" s="5" t="s">
        <v>4</v>
      </c>
      <c r="H21" s="5" t="s">
        <v>5</v>
      </c>
      <c r="I21" s="5" t="s">
        <v>15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13</v>
      </c>
      <c r="Q21" s="5" t="s">
        <v>14</v>
      </c>
      <c r="R21" s="5" t="s">
        <v>4</v>
      </c>
      <c r="S21" s="5" t="s">
        <v>5</v>
      </c>
      <c r="T21" s="5" t="s">
        <v>15</v>
      </c>
      <c r="U21" s="5" t="s">
        <v>7</v>
      </c>
    </row>
    <row r="22" spans="1:21" x14ac:dyDescent="0.45">
      <c r="A22" t="s">
        <v>1</v>
      </c>
      <c r="B22" s="13">
        <f ref="B22:J22" si="4" t="shared">B5/B$16</f>
        <v>1</v>
      </c>
      <c r="C22" s="13">
        <f si="4" t="shared"/>
        <v>0.16288384512683579</v>
      </c>
      <c r="D22" s="13">
        <f si="4" t="shared"/>
        <v>9.5516569200779722E-2</v>
      </c>
      <c r="E22" s="13" t="e">
        <f si="4" t="shared"/>
        <v>#DIV/0!</v>
      </c>
      <c r="F22" s="13" t="e">
        <f si="4" t="shared"/>
        <v>#DIV/0!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0.12285556170448257</v>
      </c>
      <c r="K22" s="6"/>
      <c r="L22" t="s">
        <v>1</v>
      </c>
      <c r="M22" s="13">
        <f ref="M22:P22" si="5" t="shared">M5/M$16</f>
        <v>1</v>
      </c>
      <c r="N22" s="13">
        <f si="5" t="shared"/>
        <v>0.16288384512683579</v>
      </c>
      <c r="O22" s="13">
        <f si="5" t="shared"/>
        <v>9.5516569200779722E-2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0.12285556170448257</v>
      </c>
    </row>
    <row r="23" spans="1:21" x14ac:dyDescent="0.45">
      <c r="A23" t="s">
        <v>11</v>
      </c>
      <c r="B23" s="13">
        <f ref="B23:J23" si="7" t="shared">B6/B$16</f>
        <v>0</v>
      </c>
      <c r="C23" s="13">
        <f si="7" t="shared"/>
        <v>0.83444592790387184</v>
      </c>
      <c r="D23" s="13">
        <f si="7" t="shared"/>
        <v>7.8947368421052627E-2</v>
      </c>
      <c r="E23" s="13" t="e">
        <f si="7" t="shared"/>
        <v>#DIV/0!</v>
      </c>
      <c r="F23" s="13" t="e">
        <f si="7" t="shared"/>
        <v>#DIV/0!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0.39070282235749859</v>
      </c>
      <c r="K23" s="6"/>
      <c r="L23" t="s">
        <v>11</v>
      </c>
      <c r="M23" s="13">
        <f ref="M23:P23" si="8" t="shared">M6/M$16</f>
        <v>0</v>
      </c>
      <c r="N23" s="13">
        <f si="8" t="shared"/>
        <v>0.83444592790387184</v>
      </c>
      <c r="O23" s="13">
        <f si="8" t="shared"/>
        <v>7.8947368421052627E-2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0.39070282235749859</v>
      </c>
    </row>
    <row r="24" spans="1:21" x14ac:dyDescent="0.45">
      <c r="A24" t="s">
        <v>32</v>
      </c>
      <c r="B24" s="13">
        <f ref="B24:J24" si="9" t="shared">B7/B$16</f>
        <v>0</v>
      </c>
      <c r="C24" s="13">
        <f si="9" t="shared"/>
        <v>0</v>
      </c>
      <c r="D24" s="13">
        <f si="9" t="shared"/>
        <v>0.81968810916179335</v>
      </c>
      <c r="E24" s="13" t="e">
        <f si="9" t="shared"/>
        <v>#DIV/0!</v>
      </c>
      <c r="F24" s="13" t="e">
        <f si="9" t="shared"/>
        <v>#DIV/0!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0.46541228555617042</v>
      </c>
      <c r="K24" s="6"/>
      <c r="L24" t="s">
        <v>32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0.81968810916179335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0.46541228555617042</v>
      </c>
    </row>
    <row r="25" spans="1:21" x14ac:dyDescent="0.45">
      <c r="A25" t="s">
        <v>27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 t="e">
        <f si="11" t="shared"/>
        <v>#DIV/0!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0</v>
      </c>
      <c r="K25" s="6"/>
      <c r="L25" t="s">
        <v>27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45">
      <c r="A26" t="s">
        <v>28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 t="e">
        <f si="13" t="shared"/>
        <v>#DIV/0!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28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45">
      <c r="A27" t="s">
        <v>29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 t="e">
        <f si="15" t="shared"/>
        <v>#DIV/0!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29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45">
      <c r="A28" t="s">
        <v>30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 t="e">
        <f si="17" t="shared"/>
        <v>#DIV/0!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30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45">
      <c r="A29" t="s">
        <v>31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 t="e">
        <f si="19" t="shared"/>
        <v>#DIV/0!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31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45">
      <c r="A30" t="s">
        <v>16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 t="e">
        <f si="21" t="shared"/>
        <v>#DIV/0!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16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4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 t="e">
        <f si="23" t="shared"/>
        <v>#DIV/0!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1.1068068622025456E-3</v>
      </c>
      <c r="K31" s="6"/>
      <c r="L31" t="s">
        <v>4</v>
      </c>
      <c r="M31" s="13">
        <f ref="M31:P31" si="24" t="shared">M14/M$16</f>
        <v>0</v>
      </c>
      <c r="N31" s="13">
        <f si="24" t="shared"/>
        <v>0</v>
      </c>
      <c r="O31" s="13">
        <f si="24" t="shared"/>
        <v>0</v>
      </c>
      <c r="P31" s="13" t="e">
        <f si="24" t="shared"/>
        <v>#DIV/0!</v>
      </c>
      <c r="Q31" s="13" t="e">
        <f si="6" t="shared"/>
        <v>#DIV/0!</v>
      </c>
      <c r="R31" s="13">
        <f si="6" t="shared"/>
        <v>1</v>
      </c>
      <c r="S31" s="13">
        <f si="6" t="shared"/>
        <v>0</v>
      </c>
      <c r="T31" s="13" t="e">
        <f si="6" t="shared"/>
        <v>#DIV/0!</v>
      </c>
      <c r="U31" s="13">
        <f si="6" t="shared"/>
        <v>1.1068068622025456E-3</v>
      </c>
    </row>
    <row r="32" spans="1:21" x14ac:dyDescent="0.45">
      <c r="A32" s="4" t="s">
        <v>5</v>
      </c>
      <c r="B32" s="14">
        <f ref="B32:J32" si="25" t="shared">B15/B$16</f>
        <v>0</v>
      </c>
      <c r="C32" s="14">
        <f si="25" t="shared"/>
        <v>2.6702269692923898E-3</v>
      </c>
      <c r="D32" s="14">
        <f si="25" t="shared"/>
        <v>5.8479532163742687E-3</v>
      </c>
      <c r="E32" s="14" t="e">
        <f si="25" t="shared"/>
        <v>#DIV/0!</v>
      </c>
      <c r="F32" s="14" t="e">
        <f si="25" t="shared"/>
        <v>#DIV/0!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1.992252351964582E-2</v>
      </c>
      <c r="K32" s="6"/>
      <c r="L32" s="4" t="s">
        <v>5</v>
      </c>
      <c r="M32" s="14">
        <f ref="M32:P32" si="26" t="shared">M15/M$16</f>
        <v>0</v>
      </c>
      <c r="N32" s="14">
        <f si="26" t="shared"/>
        <v>2.6702269692923898E-3</v>
      </c>
      <c r="O32" s="14">
        <f si="26" t="shared"/>
        <v>5.8479532163742687E-3</v>
      </c>
      <c r="P32" s="14" t="e">
        <f si="26" t="shared"/>
        <v>#DIV/0!</v>
      </c>
      <c r="Q32" s="14" t="e">
        <f si="6" t="shared"/>
        <v>#DIV/0!</v>
      </c>
      <c r="R32" s="14">
        <f si="6" t="shared"/>
        <v>0</v>
      </c>
      <c r="S32" s="14">
        <f si="6" t="shared"/>
        <v>1</v>
      </c>
      <c r="T32" s="14" t="e">
        <f si="6" t="shared"/>
        <v>#DIV/0!</v>
      </c>
      <c r="U32" s="14">
        <f si="6" t="shared"/>
        <v>1.992252351964582E-2</v>
      </c>
    </row>
    <row ht="14.65" r="33" spans="1:32" thickBot="1" x14ac:dyDescent="0.5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 t="e">
        <f si="27" t="shared"/>
        <v>#DIV/0!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4.65" r="36" spans="1:32" thickBot="1" x14ac:dyDescent="0.5">
      <c r="L36" s="1" t="s">
        <v>65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8" t="s">
        <v>19</v>
      </c>
      <c r="N37" s="38"/>
      <c r="O37" s="38"/>
      <c r="P37" s="38"/>
      <c r="Q37" s="38"/>
      <c r="R37" s="38"/>
      <c r="S37" s="38"/>
      <c r="T37" s="38"/>
      <c r="U37" s="38"/>
    </row>
    <row r="38" spans="1:32" x14ac:dyDescent="0.45">
      <c r="L38" s="4" t="s">
        <v>0</v>
      </c>
      <c r="M38" s="5" t="s">
        <v>10</v>
      </c>
      <c r="N38" s="5" t="s">
        <v>11</v>
      </c>
      <c r="O38" s="5" t="s">
        <v>12</v>
      </c>
      <c r="P38" s="5" t="s">
        <v>13</v>
      </c>
      <c r="Q38" s="5" t="s">
        <v>14</v>
      </c>
      <c r="R38" s="5" t="s">
        <v>15</v>
      </c>
      <c r="S38" s="5" t="s">
        <v>4</v>
      </c>
      <c r="T38" s="5" t="s">
        <v>5</v>
      </c>
      <c r="U38" s="5" t="s">
        <v>7</v>
      </c>
    </row>
    <row r="39" spans="1:32" x14ac:dyDescent="0.45">
      <c r="L39" t="s">
        <v>1</v>
      </c>
      <c r="M39" s="13">
        <f ref="M39:P44" si="29" t="shared">M22-B22</f>
        <v>0</v>
      </c>
      <c r="N39" s="13">
        <f si="29" t="shared"/>
        <v>0</v>
      </c>
      <c r="O39" s="13">
        <f si="29" t="shared"/>
        <v>0</v>
      </c>
      <c r="P39" s="13" t="e">
        <f si="29" t="shared"/>
        <v>#DIV/0!</v>
      </c>
      <c r="Q39" s="13" t="e">
        <f ref="Q39:Q50" si="30" t="shared">Q22-F22</f>
        <v>#DIV/0!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11</v>
      </c>
      <c r="M40" s="13">
        <f si="29" t="shared"/>
        <v>0</v>
      </c>
      <c r="N40" s="13">
        <f si="29" t="shared"/>
        <v>0</v>
      </c>
      <c r="O40" s="13">
        <f si="29" t="shared"/>
        <v>0</v>
      </c>
      <c r="P40" s="13" t="e">
        <f si="29" t="shared"/>
        <v>#DIV/0!</v>
      </c>
      <c r="Q40" s="13" t="e">
        <f si="30" t="shared"/>
        <v>#DIV/0!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0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32</v>
      </c>
      <c r="M41" s="13">
        <f si="29" t="shared"/>
        <v>0</v>
      </c>
      <c r="N41" s="13">
        <f si="29" t="shared"/>
        <v>0</v>
      </c>
      <c r="O41" s="13">
        <f si="29" t="shared"/>
        <v>0</v>
      </c>
      <c r="P41" s="13" t="e">
        <f si="29" t="shared"/>
        <v>#DIV/0!</v>
      </c>
      <c r="Q41" s="13" t="e">
        <f si="30" t="shared"/>
        <v>#DIV/0!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0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27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28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29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30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31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16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ref="M48:P50" si="39" t="shared">M31-B31</f>
        <v>0</v>
      </c>
      <c r="N48" s="13">
        <f si="39" t="shared"/>
        <v>0</v>
      </c>
      <c r="O48" s="13">
        <f si="39" t="shared"/>
        <v>0</v>
      </c>
      <c r="P48" s="13" t="e">
        <f si="39" t="shared"/>
        <v>#DIV/0!</v>
      </c>
      <c r="Q48" s="13" t="e">
        <f si="30" t="shared"/>
        <v>#DIV/0!</v>
      </c>
      <c r="R48" s="13">
        <f si="31" t="shared"/>
        <v>0</v>
      </c>
      <c r="S48" s="13">
        <f si="32" t="shared"/>
        <v>0</v>
      </c>
      <c r="T48" s="13" t="e">
        <f si="33" t="shared"/>
        <v>#DIV/0!</v>
      </c>
      <c r="U48" s="13">
        <f si="34" t="shared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si="39" t="shared"/>
        <v>0</v>
      </c>
      <c r="N49" s="17">
        <f si="39" t="shared"/>
        <v>0</v>
      </c>
      <c r="O49" s="17">
        <f si="39" t="shared"/>
        <v>0</v>
      </c>
      <c r="P49" s="17" t="e">
        <f si="39" t="shared"/>
        <v>#DIV/0!</v>
      </c>
      <c r="Q49" s="17" t="e">
        <f si="30" t="shared"/>
        <v>#DIV/0!</v>
      </c>
      <c r="R49" s="17">
        <f si="31" t="shared"/>
        <v>0</v>
      </c>
      <c r="S49" s="17">
        <f si="32" t="shared"/>
        <v>0</v>
      </c>
      <c r="T49" s="17" t="e">
        <f si="33" t="shared"/>
        <v>#DIV/0!</v>
      </c>
      <c r="U49" s="13">
        <f si="34" t="shared"/>
        <v>0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4.65" r="50" spans="12:32" thickBot="1" x14ac:dyDescent="0.5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F50"/>
  <sheetViews>
    <sheetView workbookViewId="0">
      <selection activeCell="P17" sqref="P17:Q17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ht="14.65" r="2" spans="1:21" thickBot="1" x14ac:dyDescent="0.5">
      <c r="A2" s="1" t="s">
        <v>52</v>
      </c>
      <c r="B2" s="1"/>
      <c r="C2" s="2"/>
      <c r="D2" s="2"/>
      <c r="E2" s="2"/>
      <c r="F2" s="2"/>
      <c r="G2" s="2"/>
      <c r="H2" s="2"/>
      <c r="I2" s="2"/>
      <c r="J2" s="2"/>
      <c r="L2" s="1" t="s">
        <v>66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8" t="s">
        <v>20</v>
      </c>
      <c r="C3" s="38"/>
      <c r="D3" s="38"/>
      <c r="E3" s="38"/>
      <c r="F3" s="38"/>
      <c r="G3" s="38"/>
      <c r="H3" s="38"/>
      <c r="I3" s="38"/>
      <c r="J3" s="11"/>
      <c r="L3" s="3"/>
      <c r="M3" s="38" t="s">
        <v>20</v>
      </c>
      <c r="N3" s="38"/>
      <c r="O3" s="38"/>
      <c r="P3" s="38"/>
      <c r="Q3" s="38"/>
      <c r="R3" s="38"/>
      <c r="S3" s="38"/>
      <c r="T3" s="38"/>
      <c r="U3" s="38"/>
    </row>
    <row r="4" spans="1:21" x14ac:dyDescent="0.45">
      <c r="A4" s="4" t="s">
        <v>0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4</v>
      </c>
      <c r="H4" s="5" t="s">
        <v>5</v>
      </c>
      <c r="I4" s="5" t="s">
        <v>15</v>
      </c>
      <c r="J4" s="5" t="s">
        <v>7</v>
      </c>
      <c r="L4" s="4" t="s">
        <v>0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4</v>
      </c>
      <c r="S4" s="5" t="s">
        <v>5</v>
      </c>
      <c r="T4" s="5" t="s">
        <v>15</v>
      </c>
      <c r="U4" s="5" t="s">
        <v>7</v>
      </c>
    </row>
    <row r="5" spans="1:21" x14ac:dyDescent="0.45">
      <c r="A5" t="s">
        <v>1</v>
      </c>
      <c r="B5" s="6" t="n">
        <v>810000.0</v>
      </c>
      <c r="C5" s="6" t="n">
        <v>90000.0</v>
      </c>
      <c r="D5" s="6" t="n">
        <v>10000.0</v>
      </c>
      <c r="E5" s="6" t="n">
        <v>0.0</v>
      </c>
      <c r="F5" s="6" t="n">
        <v>10000.0</v>
      </c>
      <c r="G5" s="6" t="n">
        <v>0.0</v>
      </c>
      <c r="H5" s="6" t="n">
        <v>0.0</v>
      </c>
      <c r="I5" s="6" t="n">
        <v>0.0</v>
      </c>
      <c r="J5" s="6">
        <f>SUM(B5:I5)</f>
        <v>758000</v>
      </c>
      <c r="K5" s="6"/>
      <c r="L5" t="s">
        <v>1</v>
      </c>
      <c r="M5" s="6" t="n">
        <v>810000.0</v>
      </c>
      <c r="N5" s="6" t="n">
        <v>90000.0</v>
      </c>
      <c r="O5" s="6" t="n">
        <v>10000.0</v>
      </c>
      <c r="P5" s="6" t="n">
        <v>0.0</v>
      </c>
      <c r="Q5" s="6" t="n">
        <v>10000.0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758000</v>
      </c>
    </row>
    <row r="6" spans="1:21" x14ac:dyDescent="0.45">
      <c r="A6" t="s">
        <v>11</v>
      </c>
      <c r="B6" s="6" t="n">
        <v>0.0</v>
      </c>
      <c r="C6" s="6" t="n">
        <v>250000.0</v>
      </c>
      <c r="D6" s="6" t="n">
        <v>10000.0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185000</v>
      </c>
      <c r="K6" s="6"/>
      <c r="L6" t="s">
        <v>11</v>
      </c>
      <c r="M6" s="6" t="n">
        <v>0.0</v>
      </c>
      <c r="N6" s="6" t="n">
        <v>250000.0</v>
      </c>
      <c r="O6" s="6" t="n">
        <v>10000.0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185000</v>
      </c>
    </row>
    <row r="7" spans="1:21" x14ac:dyDescent="0.45">
      <c r="A7" t="s">
        <v>32</v>
      </c>
      <c r="B7" s="6" t="n">
        <v>0.0</v>
      </c>
      <c r="C7" s="6" t="n">
        <v>0.0</v>
      </c>
      <c r="D7" s="6" t="n">
        <v>50000.0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115000</v>
      </c>
      <c r="K7" s="6"/>
      <c r="L7" t="s">
        <v>32</v>
      </c>
      <c r="M7" s="6" t="n">
        <v>0.0</v>
      </c>
      <c r="N7" s="6" t="n">
        <v>0.0</v>
      </c>
      <c r="O7" s="6" t="n">
        <v>50000.0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115000</v>
      </c>
    </row>
    <row r="8" spans="1:21" x14ac:dyDescent="0.45">
      <c r="A8" t="s">
        <v>27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30000.0</v>
      </c>
      <c r="G8" s="6" t="n">
        <v>0.0</v>
      </c>
      <c r="H8" s="6" t="n">
        <v>0.0</v>
      </c>
      <c r="I8" s="6" t="n">
        <v>0.0</v>
      </c>
      <c r="J8" s="6">
        <f si="1" t="shared"/>
        <v>7000</v>
      </c>
      <c r="K8" s="6"/>
      <c r="L8" t="s">
        <v>27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30000.0</v>
      </c>
      <c r="R8" s="6" t="n">
        <v>0.0</v>
      </c>
      <c r="S8" s="6" t="n">
        <v>0.0</v>
      </c>
      <c r="T8" s="6" t="n">
        <v>0.0</v>
      </c>
      <c r="U8" s="6">
        <f si="0" t="shared"/>
        <v>7000</v>
      </c>
    </row>
    <row r="9" spans="1:21" x14ac:dyDescent="0.45">
      <c r="A9" t="s">
        <v>28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28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45">
      <c r="A10" t="s">
        <v>29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29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45">
      <c r="A11" t="s">
        <v>30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30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45">
      <c r="A12" t="s">
        <v>31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31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45">
      <c r="A13" t="s">
        <v>16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16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6000</v>
      </c>
      <c r="K14" s="6"/>
      <c r="L14" t="s">
        <v>4</v>
      </c>
      <c r="M14" s="6" t="n">
        <v>0.0</v>
      </c>
      <c r="N14" s="6" t="n">
        <v>0.0</v>
      </c>
      <c r="O14" s="6" t="n">
        <v>0.0</v>
      </c>
      <c r="P14" s="6" t="n">
        <v>0.0</v>
      </c>
      <c r="Q14" s="6" t="n">
        <v>0.0</v>
      </c>
      <c r="R14" s="6" t="n">
        <v>0.0</v>
      </c>
      <c r="S14" s="6" t="n">
        <v>0.0</v>
      </c>
      <c r="T14" s="6" t="n">
        <v>0.0</v>
      </c>
      <c r="U14" s="6">
        <f si="0" t="shared"/>
        <v>6000</v>
      </c>
    </row>
    <row r="15" spans="1:21" x14ac:dyDescent="0.45">
      <c r="A15" s="4" t="s">
        <v>5</v>
      </c>
      <c r="B15" s="10" t="n">
        <v>0.0</v>
      </c>
      <c r="C15" s="10" t="n">
        <v>0.0</v>
      </c>
      <c r="D15" s="10" t="n">
        <v>0.0</v>
      </c>
      <c r="E15" s="10" t="n">
        <v>0.0</v>
      </c>
      <c r="F15" s="10" t="n">
        <v>20000.0</v>
      </c>
      <c r="G15" s="10" t="n">
        <v>0.0</v>
      </c>
      <c r="H15" s="10" t="n">
        <v>80000.0</v>
      </c>
      <c r="I15" s="10" t="n">
        <v>0.0</v>
      </c>
      <c r="J15" s="6">
        <f si="1" t="shared"/>
        <v>52000</v>
      </c>
      <c r="K15" s="6"/>
      <c r="L15" s="4" t="s">
        <v>5</v>
      </c>
      <c r="M15" s="8" t="n">
        <v>0.0</v>
      </c>
      <c r="N15" s="8" t="n">
        <v>0.0</v>
      </c>
      <c r="O15" s="8" t="n">
        <v>0.0</v>
      </c>
      <c r="P15" s="8" t="n">
        <v>0.0</v>
      </c>
      <c r="Q15" s="8" t="n">
        <v>20000.0</v>
      </c>
      <c r="R15" s="8" t="n">
        <v>0.0</v>
      </c>
      <c r="S15" s="8" t="n">
        <v>80000.0</v>
      </c>
      <c r="T15" s="8" t="n">
        <v>0.0</v>
      </c>
      <c r="U15" s="6">
        <f si="0" t="shared"/>
        <v>52000</v>
      </c>
    </row>
    <row ht="14.65" r="16" spans="1:21" thickBot="1" x14ac:dyDescent="0.5">
      <c r="A16" s="12" t="s">
        <v>7</v>
      </c>
      <c r="B16" s="16">
        <f ref="B16:J16" si="2" t="shared">SUM(B5:B15)</f>
        <v>680000</v>
      </c>
      <c r="C16" s="16">
        <f si="2" t="shared"/>
        <v>230000</v>
      </c>
      <c r="D16" s="16">
        <f si="2" t="shared"/>
        <v>150000</v>
      </c>
      <c r="E16" s="16">
        <f si="2" t="shared"/>
        <v>0</v>
      </c>
      <c r="F16" s="16">
        <f si="2" t="shared"/>
        <v>15000</v>
      </c>
      <c r="G16" s="16">
        <f si="2" t="shared"/>
        <v>6000</v>
      </c>
      <c r="H16" s="16">
        <f si="2" t="shared"/>
        <v>42000</v>
      </c>
      <c r="I16" s="16">
        <f si="2" t="shared"/>
        <v>0</v>
      </c>
      <c r="J16" s="16">
        <f si="2" t="shared"/>
        <v>1123000</v>
      </c>
      <c r="L16" s="9" t="s">
        <v>7</v>
      </c>
      <c r="M16" s="16">
        <f ref="M16:U16" si="3" t="shared">SUM(M5:M15)</f>
        <v>680000</v>
      </c>
      <c r="N16" s="16">
        <f si="3" t="shared"/>
        <v>230000</v>
      </c>
      <c r="O16" s="16">
        <f si="3" t="shared"/>
        <v>150000</v>
      </c>
      <c r="P16" s="16">
        <f si="3" t="shared"/>
        <v>0</v>
      </c>
      <c r="Q16" s="16">
        <f si="3" t="shared"/>
        <v>15000</v>
      </c>
      <c r="R16" s="16">
        <f si="3" t="shared"/>
        <v>6000</v>
      </c>
      <c r="S16" s="16">
        <f si="3" t="shared"/>
        <v>42000</v>
      </c>
      <c r="T16" s="16">
        <f si="3" t="shared"/>
        <v>0</v>
      </c>
      <c r="U16" s="16">
        <f si="3" t="shared"/>
        <v>1123000</v>
      </c>
    </row>
    <row r="17" spans="1:21" x14ac:dyDescent="0.45">
      <c r="E17" s="30">
        <f>E16/J16</f>
        <v>0</v>
      </c>
      <c r="F17" s="31">
        <f>F16/J16</f>
        <v>1.3357079252003561E-2</v>
      </c>
      <c r="P17" s="30">
        <f>P16/U16</f>
        <v>0</v>
      </c>
      <c r="Q17" s="31">
        <f>Q16/U16</f>
        <v>1.3357079252003561E-2</v>
      </c>
    </row>
    <row ht="14.65" r="19" spans="1:21" thickBot="1" x14ac:dyDescent="0.5">
      <c r="A19" s="1" t="s">
        <v>53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67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8" t="s">
        <v>20</v>
      </c>
      <c r="C20" s="38"/>
      <c r="D20" s="38"/>
      <c r="E20" s="38"/>
      <c r="F20" s="38"/>
      <c r="G20" s="38"/>
      <c r="H20" s="38"/>
      <c r="I20" s="38"/>
      <c r="J20" s="11"/>
      <c r="L20" s="3"/>
      <c r="M20" s="38" t="s">
        <v>20</v>
      </c>
      <c r="N20" s="38"/>
      <c r="O20" s="38"/>
      <c r="P20" s="38"/>
      <c r="Q20" s="38"/>
      <c r="R20" s="38"/>
      <c r="S20" s="38"/>
      <c r="T20" s="38"/>
      <c r="U20" s="38"/>
    </row>
    <row r="21" spans="1:21" x14ac:dyDescent="0.45">
      <c r="A21" s="4" t="s">
        <v>0</v>
      </c>
      <c r="B21" s="5" t="s">
        <v>10</v>
      </c>
      <c r="C21" s="5" t="s">
        <v>11</v>
      </c>
      <c r="D21" s="5" t="s">
        <v>12</v>
      </c>
      <c r="E21" s="5" t="s">
        <v>13</v>
      </c>
      <c r="F21" s="5" t="s">
        <v>14</v>
      </c>
      <c r="G21" s="5" t="s">
        <v>4</v>
      </c>
      <c r="H21" s="5" t="s">
        <v>5</v>
      </c>
      <c r="I21" s="5" t="s">
        <v>15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13</v>
      </c>
      <c r="Q21" s="5" t="s">
        <v>14</v>
      </c>
      <c r="R21" s="5" t="s">
        <v>4</v>
      </c>
      <c r="S21" s="5" t="s">
        <v>5</v>
      </c>
      <c r="T21" s="5" t="s">
        <v>15</v>
      </c>
      <c r="U21" s="5" t="s">
        <v>7</v>
      </c>
    </row>
    <row r="22" spans="1:21" x14ac:dyDescent="0.45">
      <c r="A22" t="s">
        <v>1</v>
      </c>
      <c r="B22" s="13">
        <f ref="B22:J22" si="4" t="shared">B5/B$16</f>
        <v>0.99852941176470589</v>
      </c>
      <c r="C22" s="13">
        <f si="4" t="shared"/>
        <v>0.22173913043478261</v>
      </c>
      <c r="D22" s="13">
        <f si="4" t="shared"/>
        <v>0.18</v>
      </c>
      <c r="E22" s="13" t="e">
        <f si="4" t="shared"/>
        <v>#DIV/0!</v>
      </c>
      <c r="F22" s="13">
        <f si="4" t="shared"/>
        <v>6.6666666666666666E-2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0.67497773820124662</v>
      </c>
      <c r="K22" s="6"/>
      <c r="L22" t="s">
        <v>1</v>
      </c>
      <c r="M22" s="13">
        <f ref="M22:P22" si="5" t="shared">M5/M$16</f>
        <v>0.99852941176470589</v>
      </c>
      <c r="N22" s="13">
        <f si="5" t="shared"/>
        <v>0.22173913043478261</v>
      </c>
      <c r="O22" s="13">
        <f si="5" t="shared"/>
        <v>0.18</v>
      </c>
      <c r="P22" s="13" t="e">
        <f si="5" t="shared"/>
        <v>#DIV/0!</v>
      </c>
      <c r="Q22" s="13">
        <f ref="Q22:U33" si="6" t="shared">Q5/Q$16</f>
        <v>6.6666666666666666E-2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0.67497773820124662</v>
      </c>
    </row>
    <row r="23" spans="1:21" x14ac:dyDescent="0.45">
      <c r="A23" t="s">
        <v>11</v>
      </c>
      <c r="B23" s="13">
        <f ref="B23:J23" si="7" t="shared">B6/B$16</f>
        <v>0</v>
      </c>
      <c r="C23" s="13">
        <f si="7" t="shared"/>
        <v>0.76086956521739135</v>
      </c>
      <c r="D23" s="13">
        <f si="7" t="shared"/>
        <v>0.06</v>
      </c>
      <c r="E23" s="13" t="e">
        <f si="7" t="shared"/>
        <v>#DIV/0!</v>
      </c>
      <c r="F23" s="13">
        <f si="7" t="shared"/>
        <v>6.6666666666666666E-2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0.1647373107747106</v>
      </c>
      <c r="K23" s="6"/>
      <c r="L23" t="s">
        <v>11</v>
      </c>
      <c r="M23" s="13">
        <f ref="M23:P23" si="8" t="shared">M6/M$16</f>
        <v>0</v>
      </c>
      <c r="N23" s="13">
        <f si="8" t="shared"/>
        <v>0.76086956521739135</v>
      </c>
      <c r="O23" s="13">
        <f si="8" t="shared"/>
        <v>0.06</v>
      </c>
      <c r="P23" s="13" t="e">
        <f si="8" t="shared"/>
        <v>#DIV/0!</v>
      </c>
      <c r="Q23" s="13">
        <f si="6" t="shared"/>
        <v>6.6666666666666666E-2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0.1647373107747106</v>
      </c>
    </row>
    <row r="24" spans="1:21" x14ac:dyDescent="0.45">
      <c r="A24" t="s">
        <v>32</v>
      </c>
      <c r="B24" s="13">
        <f ref="B24:J24" si="9" t="shared">B7/B$16</f>
        <v>0</v>
      </c>
      <c r="C24" s="13">
        <f si="9" t="shared"/>
        <v>0</v>
      </c>
      <c r="D24" s="13">
        <f si="9" t="shared"/>
        <v>0.76</v>
      </c>
      <c r="E24" s="13" t="e">
        <f si="9" t="shared"/>
        <v>#DIV/0!</v>
      </c>
      <c r="F24" s="13">
        <f si="9" t="shared"/>
        <v>6.6666666666666666E-2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0.10240427426536064</v>
      </c>
      <c r="K24" s="6"/>
      <c r="L24" t="s">
        <v>32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0.76</v>
      </c>
      <c r="P24" s="13" t="e">
        <f si="10" t="shared"/>
        <v>#DIV/0!</v>
      </c>
      <c r="Q24" s="13">
        <f si="6" t="shared"/>
        <v>6.6666666666666666E-2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0.10240427426536064</v>
      </c>
    </row>
    <row r="25" spans="1:21" x14ac:dyDescent="0.45">
      <c r="A25" t="s">
        <v>27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0.46666666666666667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6.2333036509349959E-3</v>
      </c>
      <c r="K25" s="6"/>
      <c r="L25" t="s">
        <v>27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0.46666666666666667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6.2333036509349959E-3</v>
      </c>
    </row>
    <row r="26" spans="1:21" x14ac:dyDescent="0.45">
      <c r="A26" t="s">
        <v>28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28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45">
      <c r="A27" t="s">
        <v>29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29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45">
      <c r="A28" t="s">
        <v>30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30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45">
      <c r="A29" t="s">
        <v>31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31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45">
      <c r="A30" t="s">
        <v>16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4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5.3428317008014248E-3</v>
      </c>
      <c r="K31" s="6"/>
      <c r="L31" t="s">
        <v>4</v>
      </c>
      <c r="M31" s="13">
        <f ref="M31:P31" si="24" t="shared">M14/M$16</f>
        <v>0</v>
      </c>
      <c r="N31" s="13">
        <f si="24" t="shared"/>
        <v>0</v>
      </c>
      <c r="O31" s="13">
        <f si="24" t="shared"/>
        <v>0</v>
      </c>
      <c r="P31" s="13" t="e">
        <f si="24" t="shared"/>
        <v>#DIV/0!</v>
      </c>
      <c r="Q31" s="13">
        <f si="6" t="shared"/>
        <v>0</v>
      </c>
      <c r="R31" s="13">
        <f si="6" t="shared"/>
        <v>1</v>
      </c>
      <c r="S31" s="13">
        <f si="6" t="shared"/>
        <v>0</v>
      </c>
      <c r="T31" s="13" t="e">
        <f si="6" t="shared"/>
        <v>#DIV/0!</v>
      </c>
      <c r="U31" s="13">
        <f si="6" t="shared"/>
        <v>5.3428317008014248E-3</v>
      </c>
    </row>
    <row r="32" spans="1:21" x14ac:dyDescent="0.45">
      <c r="A32" s="4" t="s">
        <v>5</v>
      </c>
      <c r="B32" s="14">
        <f ref="B32:J32" si="25" t="shared">B15/B$16</f>
        <v>1.4705882352941176E-3</v>
      </c>
      <c r="C32" s="14">
        <f si="25" t="shared"/>
        <v>1.7391304347826087E-2</v>
      </c>
      <c r="D32" s="14">
        <f si="25" t="shared"/>
        <v>0</v>
      </c>
      <c r="E32" s="14" t="e">
        <f si="25" t="shared"/>
        <v>#DIV/0!</v>
      </c>
      <c r="F32" s="14">
        <f si="25" t="shared"/>
        <v>0.33333333333333331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4.6304541406945683E-2</v>
      </c>
      <c r="K32" s="6"/>
      <c r="L32" s="4" t="s">
        <v>5</v>
      </c>
      <c r="M32" s="14">
        <f ref="M32:P32" si="26" t="shared">M15/M$16</f>
        <v>1.4705882352941176E-3</v>
      </c>
      <c r="N32" s="14">
        <f si="26" t="shared"/>
        <v>1.7391304347826087E-2</v>
      </c>
      <c r="O32" s="14">
        <f si="26" t="shared"/>
        <v>0</v>
      </c>
      <c r="P32" s="14" t="e">
        <f si="26" t="shared"/>
        <v>#DIV/0!</v>
      </c>
      <c r="Q32" s="14">
        <f si="6" t="shared"/>
        <v>0.33333333333333331</v>
      </c>
      <c r="R32" s="14">
        <f si="6" t="shared"/>
        <v>0</v>
      </c>
      <c r="S32" s="14">
        <f si="6" t="shared"/>
        <v>1</v>
      </c>
      <c r="T32" s="14" t="e">
        <f si="6" t="shared"/>
        <v>#DIV/0!</v>
      </c>
      <c r="U32" s="14">
        <f si="6" t="shared"/>
        <v>4.6304541406945683E-2</v>
      </c>
    </row>
    <row ht="14.65" r="33" spans="1:32" thickBot="1" x14ac:dyDescent="0.5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4.65" r="36" spans="1:32" thickBot="1" x14ac:dyDescent="0.5">
      <c r="L36" s="1" t="s">
        <v>68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8" t="s">
        <v>20</v>
      </c>
      <c r="N37" s="38"/>
      <c r="O37" s="38"/>
      <c r="P37" s="38"/>
      <c r="Q37" s="38"/>
      <c r="R37" s="38"/>
      <c r="S37" s="38"/>
      <c r="T37" s="38"/>
      <c r="U37" s="38"/>
    </row>
    <row r="38" spans="1:32" x14ac:dyDescent="0.45">
      <c r="L38" s="4" t="s">
        <v>0</v>
      </c>
      <c r="M38" s="5" t="s">
        <v>10</v>
      </c>
      <c r="N38" s="5" t="s">
        <v>11</v>
      </c>
      <c r="O38" s="5" t="s">
        <v>12</v>
      </c>
      <c r="P38" s="5" t="s">
        <v>13</v>
      </c>
      <c r="Q38" s="5" t="s">
        <v>14</v>
      </c>
      <c r="R38" s="5" t="s">
        <v>4</v>
      </c>
      <c r="S38" s="5" t="s">
        <v>5</v>
      </c>
      <c r="T38" s="5" t="s">
        <v>15</v>
      </c>
      <c r="U38" s="5" t="s">
        <v>7</v>
      </c>
    </row>
    <row r="39" spans="1:32" x14ac:dyDescent="0.45">
      <c r="L39" t="s">
        <v>1</v>
      </c>
      <c r="M39" s="13">
        <f ref="M39:P44" si="29" t="shared">M22-B22</f>
        <v>0</v>
      </c>
      <c r="N39" s="13">
        <f si="29" t="shared"/>
        <v>0</v>
      </c>
      <c r="O39" s="13">
        <f si="29" t="shared"/>
        <v>0</v>
      </c>
      <c r="P39" s="13" t="e">
        <f si="29" t="shared"/>
        <v>#DIV/0!</v>
      </c>
      <c r="Q39" s="13">
        <f ref="Q39:Q50" si="30" t="shared">Q22-F22</f>
        <v>0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11</v>
      </c>
      <c r="M40" s="13">
        <f si="29" t="shared"/>
        <v>0</v>
      </c>
      <c r="N40" s="13">
        <f si="29" t="shared"/>
        <v>0</v>
      </c>
      <c r="O40" s="13">
        <f si="29" t="shared"/>
        <v>0</v>
      </c>
      <c r="P40" s="13" t="e">
        <f si="29" t="shared"/>
        <v>#DIV/0!</v>
      </c>
      <c r="Q40" s="13">
        <f si="30" t="shared"/>
        <v>0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0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32</v>
      </c>
      <c r="M41" s="13">
        <f si="29" t="shared"/>
        <v>0</v>
      </c>
      <c r="N41" s="13">
        <f si="29" t="shared"/>
        <v>0</v>
      </c>
      <c r="O41" s="13">
        <f si="29" t="shared"/>
        <v>0</v>
      </c>
      <c r="P41" s="13" t="e">
        <f si="29" t="shared"/>
        <v>#DIV/0!</v>
      </c>
      <c r="Q41" s="13">
        <f si="30" t="shared"/>
        <v>0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0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27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28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29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30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31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16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ref="M48:P50" si="39" t="shared">M31-B31</f>
        <v>0</v>
      </c>
      <c r="N48" s="13">
        <f si="39" t="shared"/>
        <v>0</v>
      </c>
      <c r="O48" s="13">
        <f si="39" t="shared"/>
        <v>0</v>
      </c>
      <c r="P48" s="13" t="e">
        <f si="39" t="shared"/>
        <v>#DIV/0!</v>
      </c>
      <c r="Q48" s="13">
        <f si="30" t="shared"/>
        <v>0</v>
      </c>
      <c r="R48" s="13">
        <f si="31" t="shared"/>
        <v>0</v>
      </c>
      <c r="S48" s="13">
        <f si="32" t="shared"/>
        <v>0</v>
      </c>
      <c r="T48" s="13" t="e">
        <f si="33" t="shared"/>
        <v>#DIV/0!</v>
      </c>
      <c r="U48" s="13">
        <f si="34" t="shared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si="39" t="shared"/>
        <v>0</v>
      </c>
      <c r="N49" s="17">
        <f si="39" t="shared"/>
        <v>0</v>
      </c>
      <c r="O49" s="17">
        <f si="39" t="shared"/>
        <v>0</v>
      </c>
      <c r="P49" s="17" t="e">
        <f si="39" t="shared"/>
        <v>#DIV/0!</v>
      </c>
      <c r="Q49" s="17">
        <f si="30" t="shared"/>
        <v>0</v>
      </c>
      <c r="R49" s="17">
        <f si="31" t="shared"/>
        <v>0</v>
      </c>
      <c r="S49" s="17">
        <f si="32" t="shared"/>
        <v>0</v>
      </c>
      <c r="T49" s="17" t="e">
        <f si="33" t="shared"/>
        <v>#DIV/0!</v>
      </c>
      <c r="U49" s="13">
        <f si="34" t="shared"/>
        <v>0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4.65" r="50" spans="12:32" thickBot="1" x14ac:dyDescent="0.5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F50"/>
  <sheetViews>
    <sheetView workbookViewId="0">
      <selection activeCell="P17" sqref="P17:Q17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ht="14.65" r="2" spans="1:21" thickBot="1" x14ac:dyDescent="0.5">
      <c r="A2" s="1" t="s">
        <v>52</v>
      </c>
      <c r="B2" s="1"/>
      <c r="C2" s="2"/>
      <c r="D2" s="2"/>
      <c r="E2" s="2"/>
      <c r="F2" s="2"/>
      <c r="G2" s="2"/>
      <c r="H2" s="2"/>
      <c r="I2" s="2"/>
      <c r="J2" s="2"/>
      <c r="L2" s="1" t="s">
        <v>69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8" t="s">
        <v>33</v>
      </c>
      <c r="C3" s="38"/>
      <c r="D3" s="38"/>
      <c r="E3" s="38"/>
      <c r="F3" s="38"/>
      <c r="G3" s="38"/>
      <c r="H3" s="38"/>
      <c r="I3" s="38"/>
      <c r="J3" s="11"/>
      <c r="L3" s="3"/>
      <c r="M3" s="39" t="s">
        <v>33</v>
      </c>
      <c r="N3" s="39"/>
      <c r="O3" s="39"/>
      <c r="P3" s="39"/>
      <c r="Q3" s="39"/>
      <c r="R3" s="39"/>
      <c r="S3" s="39"/>
      <c r="T3" s="39"/>
      <c r="U3" s="39"/>
    </row>
    <row r="4" spans="1:21" x14ac:dyDescent="0.45">
      <c r="A4" s="4" t="s">
        <v>0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4</v>
      </c>
      <c r="H4" s="5" t="s">
        <v>5</v>
      </c>
      <c r="I4" s="5" t="s">
        <v>15</v>
      </c>
      <c r="J4" s="5" t="s">
        <v>7</v>
      </c>
      <c r="L4" s="4" t="s">
        <v>0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4</v>
      </c>
      <c r="S4" s="5" t="s">
        <v>5</v>
      </c>
      <c r="T4" s="5" t="s">
        <v>15</v>
      </c>
      <c r="U4" s="5" t="s">
        <v>7</v>
      </c>
    </row>
    <row r="5" spans="1:21" x14ac:dyDescent="0.45">
      <c r="A5" t="s">
        <v>1</v>
      </c>
      <c r="B5" s="6" t="n">
        <v>240000.0</v>
      </c>
      <c r="C5" s="6" t="n">
        <v>40000.0</v>
      </c>
      <c r="D5" s="6" t="n">
        <v>10000.0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245000</v>
      </c>
      <c r="K5" s="6"/>
      <c r="L5" t="s">
        <v>1</v>
      </c>
      <c r="M5" s="6" t="n">
        <v>240000.0</v>
      </c>
      <c r="N5" s="6" t="n">
        <v>40000.0</v>
      </c>
      <c r="O5" s="6" t="n">
        <v>10000.0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245000</v>
      </c>
    </row>
    <row r="6" spans="1:21" x14ac:dyDescent="0.45">
      <c r="A6" t="s">
        <v>11</v>
      </c>
      <c r="B6" s="6" t="n">
        <v>0.0</v>
      </c>
      <c r="C6" s="6" t="n">
        <v>70000.0</v>
      </c>
      <c r="D6" s="6" t="n">
        <v>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74000</v>
      </c>
      <c r="K6" s="6"/>
      <c r="L6" t="s">
        <v>11</v>
      </c>
      <c r="M6" s="6" t="n">
        <v>0.0</v>
      </c>
      <c r="N6" s="6" t="n">
        <v>70000.0</v>
      </c>
      <c r="O6" s="6" t="n">
        <v>0.0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74000</v>
      </c>
    </row>
    <row r="7" spans="1:21" x14ac:dyDescent="0.45">
      <c r="A7" t="s">
        <v>32</v>
      </c>
      <c r="B7" s="6" t="n">
        <v>0.0</v>
      </c>
      <c r="C7" s="6" t="n">
        <v>0.0</v>
      </c>
      <c r="D7" s="6" t="n">
        <v>30000.0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24000</v>
      </c>
      <c r="K7" s="6"/>
      <c r="L7" t="s">
        <v>32</v>
      </c>
      <c r="M7" s="6" t="n">
        <v>0.0</v>
      </c>
      <c r="N7" s="6" t="n">
        <v>0.0</v>
      </c>
      <c r="O7" s="6" t="n">
        <v>30000.0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24000</v>
      </c>
    </row>
    <row r="8" spans="1:21" x14ac:dyDescent="0.45">
      <c r="A8" t="s">
        <v>27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 si="1" t="shared"/>
        <v>1000</v>
      </c>
      <c r="K8" s="6"/>
      <c r="L8" t="s">
        <v>27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1000</v>
      </c>
    </row>
    <row r="9" spans="1:21" x14ac:dyDescent="0.45">
      <c r="A9" t="s">
        <v>28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28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45">
      <c r="A10" t="s">
        <v>29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29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45">
      <c r="A11" t="s">
        <v>30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30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45">
      <c r="A12" t="s">
        <v>31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31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45">
      <c r="A13" t="s">
        <v>16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16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1000</v>
      </c>
      <c r="K14" s="6"/>
      <c r="L14" t="s">
        <v>4</v>
      </c>
      <c r="M14" s="6" t="n">
        <v>0.0</v>
      </c>
      <c r="N14" s="6" t="n">
        <v>0.0</v>
      </c>
      <c r="O14" s="6" t="n">
        <v>0.0</v>
      </c>
      <c r="P14" s="6" t="n">
        <v>0.0</v>
      </c>
      <c r="Q14" s="6" t="n">
        <v>0.0</v>
      </c>
      <c r="R14" s="6" t="n">
        <v>0.0</v>
      </c>
      <c r="S14" s="6" t="n">
        <v>0.0</v>
      </c>
      <c r="T14" s="6" t="n">
        <v>0.0</v>
      </c>
      <c r="U14" s="6">
        <f si="0" t="shared"/>
        <v>1000</v>
      </c>
    </row>
    <row r="15" spans="1:21" x14ac:dyDescent="0.45">
      <c r="A15" s="4" t="s">
        <v>5</v>
      </c>
      <c r="B15" s="10" t="n">
        <v>0.0</v>
      </c>
      <c r="C15" s="10" t="n">
        <v>0.0</v>
      </c>
      <c r="D15" s="10" t="n">
        <v>0.0</v>
      </c>
      <c r="E15" s="10" t="n">
        <v>0.0</v>
      </c>
      <c r="F15" s="10" t="n">
        <v>0.0</v>
      </c>
      <c r="G15" s="10" t="n">
        <v>0.0</v>
      </c>
      <c r="H15" s="10" t="n">
        <v>0.0</v>
      </c>
      <c r="I15" s="10" t="n">
        <v>0.0</v>
      </c>
      <c r="J15" s="6">
        <f si="1" t="shared"/>
        <v>5000</v>
      </c>
      <c r="K15" s="6"/>
      <c r="L15" s="4" t="s">
        <v>5</v>
      </c>
      <c r="M15" s="8" t="n">
        <v>0.0</v>
      </c>
      <c r="N15" s="8" t="n">
        <v>0.0</v>
      </c>
      <c r="O15" s="8" t="n">
        <v>0.0</v>
      </c>
      <c r="P15" s="8" t="n">
        <v>0.0</v>
      </c>
      <c r="Q15" s="8" t="n">
        <v>0.0</v>
      </c>
      <c r="R15" s="8" t="n">
        <v>0.0</v>
      </c>
      <c r="S15" s="8" t="n">
        <v>0.0</v>
      </c>
      <c r="T15" s="8" t="n">
        <v>0.0</v>
      </c>
      <c r="U15" s="6">
        <f si="0" t="shared"/>
        <v>5000</v>
      </c>
    </row>
    <row ht="14.65" r="16" spans="1:21" thickBot="1" x14ac:dyDescent="0.5">
      <c r="A16" s="12" t="s">
        <v>7</v>
      </c>
      <c r="B16" s="16">
        <f ref="B16:J16" si="2" t="shared">SUM(B5:B15)</f>
        <v>221000</v>
      </c>
      <c r="C16" s="16">
        <f si="2" t="shared"/>
        <v>95000</v>
      </c>
      <c r="D16" s="16">
        <f si="2" t="shared"/>
        <v>27000</v>
      </c>
      <c r="E16" s="16">
        <f si="2" t="shared"/>
        <v>0</v>
      </c>
      <c r="F16" s="16">
        <f si="2" t="shared"/>
        <v>3000</v>
      </c>
      <c r="G16" s="16">
        <f si="2" t="shared"/>
        <v>2000</v>
      </c>
      <c r="H16" s="16">
        <f si="2" t="shared"/>
        <v>2000</v>
      </c>
      <c r="I16" s="16">
        <f si="2" t="shared"/>
        <v>0</v>
      </c>
      <c r="J16" s="16">
        <f si="2" t="shared"/>
        <v>350000</v>
      </c>
      <c r="L16" s="9" t="s">
        <v>7</v>
      </c>
      <c r="M16" s="16">
        <f ref="M16:U16" si="3" t="shared">SUM(M5:M15)</f>
        <v>221000</v>
      </c>
      <c r="N16" s="16">
        <f si="3" t="shared"/>
        <v>95000</v>
      </c>
      <c r="O16" s="16">
        <f si="3" t="shared"/>
        <v>27000</v>
      </c>
      <c r="P16" s="16">
        <f si="3" t="shared"/>
        <v>0</v>
      </c>
      <c r="Q16" s="16">
        <f si="3" t="shared"/>
        <v>3000</v>
      </c>
      <c r="R16" s="16">
        <f si="3" t="shared"/>
        <v>2000</v>
      </c>
      <c r="S16" s="16">
        <f si="3" t="shared"/>
        <v>2000</v>
      </c>
      <c r="T16" s="16">
        <f si="3" t="shared"/>
        <v>0</v>
      </c>
      <c r="U16" s="16">
        <f si="3" t="shared"/>
        <v>350000</v>
      </c>
    </row>
    <row r="17" spans="1:21" x14ac:dyDescent="0.45">
      <c r="E17" s="30">
        <f>E16/J16</f>
        <v>0</v>
      </c>
      <c r="F17" s="31">
        <f>F16/J16</f>
        <v>8.5714285714285719E-3</v>
      </c>
      <c r="P17" s="30">
        <f>P16/U16</f>
        <v>0</v>
      </c>
      <c r="Q17" s="31">
        <f>Q16/U16</f>
        <v>8.5714285714285719E-3</v>
      </c>
    </row>
    <row ht="14.65" r="19" spans="1:21" thickBot="1" x14ac:dyDescent="0.5">
      <c r="A19" s="1" t="s">
        <v>53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70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8" t="s">
        <v>33</v>
      </c>
      <c r="C20" s="38"/>
      <c r="D20" s="38"/>
      <c r="E20" s="38"/>
      <c r="F20" s="38"/>
      <c r="G20" s="38"/>
      <c r="H20" s="38"/>
      <c r="I20" s="38"/>
      <c r="J20" s="11"/>
      <c r="L20" s="3"/>
      <c r="M20" s="39" t="s">
        <v>33</v>
      </c>
      <c r="N20" s="39"/>
      <c r="O20" s="39"/>
      <c r="P20" s="39"/>
      <c r="Q20" s="39"/>
      <c r="R20" s="39"/>
      <c r="S20" s="39"/>
      <c r="T20" s="39"/>
      <c r="U20" s="39"/>
    </row>
    <row r="21" spans="1:21" x14ac:dyDescent="0.45">
      <c r="A21" s="4" t="s">
        <v>0</v>
      </c>
      <c r="B21" s="5" t="s">
        <v>10</v>
      </c>
      <c r="C21" s="5" t="s">
        <v>11</v>
      </c>
      <c r="D21" s="5" t="s">
        <v>12</v>
      </c>
      <c r="E21" s="5" t="s">
        <v>13</v>
      </c>
      <c r="F21" s="5" t="s">
        <v>14</v>
      </c>
      <c r="G21" s="5" t="s">
        <v>4</v>
      </c>
      <c r="H21" s="5" t="s">
        <v>5</v>
      </c>
      <c r="I21" s="5" t="s">
        <v>15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13</v>
      </c>
      <c r="Q21" s="5" t="s">
        <v>14</v>
      </c>
      <c r="R21" s="5" t="s">
        <v>4</v>
      </c>
      <c r="S21" s="5" t="s">
        <v>5</v>
      </c>
      <c r="T21" s="5" t="s">
        <v>15</v>
      </c>
      <c r="U21" s="5" t="s">
        <v>7</v>
      </c>
    </row>
    <row r="22" spans="1:21" x14ac:dyDescent="0.45">
      <c r="A22" t="s">
        <v>1</v>
      </c>
      <c r="B22" s="13">
        <f ref="B22:J22" si="4" t="shared">B5/B$16</f>
        <v>1</v>
      </c>
      <c r="C22" s="13">
        <f si="4" t="shared"/>
        <v>0.22105263157894736</v>
      </c>
      <c r="D22" s="13">
        <f si="4" t="shared"/>
        <v>0.1111111111111111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0.7</v>
      </c>
      <c r="K22" s="6"/>
      <c r="L22" t="s">
        <v>1</v>
      </c>
      <c r="M22" s="13">
        <f ref="M22:P22" si="5" t="shared">M5/M$16</f>
        <v>1</v>
      </c>
      <c r="N22" s="13">
        <f si="5" t="shared"/>
        <v>0.22105263157894736</v>
      </c>
      <c r="O22" s="13">
        <f si="5" t="shared"/>
        <v>0.1111111111111111</v>
      </c>
      <c r="P22" s="13" t="e">
        <f si="5" t="shared"/>
        <v>#DIV/0!</v>
      </c>
      <c r="Q22" s="13">
        <f ref="Q22:U33" si="6" t="shared">Q5/Q$16</f>
        <v>0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0.7</v>
      </c>
    </row>
    <row r="23" spans="1:21" x14ac:dyDescent="0.45">
      <c r="A23" t="s">
        <v>11</v>
      </c>
      <c r="B23" s="13">
        <f ref="B23:J23" si="7" t="shared">B6/B$16</f>
        <v>0</v>
      </c>
      <c r="C23" s="13">
        <f si="7" t="shared"/>
        <v>0.77894736842105261</v>
      </c>
      <c r="D23" s="13">
        <f si="7" t="shared"/>
        <v>0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0.21142857142857144</v>
      </c>
      <c r="K23" s="6"/>
      <c r="L23" t="s">
        <v>11</v>
      </c>
      <c r="M23" s="13">
        <f ref="M23:P23" si="8" t="shared">M6/M$16</f>
        <v>0</v>
      </c>
      <c r="N23" s="13">
        <f si="8" t="shared"/>
        <v>0.77894736842105261</v>
      </c>
      <c r="O23" s="13">
        <f si="8" t="shared"/>
        <v>0</v>
      </c>
      <c r="P23" s="13" t="e">
        <f si="8" t="shared"/>
        <v>#DIV/0!</v>
      </c>
      <c r="Q23" s="13">
        <f si="6" t="shared"/>
        <v>0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0.21142857142857144</v>
      </c>
    </row>
    <row r="24" spans="1:21" x14ac:dyDescent="0.45">
      <c r="A24" t="s">
        <v>32</v>
      </c>
      <c r="B24" s="13">
        <f ref="B24:J24" si="9" t="shared">B7/B$16</f>
        <v>0</v>
      </c>
      <c r="C24" s="13">
        <f si="9" t="shared"/>
        <v>0</v>
      </c>
      <c r="D24" s="13">
        <f si="9" t="shared"/>
        <v>0.88888888888888884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6.8571428571428575E-2</v>
      </c>
      <c r="K24" s="6"/>
      <c r="L24" t="s">
        <v>32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0.88888888888888884</v>
      </c>
      <c r="P24" s="13" t="e">
        <f si="10" t="shared"/>
        <v>#DIV/0!</v>
      </c>
      <c r="Q24" s="13">
        <f si="6" t="shared"/>
        <v>0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6.8571428571428575E-2</v>
      </c>
    </row>
    <row r="25" spans="1:21" x14ac:dyDescent="0.45">
      <c r="A25" t="s">
        <v>27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0.33333333333333331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2.8571428571428571E-3</v>
      </c>
      <c r="K25" s="6"/>
      <c r="L25" t="s">
        <v>27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0.33333333333333331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2.8571428571428571E-3</v>
      </c>
    </row>
    <row r="26" spans="1:21" x14ac:dyDescent="0.45">
      <c r="A26" t="s">
        <v>28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28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45">
      <c r="A27" t="s">
        <v>29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29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45">
      <c r="A28" t="s">
        <v>30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30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45">
      <c r="A29" t="s">
        <v>31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31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45">
      <c r="A30" t="s">
        <v>16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16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4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0.5</v>
      </c>
      <c r="H31" s="13">
        <f si="23" t="shared"/>
        <v>0</v>
      </c>
      <c r="I31" s="13" t="e">
        <f si="23" t="shared"/>
        <v>#DIV/0!</v>
      </c>
      <c r="J31" s="13">
        <f si="23" t="shared"/>
        <v>2.8571428571428571E-3</v>
      </c>
      <c r="K31" s="6"/>
      <c r="L31" t="s">
        <v>4</v>
      </c>
      <c r="M31" s="13">
        <f ref="M31:P31" si="24" t="shared">M14/M$16</f>
        <v>0</v>
      </c>
      <c r="N31" s="13">
        <f si="24" t="shared"/>
        <v>0</v>
      </c>
      <c r="O31" s="13">
        <f si="24" t="shared"/>
        <v>0</v>
      </c>
      <c r="P31" s="13" t="e">
        <f si="24" t="shared"/>
        <v>#DIV/0!</v>
      </c>
      <c r="Q31" s="13">
        <f si="6" t="shared"/>
        <v>0</v>
      </c>
      <c r="R31" s="13">
        <f si="6" t="shared"/>
        <v>0.5</v>
      </c>
      <c r="S31" s="13">
        <f si="6" t="shared"/>
        <v>0</v>
      </c>
      <c r="T31" s="13" t="e">
        <f si="6" t="shared"/>
        <v>#DIV/0!</v>
      </c>
      <c r="U31" s="13">
        <f si="6" t="shared"/>
        <v>2.8571428571428571E-3</v>
      </c>
    </row>
    <row r="32" spans="1:21" x14ac:dyDescent="0.45">
      <c r="A32" s="4" t="s">
        <v>5</v>
      </c>
      <c r="B32" s="14">
        <f ref="B32:J32" si="25" t="shared">B15/B$16</f>
        <v>0</v>
      </c>
      <c r="C32" s="14">
        <f si="25" t="shared"/>
        <v>0</v>
      </c>
      <c r="D32" s="14">
        <f si="25" t="shared"/>
        <v>0</v>
      </c>
      <c r="E32" s="14" t="e">
        <f si="25" t="shared"/>
        <v>#DIV/0!</v>
      </c>
      <c r="F32" s="14">
        <f si="25" t="shared"/>
        <v>0.66666666666666663</v>
      </c>
      <c r="G32" s="14">
        <f si="25" t="shared"/>
        <v>0.5</v>
      </c>
      <c r="H32" s="14">
        <f si="25" t="shared"/>
        <v>1</v>
      </c>
      <c r="I32" s="14" t="e">
        <f si="25" t="shared"/>
        <v>#DIV/0!</v>
      </c>
      <c r="J32" s="14">
        <f si="25" t="shared"/>
        <v>1.4285714285714285E-2</v>
      </c>
      <c r="K32" s="6"/>
      <c r="L32" s="4" t="s">
        <v>5</v>
      </c>
      <c r="M32" s="14">
        <f ref="M32:P32" si="26" t="shared">M15/M$16</f>
        <v>0</v>
      </c>
      <c r="N32" s="14">
        <f si="26" t="shared"/>
        <v>0</v>
      </c>
      <c r="O32" s="14">
        <f si="26" t="shared"/>
        <v>0</v>
      </c>
      <c r="P32" s="14" t="e">
        <f si="26" t="shared"/>
        <v>#DIV/0!</v>
      </c>
      <c r="Q32" s="14">
        <f si="6" t="shared"/>
        <v>0.66666666666666663</v>
      </c>
      <c r="R32" s="14">
        <f si="6" t="shared"/>
        <v>0.5</v>
      </c>
      <c r="S32" s="14">
        <f si="6" t="shared"/>
        <v>1</v>
      </c>
      <c r="T32" s="14" t="e">
        <f si="6" t="shared"/>
        <v>#DIV/0!</v>
      </c>
      <c r="U32" s="14">
        <f si="6" t="shared"/>
        <v>1.4285714285714285E-2</v>
      </c>
    </row>
    <row ht="14.65" r="33" spans="1:32" thickBot="1" x14ac:dyDescent="0.5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4.65" r="36" spans="1:32" thickBot="1" x14ac:dyDescent="0.5">
      <c r="L36" s="1" t="s">
        <v>71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9" t="s">
        <v>33</v>
      </c>
      <c r="N37" s="39"/>
      <c r="O37" s="39"/>
      <c r="P37" s="39"/>
      <c r="Q37" s="39"/>
      <c r="R37" s="39"/>
      <c r="S37" s="39"/>
      <c r="T37" s="39"/>
      <c r="U37" s="39"/>
    </row>
    <row r="38" spans="1:32" x14ac:dyDescent="0.45">
      <c r="L38" s="4" t="s">
        <v>0</v>
      </c>
      <c r="M38" s="5" t="s">
        <v>10</v>
      </c>
      <c r="N38" s="5" t="s">
        <v>11</v>
      </c>
      <c r="O38" s="5" t="s">
        <v>12</v>
      </c>
      <c r="P38" s="5" t="s">
        <v>13</v>
      </c>
      <c r="Q38" s="5" t="s">
        <v>14</v>
      </c>
      <c r="R38" s="5" t="s">
        <v>4</v>
      </c>
      <c r="S38" s="5" t="s">
        <v>5</v>
      </c>
      <c r="T38" s="5" t="s">
        <v>15</v>
      </c>
      <c r="U38" s="5" t="s">
        <v>7</v>
      </c>
    </row>
    <row r="39" spans="1:32" x14ac:dyDescent="0.45">
      <c r="L39" t="s">
        <v>1</v>
      </c>
      <c r="M39" s="13">
        <f ref="M39:P44" si="29" t="shared">M22-B22</f>
        <v>0</v>
      </c>
      <c r="N39" s="13">
        <f si="29" t="shared"/>
        <v>0</v>
      </c>
      <c r="O39" s="13">
        <f si="29" t="shared"/>
        <v>0</v>
      </c>
      <c r="P39" s="13" t="e">
        <f si="29" t="shared"/>
        <v>#DIV/0!</v>
      </c>
      <c r="Q39" s="13">
        <f ref="Q39:Q50" si="30" t="shared">Q22-F22</f>
        <v>0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11</v>
      </c>
      <c r="M40" s="13">
        <f si="29" t="shared"/>
        <v>0</v>
      </c>
      <c r="N40" s="13">
        <f si="29" t="shared"/>
        <v>0</v>
      </c>
      <c r="O40" s="13">
        <f si="29" t="shared"/>
        <v>0</v>
      </c>
      <c r="P40" s="13" t="e">
        <f si="29" t="shared"/>
        <v>#DIV/0!</v>
      </c>
      <c r="Q40" s="13">
        <f si="30" t="shared"/>
        <v>0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0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32</v>
      </c>
      <c r="M41" s="13">
        <f si="29" t="shared"/>
        <v>0</v>
      </c>
      <c r="N41" s="13">
        <f si="29" t="shared"/>
        <v>0</v>
      </c>
      <c r="O41" s="13">
        <f si="29" t="shared"/>
        <v>0</v>
      </c>
      <c r="P41" s="13" t="e">
        <f si="29" t="shared"/>
        <v>#DIV/0!</v>
      </c>
      <c r="Q41" s="13">
        <f si="30" t="shared"/>
        <v>0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0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27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28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29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30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31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16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ref="M48:P50" si="39" t="shared">M31-B31</f>
        <v>0</v>
      </c>
      <c r="N48" s="13">
        <f si="39" t="shared"/>
        <v>0</v>
      </c>
      <c r="O48" s="13">
        <f si="39" t="shared"/>
        <v>0</v>
      </c>
      <c r="P48" s="13" t="e">
        <f si="39" t="shared"/>
        <v>#DIV/0!</v>
      </c>
      <c r="Q48" s="13">
        <f si="30" t="shared"/>
        <v>0</v>
      </c>
      <c r="R48" s="13">
        <f si="31" t="shared"/>
        <v>0</v>
      </c>
      <c r="S48" s="13">
        <f si="32" t="shared"/>
        <v>0</v>
      </c>
      <c r="T48" s="13" t="e">
        <f si="33" t="shared"/>
        <v>#DIV/0!</v>
      </c>
      <c r="U48" s="13">
        <f si="34" t="shared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si="39" t="shared"/>
        <v>0</v>
      </c>
      <c r="N49" s="17">
        <f si="39" t="shared"/>
        <v>0</v>
      </c>
      <c r="O49" s="17">
        <f si="39" t="shared"/>
        <v>0</v>
      </c>
      <c r="P49" s="17" t="e">
        <f si="39" t="shared"/>
        <v>#DIV/0!</v>
      </c>
      <c r="Q49" s="17">
        <f si="30" t="shared"/>
        <v>0</v>
      </c>
      <c r="R49" s="17">
        <f si="31" t="shared"/>
        <v>0</v>
      </c>
      <c r="S49" s="17">
        <f si="32" t="shared"/>
        <v>0</v>
      </c>
      <c r="T49" s="17" t="e">
        <f si="33" t="shared"/>
        <v>#DIV/0!</v>
      </c>
      <c r="U49" s="13">
        <f si="34" t="shared"/>
        <v>0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4.65" r="50" spans="12:32" thickBot="1" x14ac:dyDescent="0.5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F50"/>
  <sheetViews>
    <sheetView workbookViewId="0">
      <selection activeCell="P17" sqref="P17:Q17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ht="14.65" r="2" spans="1:21" thickBot="1" x14ac:dyDescent="0.5">
      <c r="A2" s="1" t="s">
        <v>52</v>
      </c>
      <c r="B2" s="1"/>
      <c r="C2" s="2"/>
      <c r="D2" s="2"/>
      <c r="E2" s="2"/>
      <c r="F2" s="2"/>
      <c r="G2" s="2"/>
      <c r="H2" s="2"/>
      <c r="I2" s="2"/>
      <c r="J2" s="2"/>
      <c r="L2" s="1" t="s">
        <v>72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8" t="s">
        <v>21</v>
      </c>
      <c r="C3" s="39"/>
      <c r="D3" s="39"/>
      <c r="E3" s="39"/>
      <c r="F3" s="39"/>
      <c r="G3" s="39"/>
      <c r="H3" s="39"/>
      <c r="I3" s="39"/>
      <c r="J3" s="11"/>
      <c r="L3" s="3"/>
      <c r="M3" s="38" t="s">
        <v>21</v>
      </c>
      <c r="N3" s="39"/>
      <c r="O3" s="39"/>
      <c r="P3" s="39"/>
      <c r="Q3" s="39"/>
      <c r="R3" s="39"/>
      <c r="S3" s="39"/>
      <c r="T3" s="39"/>
      <c r="U3" s="39"/>
    </row>
    <row r="4" spans="1:21" x14ac:dyDescent="0.45">
      <c r="A4" s="4" t="s">
        <v>0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4</v>
      </c>
      <c r="H4" s="5" t="s">
        <v>5</v>
      </c>
      <c r="I4" s="5" t="s">
        <v>15</v>
      </c>
      <c r="J4" s="5" t="s">
        <v>7</v>
      </c>
      <c r="L4" s="4" t="s">
        <v>0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4</v>
      </c>
      <c r="S4" s="5" t="s">
        <v>5</v>
      </c>
      <c r="T4" s="5" t="s">
        <v>15</v>
      </c>
      <c r="U4" s="5" t="s">
        <v>7</v>
      </c>
    </row>
    <row r="5" spans="1:21" x14ac:dyDescent="0.45">
      <c r="A5" t="s">
        <v>1</v>
      </c>
      <c r="B5" s="6" t="n">
        <v>180000.0</v>
      </c>
      <c r="C5" s="6" t="n">
        <v>50000.0</v>
      </c>
      <c r="D5" s="6" t="n">
        <v>30000.0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239000</v>
      </c>
      <c r="K5" s="6"/>
      <c r="L5" t="s">
        <v>1</v>
      </c>
      <c r="M5" s="6" t="n">
        <v>180000.0</v>
      </c>
      <c r="N5" s="6" t="n">
        <v>50000.0</v>
      </c>
      <c r="O5" s="6" t="n">
        <v>30000.0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239000</v>
      </c>
    </row>
    <row r="6" spans="1:21" x14ac:dyDescent="0.45">
      <c r="A6" t="s">
        <v>11</v>
      </c>
      <c r="B6" s="6" t="n">
        <v>0.0</v>
      </c>
      <c r="C6" s="6" t="n">
        <v>190000.0</v>
      </c>
      <c r="D6" s="6" t="n">
        <v>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240000</v>
      </c>
      <c r="K6" s="6"/>
      <c r="L6" t="s">
        <v>11</v>
      </c>
      <c r="M6" s="6" t="n">
        <v>0.0</v>
      </c>
      <c r="N6" s="6" t="n">
        <v>190000.0</v>
      </c>
      <c r="O6" s="6" t="n">
        <v>0.0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240000</v>
      </c>
    </row>
    <row r="7" spans="1:21" x14ac:dyDescent="0.45">
      <c r="A7" t="s">
        <v>32</v>
      </c>
      <c r="B7" s="6" t="n">
        <v>0.0</v>
      </c>
      <c r="C7" s="6" t="n">
        <v>0.0</v>
      </c>
      <c r="D7" s="6" t="n">
        <v>60000.0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125000</v>
      </c>
      <c r="K7" s="6"/>
      <c r="L7" t="s">
        <v>32</v>
      </c>
      <c r="M7" s="6" t="n">
        <v>0.0</v>
      </c>
      <c r="N7" s="6" t="n">
        <v>0.0</v>
      </c>
      <c r="O7" s="6" t="n">
        <v>60000.0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125000</v>
      </c>
    </row>
    <row r="8" spans="1:21" x14ac:dyDescent="0.45">
      <c r="A8" t="s">
        <v>27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20000.0</v>
      </c>
      <c r="G8" s="6" t="n">
        <v>0.0</v>
      </c>
      <c r="H8" s="6" t="n">
        <v>0.0</v>
      </c>
      <c r="I8" s="6" t="n">
        <v>0.0</v>
      </c>
      <c r="J8" s="6">
        <f si="1" t="shared"/>
        <v>2000</v>
      </c>
      <c r="K8" s="6"/>
      <c r="L8" t="s">
        <v>27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20000.0</v>
      </c>
      <c r="R8" s="6" t="n">
        <v>0.0</v>
      </c>
      <c r="S8" s="6" t="n">
        <v>0.0</v>
      </c>
      <c r="T8" s="6" t="n">
        <v>0.0</v>
      </c>
      <c r="U8" s="6">
        <f si="0" t="shared"/>
        <v>2000</v>
      </c>
    </row>
    <row r="9" spans="1:21" x14ac:dyDescent="0.45">
      <c r="A9" t="s">
        <v>28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28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45">
      <c r="A10" t="s">
        <v>29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29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45">
      <c r="A11" t="s">
        <v>30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30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45">
      <c r="A12" t="s">
        <v>31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31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45">
      <c r="A13" t="s">
        <v>16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16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0</v>
      </c>
      <c r="K14" s="6"/>
      <c r="L14" t="s">
        <v>4</v>
      </c>
      <c r="M14" s="6" t="n">
        <v>0.0</v>
      </c>
      <c r="N14" s="6" t="n">
        <v>0.0</v>
      </c>
      <c r="O14" s="6" t="n">
        <v>0.0</v>
      </c>
      <c r="P14" s="6" t="n">
        <v>0.0</v>
      </c>
      <c r="Q14" s="6" t="n">
        <v>0.0</v>
      </c>
      <c r="R14" s="6" t="n">
        <v>0.0</v>
      </c>
      <c r="S14" s="6" t="n">
        <v>0.0</v>
      </c>
      <c r="T14" s="6" t="n">
        <v>0.0</v>
      </c>
      <c r="U14" s="6">
        <f si="0" t="shared"/>
        <v>0</v>
      </c>
    </row>
    <row r="15" spans="1:21" x14ac:dyDescent="0.45">
      <c r="A15" s="4" t="s">
        <v>5</v>
      </c>
      <c r="B15" s="10" t="n">
        <v>0.0</v>
      </c>
      <c r="C15" s="10" t="n">
        <v>0.0</v>
      </c>
      <c r="D15" s="10" t="n">
        <v>0.0</v>
      </c>
      <c r="E15" s="10" t="n">
        <v>0.0</v>
      </c>
      <c r="F15" s="10" t="n">
        <v>0.0</v>
      </c>
      <c r="G15" s="10" t="n">
        <v>0.0</v>
      </c>
      <c r="H15" s="10" t="n">
        <v>50000.0</v>
      </c>
      <c r="I15" s="10" t="n">
        <v>0.0</v>
      </c>
      <c r="J15" s="6">
        <f si="1" t="shared"/>
        <v>59000</v>
      </c>
      <c r="K15" s="6"/>
      <c r="L15" s="4" t="s">
        <v>5</v>
      </c>
      <c r="M15" s="8" t="n">
        <v>0.0</v>
      </c>
      <c r="N15" s="8" t="n">
        <v>0.0</v>
      </c>
      <c r="O15" s="8" t="n">
        <v>0.0</v>
      </c>
      <c r="P15" s="8" t="n">
        <v>0.0</v>
      </c>
      <c r="Q15" s="8" t="n">
        <v>0.0</v>
      </c>
      <c r="R15" s="8" t="n">
        <v>0.0</v>
      </c>
      <c r="S15" s="8" t="n">
        <v>50000.0</v>
      </c>
      <c r="T15" s="8" t="n">
        <v>0.0</v>
      </c>
      <c r="U15" s="6">
        <f si="0" t="shared"/>
        <v>59000</v>
      </c>
    </row>
    <row ht="14.65" r="16" spans="1:21" thickBot="1" x14ac:dyDescent="0.5">
      <c r="A16" s="12" t="s">
        <v>7</v>
      </c>
      <c r="B16" s="16">
        <f ref="B16:J16" si="2" t="shared">SUM(B5:B15)</f>
        <v>195000</v>
      </c>
      <c r="C16" s="16">
        <f si="2" t="shared"/>
        <v>269000</v>
      </c>
      <c r="D16" s="16">
        <f si="2" t="shared"/>
        <v>141000</v>
      </c>
      <c r="E16" s="16">
        <f si="2" t="shared"/>
        <v>0</v>
      </c>
      <c r="F16" s="16">
        <f si="2" t="shared"/>
        <v>2000</v>
      </c>
      <c r="G16" s="16">
        <f si="2" t="shared"/>
        <v>0</v>
      </c>
      <c r="H16" s="16">
        <f si="2" t="shared"/>
        <v>58000</v>
      </c>
      <c r="I16" s="16">
        <f si="2" t="shared"/>
        <v>0</v>
      </c>
      <c r="J16" s="16">
        <f si="2" t="shared"/>
        <v>665000</v>
      </c>
      <c r="L16" s="9" t="s">
        <v>7</v>
      </c>
      <c r="M16" s="16">
        <f ref="M16:U16" si="3" t="shared">SUM(M5:M15)</f>
        <v>195000</v>
      </c>
      <c r="N16" s="16">
        <f si="3" t="shared"/>
        <v>269000</v>
      </c>
      <c r="O16" s="16">
        <f si="3" t="shared"/>
        <v>141000</v>
      </c>
      <c r="P16" s="16">
        <f si="3" t="shared"/>
        <v>0</v>
      </c>
      <c r="Q16" s="16">
        <f si="3" t="shared"/>
        <v>2000</v>
      </c>
      <c r="R16" s="16">
        <f si="3" t="shared"/>
        <v>0</v>
      </c>
      <c r="S16" s="16">
        <f si="3" t="shared"/>
        <v>58000</v>
      </c>
      <c r="T16" s="16">
        <f si="3" t="shared"/>
        <v>0</v>
      </c>
      <c r="U16" s="16">
        <f si="3" t="shared"/>
        <v>665000</v>
      </c>
    </row>
    <row r="17" spans="1:21" x14ac:dyDescent="0.45">
      <c r="E17" s="30">
        <f>E16/J16</f>
        <v>0</v>
      </c>
      <c r="F17" s="31">
        <f>F16/J16</f>
        <v>3.0075187969924814E-3</v>
      </c>
      <c r="P17" s="30">
        <f>P16/U16</f>
        <v>0</v>
      </c>
      <c r="Q17" s="31">
        <f>Q16/U16</f>
        <v>3.0075187969924814E-3</v>
      </c>
    </row>
    <row ht="14.65" r="19" spans="1:21" thickBot="1" x14ac:dyDescent="0.5">
      <c r="A19" s="1" t="s">
        <v>53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73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8" t="s">
        <v>21</v>
      </c>
      <c r="C20" s="39"/>
      <c r="D20" s="39"/>
      <c r="E20" s="39"/>
      <c r="F20" s="39"/>
      <c r="G20" s="39"/>
      <c r="H20" s="39"/>
      <c r="I20" s="39"/>
      <c r="J20" s="11"/>
      <c r="L20" s="3"/>
      <c r="M20" s="38" t="s">
        <v>21</v>
      </c>
      <c r="N20" s="39"/>
      <c r="O20" s="39"/>
      <c r="P20" s="39"/>
      <c r="Q20" s="39"/>
      <c r="R20" s="39"/>
      <c r="S20" s="39"/>
      <c r="T20" s="39"/>
      <c r="U20" s="39"/>
    </row>
    <row r="21" spans="1:21" x14ac:dyDescent="0.45">
      <c r="A21" s="4" t="s">
        <v>0</v>
      </c>
      <c r="B21" s="5" t="s">
        <v>10</v>
      </c>
      <c r="C21" s="5" t="s">
        <v>11</v>
      </c>
      <c r="D21" s="5" t="s">
        <v>12</v>
      </c>
      <c r="E21" s="5" t="s">
        <v>13</v>
      </c>
      <c r="F21" s="5" t="s">
        <v>14</v>
      </c>
      <c r="G21" s="5" t="s">
        <v>4</v>
      </c>
      <c r="H21" s="5" t="s">
        <v>5</v>
      </c>
      <c r="I21" s="5" t="s">
        <v>15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13</v>
      </c>
      <c r="Q21" s="5" t="s">
        <v>14</v>
      </c>
      <c r="R21" s="5" t="s">
        <v>4</v>
      </c>
      <c r="S21" s="5" t="s">
        <v>5</v>
      </c>
      <c r="T21" s="5" t="s">
        <v>15</v>
      </c>
      <c r="U21" s="5" t="s">
        <v>7</v>
      </c>
    </row>
    <row r="22" spans="1:21" x14ac:dyDescent="0.45">
      <c r="A22" t="s">
        <v>1</v>
      </c>
      <c r="B22" s="13">
        <f ref="B22:J22" si="4" t="shared">B5/B$16</f>
        <v>1</v>
      </c>
      <c r="C22" s="13">
        <f si="4" t="shared"/>
        <v>0.11895910780669144</v>
      </c>
      <c r="D22" s="13">
        <f si="4" t="shared"/>
        <v>8.5106382978723402E-2</v>
      </c>
      <c r="E22" s="13" t="e">
        <f si="4" t="shared"/>
        <v>#DIV/0!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 t="e">
        <f si="4" t="shared"/>
        <v>#DIV/0!</v>
      </c>
      <c r="J22" s="13">
        <f si="4" t="shared"/>
        <v>0.35939849624060149</v>
      </c>
      <c r="K22" s="6"/>
      <c r="L22" t="s">
        <v>1</v>
      </c>
      <c r="M22" s="13">
        <f ref="M22:P22" si="5" t="shared">M5/M$16</f>
        <v>1</v>
      </c>
      <c r="N22" s="13">
        <f si="5" t="shared"/>
        <v>0.11895910780669144</v>
      </c>
      <c r="O22" s="13">
        <f si="5" t="shared"/>
        <v>8.5106382978723402E-2</v>
      </c>
      <c r="P22" s="13" t="e">
        <f si="5" t="shared"/>
        <v>#DIV/0!</v>
      </c>
      <c r="Q22" s="13">
        <f ref="Q22:U33" si="6" t="shared">Q5/Q$16</f>
        <v>0</v>
      </c>
      <c r="R22" s="13" t="e">
        <f si="6" t="shared"/>
        <v>#DIV/0!</v>
      </c>
      <c r="S22" s="13">
        <f si="6" t="shared"/>
        <v>0</v>
      </c>
      <c r="T22" s="13" t="e">
        <f si="6" t="shared"/>
        <v>#DIV/0!</v>
      </c>
      <c r="U22" s="13">
        <f si="6" t="shared"/>
        <v>0.35939849624060149</v>
      </c>
    </row>
    <row r="23" spans="1:21" x14ac:dyDescent="0.45">
      <c r="A23" t="s">
        <v>8</v>
      </c>
      <c r="B23" s="13">
        <f ref="B23:J23" si="7" t="shared">B6/B$16</f>
        <v>0</v>
      </c>
      <c r="C23" s="13">
        <f si="7" t="shared"/>
        <v>0.87732342007434949</v>
      </c>
      <c r="D23" s="13">
        <f si="7" t="shared"/>
        <v>2.8368794326241134E-2</v>
      </c>
      <c r="E23" s="13" t="e">
        <f si="7" t="shared"/>
        <v>#DIV/0!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 t="e">
        <f si="7" t="shared"/>
        <v>#DIV/0!</v>
      </c>
      <c r="J23" s="13">
        <f si="7" t="shared"/>
        <v>0.36090225563909772</v>
      </c>
      <c r="K23" s="6"/>
      <c r="L23" t="s">
        <v>11</v>
      </c>
      <c r="M23" s="13">
        <f ref="M23:P23" si="8" t="shared">M6/M$16</f>
        <v>0</v>
      </c>
      <c r="N23" s="13">
        <f si="8" t="shared"/>
        <v>0.87732342007434949</v>
      </c>
      <c r="O23" s="13">
        <f si="8" t="shared"/>
        <v>2.8368794326241134E-2</v>
      </c>
      <c r="P23" s="13" t="e">
        <f si="8" t="shared"/>
        <v>#DIV/0!</v>
      </c>
      <c r="Q23" s="13">
        <f si="6" t="shared"/>
        <v>0</v>
      </c>
      <c r="R23" s="13" t="e">
        <f si="6" t="shared"/>
        <v>#DIV/0!</v>
      </c>
      <c r="S23" s="13">
        <f si="6" t="shared"/>
        <v>0</v>
      </c>
      <c r="T23" s="13" t="e">
        <f si="6" t="shared"/>
        <v>#DIV/0!</v>
      </c>
      <c r="U23" s="13">
        <f si="6" t="shared"/>
        <v>0.36090225563909772</v>
      </c>
    </row>
    <row r="24" spans="1:21" x14ac:dyDescent="0.45">
      <c r="A24" t="s">
        <v>9</v>
      </c>
      <c r="B24" s="13">
        <f ref="B24:J24" si="9" t="shared">B7/B$16</f>
        <v>0</v>
      </c>
      <c r="C24" s="13">
        <f si="9" t="shared"/>
        <v>0</v>
      </c>
      <c r="D24" s="13">
        <f si="9" t="shared"/>
        <v>0.88652482269503541</v>
      </c>
      <c r="E24" s="13" t="e">
        <f si="9" t="shared"/>
        <v>#DIV/0!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 t="e">
        <f si="9" t="shared"/>
        <v>#DIV/0!</v>
      </c>
      <c r="J24" s="13">
        <f si="9" t="shared"/>
        <v>0.18796992481203006</v>
      </c>
      <c r="K24" s="6"/>
      <c r="L24" t="s">
        <v>32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0.88652482269503541</v>
      </c>
      <c r="P24" s="13" t="e">
        <f si="10" t="shared"/>
        <v>#DIV/0!</v>
      </c>
      <c r="Q24" s="13">
        <f si="6" t="shared"/>
        <v>0</v>
      </c>
      <c r="R24" s="13" t="e">
        <f si="6" t="shared"/>
        <v>#DIV/0!</v>
      </c>
      <c r="S24" s="13">
        <f si="6" t="shared"/>
        <v>0</v>
      </c>
      <c r="T24" s="13" t="e">
        <f si="6" t="shared"/>
        <v>#DIV/0!</v>
      </c>
      <c r="U24" s="13">
        <f si="6" t="shared"/>
        <v>0.18796992481203006</v>
      </c>
    </row>
    <row r="25" spans="1:21" x14ac:dyDescent="0.45">
      <c r="A25" t="s">
        <v>27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1</v>
      </c>
      <c r="G25" s="13" t="e">
        <f si="11" t="shared"/>
        <v>#DIV/0!</v>
      </c>
      <c r="H25" s="13">
        <f si="11" t="shared"/>
        <v>0</v>
      </c>
      <c r="I25" s="13" t="e">
        <f si="11" t="shared"/>
        <v>#DIV/0!</v>
      </c>
      <c r="J25" s="13">
        <f si="11" t="shared"/>
        <v>3.0075187969924814E-3</v>
      </c>
      <c r="K25" s="6"/>
      <c r="L25" t="s">
        <v>27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1</v>
      </c>
      <c r="R25" s="13" t="e">
        <f si="6" t="shared"/>
        <v>#DIV/0!</v>
      </c>
      <c r="S25" s="13">
        <f si="6" t="shared"/>
        <v>0</v>
      </c>
      <c r="T25" s="13" t="e">
        <f si="6" t="shared"/>
        <v>#DIV/0!</v>
      </c>
      <c r="U25" s="13">
        <f si="6" t="shared"/>
        <v>3.0075187969924814E-3</v>
      </c>
    </row>
    <row r="26" spans="1:21" x14ac:dyDescent="0.45">
      <c r="A26" t="s">
        <v>28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28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 t="e">
        <f si="6" t="shared"/>
        <v>#DIV/0!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45">
      <c r="A27" t="s">
        <v>29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29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 t="e">
        <f si="6" t="shared"/>
        <v>#DIV/0!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45">
      <c r="A28" t="s">
        <v>30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30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 t="e">
        <f si="6" t="shared"/>
        <v>#DIV/0!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45">
      <c r="A29" t="s">
        <v>31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31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 t="e">
        <f si="6" t="shared"/>
        <v>#DIV/0!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45">
      <c r="A30" t="s">
        <v>16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16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 t="e">
        <f si="6" t="shared"/>
        <v>#DIV/0!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4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 t="e">
        <f si="23" t="shared"/>
        <v>#DIV/0!</v>
      </c>
      <c r="J31" s="13">
        <f si="23" t="shared"/>
        <v>0</v>
      </c>
      <c r="K31" s="6"/>
      <c r="L31" t="s">
        <v>4</v>
      </c>
      <c r="M31" s="13">
        <f ref="M31:P31" si="24" t="shared">M14/M$16</f>
        <v>0</v>
      </c>
      <c r="N31" s="13">
        <f si="24" t="shared"/>
        <v>0</v>
      </c>
      <c r="O31" s="13">
        <f si="24" t="shared"/>
        <v>0</v>
      </c>
      <c r="P31" s="13" t="e">
        <f si="24" t="shared"/>
        <v>#DIV/0!</v>
      </c>
      <c r="Q31" s="13">
        <f si="6" t="shared"/>
        <v>0</v>
      </c>
      <c r="R31" s="13" t="e">
        <f si="6" t="shared"/>
        <v>#DIV/0!</v>
      </c>
      <c r="S31" s="13">
        <f si="6" t="shared"/>
        <v>0</v>
      </c>
      <c r="T31" s="13" t="e">
        <f si="6" t="shared"/>
        <v>#DIV/0!</v>
      </c>
      <c r="U31" s="13">
        <f si="6" t="shared"/>
        <v>0</v>
      </c>
    </row>
    <row r="32" spans="1:21" x14ac:dyDescent="0.45">
      <c r="A32" s="4" t="s">
        <v>5</v>
      </c>
      <c r="B32" s="14">
        <f ref="B32:J32" si="25" t="shared">B15/B$16</f>
        <v>0</v>
      </c>
      <c r="C32" s="14">
        <f si="25" t="shared"/>
        <v>3.7174721189591076E-3</v>
      </c>
      <c r="D32" s="14">
        <f si="25" t="shared"/>
        <v>0</v>
      </c>
      <c r="E32" s="14" t="e">
        <f si="25" t="shared"/>
        <v>#DIV/0!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 t="e">
        <f si="25" t="shared"/>
        <v>#DIV/0!</v>
      </c>
      <c r="J32" s="14">
        <f si="25" t="shared"/>
        <v>8.8721804511278202E-2</v>
      </c>
      <c r="K32" s="6"/>
      <c r="L32" s="4" t="s">
        <v>5</v>
      </c>
      <c r="M32" s="14">
        <f ref="M32:P32" si="26" t="shared">M15/M$16</f>
        <v>0</v>
      </c>
      <c r="N32" s="14">
        <f si="26" t="shared"/>
        <v>3.7174721189591076E-3</v>
      </c>
      <c r="O32" s="14">
        <f si="26" t="shared"/>
        <v>0</v>
      </c>
      <c r="P32" s="14" t="e">
        <f si="26" t="shared"/>
        <v>#DIV/0!</v>
      </c>
      <c r="Q32" s="14">
        <f si="6" t="shared"/>
        <v>0</v>
      </c>
      <c r="R32" s="14" t="e">
        <f si="6" t="shared"/>
        <v>#DIV/0!</v>
      </c>
      <c r="S32" s="14">
        <f si="6" t="shared"/>
        <v>1</v>
      </c>
      <c r="T32" s="14" t="e">
        <f si="6" t="shared"/>
        <v>#DIV/0!</v>
      </c>
      <c r="U32" s="14">
        <f si="6" t="shared"/>
        <v>8.8721804511278202E-2</v>
      </c>
    </row>
    <row ht="14.65" r="33" spans="1:32" thickBot="1" x14ac:dyDescent="0.5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 t="e">
        <f si="6" t="shared"/>
        <v>#DIV/0!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4.65" r="36" spans="1:32" thickBot="1" x14ac:dyDescent="0.5">
      <c r="L36" s="1" t="s">
        <v>74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8" t="s">
        <v>21</v>
      </c>
      <c r="N37" s="39"/>
      <c r="O37" s="39"/>
      <c r="P37" s="39"/>
      <c r="Q37" s="39"/>
      <c r="R37" s="39"/>
      <c r="S37" s="39"/>
      <c r="T37" s="39"/>
      <c r="U37" s="39"/>
    </row>
    <row r="38" spans="1:32" x14ac:dyDescent="0.45">
      <c r="L38" s="4" t="s">
        <v>0</v>
      </c>
      <c r="M38" s="5" t="s">
        <v>10</v>
      </c>
      <c r="N38" s="5" t="s">
        <v>11</v>
      </c>
      <c r="O38" s="5" t="s">
        <v>12</v>
      </c>
      <c r="P38" s="5" t="s">
        <v>13</v>
      </c>
      <c r="Q38" s="5" t="s">
        <v>14</v>
      </c>
      <c r="R38" s="5" t="s">
        <v>4</v>
      </c>
      <c r="S38" s="5" t="s">
        <v>5</v>
      </c>
      <c r="T38" s="5" t="s">
        <v>15</v>
      </c>
      <c r="U38" s="5" t="s">
        <v>7</v>
      </c>
    </row>
    <row r="39" spans="1:32" x14ac:dyDescent="0.45">
      <c r="L39" t="s">
        <v>1</v>
      </c>
      <c r="M39" s="13">
        <f ref="M39:P44" si="29" t="shared">M22-B22</f>
        <v>0</v>
      </c>
      <c r="N39" s="13">
        <f si="29" t="shared"/>
        <v>0</v>
      </c>
      <c r="O39" s="13">
        <f si="29" t="shared"/>
        <v>0</v>
      </c>
      <c r="P39" s="13" t="e">
        <f si="29" t="shared"/>
        <v>#DIV/0!</v>
      </c>
      <c r="Q39" s="13">
        <f ref="Q39:Q50" si="30" t="shared">Q22-F22</f>
        <v>0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11</v>
      </c>
      <c r="M40" s="13">
        <f si="29" t="shared"/>
        <v>0</v>
      </c>
      <c r="N40" s="13">
        <f si="29" t="shared"/>
        <v>0</v>
      </c>
      <c r="O40" s="13">
        <f si="29" t="shared"/>
        <v>0</v>
      </c>
      <c r="P40" s="13" t="e">
        <f si="29" t="shared"/>
        <v>#DIV/0!</v>
      </c>
      <c r="Q40" s="13">
        <f si="30" t="shared"/>
        <v>0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0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32</v>
      </c>
      <c r="M41" s="13">
        <f si="29" t="shared"/>
        <v>0</v>
      </c>
      <c r="N41" s="13">
        <f si="29" t="shared"/>
        <v>0</v>
      </c>
      <c r="O41" s="13">
        <f si="29" t="shared"/>
        <v>0</v>
      </c>
      <c r="P41" s="13" t="e">
        <f si="29" t="shared"/>
        <v>#DIV/0!</v>
      </c>
      <c r="Q41" s="13">
        <f si="30" t="shared"/>
        <v>0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0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27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28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29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30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31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16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ref="M48:P50" si="39" t="shared">M31-B31</f>
        <v>0</v>
      </c>
      <c r="N48" s="13">
        <f si="39" t="shared"/>
        <v>0</v>
      </c>
      <c r="O48" s="13">
        <f si="39" t="shared"/>
        <v>0</v>
      </c>
      <c r="P48" s="13" t="e">
        <f si="39" t="shared"/>
        <v>#DIV/0!</v>
      </c>
      <c r="Q48" s="13">
        <f si="30" t="shared"/>
        <v>0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si="39" t="shared"/>
        <v>0</v>
      </c>
      <c r="N49" s="17">
        <f si="39" t="shared"/>
        <v>0</v>
      </c>
      <c r="O49" s="17">
        <f si="39" t="shared"/>
        <v>0</v>
      </c>
      <c r="P49" s="17" t="e">
        <f si="39" t="shared"/>
        <v>#DIV/0!</v>
      </c>
      <c r="Q49" s="17">
        <f si="30" t="shared"/>
        <v>0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0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4.65" r="50" spans="12:32" thickBot="1" x14ac:dyDescent="0.5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F50"/>
  <sheetViews>
    <sheetView workbookViewId="0">
      <selection activeCell="M17" sqref="M17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ht="14.65" r="2" spans="1:21" thickBot="1" x14ac:dyDescent="0.5">
      <c r="A2" s="1" t="s">
        <v>52</v>
      </c>
      <c r="B2" s="1"/>
      <c r="C2" s="2"/>
      <c r="D2" s="2"/>
      <c r="E2" s="2"/>
      <c r="F2" s="2"/>
      <c r="G2" s="2"/>
      <c r="H2" s="2"/>
      <c r="I2" s="2"/>
      <c r="J2" s="2"/>
      <c r="L2" s="1" t="s">
        <v>75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8" t="s">
        <v>22</v>
      </c>
      <c r="C3" s="38"/>
      <c r="D3" s="38"/>
      <c r="E3" s="38"/>
      <c r="F3" s="38"/>
      <c r="G3" s="38"/>
      <c r="H3" s="38"/>
      <c r="I3" s="38"/>
      <c r="J3" s="11"/>
      <c r="L3" s="3"/>
      <c r="M3" s="38" t="s">
        <v>22</v>
      </c>
      <c r="N3" s="38"/>
      <c r="O3" s="38"/>
      <c r="P3" s="38"/>
      <c r="Q3" s="38"/>
      <c r="R3" s="38"/>
      <c r="S3" s="38"/>
      <c r="T3" s="38"/>
      <c r="U3" s="38"/>
    </row>
    <row r="4" spans="1:21" x14ac:dyDescent="0.45">
      <c r="A4" s="4" t="s">
        <v>0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4</v>
      </c>
      <c r="H4" s="5" t="s">
        <v>5</v>
      </c>
      <c r="I4" s="5" t="s">
        <v>15</v>
      </c>
      <c r="J4" s="5" t="s">
        <v>7</v>
      </c>
      <c r="L4" s="4" t="s">
        <v>0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4</v>
      </c>
      <c r="S4" s="5" t="s">
        <v>5</v>
      </c>
      <c r="T4" s="5" t="s">
        <v>15</v>
      </c>
      <c r="U4" s="5" t="s">
        <v>7</v>
      </c>
    </row>
    <row r="5" spans="1:21" x14ac:dyDescent="0.45">
      <c r="A5" t="s">
        <v>1</v>
      </c>
      <c r="B5" s="6" t="n">
        <v>870000.0</v>
      </c>
      <c r="C5" s="6" t="n">
        <v>50000.0</v>
      </c>
      <c r="D5" s="6" t="n">
        <v>10000.0</v>
      </c>
      <c r="E5" s="6" t="n">
        <v>0.0</v>
      </c>
      <c r="F5" s="6" t="n">
        <v>10000.0</v>
      </c>
      <c r="G5" s="6" t="n">
        <v>0.0</v>
      </c>
      <c r="H5" s="6" t="n">
        <v>0.0</v>
      </c>
      <c r="I5" s="6" t="n">
        <v>0.0</v>
      </c>
      <c r="J5" s="6">
        <f>SUM(B5:I5)</f>
        <v>994000</v>
      </c>
      <c r="K5" s="6"/>
      <c r="L5" t="s">
        <v>1</v>
      </c>
      <c r="M5" s="6" t="n">
        <v>870000.0</v>
      </c>
      <c r="N5" s="6" t="n">
        <v>50000.0</v>
      </c>
      <c r="O5" s="6" t="n">
        <v>10000.0</v>
      </c>
      <c r="P5" s="6" t="n">
        <v>0.0</v>
      </c>
      <c r="Q5" s="6" t="n">
        <v>10000.0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994000</v>
      </c>
    </row>
    <row r="6" spans="1:21" x14ac:dyDescent="0.45">
      <c r="A6" t="s">
        <v>11</v>
      </c>
      <c r="B6" s="6" t="n">
        <v>0.0</v>
      </c>
      <c r="C6" s="6" t="n">
        <v>250000.0</v>
      </c>
      <c r="D6" s="6" t="n">
        <v>0.0</v>
      </c>
      <c r="E6" s="6" t="n">
        <v>0.0</v>
      </c>
      <c r="F6" s="6" t="n">
        <v>20000.0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464000</v>
      </c>
      <c r="K6" s="6"/>
      <c r="L6" t="s">
        <v>11</v>
      </c>
      <c r="M6" s="6" t="n">
        <v>0.0</v>
      </c>
      <c r="N6" s="6" t="n">
        <v>250000.0</v>
      </c>
      <c r="O6" s="6" t="n">
        <v>0.0</v>
      </c>
      <c r="P6" s="6" t="n">
        <v>0.0</v>
      </c>
      <c r="Q6" s="6" t="n">
        <v>20000.0</v>
      </c>
      <c r="R6" s="6" t="n">
        <v>0.0</v>
      </c>
      <c r="S6" s="6" t="n">
        <v>0.0</v>
      </c>
      <c r="T6" s="6" t="n">
        <v>0.0</v>
      </c>
      <c r="U6" s="6">
        <f si="0" t="shared"/>
        <v>464000</v>
      </c>
    </row>
    <row r="7" spans="1:21" x14ac:dyDescent="0.45">
      <c r="A7" t="s">
        <v>32</v>
      </c>
      <c r="B7" s="6" t="n">
        <v>0.0</v>
      </c>
      <c r="C7" s="6" t="n">
        <v>0.0</v>
      </c>
      <c r="D7" s="6" t="n">
        <v>150000.0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251000</v>
      </c>
      <c r="K7" s="6"/>
      <c r="L7" t="s">
        <v>32</v>
      </c>
      <c r="M7" s="6" t="n">
        <v>0.0</v>
      </c>
      <c r="N7" s="6" t="n">
        <v>0.0</v>
      </c>
      <c r="O7" s="6" t="n">
        <v>150000.0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251000</v>
      </c>
    </row>
    <row r="8" spans="1:21" x14ac:dyDescent="0.45">
      <c r="A8" t="s">
        <v>27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60000.0</v>
      </c>
      <c r="G8" s="6" t="n">
        <v>0.0</v>
      </c>
      <c r="H8" s="6" t="n">
        <v>0.0</v>
      </c>
      <c r="I8" s="6" t="n">
        <v>0.0</v>
      </c>
      <c r="J8" s="6">
        <f si="1" t="shared"/>
        <v>7000</v>
      </c>
      <c r="K8" s="6"/>
      <c r="L8" t="s">
        <v>27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60000.0</v>
      </c>
      <c r="R8" s="6" t="n">
        <v>0.0</v>
      </c>
      <c r="S8" s="6" t="n">
        <v>0.0</v>
      </c>
      <c r="T8" s="6" t="n">
        <v>0.0</v>
      </c>
      <c r="U8" s="6">
        <f si="0" t="shared"/>
        <v>7000</v>
      </c>
    </row>
    <row r="9" spans="1:21" x14ac:dyDescent="0.45">
      <c r="A9" t="s">
        <v>28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28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45">
      <c r="A10" t="s">
        <v>29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29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45">
      <c r="A11" t="s">
        <v>30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30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45">
      <c r="A12" t="s">
        <v>31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31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45">
      <c r="A13" t="s">
        <v>16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16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4000</v>
      </c>
      <c r="K14" s="6"/>
      <c r="L14" t="s">
        <v>4</v>
      </c>
      <c r="M14" s="6" t="n">
        <v>0.0</v>
      </c>
      <c r="N14" s="6" t="n">
        <v>0.0</v>
      </c>
      <c r="O14" s="6" t="n">
        <v>0.0</v>
      </c>
      <c r="P14" s="6" t="n">
        <v>0.0</v>
      </c>
      <c r="Q14" s="6" t="n">
        <v>0.0</v>
      </c>
      <c r="R14" s="6" t="n">
        <v>0.0</v>
      </c>
      <c r="S14" s="6" t="n">
        <v>0.0</v>
      </c>
      <c r="T14" s="6" t="n">
        <v>0.0</v>
      </c>
      <c r="U14" s="6">
        <f si="0" t="shared"/>
        <v>4000</v>
      </c>
    </row>
    <row r="15" spans="1:21" x14ac:dyDescent="0.45">
      <c r="A15" s="4" t="s">
        <v>5</v>
      </c>
      <c r="B15" s="10" t="n">
        <v>0.0</v>
      </c>
      <c r="C15" s="10" t="n">
        <v>0.0</v>
      </c>
      <c r="D15" s="10" t="n">
        <v>0.0</v>
      </c>
      <c r="E15" s="10" t="n">
        <v>0.0</v>
      </c>
      <c r="F15" s="10" t="n">
        <v>10000.0</v>
      </c>
      <c r="G15" s="10" t="n">
        <v>0.0</v>
      </c>
      <c r="H15" s="10" t="n">
        <v>80000.0</v>
      </c>
      <c r="I15" s="10" t="n">
        <v>0.0</v>
      </c>
      <c r="J15" s="6">
        <f si="1" t="shared"/>
        <v>97000</v>
      </c>
      <c r="K15" s="6"/>
      <c r="L15" s="4" t="s">
        <v>5</v>
      </c>
      <c r="M15" s="8" t="n">
        <v>0.0</v>
      </c>
      <c r="N15" s="8" t="n">
        <v>0.0</v>
      </c>
      <c r="O15" s="8" t="n">
        <v>0.0</v>
      </c>
      <c r="P15" s="8" t="n">
        <v>0.0</v>
      </c>
      <c r="Q15" s="8" t="n">
        <v>10000.0</v>
      </c>
      <c r="R15" s="8" t="n">
        <v>0.0</v>
      </c>
      <c r="S15" s="8" t="n">
        <v>80000.0</v>
      </c>
      <c r="T15" s="8" t="n">
        <v>0.0</v>
      </c>
      <c r="U15" s="6">
        <f si="0" t="shared"/>
        <v>97000</v>
      </c>
    </row>
    <row ht="14.65" r="16" spans="1:21" thickBot="1" x14ac:dyDescent="0.5">
      <c r="A16" s="12" t="s">
        <v>7</v>
      </c>
      <c r="B16" s="16">
        <f ref="B16:J16" si="2" t="shared">SUM(B5:B15)</f>
        <v>845000</v>
      </c>
      <c r="C16" s="16">
        <f si="2" t="shared"/>
        <v>562000</v>
      </c>
      <c r="D16" s="16">
        <f si="2" t="shared"/>
        <v>299000</v>
      </c>
      <c r="E16" s="16">
        <f si="2" t="shared"/>
        <v>0</v>
      </c>
      <c r="F16" s="16">
        <f si="2" t="shared"/>
        <v>12000</v>
      </c>
      <c r="G16" s="16">
        <f si="2" t="shared"/>
        <v>4000</v>
      </c>
      <c r="H16" s="16">
        <f si="2" t="shared"/>
        <v>95000</v>
      </c>
      <c r="I16" s="16">
        <f si="2" t="shared"/>
        <v>0</v>
      </c>
      <c r="J16" s="16">
        <f si="2" t="shared"/>
        <v>1817000</v>
      </c>
      <c r="L16" s="9" t="s">
        <v>7</v>
      </c>
      <c r="M16" s="16">
        <f ref="M16:U16" si="3" t="shared">SUM(M5:M15)</f>
        <v>845000</v>
      </c>
      <c r="N16" s="16">
        <f si="3" t="shared"/>
        <v>562000</v>
      </c>
      <c r="O16" s="16">
        <f si="3" t="shared"/>
        <v>299000</v>
      </c>
      <c r="P16" s="16">
        <f si="3" t="shared"/>
        <v>0</v>
      </c>
      <c r="Q16" s="16">
        <f si="3" t="shared"/>
        <v>12000</v>
      </c>
      <c r="R16" s="16">
        <f si="3" t="shared"/>
        <v>4000</v>
      </c>
      <c r="S16" s="16">
        <f si="3" t="shared"/>
        <v>95000</v>
      </c>
      <c r="T16" s="16">
        <f si="3" t="shared"/>
        <v>0</v>
      </c>
      <c r="U16" s="16">
        <f si="3" t="shared"/>
        <v>1817000</v>
      </c>
    </row>
    <row r="17" spans="1:21" x14ac:dyDescent="0.45">
      <c r="E17" s="30">
        <f>E16/J16</f>
        <v>0</v>
      </c>
      <c r="F17" s="30">
        <f>F16/J16</f>
        <v>6.6042927903137037E-3</v>
      </c>
      <c r="P17" s="30">
        <f>P16/U16</f>
        <v>0</v>
      </c>
      <c r="Q17" s="30">
        <f>Q16/U16</f>
        <v>6.6042927903137037E-3</v>
      </c>
    </row>
    <row ht="14.65" r="19" spans="1:21" thickBot="1" x14ac:dyDescent="0.5">
      <c r="A19" s="1" t="s">
        <v>53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76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8" t="s">
        <v>22</v>
      </c>
      <c r="C20" s="38"/>
      <c r="D20" s="38"/>
      <c r="E20" s="38"/>
      <c r="F20" s="38"/>
      <c r="G20" s="38"/>
      <c r="H20" s="38"/>
      <c r="I20" s="38"/>
      <c r="J20" s="11"/>
      <c r="L20" s="3"/>
      <c r="M20" s="38" t="s">
        <v>22</v>
      </c>
      <c r="N20" s="38"/>
      <c r="O20" s="38"/>
      <c r="P20" s="38"/>
      <c r="Q20" s="38"/>
      <c r="R20" s="38"/>
      <c r="S20" s="38"/>
      <c r="T20" s="38"/>
      <c r="U20" s="38"/>
    </row>
    <row r="21" spans="1:21" x14ac:dyDescent="0.45">
      <c r="A21" s="4" t="s">
        <v>0</v>
      </c>
      <c r="B21" s="5" t="s">
        <v>10</v>
      </c>
      <c r="C21" s="5" t="s">
        <v>11</v>
      </c>
      <c r="D21" s="5" t="s">
        <v>12</v>
      </c>
      <c r="E21" s="5" t="s">
        <v>13</v>
      </c>
      <c r="F21" s="5" t="s">
        <v>14</v>
      </c>
      <c r="G21" s="5" t="s">
        <v>4</v>
      </c>
      <c r="H21" s="5" t="s">
        <v>5</v>
      </c>
      <c r="I21" s="5" t="s">
        <v>15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13</v>
      </c>
      <c r="Q21" s="5" t="s">
        <v>14</v>
      </c>
      <c r="R21" s="5" t="s">
        <v>4</v>
      </c>
      <c r="S21" s="5" t="s">
        <v>5</v>
      </c>
      <c r="T21" s="5" t="s">
        <v>15</v>
      </c>
      <c r="U21" s="5" t="s">
        <v>7</v>
      </c>
    </row>
    <row r="22" spans="1:21" x14ac:dyDescent="0.45">
      <c r="A22" t="s">
        <v>1</v>
      </c>
      <c r="B22" s="13">
        <f ref="B22:J22" si="4" t="shared">B5/B$16</f>
        <v>1</v>
      </c>
      <c r="C22" s="13">
        <f si="4" t="shared"/>
        <v>0.19750889679715303</v>
      </c>
      <c r="D22" s="13">
        <f si="4" t="shared"/>
        <v>0.12374581939799331</v>
      </c>
      <c r="E22" s="13" t="e">
        <f si="4" t="shared"/>
        <v>#DIV/0!</v>
      </c>
      <c r="F22" s="13">
        <f si="4" t="shared"/>
        <v>8.3333333333333329E-2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0.54705558613098515</v>
      </c>
      <c r="K22" s="6"/>
      <c r="L22" t="s">
        <v>1</v>
      </c>
      <c r="M22" s="13">
        <f ref="M22:P22" si="5" t="shared">M5/M$16</f>
        <v>1</v>
      </c>
      <c r="N22" s="13">
        <f si="5" t="shared"/>
        <v>0.19750889679715303</v>
      </c>
      <c r="O22" s="13">
        <f si="5" t="shared"/>
        <v>0.12374581939799331</v>
      </c>
      <c r="P22" s="13" t="e">
        <f si="5" t="shared"/>
        <v>#DIV/0!</v>
      </c>
      <c r="Q22" s="13">
        <f ref="Q22:U33" si="6" t="shared">Q5/Q$16</f>
        <v>8.3333333333333329E-2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0.54705558613098515</v>
      </c>
    </row>
    <row r="23" spans="1:21" x14ac:dyDescent="0.45">
      <c r="A23" t="s">
        <v>11</v>
      </c>
      <c r="B23" s="13">
        <f ref="B23:J23" si="7" t="shared">B6/B$16</f>
        <v>0</v>
      </c>
      <c r="C23" s="13">
        <f si="7" t="shared"/>
        <v>0.80071174377224197</v>
      </c>
      <c r="D23" s="13">
        <f si="7" t="shared"/>
        <v>3.678929765886288E-2</v>
      </c>
      <c r="E23" s="13" t="e">
        <f si="7" t="shared"/>
        <v>#DIV/0!</v>
      </c>
      <c r="F23" s="13">
        <f si="7" t="shared"/>
        <v>0.25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0.25536598789212989</v>
      </c>
      <c r="K23" s="6"/>
      <c r="L23" t="s">
        <v>11</v>
      </c>
      <c r="M23" s="13">
        <f ref="M23:P23" si="8" t="shared">M6/M$16</f>
        <v>0</v>
      </c>
      <c r="N23" s="13">
        <f si="8" t="shared"/>
        <v>0.80071174377224197</v>
      </c>
      <c r="O23" s="13">
        <f si="8" t="shared"/>
        <v>3.678929765886288E-2</v>
      </c>
      <c r="P23" s="13" t="e">
        <f si="8" t="shared"/>
        <v>#DIV/0!</v>
      </c>
      <c r="Q23" s="13">
        <f si="6" t="shared"/>
        <v>0.25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0.25536598789212989</v>
      </c>
    </row>
    <row r="24" spans="1:21" x14ac:dyDescent="0.45">
      <c r="A24" t="s">
        <v>32</v>
      </c>
      <c r="B24" s="13">
        <f ref="B24:J24" si="9" t="shared">B7/B$16</f>
        <v>0</v>
      </c>
      <c r="C24" s="13">
        <f si="9" t="shared"/>
        <v>0</v>
      </c>
      <c r="D24" s="13">
        <f si="9" t="shared"/>
        <v>0.83946488294314381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0.13813979086406164</v>
      </c>
      <c r="K24" s="6"/>
      <c r="L24" t="s">
        <v>32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0.83946488294314381</v>
      </c>
      <c r="P24" s="13" t="e">
        <f si="10" t="shared"/>
        <v>#DIV/0!</v>
      </c>
      <c r="Q24" s="13">
        <f si="6" t="shared"/>
        <v>0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0.13813979086406164</v>
      </c>
    </row>
    <row r="25" spans="1:21" x14ac:dyDescent="0.45">
      <c r="A25" t="s">
        <v>27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0.58333333333333337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3.852504127682994E-3</v>
      </c>
      <c r="K25" s="6"/>
      <c r="L25" t="s">
        <v>27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0.58333333333333337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3.852504127682994E-3</v>
      </c>
    </row>
    <row r="26" spans="1:21" x14ac:dyDescent="0.45">
      <c r="A26" t="s">
        <v>28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28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45">
      <c r="A27" t="s">
        <v>29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29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45">
      <c r="A28" t="s">
        <v>30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30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45">
      <c r="A29" t="s">
        <v>31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31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45">
      <c r="A30" t="s">
        <v>16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16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4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2.2014309301045679E-3</v>
      </c>
      <c r="K31" s="6"/>
      <c r="L31" t="s">
        <v>4</v>
      </c>
      <c r="M31" s="13">
        <f ref="M31:P31" si="24" t="shared">M14/M$16</f>
        <v>0</v>
      </c>
      <c r="N31" s="13">
        <f si="24" t="shared"/>
        <v>0</v>
      </c>
      <c r="O31" s="13">
        <f si="24" t="shared"/>
        <v>0</v>
      </c>
      <c r="P31" s="13" t="e">
        <f si="24" t="shared"/>
        <v>#DIV/0!</v>
      </c>
      <c r="Q31" s="13">
        <f si="6" t="shared"/>
        <v>0</v>
      </c>
      <c r="R31" s="13">
        <f si="6" t="shared"/>
        <v>1</v>
      </c>
      <c r="S31" s="13">
        <f si="6" t="shared"/>
        <v>0</v>
      </c>
      <c r="T31" s="13" t="e">
        <f si="6" t="shared"/>
        <v>#DIV/0!</v>
      </c>
      <c r="U31" s="13">
        <f si="6" t="shared"/>
        <v>2.2014309301045679E-3</v>
      </c>
    </row>
    <row r="32" spans="1:21" x14ac:dyDescent="0.45">
      <c r="A32" s="4" t="s">
        <v>5</v>
      </c>
      <c r="B32" s="14">
        <f ref="B32:J32" si="25" t="shared">B15/B$16</f>
        <v>0</v>
      </c>
      <c r="C32" s="14">
        <f si="25" t="shared"/>
        <v>1.7793594306049821E-3</v>
      </c>
      <c r="D32" s="14">
        <f si="25" t="shared"/>
        <v>0</v>
      </c>
      <c r="E32" s="14" t="e">
        <f si="25" t="shared"/>
        <v>#DIV/0!</v>
      </c>
      <c r="F32" s="14">
        <f si="25" t="shared"/>
        <v>8.3333333333333329E-2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5.3384700055035775E-2</v>
      </c>
      <c r="K32" s="6"/>
      <c r="L32" s="4" t="s">
        <v>5</v>
      </c>
      <c r="M32" s="14">
        <f ref="M32:P32" si="26" t="shared">M15/M$16</f>
        <v>0</v>
      </c>
      <c r="N32" s="14">
        <f si="26" t="shared"/>
        <v>1.7793594306049821E-3</v>
      </c>
      <c r="O32" s="14">
        <f si="26" t="shared"/>
        <v>0</v>
      </c>
      <c r="P32" s="14" t="e">
        <f si="26" t="shared"/>
        <v>#DIV/0!</v>
      </c>
      <c r="Q32" s="14">
        <f si="6" t="shared"/>
        <v>8.3333333333333329E-2</v>
      </c>
      <c r="R32" s="14">
        <f si="6" t="shared"/>
        <v>0</v>
      </c>
      <c r="S32" s="14">
        <f si="6" t="shared"/>
        <v>1</v>
      </c>
      <c r="T32" s="14" t="e">
        <f si="6" t="shared"/>
        <v>#DIV/0!</v>
      </c>
      <c r="U32" s="14">
        <f si="6" t="shared"/>
        <v>5.3384700055035775E-2</v>
      </c>
    </row>
    <row ht="14.65" r="33" spans="1:32" thickBot="1" x14ac:dyDescent="0.5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4.65" r="36" spans="1:32" thickBot="1" x14ac:dyDescent="0.5">
      <c r="L36" s="1" t="s">
        <v>77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8" t="s">
        <v>22</v>
      </c>
      <c r="N37" s="38"/>
      <c r="O37" s="38"/>
      <c r="P37" s="38"/>
      <c r="Q37" s="38"/>
      <c r="R37" s="38"/>
      <c r="S37" s="38"/>
      <c r="T37" s="38"/>
      <c r="U37" s="38"/>
    </row>
    <row r="38" spans="1:32" x14ac:dyDescent="0.45">
      <c r="L38" s="4" t="s">
        <v>0</v>
      </c>
      <c r="M38" s="5" t="s">
        <v>10</v>
      </c>
      <c r="N38" s="5" t="s">
        <v>11</v>
      </c>
      <c r="O38" s="5" t="s">
        <v>12</v>
      </c>
      <c r="P38" s="5" t="s">
        <v>13</v>
      </c>
      <c r="Q38" s="5" t="s">
        <v>14</v>
      </c>
      <c r="R38" s="5" t="s">
        <v>4</v>
      </c>
      <c r="S38" s="5" t="s">
        <v>5</v>
      </c>
      <c r="T38" s="5" t="s">
        <v>15</v>
      </c>
      <c r="U38" s="5" t="s">
        <v>7</v>
      </c>
    </row>
    <row r="39" spans="1:32" x14ac:dyDescent="0.45">
      <c r="L39" t="s">
        <v>1</v>
      </c>
      <c r="M39" s="13">
        <f ref="M39:P44" si="29" t="shared">M22-B22</f>
        <v>0</v>
      </c>
      <c r="N39" s="13">
        <f si="29" t="shared"/>
        <v>0</v>
      </c>
      <c r="O39" s="13">
        <f si="29" t="shared"/>
        <v>0</v>
      </c>
      <c r="P39" s="13" t="e">
        <f si="29" t="shared"/>
        <v>#DIV/0!</v>
      </c>
      <c r="Q39" s="13">
        <f ref="Q39:Q50" si="30" t="shared">Q22-F22</f>
        <v>0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11</v>
      </c>
      <c r="M40" s="13">
        <f si="29" t="shared"/>
        <v>0</v>
      </c>
      <c r="N40" s="13">
        <f si="29" t="shared"/>
        <v>0</v>
      </c>
      <c r="O40" s="13">
        <f si="29" t="shared"/>
        <v>0</v>
      </c>
      <c r="P40" s="13" t="e">
        <f si="29" t="shared"/>
        <v>#DIV/0!</v>
      </c>
      <c r="Q40" s="13">
        <f si="30" t="shared"/>
        <v>0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0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32</v>
      </c>
      <c r="M41" s="13">
        <f si="29" t="shared"/>
        <v>0</v>
      </c>
      <c r="N41" s="13">
        <f si="29" t="shared"/>
        <v>0</v>
      </c>
      <c r="O41" s="13">
        <f si="29" t="shared"/>
        <v>0</v>
      </c>
      <c r="P41" s="13" t="e">
        <f si="29" t="shared"/>
        <v>#DIV/0!</v>
      </c>
      <c r="Q41" s="13">
        <f si="30" t="shared"/>
        <v>0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0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27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0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28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29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30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31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16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ref="M48:P50" si="39" t="shared">M31-B31</f>
        <v>0</v>
      </c>
      <c r="N48" s="13">
        <f si="39" t="shared"/>
        <v>0</v>
      </c>
      <c r="O48" s="13">
        <f si="39" t="shared"/>
        <v>0</v>
      </c>
      <c r="P48" s="13" t="e">
        <f si="39" t="shared"/>
        <v>#DIV/0!</v>
      </c>
      <c r="Q48" s="13">
        <f si="30" t="shared"/>
        <v>0</v>
      </c>
      <c r="R48" s="13">
        <f si="31" t="shared"/>
        <v>0</v>
      </c>
      <c r="S48" s="13">
        <f si="32" t="shared"/>
        <v>0</v>
      </c>
      <c r="T48" s="13" t="e">
        <f si="33" t="shared"/>
        <v>#DIV/0!</v>
      </c>
      <c r="U48" s="13">
        <f si="34" t="shared"/>
        <v>0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si="39" t="shared"/>
        <v>0</v>
      </c>
      <c r="N49" s="17">
        <f si="39" t="shared"/>
        <v>0</v>
      </c>
      <c r="O49" s="17">
        <f si="39" t="shared"/>
        <v>0</v>
      </c>
      <c r="P49" s="17" t="e">
        <f si="39" t="shared"/>
        <v>#DIV/0!</v>
      </c>
      <c r="Q49" s="17">
        <f si="30" t="shared"/>
        <v>0</v>
      </c>
      <c r="R49" s="17">
        <f si="31" t="shared"/>
        <v>0</v>
      </c>
      <c r="S49" s="17">
        <f si="32" t="shared"/>
        <v>0</v>
      </c>
      <c r="T49" s="17" t="e">
        <f si="33" t="shared"/>
        <v>#DIV/0!</v>
      </c>
      <c r="U49" s="13">
        <f si="34" t="shared"/>
        <v>0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4.65" r="50" spans="12:32" thickBot="1" x14ac:dyDescent="0.5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  <pageSetup orientation="portrait" r:id="rId1" verticalDpi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>
      <selection activeCell="B7" sqref="B7"/>
    </sheetView>
  </sheetViews>
  <sheetFormatPr defaultRowHeight="14.25" x14ac:dyDescent="0.45"/>
  <sheetData>
    <row r="2" spans="2:2" x14ac:dyDescent="0.45">
      <c r="B2" t="s">
        <v>26</v>
      </c>
    </row>
    <row r="3" spans="2:2" x14ac:dyDescent="0.45">
      <c r="B3" t="s">
        <v>25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baseType="lpstr" size="34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Peter Andrews</cp:lastModifiedBy>
  <dcterms:modified xsi:type="dcterms:W3CDTF">2016-07-01T21:03:35Z</dcterms:modified>
</cp:coreProperties>
</file>